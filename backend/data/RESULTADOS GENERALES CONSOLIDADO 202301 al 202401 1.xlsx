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ceseedu-my.sharepoint.com/personal/gjzambranod_pucese_edu_ec/Documents/INDICADORES DE AUXILIAR ACADEMICA/INFORMACION QUITO_EVAL/ENVIAR/"/>
    </mc:Choice>
  </mc:AlternateContent>
  <xr:revisionPtr revIDLastSave="0" documentId="8_{8EC75774-0D0C-4E92-B1E3-101A2F304F75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Hoja1" sheetId="2" state="hidden" r:id="rId1"/>
    <sheet name="Worksheet" sheetId="1" state="hidden" r:id="rId2"/>
    <sheet name="Worksheet (2)" sheetId="9" r:id="rId3"/>
    <sheet name="TABLA DINAMICA" sheetId="11" r:id="rId4"/>
    <sheet name="GRAFICOS" sheetId="10" r:id="rId5"/>
    <sheet name="TABLA" sheetId="8" state="hidden" r:id="rId6"/>
    <sheet name="REPORTE GENERAL" sheetId="7" state="hidden" r:id="rId7"/>
    <sheet name="Hoja3" sheetId="4" state="hidden" r:id="rId8"/>
  </sheets>
  <externalReferences>
    <externalReference r:id="rId9"/>
    <externalReference r:id="rId10"/>
  </externalReferences>
  <definedNames>
    <definedName name="_xlnm._FilterDatabase" localSheetId="1" hidden="1">Worksheet!$A$1:$P$155</definedName>
    <definedName name="_xlnm._FilterDatabase" localSheetId="2" hidden="1">'Worksheet (2)'!$A$1:$N$426</definedName>
  </definedNames>
  <calcPr calcId="191029"/>
  <pivotCaches>
    <pivotCache cacheId="71" r:id="rId11"/>
    <pivotCache cacheId="72" r:id="rId12"/>
    <pivotCache cacheId="73" r:id="rId13"/>
    <pivotCache cacheId="10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2" i="9" l="1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N223" i="9"/>
  <c r="N222" i="9"/>
  <c r="N221" i="9"/>
  <c r="N220" i="9"/>
  <c r="N219" i="9"/>
  <c r="N218" i="9"/>
  <c r="N217" i="9"/>
  <c r="N216" i="9"/>
  <c r="N215" i="9"/>
  <c r="N214" i="9"/>
  <c r="N213" i="9"/>
  <c r="N212" i="9"/>
  <c r="N211" i="9"/>
  <c r="N210" i="9"/>
  <c r="N209" i="9"/>
  <c r="N208" i="9"/>
  <c r="N207" i="9"/>
  <c r="N206" i="9"/>
  <c r="N205" i="9"/>
  <c r="N204" i="9"/>
  <c r="N203" i="9"/>
  <c r="N202" i="9"/>
  <c r="N201" i="9"/>
  <c r="N200" i="9"/>
  <c r="N199" i="9"/>
  <c r="N198" i="9"/>
  <c r="N197" i="9"/>
  <c r="N196" i="9"/>
  <c r="N195" i="9"/>
  <c r="N194" i="9"/>
  <c r="N193" i="9"/>
  <c r="N192" i="9"/>
  <c r="N191" i="9"/>
  <c r="N190" i="9"/>
  <c r="N189" i="9"/>
  <c r="N188" i="9"/>
  <c r="N187" i="9"/>
  <c r="N186" i="9"/>
  <c r="N185" i="9"/>
  <c r="N184" i="9"/>
  <c r="N183" i="9"/>
  <c r="N182" i="9"/>
  <c r="N181" i="9"/>
  <c r="N180" i="9"/>
  <c r="N179" i="9"/>
  <c r="N178" i="9"/>
  <c r="N177" i="9"/>
  <c r="N176" i="9"/>
  <c r="N175" i="9"/>
  <c r="N174" i="9"/>
  <c r="N173" i="9"/>
  <c r="N172" i="9"/>
  <c r="N171" i="9"/>
  <c r="N170" i="9"/>
  <c r="N169" i="9"/>
  <c r="N168" i="9"/>
  <c r="N167" i="9"/>
  <c r="N166" i="9"/>
  <c r="N165" i="9"/>
  <c r="N164" i="9"/>
  <c r="N163" i="9"/>
  <c r="N162" i="9"/>
  <c r="N161" i="9"/>
  <c r="N160" i="9"/>
  <c r="N159" i="9"/>
  <c r="N158" i="9"/>
  <c r="N157" i="9"/>
  <c r="N156" i="9"/>
  <c r="B2" i="4" l="1"/>
  <c r="D2" i="4" s="1"/>
  <c r="C2" i="4" l="1"/>
  <c r="B8" i="4" l="1"/>
  <c r="B16" i="4"/>
  <c r="B24" i="4"/>
  <c r="B32" i="4"/>
  <c r="B40" i="4"/>
  <c r="B9" i="4"/>
  <c r="B17" i="4"/>
  <c r="B25" i="4"/>
  <c r="B33" i="4"/>
  <c r="B41" i="4"/>
  <c r="B10" i="4"/>
  <c r="B18" i="4"/>
  <c r="B26" i="4"/>
  <c r="B34" i="4"/>
  <c r="B42" i="4"/>
  <c r="B11" i="4"/>
  <c r="B19" i="4"/>
  <c r="B27" i="4"/>
  <c r="B35" i="4"/>
  <c r="B43" i="4"/>
  <c r="B4" i="4"/>
  <c r="B12" i="4"/>
  <c r="B20" i="4"/>
  <c r="B28" i="4"/>
  <c r="D5" i="4"/>
  <c r="B13" i="4"/>
  <c r="B29" i="4"/>
  <c r="B37" i="4"/>
  <c r="B6" i="4"/>
  <c r="B22" i="4"/>
  <c r="B30" i="4"/>
  <c r="B38" i="4"/>
  <c r="B7" i="4"/>
  <c r="B15" i="4"/>
  <c r="B23" i="4"/>
  <c r="B31" i="4"/>
  <c r="B39" i="4"/>
  <c r="D31" i="4" l="1"/>
  <c r="D6" i="4"/>
  <c r="D20" i="4"/>
  <c r="D3" i="4"/>
  <c r="D25" i="4"/>
  <c r="D12" i="4"/>
  <c r="D34" i="4"/>
  <c r="D37" i="4"/>
  <c r="D29" i="4"/>
  <c r="D7" i="4"/>
  <c r="D43" i="4"/>
  <c r="D26" i="4"/>
  <c r="D40" i="4"/>
  <c r="D15" i="4"/>
  <c r="D9" i="4"/>
  <c r="D13" i="4"/>
  <c r="D35" i="4"/>
  <c r="D18" i="4"/>
  <c r="C18" i="4"/>
  <c r="D32" i="4"/>
  <c r="D17" i="4"/>
  <c r="C17" i="4"/>
  <c r="D4" i="4"/>
  <c r="D38" i="4"/>
  <c r="D30" i="4"/>
  <c r="D27" i="4"/>
  <c r="D10" i="4"/>
  <c r="D24" i="4"/>
  <c r="D23" i="4"/>
  <c r="D22" i="4"/>
  <c r="D36" i="4"/>
  <c r="D19" i="4"/>
  <c r="D41" i="4"/>
  <c r="D16" i="4"/>
  <c r="D39" i="4"/>
  <c r="D14" i="4"/>
  <c r="D28" i="4"/>
  <c r="D11" i="4"/>
  <c r="C11" i="4"/>
  <c r="D33" i="4"/>
  <c r="D8" i="4"/>
  <c r="H13" i="4"/>
  <c r="F17" i="4"/>
  <c r="G36" i="4"/>
  <c r="F16" i="4"/>
  <c r="G31" i="4"/>
  <c r="E17" i="4"/>
  <c r="H38" i="4"/>
  <c r="G17" i="4"/>
  <c r="H31" i="4"/>
  <c r="F38" i="4"/>
  <c r="H17" i="4"/>
  <c r="H36" i="4"/>
  <c r="G16" i="4"/>
  <c r="F36" i="4"/>
  <c r="H16" i="4"/>
  <c r="F31" i="4"/>
  <c r="G14" i="4"/>
  <c r="H14" i="4"/>
  <c r="G13" i="4"/>
  <c r="F14" i="4"/>
  <c r="F13" i="4"/>
  <c r="G38" i="4"/>
  <c r="H40" i="4"/>
  <c r="G34" i="4"/>
  <c r="H25" i="4"/>
  <c r="G15" i="4"/>
  <c r="G43" i="4"/>
  <c r="F39" i="4"/>
  <c r="H32" i="4"/>
  <c r="G27" i="4"/>
  <c r="G23" i="4"/>
  <c r="G19" i="4"/>
  <c r="G11" i="4"/>
  <c r="F7" i="4"/>
  <c r="G3" i="4"/>
  <c r="H9" i="4"/>
  <c r="H33" i="4"/>
  <c r="H24" i="4"/>
  <c r="H8" i="4"/>
  <c r="H41" i="4"/>
  <c r="G35" i="4"/>
  <c r="F30" i="4"/>
  <c r="G26" i="4"/>
  <c r="F22" i="4"/>
  <c r="G18" i="4"/>
  <c r="G10" i="4"/>
  <c r="F6" i="4"/>
  <c r="G2" i="4"/>
  <c r="F29" i="4"/>
  <c r="H28" i="4"/>
  <c r="F27" i="4"/>
  <c r="F18" i="4"/>
  <c r="H4" i="4"/>
  <c r="G33" i="4"/>
  <c r="F43" i="4"/>
  <c r="F35" i="4"/>
  <c r="F26" i="4"/>
  <c r="H39" i="4"/>
  <c r="H20" i="4"/>
  <c r="G39" i="4"/>
  <c r="F37" i="4"/>
  <c r="F19" i="4"/>
  <c r="H37" i="4"/>
  <c r="H7" i="4"/>
  <c r="H29" i="4"/>
  <c r="H12" i="4"/>
  <c r="G9" i="4"/>
  <c r="G6" i="4"/>
  <c r="E11" i="4"/>
  <c r="F5" i="4"/>
  <c r="H23" i="4"/>
  <c r="H15" i="4"/>
  <c r="G41" i="4"/>
  <c r="G25" i="4"/>
  <c r="E18" i="4"/>
  <c r="E2" i="4"/>
  <c r="F28" i="4"/>
  <c r="F20" i="4"/>
  <c r="F12" i="4"/>
  <c r="F4" i="4"/>
  <c r="H30" i="4"/>
  <c r="H22" i="4"/>
  <c r="H6" i="4"/>
  <c r="G40" i="4"/>
  <c r="G32" i="4"/>
  <c r="G24" i="4"/>
  <c r="G8" i="4"/>
  <c r="G7" i="4"/>
  <c r="F11" i="4"/>
  <c r="F3" i="4"/>
  <c r="H5" i="4"/>
  <c r="G30" i="4"/>
  <c r="G22" i="4"/>
  <c r="F41" i="4"/>
  <c r="F33" i="4"/>
  <c r="F25" i="4"/>
  <c r="F9" i="4"/>
  <c r="H43" i="4"/>
  <c r="H35" i="4"/>
  <c r="H27" i="4"/>
  <c r="H19" i="4"/>
  <c r="H11" i="4"/>
  <c r="H3" i="4"/>
  <c r="G37" i="4"/>
  <c r="G29" i="4"/>
  <c r="G5" i="4"/>
  <c r="F10" i="4"/>
  <c r="F2" i="4"/>
  <c r="F40" i="4"/>
  <c r="F32" i="4"/>
  <c r="F24" i="4"/>
  <c r="F8" i="4"/>
  <c r="H34" i="4"/>
  <c r="H26" i="4"/>
  <c r="H18" i="4"/>
  <c r="H10" i="4"/>
  <c r="H2" i="4"/>
  <c r="G28" i="4"/>
  <c r="G20" i="4"/>
  <c r="G12" i="4"/>
  <c r="G4" i="4"/>
  <c r="F23" i="4"/>
  <c r="F15" i="4"/>
  <c r="F34" i="4"/>
  <c r="E8" i="4" l="1"/>
  <c r="E43" i="4" l="1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0" i="4"/>
  <c r="E19" i="4"/>
  <c r="E16" i="4"/>
  <c r="E15" i="4"/>
  <c r="E14" i="4"/>
  <c r="E13" i="4"/>
  <c r="E12" i="4"/>
  <c r="E10" i="4"/>
  <c r="E9" i="4"/>
  <c r="E7" i="4"/>
  <c r="E6" i="4"/>
  <c r="E5" i="4"/>
  <c r="E4" i="4"/>
  <c r="E3" i="4"/>
  <c r="C43" i="4" l="1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0" i="4"/>
  <c r="C19" i="4"/>
  <c r="C16" i="4"/>
  <c r="C15" i="4"/>
  <c r="C14" i="4"/>
  <c r="C13" i="4"/>
  <c r="C12" i="4"/>
  <c r="C10" i="4"/>
  <c r="C9" i="4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<sst xmlns="http://schemas.openxmlformats.org/spreadsheetml/2006/main" count="6834" uniqueCount="738">
  <si>
    <t>Apellidos y Nombres</t>
  </si>
  <si>
    <t>Estud a Doc</t>
  </si>
  <si>
    <t>Autoeval</t>
  </si>
  <si>
    <t>Coord a Docente</t>
  </si>
  <si>
    <t>Eval pares</t>
  </si>
  <si>
    <t>Total</t>
  </si>
  <si>
    <t xml:space="preserve">ALVAREZ REYNA ANISLEY </t>
  </si>
  <si>
    <t>ARROYO HIDALGO SONIA ALEXANDRA</t>
  </si>
  <si>
    <t>ASANZA ARMIJOS VICTOR MANUEL</t>
  </si>
  <si>
    <t>AVILA HERRERA STALYN ALEJANDRO</t>
  </si>
  <si>
    <t>BARROS GRUEZO GALO THOMAS</t>
  </si>
  <si>
    <t>BAUTISTA MEJIA KATIUSKA MARIA</t>
  </si>
  <si>
    <t>BEDON PATA MALENA CEMIRAMIS</t>
  </si>
  <si>
    <t>BUSTOS MERCHAN YASMIN DEL ROCIO</t>
  </si>
  <si>
    <t>CAICEDO MINA VERONICA CRISTINA</t>
  </si>
  <si>
    <t xml:space="preserve">CANO DE LA CRUZ YULLIO </t>
  </si>
  <si>
    <t>CHAVEZ VACA JORGE STALIN</t>
  </si>
  <si>
    <t>DAVILA SACOTO MIGUEL ALBERTO</t>
  </si>
  <si>
    <t xml:space="preserve">DELGADO MENDOZA HISHOCHY </t>
  </si>
  <si>
    <t>ECHEVERRIA JURADO DIEGO ERNESTO</t>
  </si>
  <si>
    <t>EGAS ACOSTA CARLOS ROBERTO</t>
  </si>
  <si>
    <t>ESPINOZA AVILA MANUEL EDUARDO</t>
  </si>
  <si>
    <t>GONZALEZ LANDAZURI JERRY GEOVANNY</t>
  </si>
  <si>
    <t>HERNANDEZ ZAMBRANO YARINTZA COROMOTO</t>
  </si>
  <si>
    <t>JIMENEZ BOSQUEZ DIEGO ARMANDO</t>
  </si>
  <si>
    <t>LAVERDE ALBARRACIN CRISTIAN SAMUEL</t>
  </si>
  <si>
    <t>MARIÑO ANDRADE HENRY GEOVANNY</t>
  </si>
  <si>
    <t>MARQUEZ FIGUEROA ALEXANDRA VERONICA</t>
  </si>
  <si>
    <t>MEDINA MALDONADO VENUS ELIZABETH</t>
  </si>
  <si>
    <t>MINA BONE ELIS MARIUXI</t>
  </si>
  <si>
    <t>MINA MINDA ALICIA DOLORES</t>
  </si>
  <si>
    <t xml:space="preserve">MONCAYO FIUSA ZORAIDA </t>
  </si>
  <si>
    <t>ORELLANA VILA JORGE DAVID</t>
  </si>
  <si>
    <t>PEREZ PEREZ YENICEY ROSA</t>
  </si>
  <si>
    <t>QUINDE GUAMAN EDWIN RENE</t>
  </si>
  <si>
    <t>QUIÑONEZ QUIÑONEZ ANGEL FERNANDO</t>
  </si>
  <si>
    <t>SAMPIETRO SAQUICELA JOSE LUIS</t>
  </si>
  <si>
    <t xml:space="preserve">SANCHEZ FUENTES SERGIO </t>
  </si>
  <si>
    <t>SERRANO PRATO GABRIELA PETRUSKA</t>
  </si>
  <si>
    <t>TOALA MAZO DENISE MABEL</t>
  </si>
  <si>
    <t>TRELLES CABRERA FLAVIO DANIEL</t>
  </si>
  <si>
    <t>VALENCIA CORTEZ MARTA LUCIA</t>
  </si>
  <si>
    <t>VARGAS CONTRERAS WALTER ALBERTO</t>
  </si>
  <si>
    <t>Etiquetas de fila</t>
  </si>
  <si>
    <t>Total general</t>
  </si>
  <si>
    <t>Suma de Estud a Doc</t>
  </si>
  <si>
    <t>Suma de Coord a Docente</t>
  </si>
  <si>
    <t>Suma de Autoeval</t>
  </si>
  <si>
    <t>Suma de Eval pares</t>
  </si>
  <si>
    <t>TOTAL SOBRE 100</t>
  </si>
  <si>
    <t>Suma de TOTAL SOBRE 100</t>
  </si>
  <si>
    <t>EDAD</t>
  </si>
  <si>
    <t>CEDULA</t>
  </si>
  <si>
    <t>UNIDAD ACADEMICA</t>
  </si>
  <si>
    <t>ANTIGÜEDAD</t>
  </si>
  <si>
    <t>GENERO</t>
  </si>
  <si>
    <t>NIVEL DE ESTUDIO</t>
  </si>
  <si>
    <t>TIEMPO DE SERVICIO</t>
  </si>
  <si>
    <t>ANDRADE PEREA JANE VERONICA</t>
  </si>
  <si>
    <t>CHAMBA LEON MARLON SANTIAGO</t>
  </si>
  <si>
    <t>RUEDA PANCHANO CARLOS IVAN</t>
  </si>
  <si>
    <t>GOMEZ MENDOZA MARIA JOSE</t>
  </si>
  <si>
    <t>ARROYO MERCADO EDWIN RAUL</t>
  </si>
  <si>
    <t>0802916130</t>
  </si>
  <si>
    <t>0959775016</t>
  </si>
  <si>
    <t>0104947692</t>
  </si>
  <si>
    <t>0804348290</t>
  </si>
  <si>
    <t>0802600510</t>
  </si>
  <si>
    <t>AAF231229</t>
  </si>
  <si>
    <t>HOMBRE</t>
  </si>
  <si>
    <t>CUARTO NIVEL</t>
  </si>
  <si>
    <t>TIEMPO COMPLETO</t>
  </si>
  <si>
    <t>EDUCACIÓN BÁSICA SEMIPRESENCIAL</t>
  </si>
  <si>
    <t>TIEMPO PARCIAL</t>
  </si>
  <si>
    <t>EDUCACIÓN BÁSICA PRESENCIAL</t>
  </si>
  <si>
    <t>0 AÑOS 7 MESES</t>
  </si>
  <si>
    <t>MUJER</t>
  </si>
  <si>
    <t>0800461311</t>
  </si>
  <si>
    <t>ENFERMERÍA (TECNOLOGÍA)</t>
  </si>
  <si>
    <t>0 AÑOS 8 MESES</t>
  </si>
  <si>
    <t>1 AÑOS 0 MESES</t>
  </si>
  <si>
    <t>MAESTRÍA EN INNOVACIÓN EN EDUCACIÓN</t>
  </si>
  <si>
    <t>0 AÑOS 5 MESES</t>
  </si>
  <si>
    <t>TECNOLOGÍAS DE LA INFORMACIÓN</t>
  </si>
  <si>
    <t>0 AÑOS 10 MESES</t>
  </si>
  <si>
    <t>MAESTRÍA EN PEDAGOGÍA MENCIÓN EDUCACCIÓN TÉCNICA Y TECNOLÓGICA</t>
  </si>
  <si>
    <t>MAESTRÍA EN ELECTRICIDAD MENCIÓN ENERGÍAS RENOVABLES Y EFICIENCIA ENERGÉTICA</t>
  </si>
  <si>
    <t>0 AÑOS 6 MESES</t>
  </si>
  <si>
    <t>MAESTRÍA EN INCLUSIÓN EDUCATIVA</t>
  </si>
  <si>
    <t>TERCER NIVEL</t>
  </si>
  <si>
    <t>1758933202</t>
  </si>
  <si>
    <t>MAESTRÍA EN GÉNERO Y DESARROLLO</t>
  </si>
  <si>
    <t>0802321364</t>
  </si>
  <si>
    <t>ENFERMERÍA</t>
  </si>
  <si>
    <t>10 AÑOS 2 MESES</t>
  </si>
  <si>
    <t>0801683863</t>
  </si>
  <si>
    <t>0802345413</t>
  </si>
  <si>
    <t>0804450112</t>
  </si>
  <si>
    <t>0 AÑOS 2 MESES</t>
  </si>
  <si>
    <t>0802127670</t>
  </si>
  <si>
    <t>0703875393</t>
  </si>
  <si>
    <t>1803467131</t>
  </si>
  <si>
    <t>MAESTRÍA EN PEDOGAGÍA DEL INGLÉS COMO LENGUA EXTRANJERA</t>
  </si>
  <si>
    <t>0801539396</t>
  </si>
  <si>
    <t>GESTIÓN AMBIENTAL</t>
  </si>
  <si>
    <t>0802326355</t>
  </si>
  <si>
    <t>0803766518</t>
  </si>
  <si>
    <t>1002100046</t>
  </si>
  <si>
    <t>MAESTRÍA EN GESTIÓN DE RIESGOS LABORALES</t>
  </si>
  <si>
    <t>1753114006</t>
  </si>
  <si>
    <t>1600335739</t>
  </si>
  <si>
    <t>1706733167</t>
  </si>
  <si>
    <t>MAESTRÍA EN TECNOLOGÍAS DE LA INFORMACIÓN</t>
  </si>
  <si>
    <t>0803181320</t>
  </si>
  <si>
    <t>4 AÑOS 2 MESES</t>
  </si>
  <si>
    <t>0804318970</t>
  </si>
  <si>
    <t>1758460826</t>
  </si>
  <si>
    <t>MAESTRÍA EN GESTIÓN DEL CUIDADO</t>
  </si>
  <si>
    <t>0802423889</t>
  </si>
  <si>
    <t>1 AÑOS 1 MESES</t>
  </si>
  <si>
    <t>0502662455</t>
  </si>
  <si>
    <t>0 AÑOS 4 MESES</t>
  </si>
  <si>
    <t>1713736294</t>
  </si>
  <si>
    <t>0801663758</t>
  </si>
  <si>
    <t>GESTIÓN CULINARIA (TECNOLOGÍA)</t>
  </si>
  <si>
    <t>1001591955</t>
  </si>
  <si>
    <t>0850095191</t>
  </si>
  <si>
    <t>0959881327</t>
  </si>
  <si>
    <t>1104871148</t>
  </si>
  <si>
    <t>ACCIÓN PASTORAL (TECNOLOGÍA)</t>
  </si>
  <si>
    <t>0801581935</t>
  </si>
  <si>
    <t>0103034963</t>
  </si>
  <si>
    <t>RECURSOS NATURALES</t>
  </si>
  <si>
    <t>1758831687</t>
  </si>
  <si>
    <t>0802800755</t>
  </si>
  <si>
    <t>0923864540</t>
  </si>
  <si>
    <t>0802223719</t>
  </si>
  <si>
    <t>0922338553</t>
  </si>
  <si>
    <t>ENFERMERIA</t>
  </si>
  <si>
    <t>PhD</t>
  </si>
  <si>
    <t>PERÍODO ACADEMICO</t>
  </si>
  <si>
    <t>Cédula</t>
  </si>
  <si>
    <t>1760560027</t>
  </si>
  <si>
    <t>0802190868</t>
  </si>
  <si>
    <t>0802909861</t>
  </si>
  <si>
    <t>0800627523</t>
  </si>
  <si>
    <t>1725949851</t>
  </si>
  <si>
    <t>0963349907</t>
  </si>
  <si>
    <t>0800851024</t>
  </si>
  <si>
    <t>0801739673</t>
  </si>
  <si>
    <t>0800638306</t>
  </si>
  <si>
    <t>0803077577</t>
  </si>
  <si>
    <t>0703783738</t>
  </si>
  <si>
    <t>0803846682</t>
  </si>
  <si>
    <t>0912544780</t>
  </si>
  <si>
    <t xml:space="preserve">Achilie Valencia Tahimi </t>
  </si>
  <si>
    <t>Acosta Ganan Michael Andres</t>
  </si>
  <si>
    <t>Agreda Egas Eylen Amanda</t>
  </si>
  <si>
    <t>Aguilar Quiñonez Veronica Elizabeth</t>
  </si>
  <si>
    <t>Alava Chila Orlin Eladio</t>
  </si>
  <si>
    <t>Alencastro Guerrero Nelson Junior</t>
  </si>
  <si>
    <t>Altman Peña Barbara</t>
  </si>
  <si>
    <t>Anchundia Ortiz Angel</t>
  </si>
  <si>
    <t>Andrade Perea Jane Verónica</t>
  </si>
  <si>
    <t>Angulo Alegria Memi Victoria</t>
  </si>
  <si>
    <t>Angulo Castillo Jacinta Veronica</t>
  </si>
  <si>
    <t>Araujo Albarran Karen Eloina</t>
  </si>
  <si>
    <t>Arguello Cedeño Jonathan Alexander</t>
  </si>
  <si>
    <t>Armas Arias Mario Javier</t>
  </si>
  <si>
    <t>Armijos Porozo Irlanda Magaly</t>
  </si>
  <si>
    <t>Ballesteros Chica Guillermo Alexander</t>
  </si>
  <si>
    <t>Bautista Cotera Javier Geovanny</t>
  </si>
  <si>
    <t>Bautista Mejia Katiuska Maria</t>
  </si>
  <si>
    <t>Becerra Posligua Carlos Ramón</t>
  </si>
  <si>
    <t>Benitez Barro Andrea Carolina</t>
  </si>
  <si>
    <t>Bernabe Lillo Maria De Los Lirios</t>
  </si>
  <si>
    <t>Betancourt Aguilar Freddy Leonardo</t>
  </si>
  <si>
    <t>Burbano Salazar Javier Enrique</t>
  </si>
  <si>
    <t>Bustos Vera Rhay Pablo</t>
  </si>
  <si>
    <t>Callejas De Valero Diana Estela</t>
  </si>
  <si>
    <t>Carvache Franco Zully Betty</t>
  </si>
  <si>
    <t>Carvajal Carvajal Jose Luis</t>
  </si>
  <si>
    <t>Castillo Quiñonez Zulinda Susy</t>
  </si>
  <si>
    <t>Castro Demera Dicke Alejandro</t>
  </si>
  <si>
    <t>Cedeño Barrezueta Darío Andrés</t>
  </si>
  <si>
    <t>Cedeño Lastra Susana Elizabeth</t>
  </si>
  <si>
    <t>Cervantes Intriago Jenny Cristina</t>
  </si>
  <si>
    <t>Cevallos Arteaga Ramon Marcos</t>
  </si>
  <si>
    <t>Chichande Mora Mirna Monserrate</t>
  </si>
  <si>
    <t>Chila Garcia Karen Carolina</t>
  </si>
  <si>
    <t>Coimen Marquez Boris Guillermo</t>
  </si>
  <si>
    <t>Cuero Bennett Maria Jose</t>
  </si>
  <si>
    <t>Cunha Romero Luz Elena</t>
  </si>
  <si>
    <t>De La Rosa Ferrera Jose Manuel</t>
  </si>
  <si>
    <t>Delgado Gonzalez Cristhian David</t>
  </si>
  <si>
    <t>Dueñas Mendoza Andrea Stefania</t>
  </si>
  <si>
    <t>Duque Jironza Karen Julissa</t>
  </si>
  <si>
    <t>Duque Jironza Laura Zulima</t>
  </si>
  <si>
    <t>España Francis Nelfa Elizabeth</t>
  </si>
  <si>
    <t>Espinoza Avila Manuel Eduardo</t>
  </si>
  <si>
    <t>Estupiñan Hurtado Ivannova Stefania</t>
  </si>
  <si>
    <t>Estupiñan Plaza Marcos Ignacio</t>
  </si>
  <si>
    <t>Falcones Benalcazar Mercy Janeth</t>
  </si>
  <si>
    <t>Garcia Rezabala David Alexander</t>
  </si>
  <si>
    <t>Gracia Ortiz Karina Elizabeth</t>
  </si>
  <si>
    <t>Guaira Ramos Wiliam Jose</t>
  </si>
  <si>
    <t>Guashpa Gómez Alex David</t>
  </si>
  <si>
    <t>Guerrero Veliz Antonieta Madeley</t>
  </si>
  <si>
    <t>Heredia Alvear Andres Sebastian</t>
  </si>
  <si>
    <t>Hernandez Pazmiño César Ernesto</t>
  </si>
  <si>
    <t>Hidalgo Solorzano Luis Enrique</t>
  </si>
  <si>
    <t>Hidalgo Tapia Cosme Enrique</t>
  </si>
  <si>
    <t>Intriago Ferrin Ana Sariah</t>
  </si>
  <si>
    <t>Ipiales Miranda Gabriel Alejandro</t>
  </si>
  <si>
    <t>Jijon Motato Jose Ivan</t>
  </si>
  <si>
    <t>Lara Calderon Elsa Maria</t>
  </si>
  <si>
    <t>Lastre Cuellar Mariuxi Ivonne</t>
  </si>
  <si>
    <t>Lluilema  Luis Alberto</t>
  </si>
  <si>
    <t>Lopez Estupiñán Boris Paul</t>
  </si>
  <si>
    <t>Maldonado Roman Isabel Cristina</t>
  </si>
  <si>
    <t>Maliza Chasi Blanca Cecilia</t>
  </si>
  <si>
    <t>Mancero Mayacela Ximena Paola</t>
  </si>
  <si>
    <t>Marcillo Murillo Diana Sabrina</t>
  </si>
  <si>
    <t>Marines Batalla Bona Patricia</t>
  </si>
  <si>
    <t>Mariny Valencia Mariela Katherine</t>
  </si>
  <si>
    <t>Marmolejo Cueva Melba Cristina</t>
  </si>
  <si>
    <t>Marquez Arboleda Viviana Mercedes</t>
  </si>
  <si>
    <t>Medina Godoy Alba Annabelle</t>
  </si>
  <si>
    <t>Medina Godoy Kathya Bolivia</t>
  </si>
  <si>
    <t>Mendoza Macias Cristina Alexandra</t>
  </si>
  <si>
    <t>Mendoza Pita Priscila Del Rocio</t>
  </si>
  <si>
    <t>Mera Carranza Joseelyn Genesis</t>
  </si>
  <si>
    <t>Mila Carvajal Dionicio Francisco</t>
  </si>
  <si>
    <t>Mina Bone Elis Mariuxi</t>
  </si>
  <si>
    <t>Morales Guamán Klever Patricio</t>
  </si>
  <si>
    <t>Muela Gonzalez Nelson Alejandro</t>
  </si>
  <si>
    <t xml:space="preserve">Naranjo Corria Rebeca </t>
  </si>
  <si>
    <t>Nevarez Toledo Manuel Rogelio</t>
  </si>
  <si>
    <t>Ocampo Erazo Hugo Paúl</t>
  </si>
  <si>
    <t>Ortiz Castro Merida Elizabeth</t>
  </si>
  <si>
    <t>Ortiz Diaz Marcos David</t>
  </si>
  <si>
    <t>Ortiz Orobio Mayra Leticia</t>
  </si>
  <si>
    <t>Palencia Gutierrez Esperanza Marbella</t>
  </si>
  <si>
    <t>Patiño Cagua Celeste Anne</t>
  </si>
  <si>
    <t>Paz Moran Veronica Alexandra</t>
  </si>
  <si>
    <t>Perdomo Guerron Juan Carlos</t>
  </si>
  <si>
    <t>Perlaza Muñoz Dolores Eulofia</t>
  </si>
  <si>
    <t>Perlaza Rodriguez Marjorie Katherine</t>
  </si>
  <si>
    <t>Peña Rosas Gloria Del Valle</t>
  </si>
  <si>
    <t>Pico Valencia Pablo Antonio</t>
  </si>
  <si>
    <t>Pineda Caicedo Andrea Estefania</t>
  </si>
  <si>
    <t>Plata Cabrera Carlos Simon</t>
  </si>
  <si>
    <t>Plaza Ordoñez Maria De Lourdes</t>
  </si>
  <si>
    <t>Posligua Flores Kleber Rolando</t>
  </si>
  <si>
    <t>Prieto Fuenmayor Julia Rosa</t>
  </si>
  <si>
    <t>Pupo Suñol Angel Eduardo</t>
  </si>
  <si>
    <t>Quintanilla Pazmiño Pedro Daniel</t>
  </si>
  <si>
    <t>Quintero Rosales Francisco Jhonny</t>
  </si>
  <si>
    <t>Quiroz Ponce Freddy Hernan</t>
  </si>
  <si>
    <t>Quishpe Vallejo Jefferson Xavier</t>
  </si>
  <si>
    <t>Quiñonez Castillo Carmen Rosario</t>
  </si>
  <si>
    <t>Quiñonez Ku Victor Xavier</t>
  </si>
  <si>
    <t xml:space="preserve">Quiñonez Perlaza Guadalupe </t>
  </si>
  <si>
    <t>Ramirez Castillo Damaris Paulette</t>
  </si>
  <si>
    <t xml:space="preserve">Ramirez Lozada Haydee </t>
  </si>
  <si>
    <t xml:space="preserve">Ramirez Rubira Elio </t>
  </si>
  <si>
    <t>Realpe Vivas Ketty Marlene</t>
  </si>
  <si>
    <t>Rebolledo Monsalve Eduardo Rodolfo</t>
  </si>
  <si>
    <t>Rengifo Alava Yandry Javier</t>
  </si>
  <si>
    <t>Rivera Bone Carlos Alejandro</t>
  </si>
  <si>
    <t>Rodas Luque Maria Jose</t>
  </si>
  <si>
    <t>Rodriguez Castillo Nadia Mariuxi</t>
  </si>
  <si>
    <t>Rodriguez Mafla Tony Wilmar</t>
  </si>
  <si>
    <t>Romero Nazareno Jose Luis</t>
  </si>
  <si>
    <t>Samaniego Garcia Rosa Paola</t>
  </si>
  <si>
    <t>Sampietro Saquicela Jose Luis</t>
  </si>
  <si>
    <t xml:space="preserve">Sanchez Guerra Iñigo </t>
  </si>
  <si>
    <t>Sanchez Jaramillo Efrain Asdrubal</t>
  </si>
  <si>
    <t>Sanchez Robalino Andrea Nicole</t>
  </si>
  <si>
    <t>Sayago Heredia Jaime Paul</t>
  </si>
  <si>
    <t>Simbaña Bastidas Christian Mauricio</t>
  </si>
  <si>
    <t>Sinchi Sinchi Hugo Fernando</t>
  </si>
  <si>
    <t>Solis Charcopa Karla Fernanda</t>
  </si>
  <si>
    <t>Solis Murillo Maria De Lourdes</t>
  </si>
  <si>
    <t>Sosa Bone Mirna Patricia</t>
  </si>
  <si>
    <t xml:space="preserve">Suarez Lezcano Jose </t>
  </si>
  <si>
    <t>Tarira España Monica Del Rocio</t>
  </si>
  <si>
    <t>Toledo Gutierrez Murat Lorena</t>
  </si>
  <si>
    <t>Torres Rodriguez Maria Teresa</t>
  </si>
  <si>
    <t>Valdez Rosales Saul David</t>
  </si>
  <si>
    <t>Valencia Cortez Marta Lucia</t>
  </si>
  <si>
    <t>Vallejo Espinoza Jose Raul</t>
  </si>
  <si>
    <t>Vallejo Galárraga Wilson Santiago</t>
  </si>
  <si>
    <t>Vasquez Coisme Ladys Diana</t>
  </si>
  <si>
    <t>Velasco Angulo Cecilia Esther</t>
  </si>
  <si>
    <t>Velastegui Izurieta Homero Javier</t>
  </si>
  <si>
    <t>Veliz Cordova Ana Cristina</t>
  </si>
  <si>
    <t>Vera Moran Freddy Paul</t>
  </si>
  <si>
    <t>Vera Pinargote Sinay Celeste</t>
  </si>
  <si>
    <t>Vergara Toro Monica Angelina</t>
  </si>
  <si>
    <t>Vernaza Quiñonez Lucia Margarita</t>
  </si>
  <si>
    <t>Vila Maffare Marilyn Marivel</t>
  </si>
  <si>
    <t xml:space="preserve">Villarreal Puga Josue </t>
  </si>
  <si>
    <t>Vinueza Ramón Diana Paola</t>
  </si>
  <si>
    <t xml:space="preserve">Vizcaino Ordoñez Laura Del Rocio </t>
  </si>
  <si>
    <t xml:space="preserve">Woldehawariat Kidanemariam Ghebrezghiabiher </t>
  </si>
  <si>
    <t>Zambrano Araujo Genova Elisa</t>
  </si>
  <si>
    <t>0962658753</t>
  </si>
  <si>
    <t>0800436495</t>
  </si>
  <si>
    <t>Arroyo Mercado Edwin Raul</t>
  </si>
  <si>
    <t>0802278408</t>
  </si>
  <si>
    <t>1715929293</t>
  </si>
  <si>
    <t>1758755209</t>
  </si>
  <si>
    <t>1310851009</t>
  </si>
  <si>
    <t>0801328733</t>
  </si>
  <si>
    <t>0704748946</t>
  </si>
  <si>
    <t>0803716430</t>
  </si>
  <si>
    <t>0801722778</t>
  </si>
  <si>
    <t>0803181858</t>
  </si>
  <si>
    <t>0804315661</t>
  </si>
  <si>
    <t>Reyes Arboleda Paulett Stefania</t>
  </si>
  <si>
    <t>Total sobre 5</t>
  </si>
  <si>
    <t>Edad</t>
  </si>
  <si>
    <t>Tiempo de Servicio</t>
  </si>
  <si>
    <t>Genero</t>
  </si>
  <si>
    <t>Nivel de estudio</t>
  </si>
  <si>
    <t>Grado</t>
  </si>
  <si>
    <t>Modalidad de Trabajo</t>
  </si>
  <si>
    <t>Carrera</t>
  </si>
  <si>
    <t>0800728735</t>
  </si>
  <si>
    <t>9 AÑOS 1 MESES</t>
  </si>
  <si>
    <t>MAESTRÍA O EQUIVALENTE</t>
  </si>
  <si>
    <t>CONTABILIDAD Y AUDITORIA CPA</t>
  </si>
  <si>
    <t>1250036082</t>
  </si>
  <si>
    <t>1803528049</t>
  </si>
  <si>
    <t>0802885665</t>
  </si>
  <si>
    <t>1 AÑOS 7 MESES</t>
  </si>
  <si>
    <t>0802669531</t>
  </si>
  <si>
    <t>0 AÑOS 1 MESES</t>
  </si>
  <si>
    <t>AGROINDUSTRIA</t>
  </si>
  <si>
    <t>MEDIO TIEMPO</t>
  </si>
  <si>
    <t>0801445107</t>
  </si>
  <si>
    <t>9 AÑOS 9 MESES</t>
  </si>
  <si>
    <t>0801912221</t>
  </si>
  <si>
    <t>PSICOLOGÍA</t>
  </si>
  <si>
    <t>DERECHO</t>
  </si>
  <si>
    <t>0803503176</t>
  </si>
  <si>
    <t>0 AÑOS 3 MESES</t>
  </si>
  <si>
    <t>0503270506</t>
  </si>
  <si>
    <t>123 AÑOS 11 MESES</t>
  </si>
  <si>
    <t>NEGOCIOS INTERNACIONALES</t>
  </si>
  <si>
    <t>0801771437</t>
  </si>
  <si>
    <t>8 AÑOS 5 MESES</t>
  </si>
  <si>
    <t>EDUCACIÓN INICIAL</t>
  </si>
  <si>
    <t>0801577297</t>
  </si>
  <si>
    <t>6 AÑOS 3 MESES</t>
  </si>
  <si>
    <t>FISIOTERAPIA</t>
  </si>
  <si>
    <t>1750819565</t>
  </si>
  <si>
    <t>12 AÑOS 9 MESES</t>
  </si>
  <si>
    <t>0801786245</t>
  </si>
  <si>
    <t>0801907197</t>
  </si>
  <si>
    <t>DOCTOR (Ph.D)</t>
  </si>
  <si>
    <t>ADMINISTRACIÓN DE EMPRESAS</t>
  </si>
  <si>
    <t>0801095050</t>
  </si>
  <si>
    <t>5 AÑOS 8 MESES</t>
  </si>
  <si>
    <t>LABORATORIO CLINICO</t>
  </si>
  <si>
    <t>0802476374</t>
  </si>
  <si>
    <t>0801924200</t>
  </si>
  <si>
    <t>PEDAGOGÍA DE LOS IDIOMAS NACIONALES Y EXTRANJEROS</t>
  </si>
  <si>
    <t>0802971069</t>
  </si>
  <si>
    <t>3 AÑOS 2 MESES</t>
  </si>
  <si>
    <t>0803116334</t>
  </si>
  <si>
    <t>1302921018</t>
  </si>
  <si>
    <t>0803554831</t>
  </si>
  <si>
    <t>0803496900</t>
  </si>
  <si>
    <t>1757306087</t>
  </si>
  <si>
    <t>5 AÑOS 7 MESES</t>
  </si>
  <si>
    <t>0803558253</t>
  </si>
  <si>
    <t>0803026913</t>
  </si>
  <si>
    <t>0803026939</t>
  </si>
  <si>
    <t>3 AÑOS 5 MESES</t>
  </si>
  <si>
    <t>0850031030</t>
  </si>
  <si>
    <t>0800968869</t>
  </si>
  <si>
    <t>1 AÑOS 2 MESES</t>
  </si>
  <si>
    <t>0802863415</t>
  </si>
  <si>
    <t>0803228600</t>
  </si>
  <si>
    <t>2 AÑOS 0 MESES</t>
  </si>
  <si>
    <t>0804267904</t>
  </si>
  <si>
    <t>1715009500</t>
  </si>
  <si>
    <t>0 AÑOS 9 MESES</t>
  </si>
  <si>
    <t>0801692823</t>
  </si>
  <si>
    <t>2 AÑOS 2 MESES</t>
  </si>
  <si>
    <t>0801558446</t>
  </si>
  <si>
    <t>1804317582</t>
  </si>
  <si>
    <t>0801921677</t>
  </si>
  <si>
    <t>0801750720</t>
  </si>
  <si>
    <t>0802107243</t>
  </si>
  <si>
    <t>0603167917</t>
  </si>
  <si>
    <t>DISEÑO GRAFICO</t>
  </si>
  <si>
    <t>1757534357</t>
  </si>
  <si>
    <t>1 AÑOS 3 MESES</t>
  </si>
  <si>
    <t>TURISMO</t>
  </si>
  <si>
    <t>1803456738</t>
  </si>
  <si>
    <t>1723725642</t>
  </si>
  <si>
    <t>0802870139</t>
  </si>
  <si>
    <t>0800839177</t>
  </si>
  <si>
    <t>0803106608</t>
  </si>
  <si>
    <t>0802247734</t>
  </si>
  <si>
    <t>8 AÑOS 7 MESES</t>
  </si>
  <si>
    <t>0802524082</t>
  </si>
  <si>
    <t>0802202853</t>
  </si>
  <si>
    <t>0801826546</t>
  </si>
  <si>
    <t>0801432998</t>
  </si>
  <si>
    <t>0802472969</t>
  </si>
  <si>
    <t>1802852572</t>
  </si>
  <si>
    <t>1711888154</t>
  </si>
  <si>
    <t>1757374770</t>
  </si>
  <si>
    <t>0802490722</t>
  </si>
  <si>
    <t>0802460782</t>
  </si>
  <si>
    <t>0803468107</t>
  </si>
  <si>
    <t>1 AÑOS 5 MESES</t>
  </si>
  <si>
    <t>0802608141</t>
  </si>
  <si>
    <t>4 AÑOS 7 MESES</t>
  </si>
  <si>
    <t>ESPECIALISTA AREA SALUD</t>
  </si>
  <si>
    <t>0804154300</t>
  </si>
  <si>
    <t>0962373544</t>
  </si>
  <si>
    <t>0800774465</t>
  </si>
  <si>
    <t>2 AÑOS 1 MESES</t>
  </si>
  <si>
    <t>0803036672</t>
  </si>
  <si>
    <t>0922109616</t>
  </si>
  <si>
    <t>0801601790</t>
  </si>
  <si>
    <t>0915138614</t>
  </si>
  <si>
    <t>0962929295</t>
  </si>
  <si>
    <t>5 AÑOS 2 MESES</t>
  </si>
  <si>
    <t>0802616730</t>
  </si>
  <si>
    <t>0 AÑOS 11 MESES</t>
  </si>
  <si>
    <t>0802937011</t>
  </si>
  <si>
    <t>0801762469</t>
  </si>
  <si>
    <t>0801552977</t>
  </si>
  <si>
    <t>0801905837</t>
  </si>
  <si>
    <t>1756846521</t>
  </si>
  <si>
    <t>2 AÑOS 6 MESES</t>
  </si>
  <si>
    <t>1757398837</t>
  </si>
  <si>
    <t>0603274846</t>
  </si>
  <si>
    <t>0800924011</t>
  </si>
  <si>
    <t>0802351148</t>
  </si>
  <si>
    <t>1720814373</t>
  </si>
  <si>
    <t>0802127373</t>
  </si>
  <si>
    <t>0801628207</t>
  </si>
  <si>
    <t>0802662726</t>
  </si>
  <si>
    <t>0802826362</t>
  </si>
  <si>
    <t>1755930375</t>
  </si>
  <si>
    <t>0802099713</t>
  </si>
  <si>
    <t>0801466277</t>
  </si>
  <si>
    <t>1721571709</t>
  </si>
  <si>
    <t>8 AÑOS 0 MESES</t>
  </si>
  <si>
    <t>1309960597</t>
  </si>
  <si>
    <t>0801762345</t>
  </si>
  <si>
    <t>0803822816</t>
  </si>
  <si>
    <t>0802761676</t>
  </si>
  <si>
    <t>0801634304</t>
  </si>
  <si>
    <t>0802931329</t>
  </si>
  <si>
    <t>0801713298</t>
  </si>
  <si>
    <t>1760052272</t>
  </si>
  <si>
    <t>0801381179</t>
  </si>
  <si>
    <t>0603231101</t>
  </si>
  <si>
    <t>0301435012</t>
  </si>
  <si>
    <t>1721366399</t>
  </si>
  <si>
    <t>0105998181</t>
  </si>
  <si>
    <t>0802912832</t>
  </si>
  <si>
    <t>0801853904</t>
  </si>
  <si>
    <t>9 AÑOS 11 MESES</t>
  </si>
  <si>
    <t>0801165317</t>
  </si>
  <si>
    <t>1757374788</t>
  </si>
  <si>
    <t>0801526740</t>
  </si>
  <si>
    <t>0800626913</t>
  </si>
  <si>
    <t>0801415126</t>
  </si>
  <si>
    <t>8 AÑOS 3 MESES</t>
  </si>
  <si>
    <t>0803028307</t>
  </si>
  <si>
    <t>1716654296</t>
  </si>
  <si>
    <t>1708222409</t>
  </si>
  <si>
    <t>0802464032</t>
  </si>
  <si>
    <t>0801574864</t>
  </si>
  <si>
    <t>1804326534</t>
  </si>
  <si>
    <t>0802997049</t>
  </si>
  <si>
    <t>1717178824</t>
  </si>
  <si>
    <t>0800894586</t>
  </si>
  <si>
    <t>1757108871</t>
  </si>
  <si>
    <t>2 AÑOS 10 MESES</t>
  </si>
  <si>
    <t>0803129360</t>
  </si>
  <si>
    <t>0801187089</t>
  </si>
  <si>
    <t>1724550163</t>
  </si>
  <si>
    <t>0603967308</t>
  </si>
  <si>
    <t>0801966748</t>
  </si>
  <si>
    <t>1760898609</t>
  </si>
  <si>
    <t>0801752296</t>
  </si>
  <si>
    <t>Período Evaluado</t>
  </si>
  <si>
    <t>Primer P. Ord. 2023 Grado 202361</t>
  </si>
  <si>
    <t>(en blanco)</t>
  </si>
  <si>
    <t>Promedio de TOTAL SOBRE 100</t>
  </si>
  <si>
    <t>(Todas)</t>
  </si>
  <si>
    <t xml:space="preserve">ACHILIE VALENCIA TAHIMI </t>
  </si>
  <si>
    <t>ACOSTA GANAN MICHAEL ANDRES</t>
  </si>
  <si>
    <t>LABORATORIO CLÍNICO</t>
  </si>
  <si>
    <t>AGREDA EGAS EYLEN AMANDA</t>
  </si>
  <si>
    <t>AGUILAR QUIÑONEZ VERONICA ELIZABETH</t>
  </si>
  <si>
    <t xml:space="preserve">ALTMAN PEÑA BARBARA </t>
  </si>
  <si>
    <t xml:space="preserve">ANCHUNDIA ORTIZ ANGEL </t>
  </si>
  <si>
    <t>ANGULO CASTILLO JACINTA VERONICA</t>
  </si>
  <si>
    <t>ARGUELLO CEDEÑO JONATHAN ALEXANDER</t>
  </si>
  <si>
    <t>ARMAS ARIAS MARIO JAVIER</t>
  </si>
  <si>
    <t>1758534661</t>
  </si>
  <si>
    <t>AVILAN VALLENILLA MANUEL ANTONIO JOSE</t>
  </si>
  <si>
    <t>BALLESTEROS CHICA GUILLERMO ALEXANDER</t>
  </si>
  <si>
    <t>BAUTISTA COTERA JAVIER GEOVANNY</t>
  </si>
  <si>
    <t>BENITEZ BARRO ANDREA CAROLINA</t>
  </si>
  <si>
    <t>BERNABE LILLO MARIA DE LOS LIRIOS</t>
  </si>
  <si>
    <t>BETANCOURT AGUILAR FREDDY LEONARDO</t>
  </si>
  <si>
    <t>BURBANO SALAZAR JAVIER ENRIQUE</t>
  </si>
  <si>
    <t>BUSTOS VERA RHAY PABLO</t>
  </si>
  <si>
    <t>CARVAJAL CARVAJAL JOSE LUIS</t>
  </si>
  <si>
    <t>CASTILLO QUIÑONEZ ZULINDA SUSY</t>
  </si>
  <si>
    <t>CASTRO DEMERA DICKE ALEJANDRO</t>
  </si>
  <si>
    <t>0803899186</t>
  </si>
  <si>
    <t>CEDEÑO SALAZAR ANDRES RODOLFO</t>
  </si>
  <si>
    <t>CERVANTES INTRIAGO JENNY CRISTINA</t>
  </si>
  <si>
    <t>CEVALLOS ARTEAGA RAMON MARCOS</t>
  </si>
  <si>
    <t>CHILA GARCIA KAREN CAROLINA</t>
  </si>
  <si>
    <t>COIMEN MARQUEZ BORIS GUILLERMO</t>
  </si>
  <si>
    <t>CUERO BENNETT MARIA JOSE</t>
  </si>
  <si>
    <t>CUNHA ROMERO LUZ ELENA</t>
  </si>
  <si>
    <t>DELGADO GONZALEZ CRISTHIAN DAVID</t>
  </si>
  <si>
    <t>DUEÑAS MENDOZA ANDREA STEFANIA</t>
  </si>
  <si>
    <t>DUQUE JIRONZA LAURA ZULIMA</t>
  </si>
  <si>
    <t>ESTUPIÑAN HURTADO IVANNOVA STEFANIA</t>
  </si>
  <si>
    <t>ESTUPIÑAN PLAZA MARCOS IGNACIO</t>
  </si>
  <si>
    <t>1756915615</t>
  </si>
  <si>
    <t xml:space="preserve">FERNANDEZ SANABRIA BARBARA </t>
  </si>
  <si>
    <t>GUAIRA RAMOS WILIAM JOSE</t>
  </si>
  <si>
    <t>GUASHPA GÓMEZ ALEX DAVID</t>
  </si>
  <si>
    <t>HEREDIA ALVEAR ANDRES SEBASTIAN</t>
  </si>
  <si>
    <t>HERNANDEZ PAZMIÑO CÉSAR ERNESTO</t>
  </si>
  <si>
    <t>HIDALGO TAPIA COSME ENRIQUE</t>
  </si>
  <si>
    <t>INTRIAGO FERRIN ANA SARIAH</t>
  </si>
  <si>
    <t>JIJON MOTATO JOSE IVAN</t>
  </si>
  <si>
    <t>LARA CALDERON ELSA MARIA</t>
  </si>
  <si>
    <t>LLUILEMA  LUIS ALBERTO</t>
  </si>
  <si>
    <t>LOPEZ ESTUPIÑÁN BORIS PAUL</t>
  </si>
  <si>
    <t>MALIZA CHASI BLANCA CECILIA</t>
  </si>
  <si>
    <t>MANCERO MAYACELA XIMENA PAOLA</t>
  </si>
  <si>
    <t>MARINES BATALLA BONA PATRICIA</t>
  </si>
  <si>
    <t>MARINY VALENCIA MARIELA KATHERINE</t>
  </si>
  <si>
    <t>MARMOLEJO CUEVA MELBA CRISTINA</t>
  </si>
  <si>
    <t>MARQUEZ ARBOLEDA VIVIANA MERCEDES</t>
  </si>
  <si>
    <t>MEDINA GODOY KATHYA BOLIVIA</t>
  </si>
  <si>
    <t>MENDOZA MACIAS CRISTINA ALEXANDRA</t>
  </si>
  <si>
    <t>MENDOZA PITA PRISCILA DEL ROCIO</t>
  </si>
  <si>
    <t>MERA CARRANZA JOSEELYN GENESIS</t>
  </si>
  <si>
    <t>0803489178</t>
  </si>
  <si>
    <t>MEZA BATALLA VERONICA JACQUELIN</t>
  </si>
  <si>
    <t>MILA CARVAJAL DIONICIO FRANCISCO</t>
  </si>
  <si>
    <t>MORALES GUAMÁN KLEVER PATRICIO</t>
  </si>
  <si>
    <t xml:space="preserve">NARANJO CORRIA REBECA </t>
  </si>
  <si>
    <t>NEVAREZ TOLEDO MANUEL ROGELIO</t>
  </si>
  <si>
    <t>OCAMPO ERAZO HUGO PAÚL</t>
  </si>
  <si>
    <t>ORTIZ CASTRO MERIDA ELIZABETH</t>
  </si>
  <si>
    <t>ORTIZ DIAZ MARCOS DAVID</t>
  </si>
  <si>
    <t>0803261866</t>
  </si>
  <si>
    <t>ORTIZ GONZALEZ IVONNE ISABEL</t>
  </si>
  <si>
    <t>ORTIZ OROBIO MAYRA LETICIA</t>
  </si>
  <si>
    <t>PALENCIA GUTIERREZ ESPERANZA MARBELLA</t>
  </si>
  <si>
    <t>PATIÑO CAGUA CELESTE ANNE</t>
  </si>
  <si>
    <t>PERLAZA MUÑOZ DOLORES EULOFIA</t>
  </si>
  <si>
    <t>PERLAZA RODRIGUEZ MARJORIE KATHERINE</t>
  </si>
  <si>
    <t>PEÑA ROSAS GLORIA DEL VALLE</t>
  </si>
  <si>
    <t>PICO VALENCIA PABLO ANTONIO</t>
  </si>
  <si>
    <t>1310371404</t>
  </si>
  <si>
    <t>PIGUAVE REYES JOSE MANUEL</t>
  </si>
  <si>
    <t>PLATA CABRERA CARLOS SIMON</t>
  </si>
  <si>
    <t>POSLIGUA FLORES KLEBER ROLANDO</t>
  </si>
  <si>
    <t>PRIETO FUENMAYOR JULIA ROSA</t>
  </si>
  <si>
    <t>0603230269</t>
  </si>
  <si>
    <t>PUENTE HOLGUIN WASHINGTON DAVID</t>
  </si>
  <si>
    <t>QUINTANILLA PAZMIÑO PEDRO DANIEL</t>
  </si>
  <si>
    <t>QUINTERO ROSALES FRANCISCO JHONNY</t>
  </si>
  <si>
    <t>QUIROZ PONCE FREDDY HERNAN</t>
  </si>
  <si>
    <t>QUISHPE VALLEJO JEFFERSON XAVIER</t>
  </si>
  <si>
    <t>QUIÑONEZ KU VICTOR XAVIER</t>
  </si>
  <si>
    <t xml:space="preserve">QUIÑONEZ PERLAZA GUADALUPE </t>
  </si>
  <si>
    <t>RAMIREZ CASTILLO DAMARIS PAULETTE</t>
  </si>
  <si>
    <t xml:space="preserve">RAMIREZ LOZADA HAYDEE </t>
  </si>
  <si>
    <t xml:space="preserve">RAMIREZ RUBIRA ELIO </t>
  </si>
  <si>
    <t>REALPE VIVAS KETTY MARLENE</t>
  </si>
  <si>
    <t>REBOLLEDO MONSALVE EDUARDO RODOLFO</t>
  </si>
  <si>
    <t>REYES ARBOLEDA PAULETT STEFANÍA</t>
  </si>
  <si>
    <t>RIVERA BONE CARLOS ALEJANDRO</t>
  </si>
  <si>
    <t>RODAS LUQUE MARIA JOSE</t>
  </si>
  <si>
    <t>RODRIGUEZ CASTILLO NADIA MARIUXI</t>
  </si>
  <si>
    <t>0801246786</t>
  </si>
  <si>
    <t>RODRIGUEZ ESTACIO JOHANNA PATRICIA</t>
  </si>
  <si>
    <t>RODRIGUEZ MAFLA TONY WILMAR</t>
  </si>
  <si>
    <t>ROMERO NAZARENO JOSE LUIS</t>
  </si>
  <si>
    <t>0801772278</t>
  </si>
  <si>
    <t>SALAZAR DONOSO ELIAS HUMBERTO</t>
  </si>
  <si>
    <t xml:space="preserve">SANCHEZ GUERRA IÑIGO </t>
  </si>
  <si>
    <t>SANCHEZ ROBALINO ANDREA NICOLE</t>
  </si>
  <si>
    <t>SAYAGO HEREDIA JAIME PAUL</t>
  </si>
  <si>
    <t>SIMBAÑA BASTIDAS CHRISTIAN MAURICIO</t>
  </si>
  <si>
    <t>SINCHI SINCHI HUGO FERNANDO</t>
  </si>
  <si>
    <t>SOLIS CHARCOPA KARLA FERNANDA</t>
  </si>
  <si>
    <t>TOLEDO GUTIERREZ MURAT LORENA</t>
  </si>
  <si>
    <t>1759758558</t>
  </si>
  <si>
    <t>VALBUENA ROMERO PAUL DAVID</t>
  </si>
  <si>
    <t>VALDEZ ROSALES SAUL DAVID</t>
  </si>
  <si>
    <t>0080223719</t>
  </si>
  <si>
    <t>VALLEJO ESPINOZA JOSE RAUL</t>
  </si>
  <si>
    <t>VALLEJO GALÁRRAGA WILSON SANTIAGO</t>
  </si>
  <si>
    <t>VASQUEZ COISME LADYS DIANA</t>
  </si>
  <si>
    <t>VELASTEGUI IZURIETA HOMERO JAVIER</t>
  </si>
  <si>
    <t>0801539495</t>
  </si>
  <si>
    <t>VERDUGA ALVAREZ MARIANA DE JESUS</t>
  </si>
  <si>
    <t>VERGARA TORO MONICA ANGELINA</t>
  </si>
  <si>
    <t>VERNAZA QUIÑONEZ LUCIA MARGARITA</t>
  </si>
  <si>
    <t xml:space="preserve">VIZCAINO ORDOÑEZ LAURA DEL ROCIO </t>
  </si>
  <si>
    <t>ZAMBRANO ARAUJO GENOVA ELISA</t>
  </si>
  <si>
    <t>0803484161</t>
  </si>
  <si>
    <t>ZUÑIGA SOSA EVELIN ALEXANDRA</t>
  </si>
  <si>
    <t>Segundo P. Ord. 2023 Grado 202366</t>
  </si>
  <si>
    <t>Primer P. Ord. 2024 Grado 202461</t>
  </si>
  <si>
    <t>1716332752</t>
  </si>
  <si>
    <t>0803202043</t>
  </si>
  <si>
    <t>0803114859</t>
  </si>
  <si>
    <t>0802094086</t>
  </si>
  <si>
    <t>1757069586</t>
  </si>
  <si>
    <t>0803043751</t>
  </si>
  <si>
    <t>0802972356</t>
  </si>
  <si>
    <t>1712086279</t>
  </si>
  <si>
    <t>0803049782</t>
  </si>
  <si>
    <t>2350599649</t>
  </si>
  <si>
    <t>1312616558</t>
  </si>
  <si>
    <t>0800758682</t>
  </si>
  <si>
    <t>0802306605</t>
  </si>
  <si>
    <t>0802308981</t>
  </si>
  <si>
    <t>0802476549</t>
  </si>
  <si>
    <t>1308582103</t>
  </si>
  <si>
    <t>1312772872</t>
  </si>
  <si>
    <t>0604762625</t>
  </si>
  <si>
    <t>0802949651</t>
  </si>
  <si>
    <t>0801394271</t>
  </si>
  <si>
    <t>0803141803</t>
  </si>
  <si>
    <t>0802779389</t>
  </si>
  <si>
    <t>1805004338</t>
  </si>
  <si>
    <t>1756903751</t>
  </si>
  <si>
    <t>0803466846</t>
  </si>
  <si>
    <t>0802309286</t>
  </si>
  <si>
    <t>0302185053</t>
  </si>
  <si>
    <t>0501389217</t>
  </si>
  <si>
    <t>0803231745</t>
  </si>
  <si>
    <t>0850953803</t>
  </si>
  <si>
    <t>0804012300</t>
  </si>
  <si>
    <t>0802546143</t>
  </si>
  <si>
    <t>1313288829</t>
  </si>
  <si>
    <t>1600947624</t>
  </si>
  <si>
    <t>0803103845</t>
  </si>
  <si>
    <t>0800346215</t>
  </si>
  <si>
    <t>0802806067</t>
  </si>
  <si>
    <t>0802155770</t>
  </si>
  <si>
    <t>1313623116</t>
  </si>
  <si>
    <t>0803041656</t>
  </si>
  <si>
    <t>0800751232</t>
  </si>
  <si>
    <t>ALAVA CHILA ORLIN ELADIO</t>
  </si>
  <si>
    <t>ALVAREZ TORRES JONATHAN PAUL</t>
  </si>
  <si>
    <t>ANDRADE OYARVIDE CARLOS ARMANDO</t>
  </si>
  <si>
    <t>ANGULO ALEGRIA MEMI VICTORIA</t>
  </si>
  <si>
    <t>ANGULO FERRIN ALEXANDRA KATHERINE</t>
  </si>
  <si>
    <t>ARAUJO QUIÑONEZ MERCEDES ALEJANDRA</t>
  </si>
  <si>
    <t>ARMIJOS POROZO IRLANDA MAGALY</t>
  </si>
  <si>
    <t>ARROYO MERCADO EDWIN RAÚL</t>
  </si>
  <si>
    <t>BLANCO LÓPEZ YASMÍN TERESA</t>
  </si>
  <si>
    <t>CABALLERO MOREIRA JAIRON ADRIAN</t>
  </si>
  <si>
    <t>CABEZA BAZAN GRIGSON ALEXANDER</t>
  </si>
  <si>
    <t>CALDERON RUIZ PAOLA ALEXANDRA</t>
  </si>
  <si>
    <t>CAÑOLA QUIÑONEZ MARIEN ANTONELLA</t>
  </si>
  <si>
    <t>CEDEÑO LOOR MARITZA ISABEL</t>
  </si>
  <si>
    <t>CEVALLOS BAZURTO GEN ALEJANDRO</t>
  </si>
  <si>
    <t>CEVALLOS BONE GUILLERMO SEGUNDO</t>
  </si>
  <si>
    <t>CHICHANDE MORA MIRNA MONSERRATE</t>
  </si>
  <si>
    <t>COBA PROAÑO DAVID ENRIQUE</t>
  </si>
  <si>
    <t>DUQUE JIRONZA KAREN JULISSA</t>
  </si>
  <si>
    <t>ESTUPIÑAN SANCHEZ ALFREDO SANDINO</t>
  </si>
  <si>
    <t>FALCONES BENALCAZAR MERCY JANETH</t>
  </si>
  <si>
    <t>GARCIA REZABALA DAVID ALEXANDER</t>
  </si>
  <si>
    <t>GOMEZ LANDAZURI JORGE FIDEL</t>
  </si>
  <si>
    <t>GONZALEZ ARTEAGA CARLOS ENRIQUE</t>
  </si>
  <si>
    <t>GONZALEZ QUIROZ JESSICA TATIANA</t>
  </si>
  <si>
    <t>GRACIA ORTIZ KARINA ELIZABETH</t>
  </si>
  <si>
    <t>HIDALGO SOLORZANO LUIS ENRIQUE</t>
  </si>
  <si>
    <t>LLAMUCA PASHMAY VERONICA ELIZABETH</t>
  </si>
  <si>
    <t>MALDONADO ROMAN ISABEL CRISTINA</t>
  </si>
  <si>
    <t>MEDINA GODOY ALBA ANNABELLE</t>
  </si>
  <si>
    <t>MENDOZA SEGOVIA JOEL ALEJANDRO</t>
  </si>
  <si>
    <t>MINA MERCADO MAIRA MARIELA</t>
  </si>
  <si>
    <t>NARANJO VERA JHISAC JOSUE</t>
  </si>
  <si>
    <t>ORTIZ CAMPOS JESSICA MALENA</t>
  </si>
  <si>
    <t>PALIZ IBARRA SANTIAGO JAVIER</t>
  </si>
  <si>
    <t>PAZ MORAN VERONICA ALEXANDRA</t>
  </si>
  <si>
    <t>PINEDA CAICEDO ANDREA ESTEFANIA</t>
  </si>
  <si>
    <t>PLATA GALLEGOS ERVIN JOSE</t>
  </si>
  <si>
    <t>PUPO SUÑOL ANGEL EDUARDO</t>
  </si>
  <si>
    <t>QUINTERO MERLIN JONATHAN MIGUEL</t>
  </si>
  <si>
    <t>QUINTERO MOSQUERA DARIO JAVIER</t>
  </si>
  <si>
    <t>RAMIREZ CORONEL ANDRES ALEXIS</t>
  </si>
  <si>
    <t>RAMIREZ NARANJO ROSA ELVIRA</t>
  </si>
  <si>
    <t>RAMIREZ OLIVO HEIDY KATHERINE</t>
  </si>
  <si>
    <t>RECALDE ARDILA KATLIN DASIEL</t>
  </si>
  <si>
    <t>REVILLA ESCOBAR KAROL YANNELA</t>
  </si>
  <si>
    <t>REYES HURTADO ANGEL SANTIAGO</t>
  </si>
  <si>
    <t>RIVADENEIRA MUÑOZ JUAN ERNESTO</t>
  </si>
  <si>
    <t>RUEDA CASTILLO YAJAIRA MARILIN</t>
  </si>
  <si>
    <t>SOLIS MURILLO MARIA DE LOURDES</t>
  </si>
  <si>
    <t>SOLORZANO GARCES GIRABEL YADIRA</t>
  </si>
  <si>
    <t>SOSA BONE MIRNA PATRICIA</t>
  </si>
  <si>
    <t xml:space="preserve">SUAREZ LEZCANO JOSE </t>
  </si>
  <si>
    <t>SUAREZ YAGUANA JORGE ENRIQUE</t>
  </si>
  <si>
    <t>TOMALA RAMOS ANGELA ELIZABETH</t>
  </si>
  <si>
    <t>TORRES RODRIGUEZ MARIA TERESA</t>
  </si>
  <si>
    <t xml:space="preserve">VALENCIA COROZO ELIZABETH </t>
  </si>
  <si>
    <t>VASQUEZ HARO FRANCELY ALEXANDRA</t>
  </si>
  <si>
    <t>VELASCO ANGULO CECILIA ESTHER</t>
  </si>
  <si>
    <t>VELEZ VICHE MARIA EUGENIA</t>
  </si>
  <si>
    <t>VILA MAFFARE MARILYN MARIVEL</t>
  </si>
  <si>
    <t>ZAMBRANO DUEÑAS JOSE MARIA</t>
  </si>
  <si>
    <t>MEDICINA</t>
  </si>
  <si>
    <t>DISEÑO GRÁFICO</t>
  </si>
  <si>
    <t>Promedio de Estud a Doc</t>
  </si>
  <si>
    <t>Promedio de Autoeval</t>
  </si>
  <si>
    <t>Promedio de Coord a Docente</t>
  </si>
  <si>
    <t>Promedio de Eval pares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</si>
</sst>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2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/>
  </cellStyleXfs>
  <cellXfs count="79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/>
    <xf numFmtId="0" fontId="0" fillId="0" borderId="6" xfId="0" pivotButton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/>
    <xf numFmtId="0" fontId="0" fillId="0" borderId="8" xfId="0" applyBorder="1"/>
    <xf numFmtId="0" fontId="0" fillId="0" borderId="12" xfId="0" applyBorder="1"/>
    <xf numFmtId="0" fontId="1" fillId="0" borderId="1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5" xfId="0" applyFont="1" applyBorder="1"/>
    <xf numFmtId="0" fontId="0" fillId="0" borderId="17" xfId="0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7" xfId="0" applyNumberFormat="1" applyBorder="1" applyAlignment="1">
      <alignment vertical="center"/>
    </xf>
    <xf numFmtId="0" fontId="0" fillId="0" borderId="0" xfId="0" applyAlignment="1">
      <alignment horizontal="center"/>
    </xf>
    <xf numFmtId="0" fontId="4" fillId="2" borderId="3" xfId="0" applyFont="1" applyFill="1" applyBorder="1"/>
    <xf numFmtId="0" fontId="0" fillId="0" borderId="18" xfId="0" applyBorder="1"/>
    <xf numFmtId="0" fontId="3" fillId="0" borderId="18" xfId="0" applyFont="1" applyBorder="1" applyAlignment="1">
      <alignment horizontal="left"/>
    </xf>
    <xf numFmtId="0" fontId="6" fillId="4" borderId="18" xfId="0" applyFont="1" applyFill="1" applyBorder="1"/>
    <xf numFmtId="0" fontId="7" fillId="3" borderId="18" xfId="1" applyBorder="1"/>
    <xf numFmtId="0" fontId="5" fillId="0" borderId="18" xfId="0" applyFont="1" applyBorder="1"/>
    <xf numFmtId="0" fontId="0" fillId="0" borderId="21" xfId="0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0" fontId="0" fillId="0" borderId="22" xfId="0" pivotButton="1" applyBorder="1"/>
    <xf numFmtId="0" fontId="0" fillId="0" borderId="22" xfId="0" applyBorder="1"/>
    <xf numFmtId="0" fontId="0" fillId="0" borderId="23" xfId="0" applyBorder="1"/>
    <xf numFmtId="0" fontId="0" fillId="0" borderId="7" xfId="0" applyBorder="1" applyAlignment="1">
      <alignment horizontal="left" indent="1"/>
    </xf>
    <xf numFmtId="0" fontId="7" fillId="3" borderId="6" xfId="0" applyFont="1" applyFill="1" applyBorder="1"/>
    <xf numFmtId="0" fontId="7" fillId="3" borderId="20" xfId="0" applyFont="1" applyFill="1" applyBorder="1"/>
    <xf numFmtId="0" fontId="7" fillId="3" borderId="19" xfId="0" applyFont="1" applyFill="1" applyBorder="1"/>
    <xf numFmtId="0" fontId="0" fillId="0" borderId="20" xfId="0" applyBorder="1"/>
    <xf numFmtId="0" fontId="0" fillId="0" borderId="7" xfId="0" applyBorder="1"/>
    <xf numFmtId="0" fontId="0" fillId="0" borderId="13" xfId="0" applyBorder="1"/>
    <xf numFmtId="0" fontId="0" fillId="0" borderId="10" xfId="0" applyBorder="1"/>
    <xf numFmtId="0" fontId="0" fillId="0" borderId="14" xfId="0" applyBorder="1"/>
    <xf numFmtId="0" fontId="0" fillId="0" borderId="11" xfId="0" applyBorder="1"/>
    <xf numFmtId="0" fontId="3" fillId="0" borderId="18" xfId="0" applyFont="1" applyFill="1" applyBorder="1" applyAlignment="1">
      <alignment horizontal="left"/>
    </xf>
    <xf numFmtId="0" fontId="0" fillId="0" borderId="18" xfId="0" applyFill="1" applyBorder="1"/>
    <xf numFmtId="0" fontId="5" fillId="0" borderId="18" xfId="0" applyFont="1" applyFill="1" applyBorder="1"/>
    <xf numFmtId="0" fontId="0" fillId="0" borderId="18" xfId="0" applyFill="1" applyBorder="1" applyAlignment="1">
      <alignment vertical="center"/>
    </xf>
    <xf numFmtId="0" fontId="5" fillId="0" borderId="18" xfId="0" applyFont="1" applyFill="1" applyBorder="1" applyAlignment="1">
      <alignment vertical="center"/>
    </xf>
    <xf numFmtId="0" fontId="9" fillId="0" borderId="18" xfId="0" applyFont="1" applyFill="1" applyBorder="1"/>
    <xf numFmtId="0" fontId="0" fillId="0" borderId="18" xfId="0" quotePrefix="1" applyFill="1" applyBorder="1"/>
    <xf numFmtId="0" fontId="7" fillId="5" borderId="18" xfId="1" applyFill="1" applyBorder="1"/>
    <xf numFmtId="0" fontId="8" fillId="5" borderId="18" xfId="0" applyFont="1" applyFill="1" applyBorder="1"/>
    <xf numFmtId="0" fontId="0" fillId="0" borderId="22" xfId="0" pivotButton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6" xfId="0" pivotButton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6" xfId="0" applyBorder="1" applyAlignment="1">
      <alignment horizontal="left" wrapText="1"/>
    </xf>
    <xf numFmtId="2" fontId="0" fillId="0" borderId="20" xfId="0" applyNumberFormat="1" applyBorder="1" applyAlignment="1">
      <alignment wrapText="1"/>
    </xf>
    <xf numFmtId="0" fontId="0" fillId="0" borderId="7" xfId="0" applyBorder="1" applyAlignment="1">
      <alignment horizontal="left" wrapText="1"/>
    </xf>
    <xf numFmtId="2" fontId="0" fillId="0" borderId="21" xfId="0" applyNumberFormat="1" applyBorder="1" applyAlignment="1">
      <alignment wrapText="1"/>
    </xf>
    <xf numFmtId="0" fontId="0" fillId="0" borderId="8" xfId="0" applyBorder="1" applyAlignment="1">
      <alignment horizontal="left" wrapText="1"/>
    </xf>
    <xf numFmtId="2" fontId="0" fillId="0" borderId="22" xfId="0" applyNumberFormat="1" applyBorder="1" applyAlignment="1">
      <alignment wrapText="1"/>
    </xf>
    <xf numFmtId="0" fontId="0" fillId="0" borderId="6" xfId="0" applyBorder="1" applyAlignment="1">
      <alignment wrapText="1"/>
    </xf>
    <xf numFmtId="0" fontId="10" fillId="0" borderId="6" xfId="0" applyFont="1" applyBorder="1" applyAlignment="1">
      <alignment horizontal="left" wrapText="1"/>
    </xf>
    <xf numFmtId="2" fontId="10" fillId="0" borderId="20" xfId="0" applyNumberFormat="1" applyFont="1" applyBorder="1" applyAlignment="1">
      <alignment wrapText="1"/>
    </xf>
    <xf numFmtId="0" fontId="10" fillId="0" borderId="7" xfId="0" applyFont="1" applyBorder="1" applyAlignment="1">
      <alignment horizontal="left" wrapText="1"/>
    </xf>
    <xf numFmtId="2" fontId="10" fillId="0" borderId="21" xfId="0" applyNumberFormat="1" applyFont="1" applyBorder="1" applyAlignment="1">
      <alignment wrapText="1"/>
    </xf>
    <xf numFmtId="0" fontId="11" fillId="0" borderId="6" xfId="0" pivotButton="1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0" fillId="0" borderId="19" xfId="0" pivotButton="1" applyBorder="1"/>
    <xf numFmtId="0" fontId="0" fillId="0" borderId="12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6" xfId="0" applyNumberFormat="1" applyBorder="1" applyAlignment="1">
      <alignment wrapText="1"/>
    </xf>
    <xf numFmtId="0" fontId="0" fillId="0" borderId="12" xfId="0" applyNumberFormat="1" applyBorder="1" applyAlignment="1">
      <alignment wrapText="1"/>
    </xf>
    <xf numFmtId="0" fontId="0" fillId="0" borderId="9" xfId="0" applyNumberFormat="1" applyBorder="1" applyAlignment="1">
      <alignment wrapText="1"/>
    </xf>
    <xf numFmtId="0" fontId="0" fillId="0" borderId="8" xfId="0" applyNumberFormat="1" applyBorder="1" applyAlignment="1">
      <alignment wrapText="1"/>
    </xf>
    <xf numFmtId="0" fontId="0" fillId="0" borderId="14" xfId="0" applyNumberFormat="1" applyBorder="1" applyAlignment="1">
      <alignment wrapText="1"/>
    </xf>
    <xf numFmtId="0" fontId="0" fillId="0" borderId="11" xfId="0" applyNumberFormat="1" applyBorder="1" applyAlignment="1">
      <alignment wrapText="1"/>
    </xf>
  </cellXfs>
  <cellStyles count="2">
    <cellStyle name="Énfasis1" xfId="1" builtinId="29"/>
    <cellStyle name="Normal" xfId="0" builtinId="0"/>
  </cellStyles>
  <dxfs count="165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8"/>
      </font>
    </dxf>
    <dxf>
      <font>
        <sz val="9"/>
      </font>
    </dxf>
    <dxf>
      <font>
        <sz val="8"/>
      </font>
    </dxf>
    <dxf>
      <font>
        <sz val="9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9"/>
      </font>
    </dxf>
    <dxf>
      <font>
        <sz val="9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2" formatCode="0.0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otted">
          <color rgb="FF000000"/>
        </top>
        <bottom style="dotted">
          <color rgb="FF000000"/>
        </bottom>
      </border>
    </dxf>
    <dxf>
      <border outline="0">
        <left style="medium">
          <color rgb="FF000000"/>
        </left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medium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rgb="FF000000"/>
        </left>
        <right style="dotted">
          <color rgb="FF000000"/>
        </right>
        <top style="dotted">
          <color rgb="FF000000"/>
        </top>
        <bottom style="dotted">
          <color rgb="FF000000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 style="dotted">
          <color rgb="FF000000"/>
        </right>
        <top style="dotted">
          <color rgb="FF000000"/>
        </top>
        <bottom style="dotted">
          <color rgb="FF000000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dotted">
          <color rgb="FF000000"/>
        </top>
        <bottom style="dotted">
          <color rgb="FF000000"/>
        </bottom>
      </border>
    </dxf>
    <dxf>
      <border outline="0">
        <left style="medium">
          <color rgb="FF000000"/>
        </left>
      </border>
    </dxf>
    <dxf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 GENERALES CONSOLIDADO.xlsx]GRAFICOS!TablaDinámica5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57-44BE-8BF9-E737311B7C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1557-44BE-8BF9-E737311B7C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57-44BE-8BF9-E737311B7C0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57-44BE-8BF9-E737311B7C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GRAFICOS!$A$4:$A$7</c:f>
              <c:strCache>
                <c:ptCount val="3"/>
                <c:pt idx="0">
                  <c:v>HOMBRE</c:v>
                </c:pt>
                <c:pt idx="1">
                  <c:v>MUJER</c:v>
                </c:pt>
                <c:pt idx="2">
                  <c:v>(en blanco)</c:v>
                </c:pt>
              </c:strCache>
            </c:strRef>
          </c:cat>
          <c:val>
            <c:numRef>
              <c:f>GRAFICOS!$B$4:$B$7</c:f>
              <c:numCache>
                <c:formatCode>0.00</c:formatCode>
                <c:ptCount val="3"/>
                <c:pt idx="0">
                  <c:v>90.741538461538511</c:v>
                </c:pt>
                <c:pt idx="1">
                  <c:v>91.996521739130358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7-44BE-8BF9-E737311B7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[RESULTADOS GENERALES CONSOLIDADO.xlsx]GRAFICOS!TablaDinámica6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GRAFICOS!$B$17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894-4DF5-AE8F-E78FCA2C92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894-4DF5-AE8F-E78FCA2C92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894-4DF5-AE8F-E78FCA2C92F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94-4DF5-AE8F-E78FCA2C92F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894-4DF5-AE8F-E78FCA2C92F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94-4DF5-AE8F-E78FCA2C9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GRAFICOS!$A$18:$A$21</c:f>
              <c:strCache>
                <c:ptCount val="3"/>
                <c:pt idx="0">
                  <c:v>MEDIO TIEMPO</c:v>
                </c:pt>
                <c:pt idx="1">
                  <c:v>TIEMPO COMPLETO</c:v>
                </c:pt>
                <c:pt idx="2">
                  <c:v>TIEMPO PARCIAL</c:v>
                </c:pt>
              </c:strCache>
            </c:strRef>
          </c:cat>
          <c:val>
            <c:numRef>
              <c:f>GRAFICOS!$B$18:$B$21</c:f>
              <c:numCache>
                <c:formatCode>0.00</c:formatCode>
                <c:ptCount val="3"/>
                <c:pt idx="0">
                  <c:v>95.97777777777776</c:v>
                </c:pt>
                <c:pt idx="1">
                  <c:v>94.905405405405375</c:v>
                </c:pt>
                <c:pt idx="2">
                  <c:v>93.380281690140848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4-4DF5-AE8F-E78FCA2C9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0</xdr:row>
      <xdr:rowOff>90487</xdr:rowOff>
    </xdr:from>
    <xdr:to>
      <xdr:col>6</xdr:col>
      <xdr:colOff>676275</xdr:colOff>
      <xdr:row>11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485F6-68F1-BE7D-C9D7-04F866D68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381000</xdr:colOff>
      <xdr:row>13</xdr:row>
      <xdr:rowOff>14287</xdr:rowOff>
    </xdr:from>
    <xdr:to>
      <xdr:col>7</xdr:col>
      <xdr:colOff>142875</xdr:colOff>
      <xdr:row>24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374AEFE-7653-8903-D941-7C42D039A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zdel\OneDrive\Documentos\NOMINA%20CORREOS%20ACTUALIZADAS%20DIC2024.XLSX" TargetMode="External"/><Relationship Id="rId1" Type="http://schemas.openxmlformats.org/officeDocument/2006/relationships/externalLinkPath" Target="/personal/gjzambranod_pucese_edu_ec/Documents/INDICADORES%20DE%20AUXILIAR%20ACADEMICA/INFORMACION%20QUITO_EVAL/202301/NOMINA%20CORREOS%20ACTUALIZADAS%20DIC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uceseedu-my.sharepoint.com/personal/gjzambranod_pucese_edu_ec/Documents/INDICADORES%20DE%20AUXILIAR%20ACADEMICA/INFORMACION%20QUITO_EVAL/202301/DOCENTES%20I%20SEMESTRE%202023%20VAL_DAC%20(2).xlsx" TargetMode="External"/><Relationship Id="rId1" Type="http://schemas.openxmlformats.org/officeDocument/2006/relationships/externalLinkPath" Target="/personal/gjzambranod_pucese_edu_ec/Documents/INDICADORES%20DE%20AUXILIAR%20ACADEMICA/INFORMACION%20QUITO_EVAL/202301/DOCENTES%20I%20SEMESTRE%202023%20VAL_DAC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NOMINA"/>
      <sheetName val="Hoja1"/>
    </sheetNames>
    <sheetDataSet>
      <sheetData sheetId="0">
        <row r="1">
          <cell r="C1" t="str">
            <v>Cédula o Pasaporte</v>
          </cell>
          <cell r="AT1" t="str">
            <v>apellidops y nombres</v>
          </cell>
        </row>
        <row r="2">
          <cell r="C2" t="str">
            <v>0802903880</v>
          </cell>
          <cell r="AT2" t="str">
            <v>CONCHA MUÑOZ CESAR VIDAL</v>
          </cell>
        </row>
        <row r="3">
          <cell r="C3" t="str">
            <v>1310851009</v>
          </cell>
          <cell r="AT3" t="str">
            <v>GUASHPA GÓMEZ ALEX DAVID</v>
          </cell>
        </row>
        <row r="4">
          <cell r="C4" t="str">
            <v>1310851009</v>
          </cell>
          <cell r="AT4" t="str">
            <v>GUASHPA GÓMEZ ALEX DAVID</v>
          </cell>
        </row>
        <row r="5">
          <cell r="C5" t="str">
            <v>1310851009</v>
          </cell>
          <cell r="AT5" t="str">
            <v>GUASHPA GÓMEZ ALEX DAVID</v>
          </cell>
        </row>
        <row r="6">
          <cell r="C6" t="str">
            <v>1310851009</v>
          </cell>
          <cell r="AT6" t="str">
            <v>GUASHPA GÓMEZ ALEX DAVID</v>
          </cell>
        </row>
        <row r="7">
          <cell r="C7" t="str">
            <v>0801663832</v>
          </cell>
          <cell r="AT7" t="str">
            <v>ANCHUNDIA ESPINOZA JENNY MERCEDES</v>
          </cell>
        </row>
        <row r="8">
          <cell r="C8" t="str">
            <v>0801663832</v>
          </cell>
          <cell r="AT8" t="str">
            <v>ANCHUNDIA ESPINOZA JENNY MERCEDES</v>
          </cell>
        </row>
        <row r="9">
          <cell r="C9" t="str">
            <v>0801663832</v>
          </cell>
          <cell r="AT9" t="str">
            <v>ANCHUNDIA ESPINOZA JENNY MERCEDES</v>
          </cell>
        </row>
        <row r="10">
          <cell r="C10" t="str">
            <v>0801663832</v>
          </cell>
          <cell r="AT10" t="str">
            <v>ANCHUNDIA ESPINOZA JENNY MERCEDES</v>
          </cell>
        </row>
        <row r="11">
          <cell r="C11" t="str">
            <v>0801663832</v>
          </cell>
          <cell r="AT11" t="str">
            <v>ANCHUNDIA ESPINOZA JENNY MERCEDES</v>
          </cell>
        </row>
        <row r="12">
          <cell r="C12" t="str">
            <v>0801663832</v>
          </cell>
          <cell r="AT12" t="str">
            <v>ANCHUNDIA ESPINOZA JENNY MERCEDES</v>
          </cell>
        </row>
        <row r="13">
          <cell r="C13" t="str">
            <v>0801663832</v>
          </cell>
          <cell r="AT13" t="str">
            <v>ANCHUNDIA ESPINOZA JENNY MERCEDES</v>
          </cell>
        </row>
        <row r="14">
          <cell r="C14" t="str">
            <v>0801663832</v>
          </cell>
          <cell r="AT14" t="str">
            <v>ANCHUNDIA ESPINOZA JENNY MERCEDES</v>
          </cell>
        </row>
        <row r="15">
          <cell r="C15" t="str">
            <v>0801663832</v>
          </cell>
          <cell r="AT15" t="str">
            <v>ANCHUNDIA ESPINOZA JENNY MERCEDES</v>
          </cell>
        </row>
        <row r="16">
          <cell r="C16" t="str">
            <v>0801663832</v>
          </cell>
          <cell r="AT16" t="str">
            <v>ANCHUNDIA ESPINOZA JENNY MERCEDES</v>
          </cell>
        </row>
        <row r="17">
          <cell r="C17" t="str">
            <v>0801663832</v>
          </cell>
          <cell r="AT17" t="str">
            <v>ANCHUNDIA ESPINOZA JENNY MERCEDES</v>
          </cell>
        </row>
        <row r="18">
          <cell r="C18" t="str">
            <v>0801663832</v>
          </cell>
          <cell r="AT18" t="str">
            <v>ANCHUNDIA ESPINOZA JENNY MERCEDES</v>
          </cell>
        </row>
        <row r="19">
          <cell r="C19" t="str">
            <v>0801663832</v>
          </cell>
          <cell r="AT19" t="str">
            <v>ANCHUNDIA ESPINOZA JENNY MERCEDES</v>
          </cell>
        </row>
        <row r="20">
          <cell r="C20" t="str">
            <v>0802712745</v>
          </cell>
          <cell r="AT20" t="str">
            <v>ANGULO CUERO JOSE LUIS</v>
          </cell>
        </row>
        <row r="21">
          <cell r="C21" t="str">
            <v>0802712745</v>
          </cell>
          <cell r="AT21" t="str">
            <v>ANGULO CUERO JOSE LUIS</v>
          </cell>
        </row>
        <row r="22">
          <cell r="C22" t="str">
            <v>0802712745</v>
          </cell>
          <cell r="AT22" t="str">
            <v>ANGULO CUERO JOSE LUIS</v>
          </cell>
        </row>
        <row r="23">
          <cell r="C23" t="str">
            <v>0802712745</v>
          </cell>
          <cell r="AT23" t="str">
            <v>ANGULO CUERO JOSE LUIS</v>
          </cell>
        </row>
        <row r="24">
          <cell r="C24" t="str">
            <v>0802712745</v>
          </cell>
          <cell r="AT24" t="str">
            <v>ANGULO CUERO JOSE LUIS</v>
          </cell>
        </row>
        <row r="25">
          <cell r="C25" t="str">
            <v>0802712745</v>
          </cell>
          <cell r="AT25" t="str">
            <v>ANGULO CUERO JOSE LUIS</v>
          </cell>
        </row>
        <row r="26">
          <cell r="C26" t="str">
            <v>0802712745</v>
          </cell>
          <cell r="AT26" t="str">
            <v>ANGULO CUERO JOSE LUIS</v>
          </cell>
        </row>
        <row r="27">
          <cell r="C27" t="str">
            <v>0802009829</v>
          </cell>
          <cell r="AT27" t="str">
            <v>AREQUIPA GARCES LOURDES ANGELICA</v>
          </cell>
        </row>
        <row r="28">
          <cell r="C28" t="str">
            <v>0802009829</v>
          </cell>
          <cell r="AT28" t="str">
            <v>AREQUIPA GARCES LOURDES ANGELICA</v>
          </cell>
        </row>
        <row r="29">
          <cell r="C29" t="str">
            <v>0802009829</v>
          </cell>
          <cell r="AT29" t="str">
            <v>AREQUIPA GARCES LOURDES ANGELICA</v>
          </cell>
        </row>
        <row r="30">
          <cell r="C30" t="str">
            <v>0802009829</v>
          </cell>
          <cell r="AT30" t="str">
            <v>AREQUIPA GARCES LOURDES ANGELICA</v>
          </cell>
        </row>
        <row r="31">
          <cell r="C31" t="str">
            <v>0802009829</v>
          </cell>
          <cell r="AT31" t="str">
            <v>AREQUIPA GARCES LOURDES ANGELICA</v>
          </cell>
        </row>
        <row r="32">
          <cell r="C32" t="str">
            <v>0802009829</v>
          </cell>
          <cell r="AT32" t="str">
            <v>AREQUIPA GARCES LOURDES ANGELICA</v>
          </cell>
        </row>
        <row r="33">
          <cell r="C33" t="str">
            <v>0802009829</v>
          </cell>
          <cell r="AT33" t="str">
            <v>AREQUIPA GARCES LOURDES ANGELICA</v>
          </cell>
        </row>
        <row r="34">
          <cell r="C34" t="str">
            <v>0802009829</v>
          </cell>
          <cell r="AT34" t="str">
            <v>AREQUIPA GARCES LOURDES ANGELICA</v>
          </cell>
        </row>
        <row r="35">
          <cell r="C35" t="str">
            <v>0802009829</v>
          </cell>
          <cell r="AT35" t="str">
            <v>AREQUIPA GARCES LOURDES ANGELICA</v>
          </cell>
        </row>
        <row r="36">
          <cell r="C36" t="str">
            <v>0802009829</v>
          </cell>
          <cell r="AT36" t="str">
            <v>AREQUIPA GARCES LOURDES ANGELICA</v>
          </cell>
        </row>
        <row r="37">
          <cell r="C37" t="str">
            <v>0802009829</v>
          </cell>
          <cell r="AT37" t="str">
            <v>AREQUIPA GARCES LOURDES ANGELICA</v>
          </cell>
        </row>
        <row r="38">
          <cell r="C38" t="str">
            <v>0802009829</v>
          </cell>
          <cell r="AT38" t="str">
            <v>AREQUIPA GARCES LOURDES ANGELICA</v>
          </cell>
        </row>
        <row r="39">
          <cell r="C39" t="str">
            <v>0802009829</v>
          </cell>
          <cell r="AT39" t="str">
            <v>AREQUIPA GARCES LOURDES ANGELICA</v>
          </cell>
        </row>
        <row r="40">
          <cell r="C40" t="str">
            <v>0802009829</v>
          </cell>
          <cell r="AT40" t="str">
            <v>AREQUIPA GARCES LOURDES ANGELICA</v>
          </cell>
        </row>
        <row r="41">
          <cell r="C41" t="str">
            <v>0802009829</v>
          </cell>
          <cell r="AT41" t="str">
            <v>AREQUIPA GARCES LOURDES ANGELICA</v>
          </cell>
        </row>
        <row r="42">
          <cell r="C42" t="str">
            <v>0803164631</v>
          </cell>
          <cell r="AT42" t="str">
            <v>ARMIJOS POROZO JENNY LILIANA</v>
          </cell>
        </row>
        <row r="43">
          <cell r="C43" t="str">
            <v>0803164631</v>
          </cell>
          <cell r="AT43" t="str">
            <v>ARMIJOS POROZO JENNY LILIANA</v>
          </cell>
        </row>
        <row r="44">
          <cell r="C44" t="str">
            <v>0803164631</v>
          </cell>
          <cell r="AT44" t="str">
            <v>ARMIJOS POROZO JENNY LILIANA</v>
          </cell>
        </row>
        <row r="45">
          <cell r="C45" t="str">
            <v>0803164631</v>
          </cell>
          <cell r="AT45" t="str">
            <v>ARMIJOS POROZO JENNY LILIANA</v>
          </cell>
        </row>
        <row r="46">
          <cell r="C46" t="str">
            <v>0803164631</v>
          </cell>
          <cell r="AT46" t="str">
            <v>ARMIJOS POROZO JENNY LILIANA</v>
          </cell>
        </row>
        <row r="47">
          <cell r="C47" t="str">
            <v>0803164631</v>
          </cell>
          <cell r="AT47" t="str">
            <v>ARMIJOS POROZO JENNY LILIANA</v>
          </cell>
        </row>
        <row r="48">
          <cell r="C48" t="str">
            <v>0803164631</v>
          </cell>
          <cell r="AT48" t="str">
            <v>ARMIJOS POROZO JENNY LILIANA</v>
          </cell>
        </row>
        <row r="49">
          <cell r="C49" t="str">
            <v>0803164631</v>
          </cell>
          <cell r="AT49" t="str">
            <v>ARMIJOS POROZO JENNY LILIANA</v>
          </cell>
        </row>
        <row r="50">
          <cell r="C50" t="str">
            <v>0801972308</v>
          </cell>
          <cell r="AT50" t="str">
            <v>BATEOJA ARROYO HOLGA ESTHER</v>
          </cell>
        </row>
        <row r="51">
          <cell r="C51" t="str">
            <v>0801972308</v>
          </cell>
          <cell r="AT51" t="str">
            <v>BATEOJA ARROYO HOLGA ESTHER</v>
          </cell>
        </row>
        <row r="52">
          <cell r="C52" t="str">
            <v>0801972308</v>
          </cell>
          <cell r="AT52" t="str">
            <v>BATEOJA ARROYO HOLGA ESTHER</v>
          </cell>
        </row>
        <row r="53">
          <cell r="C53" t="str">
            <v>0801972308</v>
          </cell>
          <cell r="AT53" t="str">
            <v>BATEOJA ARROYO HOLGA ESTHER</v>
          </cell>
        </row>
        <row r="54">
          <cell r="C54" t="str">
            <v>0801972308</v>
          </cell>
          <cell r="AT54" t="str">
            <v>BATEOJA ARROYO HOLGA ESTHER</v>
          </cell>
        </row>
        <row r="55">
          <cell r="C55" t="str">
            <v>0801972308</v>
          </cell>
          <cell r="AT55" t="str">
            <v>BATEOJA ARROYO HOLGA ESTHER</v>
          </cell>
        </row>
        <row r="56">
          <cell r="C56" t="str">
            <v>0801972308</v>
          </cell>
          <cell r="AT56" t="str">
            <v>BATEOJA ARROYO HOLGA ESTHER</v>
          </cell>
        </row>
        <row r="57">
          <cell r="C57" t="str">
            <v>0801972308</v>
          </cell>
          <cell r="AT57" t="str">
            <v>BATEOJA ARROYO HOLGA ESTHER</v>
          </cell>
        </row>
        <row r="58">
          <cell r="C58" t="str">
            <v>0801972308</v>
          </cell>
          <cell r="AT58" t="str">
            <v>BATEOJA ARROYO HOLGA ESTHER</v>
          </cell>
        </row>
        <row r="59">
          <cell r="C59" t="str">
            <v>0801972308</v>
          </cell>
          <cell r="AT59" t="str">
            <v>BATEOJA ARROYO HOLGA ESTHER</v>
          </cell>
        </row>
        <row r="60">
          <cell r="C60" t="str">
            <v>0801972308</v>
          </cell>
          <cell r="AT60" t="str">
            <v>BATEOJA ARROYO HOLGA ESTHER</v>
          </cell>
        </row>
        <row r="61">
          <cell r="C61" t="str">
            <v>0801972308</v>
          </cell>
          <cell r="AT61" t="str">
            <v>BATEOJA ARROYO HOLGA ESTHER</v>
          </cell>
        </row>
        <row r="62">
          <cell r="C62" t="str">
            <v>0801972308</v>
          </cell>
          <cell r="AT62" t="str">
            <v>BATEOJA ARROYO HOLGA ESTHER</v>
          </cell>
        </row>
        <row r="63">
          <cell r="C63" t="str">
            <v>0802049817</v>
          </cell>
          <cell r="AT63" t="str">
            <v>BERNAL MORAN JOSE MANUEL</v>
          </cell>
        </row>
        <row r="64">
          <cell r="C64" t="str">
            <v>0802049817</v>
          </cell>
          <cell r="AT64" t="str">
            <v>BERNAL MORAN JOSE MANUEL</v>
          </cell>
        </row>
        <row r="65">
          <cell r="C65" t="str">
            <v>0802049817</v>
          </cell>
          <cell r="AT65" t="str">
            <v>BERNAL MORAN JOSE MANUEL</v>
          </cell>
        </row>
        <row r="66">
          <cell r="C66" t="str">
            <v>0802049817</v>
          </cell>
          <cell r="AT66" t="str">
            <v>BERNAL MORAN JOSE MANUEL</v>
          </cell>
        </row>
        <row r="67">
          <cell r="C67" t="str">
            <v>0802049817</v>
          </cell>
          <cell r="AT67" t="str">
            <v>BERNAL MORAN JOSE MANUEL</v>
          </cell>
        </row>
        <row r="68">
          <cell r="C68" t="str">
            <v>0802049817</v>
          </cell>
          <cell r="AT68" t="str">
            <v>BERNAL MORAN JOSE MANUEL</v>
          </cell>
        </row>
        <row r="69">
          <cell r="C69" t="str">
            <v>0802049817</v>
          </cell>
          <cell r="AT69" t="str">
            <v>BERNAL MORAN JOSE MANUEL</v>
          </cell>
        </row>
        <row r="70">
          <cell r="C70" t="str">
            <v>0802049817</v>
          </cell>
          <cell r="AT70" t="str">
            <v>BERNAL MORAN JOSE MANUEL</v>
          </cell>
        </row>
        <row r="71">
          <cell r="C71" t="str">
            <v>0801786245</v>
          </cell>
          <cell r="AT71" t="str">
            <v>BETANCOURT AGUILAR FREDDY LEONARDO</v>
          </cell>
        </row>
        <row r="72">
          <cell r="C72" t="str">
            <v>0801786245</v>
          </cell>
          <cell r="AT72" t="str">
            <v>BETANCOURT AGUILAR FREDDY LEONARDO</v>
          </cell>
        </row>
        <row r="73">
          <cell r="C73" t="str">
            <v>0801786245</v>
          </cell>
          <cell r="AT73" t="str">
            <v>BETANCOURT AGUILAR FREDDY LEONARDO</v>
          </cell>
        </row>
        <row r="74">
          <cell r="C74" t="str">
            <v>0801786245</v>
          </cell>
          <cell r="AT74" t="str">
            <v>BETANCOURT AGUILAR FREDDY LEONARDO</v>
          </cell>
        </row>
        <row r="75">
          <cell r="C75" t="str">
            <v>0801786245</v>
          </cell>
          <cell r="AT75" t="str">
            <v>BETANCOURT AGUILAR FREDDY LEONARDO</v>
          </cell>
        </row>
        <row r="76">
          <cell r="C76" t="str">
            <v>0801786245</v>
          </cell>
          <cell r="AT76" t="str">
            <v>BETANCOURT AGUILAR FREDDY LEONARDO</v>
          </cell>
        </row>
        <row r="77">
          <cell r="C77" t="str">
            <v>0801786245</v>
          </cell>
          <cell r="AT77" t="str">
            <v>BETANCOURT AGUILAR FREDDY LEONARDO</v>
          </cell>
        </row>
        <row r="78">
          <cell r="C78" t="str">
            <v>0801786245</v>
          </cell>
          <cell r="AT78" t="str">
            <v>BETANCOURT AGUILAR FREDDY LEONARDO</v>
          </cell>
        </row>
        <row r="79">
          <cell r="C79" t="str">
            <v>0801786245</v>
          </cell>
          <cell r="AT79" t="str">
            <v>BETANCOURT AGUILAR FREDDY LEONARDO</v>
          </cell>
        </row>
        <row r="80">
          <cell r="C80" t="str">
            <v>0801786245</v>
          </cell>
          <cell r="AT80" t="str">
            <v>BETANCOURT AGUILAR FREDDY LEONARDO</v>
          </cell>
        </row>
        <row r="81">
          <cell r="C81" t="str">
            <v>0801786245</v>
          </cell>
          <cell r="AT81" t="str">
            <v>BETANCOURT AGUILAR FREDDY LEONARDO</v>
          </cell>
        </row>
        <row r="82">
          <cell r="C82" t="str">
            <v>0801786245</v>
          </cell>
          <cell r="AT82" t="str">
            <v>BETANCOURT AGUILAR FREDDY LEONARDO</v>
          </cell>
        </row>
        <row r="83">
          <cell r="C83" t="str">
            <v>0801786245</v>
          </cell>
          <cell r="AT83" t="str">
            <v>BETANCOURT AGUILAR FREDDY LEONARDO</v>
          </cell>
        </row>
        <row r="84">
          <cell r="C84" t="str">
            <v>0801786245</v>
          </cell>
          <cell r="AT84" t="str">
            <v>BETANCOURT AGUILAR FREDDY LEONARDO</v>
          </cell>
        </row>
        <row r="85">
          <cell r="C85" t="str">
            <v>0801786245</v>
          </cell>
          <cell r="AT85" t="str">
            <v>BETANCOURT AGUILAR FREDDY LEONARDO</v>
          </cell>
        </row>
        <row r="86">
          <cell r="C86" t="str">
            <v>0801786245</v>
          </cell>
          <cell r="AT86" t="str">
            <v>BETANCOURT AGUILAR FREDDY LEONARDO</v>
          </cell>
        </row>
        <row r="87">
          <cell r="C87" t="str">
            <v>0801786245</v>
          </cell>
          <cell r="AT87" t="str">
            <v>BETANCOURT AGUILAR FREDDY LEONARDO</v>
          </cell>
        </row>
        <row r="88">
          <cell r="C88" t="str">
            <v>0801786245</v>
          </cell>
          <cell r="AT88" t="str">
            <v>BETANCOURT AGUILAR FREDDY LEONARDO</v>
          </cell>
        </row>
        <row r="89">
          <cell r="C89" t="str">
            <v>0801786245</v>
          </cell>
          <cell r="AT89" t="str">
            <v>BETANCOURT AGUILAR FREDDY LEONARDO</v>
          </cell>
        </row>
        <row r="90">
          <cell r="C90" t="str">
            <v>0801786245</v>
          </cell>
          <cell r="AT90" t="str">
            <v>BETANCOURT AGUILAR FREDDY LEONARDO</v>
          </cell>
        </row>
        <row r="91">
          <cell r="C91" t="str">
            <v>0801786245</v>
          </cell>
          <cell r="AT91" t="str">
            <v>BETANCOURT AGUILAR FREDDY LEONARDO</v>
          </cell>
        </row>
        <row r="92">
          <cell r="C92" t="str">
            <v>0801786245</v>
          </cell>
          <cell r="AT92" t="str">
            <v>BETANCOURT AGUILAR FREDDY LEONARDO</v>
          </cell>
        </row>
        <row r="93">
          <cell r="C93" t="str">
            <v>0801786245</v>
          </cell>
          <cell r="AT93" t="str">
            <v>BETANCOURT AGUILAR FREDDY LEONARDO</v>
          </cell>
        </row>
        <row r="94">
          <cell r="C94" t="str">
            <v>0801786245</v>
          </cell>
          <cell r="AT94" t="str">
            <v>BETANCOURT AGUILAR FREDDY LEONARDO</v>
          </cell>
        </row>
        <row r="95">
          <cell r="C95" t="str">
            <v>0801786245</v>
          </cell>
          <cell r="AT95" t="str">
            <v>BETANCOURT AGUILAR FREDDY LEONARDO</v>
          </cell>
        </row>
        <row r="96">
          <cell r="C96" t="str">
            <v>0801786245</v>
          </cell>
          <cell r="AT96" t="str">
            <v>BETANCOURT AGUILAR FREDDY LEONARDO</v>
          </cell>
        </row>
        <row r="97">
          <cell r="C97" t="str">
            <v>0801786245</v>
          </cell>
          <cell r="AT97" t="str">
            <v>BETANCOURT AGUILAR FREDDY LEONARDO</v>
          </cell>
        </row>
        <row r="98">
          <cell r="C98" t="str">
            <v>0801786245</v>
          </cell>
          <cell r="AT98" t="str">
            <v>BETANCOURT AGUILAR FREDDY LEONARDO</v>
          </cell>
        </row>
        <row r="99">
          <cell r="C99" t="str">
            <v>0801786245</v>
          </cell>
          <cell r="AT99" t="str">
            <v>BETANCOURT AGUILAR FREDDY LEONARDO</v>
          </cell>
        </row>
        <row r="100">
          <cell r="C100" t="str">
            <v>0801786245</v>
          </cell>
          <cell r="AT100" t="str">
            <v>BETANCOURT AGUILAR FREDDY LEONARDO</v>
          </cell>
        </row>
        <row r="101">
          <cell r="C101" t="str">
            <v>0801786245</v>
          </cell>
          <cell r="AT101" t="str">
            <v>BETANCOURT AGUILAR FREDDY LEONARDO</v>
          </cell>
        </row>
        <row r="102">
          <cell r="C102" t="str">
            <v>0801786245</v>
          </cell>
          <cell r="AT102" t="str">
            <v>BETANCOURT AGUILAR FREDDY LEONARDO</v>
          </cell>
        </row>
        <row r="103">
          <cell r="C103" t="str">
            <v>0801786245</v>
          </cell>
          <cell r="AT103" t="str">
            <v>BETANCOURT AGUILAR FREDDY LEONARDO</v>
          </cell>
        </row>
        <row r="104">
          <cell r="C104" t="str">
            <v>0801786245</v>
          </cell>
          <cell r="AT104" t="str">
            <v>BETANCOURT AGUILAR FREDDY LEONARDO</v>
          </cell>
        </row>
        <row r="105">
          <cell r="C105" t="str">
            <v>0801786245</v>
          </cell>
          <cell r="AT105" t="str">
            <v>BETANCOURT AGUILAR FREDDY LEONARDO</v>
          </cell>
        </row>
        <row r="106">
          <cell r="C106" t="str">
            <v>0801786245</v>
          </cell>
          <cell r="AT106" t="str">
            <v>BETANCOURT AGUILAR FREDDY LEONARDO</v>
          </cell>
        </row>
        <row r="107">
          <cell r="C107" t="str">
            <v>0801786245</v>
          </cell>
          <cell r="AT107" t="str">
            <v>BETANCOURT AGUILAR FREDDY LEONARDO</v>
          </cell>
        </row>
        <row r="108">
          <cell r="C108" t="str">
            <v>0803315639</v>
          </cell>
          <cell r="AT108" t="str">
            <v>QUIÑONEZ ANGULO FRANCISCO XAVIER</v>
          </cell>
        </row>
        <row r="109">
          <cell r="C109" t="str">
            <v>0803315639</v>
          </cell>
          <cell r="AT109" t="str">
            <v>QUIÑONEZ ANGULO FRANCISCO XAVIER</v>
          </cell>
        </row>
        <row r="110">
          <cell r="C110" t="str">
            <v>0801529165</v>
          </cell>
          <cell r="AT110" t="str">
            <v>BONE RUMBEA DAICY SOLANDA</v>
          </cell>
        </row>
        <row r="111">
          <cell r="C111" t="str">
            <v>0801529165</v>
          </cell>
          <cell r="AT111" t="str">
            <v>BONE RUMBEA DAICY SOLANDA</v>
          </cell>
        </row>
        <row r="112">
          <cell r="C112" t="str">
            <v>0801529165</v>
          </cell>
          <cell r="AT112" t="str">
            <v>BONE RUMBEA DAICY SOLANDA</v>
          </cell>
        </row>
        <row r="113">
          <cell r="C113" t="str">
            <v>0801529165</v>
          </cell>
          <cell r="AT113" t="str">
            <v>BONE RUMBEA DAICY SOLANDA</v>
          </cell>
        </row>
        <row r="114">
          <cell r="C114" t="str">
            <v>0801529165</v>
          </cell>
          <cell r="AT114" t="str">
            <v>BONE RUMBEA DAICY SOLANDA</v>
          </cell>
        </row>
        <row r="115">
          <cell r="C115" t="str">
            <v>0801529165</v>
          </cell>
          <cell r="AT115" t="str">
            <v>BONE RUMBEA DAICY SOLANDA</v>
          </cell>
        </row>
        <row r="116">
          <cell r="C116" t="str">
            <v>0801529165</v>
          </cell>
          <cell r="AT116" t="str">
            <v>BONE RUMBEA DAICY SOLANDA</v>
          </cell>
        </row>
        <row r="117">
          <cell r="C117" t="str">
            <v>0801529165</v>
          </cell>
          <cell r="AT117" t="str">
            <v>BONE RUMBEA DAICY SOLANDA</v>
          </cell>
        </row>
        <row r="118">
          <cell r="C118" t="str">
            <v>1714484647</v>
          </cell>
          <cell r="AT118" t="str">
            <v>ALBUJA ESTUPIÑAN JULIO ADRIAN</v>
          </cell>
        </row>
        <row r="119">
          <cell r="C119" t="str">
            <v>0800793440</v>
          </cell>
          <cell r="AT119" t="str">
            <v xml:space="preserve">BRAVO GEORGE WASHINGTON </v>
          </cell>
        </row>
        <row r="120">
          <cell r="C120" t="str">
            <v>0800793440</v>
          </cell>
          <cell r="AT120" t="str">
            <v xml:space="preserve">BRAVO GEORGE WASHINGTON </v>
          </cell>
        </row>
        <row r="121">
          <cell r="C121" t="str">
            <v>0800793440</v>
          </cell>
          <cell r="AT121" t="str">
            <v xml:space="preserve">BRAVO GEORGE WASHINGTON </v>
          </cell>
        </row>
        <row r="122">
          <cell r="C122" t="str">
            <v>0800793440</v>
          </cell>
          <cell r="AT122" t="str">
            <v xml:space="preserve">BRAVO GEORGE WASHINGTON </v>
          </cell>
        </row>
        <row r="123">
          <cell r="C123" t="str">
            <v>0800793440</v>
          </cell>
          <cell r="AT123" t="str">
            <v xml:space="preserve">BRAVO GEORGE WASHINGTON </v>
          </cell>
        </row>
        <row r="124">
          <cell r="C124" t="str">
            <v>0800793440</v>
          </cell>
          <cell r="AT124" t="str">
            <v xml:space="preserve">BRAVO GEORGE WASHINGTON </v>
          </cell>
        </row>
        <row r="125">
          <cell r="C125" t="str">
            <v>0800793440</v>
          </cell>
          <cell r="AT125" t="str">
            <v xml:space="preserve">BRAVO GEORGE WASHINGTON </v>
          </cell>
        </row>
        <row r="126">
          <cell r="C126" t="str">
            <v>0704748946</v>
          </cell>
          <cell r="AT126" t="str">
            <v>HIDALGO TAPIA COSME ENRIQUE</v>
          </cell>
        </row>
        <row r="127">
          <cell r="C127" t="str">
            <v>0704748946</v>
          </cell>
          <cell r="AT127" t="str">
            <v>HIDALGO TAPIA COSME ENRIQUE</v>
          </cell>
        </row>
        <row r="128">
          <cell r="C128" t="str">
            <v>0704748946</v>
          </cell>
          <cell r="AT128" t="str">
            <v>HIDALGO TAPIA COSME ENRIQUE</v>
          </cell>
        </row>
        <row r="129">
          <cell r="C129" t="str">
            <v>0802080291</v>
          </cell>
          <cell r="AT129" t="str">
            <v>CAICEDO MINA MARIUXI KAROL</v>
          </cell>
        </row>
        <row r="130">
          <cell r="C130" t="str">
            <v>0802080291</v>
          </cell>
          <cell r="AT130" t="str">
            <v>CAICEDO MINA MARIUXI KAROL</v>
          </cell>
        </row>
        <row r="131">
          <cell r="C131" t="str">
            <v>0802080291</v>
          </cell>
          <cell r="AT131" t="str">
            <v>CAICEDO MINA MARIUXI KAROL</v>
          </cell>
        </row>
        <row r="132">
          <cell r="C132" t="str">
            <v>0802080291</v>
          </cell>
          <cell r="AT132" t="str">
            <v>CAICEDO MINA MARIUXI KAROL</v>
          </cell>
        </row>
        <row r="133">
          <cell r="C133" t="str">
            <v>0802080291</v>
          </cell>
          <cell r="AT133" t="str">
            <v>CAICEDO MINA MARIUXI KAROL</v>
          </cell>
        </row>
        <row r="134">
          <cell r="C134" t="str">
            <v>0802080291</v>
          </cell>
          <cell r="AT134" t="str">
            <v>CAICEDO MINA MARIUXI KAROL</v>
          </cell>
        </row>
        <row r="135">
          <cell r="C135" t="str">
            <v>0802080291</v>
          </cell>
          <cell r="AT135" t="str">
            <v>CAICEDO MINA MARIUXI KAROL</v>
          </cell>
        </row>
        <row r="136">
          <cell r="C136" t="str">
            <v>0802080291</v>
          </cell>
          <cell r="AT136" t="str">
            <v>CAICEDO MINA MARIUXI KAROL</v>
          </cell>
        </row>
        <row r="137">
          <cell r="C137" t="str">
            <v>0802080291</v>
          </cell>
          <cell r="AT137" t="str">
            <v>CAICEDO MINA MARIUXI KAROL</v>
          </cell>
        </row>
        <row r="138">
          <cell r="C138" t="str">
            <v>0802080291</v>
          </cell>
          <cell r="AT138" t="str">
            <v>CAICEDO MINA MARIUXI KAROL</v>
          </cell>
        </row>
        <row r="139">
          <cell r="C139" t="str">
            <v>0802080291</v>
          </cell>
          <cell r="AT139" t="str">
            <v>CAICEDO MINA MARIUXI KAROL</v>
          </cell>
        </row>
        <row r="140">
          <cell r="C140" t="str">
            <v>0802080291</v>
          </cell>
          <cell r="AT140" t="str">
            <v>CAICEDO MINA MARIUXI KAROL</v>
          </cell>
        </row>
        <row r="141">
          <cell r="C141" t="str">
            <v>1003025077</v>
          </cell>
          <cell r="AT141" t="str">
            <v>SANCHEZ TORRES LEONARDO MARTIN</v>
          </cell>
        </row>
        <row r="142">
          <cell r="C142" t="str">
            <v>0801950916</v>
          </cell>
          <cell r="AT142" t="str">
            <v>CARVAJAL BENITEZ VERONICA CARMELA</v>
          </cell>
        </row>
        <row r="143">
          <cell r="C143" t="str">
            <v>0801950916</v>
          </cell>
          <cell r="AT143" t="str">
            <v>CARVAJAL BENITEZ VERONICA CARMELA</v>
          </cell>
        </row>
        <row r="144">
          <cell r="C144" t="str">
            <v>0801950916</v>
          </cell>
          <cell r="AT144" t="str">
            <v>CARVAJAL BENITEZ VERONICA CARMELA</v>
          </cell>
        </row>
        <row r="145">
          <cell r="C145" t="str">
            <v>0801950916</v>
          </cell>
          <cell r="AT145" t="str">
            <v>CARVAJAL BENITEZ VERONICA CARMELA</v>
          </cell>
        </row>
        <row r="146">
          <cell r="C146" t="str">
            <v>0801950916</v>
          </cell>
          <cell r="AT146" t="str">
            <v>CARVAJAL BENITEZ VERONICA CARMELA</v>
          </cell>
        </row>
        <row r="147">
          <cell r="C147" t="str">
            <v>0801950916</v>
          </cell>
          <cell r="AT147" t="str">
            <v>CARVAJAL BENITEZ VERONICA CARMELA</v>
          </cell>
        </row>
        <row r="148">
          <cell r="C148" t="str">
            <v>0801950916</v>
          </cell>
          <cell r="AT148" t="str">
            <v>CARVAJAL BENITEZ VERONICA CARMELA</v>
          </cell>
        </row>
        <row r="149">
          <cell r="C149" t="str">
            <v>0801950916</v>
          </cell>
          <cell r="AT149" t="str">
            <v>CARVAJAL BENITEZ VERONICA CARMELA</v>
          </cell>
        </row>
        <row r="150">
          <cell r="C150" t="str">
            <v>0801950916</v>
          </cell>
          <cell r="AT150" t="str">
            <v>CARVAJAL BENITEZ VERONICA CARMELA</v>
          </cell>
        </row>
        <row r="151">
          <cell r="C151" t="str">
            <v>0802971069</v>
          </cell>
          <cell r="AT151" t="str">
            <v>CASTRO DEMERA DICKE ALEJANDRO</v>
          </cell>
        </row>
        <row r="152">
          <cell r="C152" t="str">
            <v>0802971069</v>
          </cell>
          <cell r="AT152" t="str">
            <v>CASTRO DEMERA DICKE ALEJANDRO</v>
          </cell>
        </row>
        <row r="153">
          <cell r="C153" t="str">
            <v>0802971069</v>
          </cell>
          <cell r="AT153" t="str">
            <v>CASTRO DEMERA DICKE ALEJANDRO</v>
          </cell>
        </row>
        <row r="154">
          <cell r="C154" t="str">
            <v>0801739673</v>
          </cell>
          <cell r="AT154" t="str">
            <v>CEDEÑO LASTRA SUSANA ELIZABETH</v>
          </cell>
        </row>
        <row r="155">
          <cell r="C155" t="str">
            <v>0801739673</v>
          </cell>
          <cell r="AT155" t="str">
            <v>CEDEÑO LASTRA SUSANA ELIZABETH</v>
          </cell>
        </row>
        <row r="156">
          <cell r="C156" t="str">
            <v>0801739673</v>
          </cell>
          <cell r="AT156" t="str">
            <v>CEDEÑO LASTRA SUSANA ELIZABETH</v>
          </cell>
        </row>
        <row r="157">
          <cell r="C157" t="str">
            <v>0801739673</v>
          </cell>
          <cell r="AT157" t="str">
            <v>CEDEÑO LASTRA SUSANA ELIZABETH</v>
          </cell>
        </row>
        <row r="158">
          <cell r="C158" t="str">
            <v>0801739673</v>
          </cell>
          <cell r="AT158" t="str">
            <v>CEDEÑO LASTRA SUSANA ELIZABETH</v>
          </cell>
        </row>
        <row r="159">
          <cell r="C159" t="str">
            <v>0801739673</v>
          </cell>
          <cell r="AT159" t="str">
            <v>CEDEÑO LASTRA SUSANA ELIZABETH</v>
          </cell>
        </row>
        <row r="160">
          <cell r="C160" t="str">
            <v>0801739673</v>
          </cell>
          <cell r="AT160" t="str">
            <v>CEDEÑO LASTRA SUSANA ELIZABETH</v>
          </cell>
        </row>
        <row r="161">
          <cell r="C161" t="str">
            <v>0801739673</v>
          </cell>
          <cell r="AT161" t="str">
            <v>CEDEÑO LASTRA SUSANA ELIZABETH</v>
          </cell>
        </row>
        <row r="162">
          <cell r="C162" t="str">
            <v>0801739673</v>
          </cell>
          <cell r="AT162" t="str">
            <v>CEDEÑO LASTRA SUSANA ELIZABETH</v>
          </cell>
        </row>
        <row r="163">
          <cell r="C163" t="str">
            <v>0801739673</v>
          </cell>
          <cell r="AT163" t="str">
            <v>CEDEÑO LASTRA SUSANA ELIZABETH</v>
          </cell>
        </row>
        <row r="164">
          <cell r="C164" t="str">
            <v>0801739673</v>
          </cell>
          <cell r="AT164" t="str">
            <v>CEDEÑO LASTRA SUSANA ELIZABETH</v>
          </cell>
        </row>
        <row r="165">
          <cell r="C165" t="str">
            <v>0801739673</v>
          </cell>
          <cell r="AT165" t="str">
            <v>CEDEÑO LASTRA SUSANA ELIZABETH</v>
          </cell>
        </row>
        <row r="166">
          <cell r="C166" t="str">
            <v>0803028182</v>
          </cell>
          <cell r="AT166" t="str">
            <v>CHASIN GASPAR JOSE LISARDO</v>
          </cell>
        </row>
        <row r="167">
          <cell r="C167" t="str">
            <v>0803028182</v>
          </cell>
          <cell r="AT167" t="str">
            <v>CHASIN GASPAR JOSE LISARDO</v>
          </cell>
        </row>
        <row r="168">
          <cell r="C168" t="str">
            <v>0803028182</v>
          </cell>
          <cell r="AT168" t="str">
            <v>CHASIN GASPAR JOSE LISARDO</v>
          </cell>
        </row>
        <row r="169">
          <cell r="C169" t="str">
            <v>0803028182</v>
          </cell>
          <cell r="AT169" t="str">
            <v>CHASIN GASPAR JOSE LISARDO</v>
          </cell>
        </row>
        <row r="170">
          <cell r="C170" t="str">
            <v>0803028182</v>
          </cell>
          <cell r="AT170" t="str">
            <v>CHASIN GASPAR JOSE LISARDO</v>
          </cell>
        </row>
        <row r="171">
          <cell r="C171" t="str">
            <v>0803028182</v>
          </cell>
          <cell r="AT171" t="str">
            <v>CHASIN GASPAR JOSE LISARDO</v>
          </cell>
        </row>
        <row r="172">
          <cell r="C172" t="str">
            <v>0800603607</v>
          </cell>
          <cell r="AT172" t="str">
            <v>DEMERA MEJIA DOLORES MARITZA</v>
          </cell>
        </row>
        <row r="173">
          <cell r="C173" t="str">
            <v>0800603607</v>
          </cell>
          <cell r="AT173" t="str">
            <v>DEMERA MEJIA DOLORES MARITZA</v>
          </cell>
        </row>
        <row r="174">
          <cell r="C174" t="str">
            <v>0800603607</v>
          </cell>
          <cell r="AT174" t="str">
            <v>DEMERA MEJIA DOLORES MARITZA</v>
          </cell>
        </row>
        <row r="175">
          <cell r="C175" t="str">
            <v>0800603607</v>
          </cell>
          <cell r="AT175" t="str">
            <v>DEMERA MEJIA DOLORES MARITZA</v>
          </cell>
        </row>
        <row r="176">
          <cell r="C176" t="str">
            <v>0800603607</v>
          </cell>
          <cell r="AT176" t="str">
            <v>DEMERA MEJIA DOLORES MARITZA</v>
          </cell>
        </row>
        <row r="177">
          <cell r="C177" t="str">
            <v>0800603607</v>
          </cell>
          <cell r="AT177" t="str">
            <v>DEMERA MEJIA DOLORES MARITZA</v>
          </cell>
        </row>
        <row r="178">
          <cell r="C178" t="str">
            <v>0800603607</v>
          </cell>
          <cell r="AT178" t="str">
            <v>DEMERA MEJIA DOLORES MARITZA</v>
          </cell>
        </row>
        <row r="179">
          <cell r="C179" t="str">
            <v>0800603607</v>
          </cell>
          <cell r="AT179" t="str">
            <v>DEMERA MEJIA DOLORES MARITZA</v>
          </cell>
        </row>
        <row r="180">
          <cell r="C180" t="str">
            <v>0800603607</v>
          </cell>
          <cell r="AT180" t="str">
            <v>DEMERA MEJIA DOLORES MARITZA</v>
          </cell>
        </row>
        <row r="181">
          <cell r="C181" t="str">
            <v>0800603607</v>
          </cell>
          <cell r="AT181" t="str">
            <v>DEMERA MEJIA DOLORES MARITZA</v>
          </cell>
        </row>
        <row r="182">
          <cell r="C182" t="str">
            <v>0800603607</v>
          </cell>
          <cell r="AT182" t="str">
            <v>DEMERA MEJIA DOLORES MARITZA</v>
          </cell>
        </row>
        <row r="183">
          <cell r="C183" t="str">
            <v>0800603607</v>
          </cell>
          <cell r="AT183" t="str">
            <v>DEMERA MEJIA DOLORES MARITZA</v>
          </cell>
        </row>
        <row r="184">
          <cell r="C184" t="str">
            <v>0802036228</v>
          </cell>
          <cell r="AT184" t="str">
            <v>ESPAÑA BUSTAMANTE SOLANGE NARCISA</v>
          </cell>
        </row>
        <row r="185">
          <cell r="C185" t="str">
            <v>0802036228</v>
          </cell>
          <cell r="AT185" t="str">
            <v>ESPAÑA BUSTAMANTE SOLANGE NARCISA</v>
          </cell>
        </row>
        <row r="186">
          <cell r="C186" t="str">
            <v>0802036228</v>
          </cell>
          <cell r="AT186" t="str">
            <v>ESPAÑA BUSTAMANTE SOLANGE NARCISA</v>
          </cell>
        </row>
        <row r="187">
          <cell r="C187" t="str">
            <v>0802036228</v>
          </cell>
          <cell r="AT187" t="str">
            <v>ESPAÑA BUSTAMANTE SOLANGE NARCISA</v>
          </cell>
        </row>
        <row r="188">
          <cell r="C188" t="str">
            <v>0802036228</v>
          </cell>
          <cell r="AT188" t="str">
            <v>ESPAÑA BUSTAMANTE SOLANGE NARCISA</v>
          </cell>
        </row>
        <row r="189">
          <cell r="C189" t="str">
            <v>0802036228</v>
          </cell>
          <cell r="AT189" t="str">
            <v>ESPAÑA BUSTAMANTE SOLANGE NARCISA</v>
          </cell>
        </row>
        <row r="190">
          <cell r="C190" t="str">
            <v>0802036228</v>
          </cell>
          <cell r="AT190" t="str">
            <v>ESPAÑA BUSTAMANTE SOLANGE NARCISA</v>
          </cell>
        </row>
        <row r="191">
          <cell r="C191" t="str">
            <v>0802036228</v>
          </cell>
          <cell r="AT191" t="str">
            <v>ESPAÑA BUSTAMANTE SOLANGE NARCISA</v>
          </cell>
        </row>
        <row r="192">
          <cell r="C192" t="str">
            <v>0802036228</v>
          </cell>
          <cell r="AT192" t="str">
            <v>ESPAÑA BUSTAMANTE SOLANGE NARCISA</v>
          </cell>
        </row>
        <row r="193">
          <cell r="C193" t="str">
            <v>0802036228</v>
          </cell>
          <cell r="AT193" t="str">
            <v>ESPAÑA BUSTAMANTE SOLANGE NARCISA</v>
          </cell>
        </row>
        <row r="194">
          <cell r="C194" t="str">
            <v>0802036228</v>
          </cell>
          <cell r="AT194" t="str">
            <v>ESPAÑA BUSTAMANTE SOLANGE NARCISA</v>
          </cell>
        </row>
        <row r="195">
          <cell r="C195" t="str">
            <v>0802036228</v>
          </cell>
          <cell r="AT195" t="str">
            <v>ESPAÑA BUSTAMANTE SOLANGE NARCISA</v>
          </cell>
        </row>
        <row r="196">
          <cell r="C196" t="str">
            <v>0802036228</v>
          </cell>
          <cell r="AT196" t="str">
            <v>ESPAÑA BUSTAMANTE SOLANGE NARCISA</v>
          </cell>
        </row>
        <row r="197">
          <cell r="C197" t="str">
            <v>0802036228</v>
          </cell>
          <cell r="AT197" t="str">
            <v>ESPAÑA BUSTAMANTE SOLANGE NARCISA</v>
          </cell>
        </row>
        <row r="198">
          <cell r="C198" t="str">
            <v>0802036228</v>
          </cell>
          <cell r="AT198" t="str">
            <v>ESPAÑA BUSTAMANTE SOLANGE NARCISA</v>
          </cell>
        </row>
        <row r="199">
          <cell r="C199" t="str">
            <v>0802036228</v>
          </cell>
          <cell r="AT199" t="str">
            <v>ESPAÑA BUSTAMANTE SOLANGE NARCISA</v>
          </cell>
        </row>
        <row r="200">
          <cell r="C200" t="str">
            <v>0801945411</v>
          </cell>
          <cell r="AT200" t="str">
            <v>FLORES GARCIA EVELIN LORENA</v>
          </cell>
        </row>
        <row r="201">
          <cell r="C201" t="str">
            <v>0801945411</v>
          </cell>
          <cell r="AT201" t="str">
            <v>FLORES GARCIA EVELIN LORENA</v>
          </cell>
        </row>
        <row r="202">
          <cell r="C202" t="str">
            <v>0801945411</v>
          </cell>
          <cell r="AT202" t="str">
            <v>FLORES GARCIA EVELIN LORENA</v>
          </cell>
        </row>
        <row r="203">
          <cell r="C203" t="str">
            <v>0801945411</v>
          </cell>
          <cell r="AT203" t="str">
            <v>FLORES GARCIA EVELIN LORENA</v>
          </cell>
        </row>
        <row r="204">
          <cell r="C204" t="str">
            <v>0801945411</v>
          </cell>
          <cell r="AT204" t="str">
            <v>FLORES GARCIA EVELIN LORENA</v>
          </cell>
        </row>
        <row r="205">
          <cell r="C205" t="str">
            <v>0801945411</v>
          </cell>
          <cell r="AT205" t="str">
            <v>FLORES GARCIA EVELIN LORENA</v>
          </cell>
        </row>
        <row r="206">
          <cell r="C206" t="str">
            <v>0801945411</v>
          </cell>
          <cell r="AT206" t="str">
            <v>FLORES GARCIA EVELIN LORENA</v>
          </cell>
        </row>
        <row r="207">
          <cell r="C207" t="str">
            <v>0801945411</v>
          </cell>
          <cell r="AT207" t="str">
            <v>FLORES GARCIA EVELIN LORENA</v>
          </cell>
        </row>
        <row r="208">
          <cell r="C208" t="str">
            <v>0801945411</v>
          </cell>
          <cell r="AT208" t="str">
            <v>FLORES GARCIA EVELIN LORENA</v>
          </cell>
        </row>
        <row r="209">
          <cell r="C209" t="str">
            <v>0802948125</v>
          </cell>
          <cell r="AT209" t="str">
            <v xml:space="preserve">GARCIA BONE JOHANNA </v>
          </cell>
        </row>
        <row r="210">
          <cell r="C210" t="str">
            <v>0802948125</v>
          </cell>
          <cell r="AT210" t="str">
            <v xml:space="preserve">GARCIA BONE JOHANNA </v>
          </cell>
        </row>
        <row r="211">
          <cell r="C211" t="str">
            <v>0802948125</v>
          </cell>
          <cell r="AT211" t="str">
            <v xml:space="preserve">GARCIA BONE JOHANNA </v>
          </cell>
        </row>
        <row r="212">
          <cell r="C212" t="str">
            <v>0802948125</v>
          </cell>
          <cell r="AT212" t="str">
            <v xml:space="preserve">GARCIA BONE JOHANNA </v>
          </cell>
        </row>
        <row r="213">
          <cell r="C213" t="str">
            <v>0802948125</v>
          </cell>
          <cell r="AT213" t="str">
            <v xml:space="preserve">GARCIA BONE JOHANNA </v>
          </cell>
        </row>
        <row r="214">
          <cell r="C214" t="str">
            <v>0802948125</v>
          </cell>
          <cell r="AT214" t="str">
            <v xml:space="preserve">GARCIA BONE JOHANNA </v>
          </cell>
        </row>
        <row r="215">
          <cell r="C215" t="str">
            <v>0802948125</v>
          </cell>
          <cell r="AT215" t="str">
            <v xml:space="preserve">GARCIA BONE JOHANNA </v>
          </cell>
        </row>
        <row r="216">
          <cell r="C216" t="str">
            <v>0802948125</v>
          </cell>
          <cell r="AT216" t="str">
            <v xml:space="preserve">GARCIA BONE JOHANNA </v>
          </cell>
        </row>
        <row r="217">
          <cell r="C217" t="str">
            <v>0802948125</v>
          </cell>
          <cell r="AT217" t="str">
            <v xml:space="preserve">GARCIA BONE JOHANNA </v>
          </cell>
        </row>
        <row r="218">
          <cell r="C218" t="str">
            <v>0802948125</v>
          </cell>
          <cell r="AT218" t="str">
            <v xml:space="preserve">GARCIA BONE JOHANNA </v>
          </cell>
        </row>
        <row r="219">
          <cell r="C219" t="str">
            <v>0802948125</v>
          </cell>
          <cell r="AT219" t="str">
            <v xml:space="preserve">GARCIA BONE JOHANNA </v>
          </cell>
        </row>
        <row r="220">
          <cell r="C220" t="str">
            <v>0802948125</v>
          </cell>
          <cell r="AT220" t="str">
            <v xml:space="preserve">GARCIA BONE JOHANNA </v>
          </cell>
        </row>
        <row r="221">
          <cell r="C221" t="str">
            <v>0802948125</v>
          </cell>
          <cell r="AT221" t="str">
            <v xml:space="preserve">GARCIA BONE JOHANNA </v>
          </cell>
        </row>
        <row r="222">
          <cell r="C222" t="str">
            <v>0802202564</v>
          </cell>
          <cell r="AT222" t="str">
            <v>GARCIA VALDIVIEZO SILVIA VERONICA</v>
          </cell>
        </row>
        <row r="223">
          <cell r="C223" t="str">
            <v>0802202564</v>
          </cell>
          <cell r="AT223" t="str">
            <v>GARCIA VALDIVIEZO SILVIA VERONICA</v>
          </cell>
        </row>
        <row r="224">
          <cell r="C224" t="str">
            <v>0802202564</v>
          </cell>
          <cell r="AT224" t="str">
            <v>GARCIA VALDIVIEZO SILVIA VERONICA</v>
          </cell>
        </row>
        <row r="225">
          <cell r="C225" t="str">
            <v>0802202564</v>
          </cell>
          <cell r="AT225" t="str">
            <v>GARCIA VALDIVIEZO SILVIA VERONICA</v>
          </cell>
        </row>
        <row r="226">
          <cell r="C226" t="str">
            <v>0802202564</v>
          </cell>
          <cell r="AT226" t="str">
            <v>GARCIA VALDIVIEZO SILVIA VERONICA</v>
          </cell>
        </row>
        <row r="227">
          <cell r="C227" t="str">
            <v>0802202564</v>
          </cell>
          <cell r="AT227" t="str">
            <v>GARCIA VALDIVIEZO SILVIA VERONICA</v>
          </cell>
        </row>
        <row r="228">
          <cell r="C228" t="str">
            <v>0802202564</v>
          </cell>
          <cell r="AT228" t="str">
            <v>GARCIA VALDIVIEZO SILVIA VERONICA</v>
          </cell>
        </row>
        <row r="229">
          <cell r="C229" t="str">
            <v>0802202564</v>
          </cell>
          <cell r="AT229" t="str">
            <v>GARCIA VALDIVIEZO SILVIA VERONICA</v>
          </cell>
        </row>
        <row r="230">
          <cell r="C230" t="str">
            <v>0802202564</v>
          </cell>
          <cell r="AT230" t="str">
            <v>GARCIA VALDIVIEZO SILVIA VERONICA</v>
          </cell>
        </row>
        <row r="231">
          <cell r="C231" t="str">
            <v>0802202564</v>
          </cell>
          <cell r="AT231" t="str">
            <v>GARCIA VALDIVIEZO SILVIA VERONICA</v>
          </cell>
        </row>
        <row r="232">
          <cell r="C232" t="str">
            <v>0802202564</v>
          </cell>
          <cell r="AT232" t="str">
            <v>GARCIA VALDIVIEZO SILVIA VERONICA</v>
          </cell>
        </row>
        <row r="233">
          <cell r="C233" t="str">
            <v>0802202564</v>
          </cell>
          <cell r="AT233" t="str">
            <v>GARCIA VALDIVIEZO SILVIA VERONICA</v>
          </cell>
        </row>
        <row r="234">
          <cell r="C234" t="str">
            <v>0802202564</v>
          </cell>
          <cell r="AT234" t="str">
            <v>GARCIA VALDIVIEZO SILVIA VERONICA</v>
          </cell>
        </row>
        <row r="235">
          <cell r="C235" t="str">
            <v>0802202564</v>
          </cell>
          <cell r="AT235" t="str">
            <v>GARCIA VALDIVIEZO SILVIA VERONICA</v>
          </cell>
        </row>
        <row r="236">
          <cell r="C236" t="str">
            <v>0802202564</v>
          </cell>
          <cell r="AT236" t="str">
            <v>GARCIA VALDIVIEZO SILVIA VERONICA</v>
          </cell>
        </row>
        <row r="237">
          <cell r="C237" t="str">
            <v>0802202564</v>
          </cell>
          <cell r="AT237" t="str">
            <v>GARCIA VALDIVIEZO SILVIA VERONICA</v>
          </cell>
        </row>
        <row r="238">
          <cell r="C238" t="str">
            <v>0802020644</v>
          </cell>
          <cell r="AT238" t="str">
            <v>GUANO MINA JUAN CARLOS</v>
          </cell>
        </row>
        <row r="239">
          <cell r="C239" t="str">
            <v>0802020644</v>
          </cell>
          <cell r="AT239" t="str">
            <v>GUANO MINA JUAN CARLOS</v>
          </cell>
        </row>
        <row r="240">
          <cell r="C240" t="str">
            <v>0802020644</v>
          </cell>
          <cell r="AT240" t="str">
            <v>GUANO MINA JUAN CARLOS</v>
          </cell>
        </row>
        <row r="241">
          <cell r="C241" t="str">
            <v>0802020644</v>
          </cell>
          <cell r="AT241" t="str">
            <v>GUANO MINA JUAN CARLOS</v>
          </cell>
        </row>
        <row r="242">
          <cell r="C242" t="str">
            <v>0802020644</v>
          </cell>
          <cell r="AT242" t="str">
            <v>GUANO MINA JUAN CARLOS</v>
          </cell>
        </row>
        <row r="243">
          <cell r="C243" t="str">
            <v>0802020644</v>
          </cell>
          <cell r="AT243" t="str">
            <v>GUANO MINA JUAN CARLOS</v>
          </cell>
        </row>
        <row r="244">
          <cell r="C244" t="str">
            <v>0802020644</v>
          </cell>
          <cell r="AT244" t="str">
            <v>GUANO MINA JUAN CARLOS</v>
          </cell>
        </row>
        <row r="245">
          <cell r="C245" t="str">
            <v>0802020644</v>
          </cell>
          <cell r="AT245" t="str">
            <v>GUANO MINA JUAN CARLOS</v>
          </cell>
        </row>
        <row r="246">
          <cell r="C246" t="str">
            <v>0802020644</v>
          </cell>
          <cell r="AT246" t="str">
            <v>GUANO MINA JUAN CARLOS</v>
          </cell>
        </row>
        <row r="247">
          <cell r="C247" t="str">
            <v>0802020644</v>
          </cell>
          <cell r="AT247" t="str">
            <v>GUANO MINA JUAN CARLOS</v>
          </cell>
        </row>
        <row r="248">
          <cell r="C248" t="str">
            <v>0801431800</v>
          </cell>
          <cell r="AT248" t="str">
            <v>PANCHI CANDONGA HILDA SUSANA</v>
          </cell>
        </row>
        <row r="249">
          <cell r="C249" t="str">
            <v>0801431800</v>
          </cell>
          <cell r="AT249" t="str">
            <v>PANCHI CANDONGA HILDA SUSANA</v>
          </cell>
        </row>
        <row r="250">
          <cell r="C250" t="str">
            <v>0800760829</v>
          </cell>
          <cell r="AT250" t="str">
            <v>HERNANDEZ GUAGUA JOSE CESAR</v>
          </cell>
        </row>
        <row r="251">
          <cell r="C251" t="str">
            <v>0800760829</v>
          </cell>
          <cell r="AT251" t="str">
            <v>HERNANDEZ GUAGUA JOSE CESAR</v>
          </cell>
        </row>
        <row r="252">
          <cell r="C252" t="str">
            <v>0800760829</v>
          </cell>
          <cell r="AT252" t="str">
            <v>HERNANDEZ GUAGUA JOSE CESAR</v>
          </cell>
        </row>
        <row r="253">
          <cell r="C253" t="str">
            <v>0800760829</v>
          </cell>
          <cell r="AT253" t="str">
            <v>HERNANDEZ GUAGUA JOSE CESAR</v>
          </cell>
        </row>
        <row r="254">
          <cell r="C254" t="str">
            <v>0800760829</v>
          </cell>
          <cell r="AT254" t="str">
            <v>HERNANDEZ GUAGUA JOSE CESAR</v>
          </cell>
        </row>
        <row r="255">
          <cell r="C255" t="str">
            <v>0800760829</v>
          </cell>
          <cell r="AT255" t="str">
            <v>HERNANDEZ GUAGUA JOSE CESAR</v>
          </cell>
        </row>
        <row r="256">
          <cell r="C256" t="str">
            <v>0800760829</v>
          </cell>
          <cell r="AT256" t="str">
            <v>HERNANDEZ GUAGUA JOSE CESAR</v>
          </cell>
        </row>
        <row r="257">
          <cell r="C257" t="str">
            <v>0800760829</v>
          </cell>
          <cell r="AT257" t="str">
            <v>HERNANDEZ GUAGUA JOSE CESAR</v>
          </cell>
        </row>
        <row r="258">
          <cell r="C258" t="str">
            <v>0800760829</v>
          </cell>
          <cell r="AT258" t="str">
            <v>HERNANDEZ GUAGUA JOSE CESAR</v>
          </cell>
        </row>
        <row r="259">
          <cell r="C259" t="str">
            <v>0801853490</v>
          </cell>
          <cell r="AT259" t="str">
            <v>HIDALGO VERA ANA DEL ROCIO</v>
          </cell>
        </row>
        <row r="260">
          <cell r="C260" t="str">
            <v>0801853490</v>
          </cell>
          <cell r="AT260" t="str">
            <v>HIDALGO VERA ANA DEL ROCIO</v>
          </cell>
        </row>
        <row r="261">
          <cell r="C261" t="str">
            <v>0801853490</v>
          </cell>
          <cell r="AT261" t="str">
            <v>HIDALGO VERA ANA DEL ROCIO</v>
          </cell>
        </row>
        <row r="262">
          <cell r="C262" t="str">
            <v>0801853490</v>
          </cell>
          <cell r="AT262" t="str">
            <v>HIDALGO VERA ANA DEL ROCIO</v>
          </cell>
        </row>
        <row r="263">
          <cell r="C263" t="str">
            <v>0801853490</v>
          </cell>
          <cell r="AT263" t="str">
            <v>HIDALGO VERA ANA DEL ROCIO</v>
          </cell>
        </row>
        <row r="264">
          <cell r="C264" t="str">
            <v>0801853490</v>
          </cell>
          <cell r="AT264" t="str">
            <v>HIDALGO VERA ANA DEL ROCIO</v>
          </cell>
        </row>
        <row r="265">
          <cell r="C265" t="str">
            <v>0801853490</v>
          </cell>
          <cell r="AT265" t="str">
            <v>HIDALGO VERA ANA DEL ROCIO</v>
          </cell>
        </row>
        <row r="266">
          <cell r="C266" t="str">
            <v>0801853490</v>
          </cell>
          <cell r="AT266" t="str">
            <v>HIDALGO VERA ANA DEL ROCIO</v>
          </cell>
        </row>
        <row r="267">
          <cell r="C267" t="str">
            <v>0801853490</v>
          </cell>
          <cell r="AT267" t="str">
            <v>HIDALGO VERA ANA DEL ROCIO</v>
          </cell>
        </row>
        <row r="268">
          <cell r="C268" t="str">
            <v>0801853490</v>
          </cell>
          <cell r="AT268" t="str">
            <v>HIDALGO VERA ANA DEL ROCIO</v>
          </cell>
        </row>
        <row r="269">
          <cell r="C269" t="str">
            <v>0803229319</v>
          </cell>
          <cell r="AT269" t="str">
            <v>PLAZA GODOY MARISSA MELINA</v>
          </cell>
        </row>
        <row r="270">
          <cell r="C270" t="str">
            <v>0803229319</v>
          </cell>
          <cell r="AT270" t="str">
            <v>PLAZA GODOY MARISSA MELINA</v>
          </cell>
        </row>
        <row r="271">
          <cell r="C271" t="str">
            <v>0803229319</v>
          </cell>
          <cell r="AT271" t="str">
            <v>PLAZA GODOY MARISSA MELINA</v>
          </cell>
        </row>
        <row r="272">
          <cell r="C272" t="str">
            <v>0802788034</v>
          </cell>
          <cell r="AT272" t="str">
            <v>JACOME VELEZ MELINDA PATRICIA</v>
          </cell>
        </row>
        <row r="273">
          <cell r="C273" t="str">
            <v>0802788034</v>
          </cell>
          <cell r="AT273" t="str">
            <v>JACOME VELEZ MELINDA PATRICIA</v>
          </cell>
        </row>
        <row r="274">
          <cell r="C274" t="str">
            <v>0802788034</v>
          </cell>
          <cell r="AT274" t="str">
            <v>JACOME VELEZ MELINDA PATRICIA</v>
          </cell>
        </row>
        <row r="275">
          <cell r="C275" t="str">
            <v>0802656074</v>
          </cell>
          <cell r="AT275" t="str">
            <v>JAMA DIAZ EMILIA ESMERALDA</v>
          </cell>
        </row>
        <row r="276">
          <cell r="C276" t="str">
            <v>0802656074</v>
          </cell>
          <cell r="AT276" t="str">
            <v>JAMA DIAZ EMILIA ESMERALDA</v>
          </cell>
        </row>
        <row r="277">
          <cell r="C277" t="str">
            <v>0802656074</v>
          </cell>
          <cell r="AT277" t="str">
            <v>JAMA DIAZ EMILIA ESMERALDA</v>
          </cell>
        </row>
        <row r="278">
          <cell r="C278" t="str">
            <v>0802656074</v>
          </cell>
          <cell r="AT278" t="str">
            <v>JAMA DIAZ EMILIA ESMERALDA</v>
          </cell>
        </row>
        <row r="279">
          <cell r="C279" t="str">
            <v>0802656074</v>
          </cell>
          <cell r="AT279" t="str">
            <v>JAMA DIAZ EMILIA ESMERALDA</v>
          </cell>
        </row>
        <row r="280">
          <cell r="C280" t="str">
            <v>0802656074</v>
          </cell>
          <cell r="AT280" t="str">
            <v>JAMA DIAZ EMILIA ESMERALDA</v>
          </cell>
        </row>
        <row r="281">
          <cell r="C281" t="str">
            <v>0802656074</v>
          </cell>
          <cell r="AT281" t="str">
            <v>JAMA DIAZ EMILIA ESMERALDA</v>
          </cell>
        </row>
        <row r="282">
          <cell r="C282" t="str">
            <v>0802656074</v>
          </cell>
          <cell r="AT282" t="str">
            <v>JAMA DIAZ EMILIA ESMERALDA</v>
          </cell>
        </row>
        <row r="283">
          <cell r="C283" t="str">
            <v>0802656074</v>
          </cell>
          <cell r="AT283" t="str">
            <v>JAMA DIAZ EMILIA ESMERALDA</v>
          </cell>
        </row>
        <row r="284">
          <cell r="C284" t="str">
            <v>0802656074</v>
          </cell>
          <cell r="AT284" t="str">
            <v>JAMA DIAZ EMILIA ESMERALDA</v>
          </cell>
        </row>
        <row r="285">
          <cell r="C285" t="str">
            <v>0802656074</v>
          </cell>
          <cell r="AT285" t="str">
            <v>JAMA DIAZ EMILIA ESMERALDA</v>
          </cell>
        </row>
        <row r="286">
          <cell r="C286" t="str">
            <v>0802656074</v>
          </cell>
          <cell r="AT286" t="str">
            <v>JAMA DIAZ EMILIA ESMERALDA</v>
          </cell>
        </row>
        <row r="287">
          <cell r="C287" t="str">
            <v>0802656074</v>
          </cell>
          <cell r="AT287" t="str">
            <v>JAMA DIAZ EMILIA ESMERALDA</v>
          </cell>
        </row>
        <row r="288">
          <cell r="C288" t="str">
            <v>0802656074</v>
          </cell>
          <cell r="AT288" t="str">
            <v>JAMA DIAZ EMILIA ESMERALDA</v>
          </cell>
        </row>
        <row r="289">
          <cell r="C289" t="str">
            <v>0802656074</v>
          </cell>
          <cell r="AT289" t="str">
            <v>JAMA DIAZ EMILIA ESMERALDA</v>
          </cell>
        </row>
        <row r="290">
          <cell r="C290" t="str">
            <v>0802656074</v>
          </cell>
          <cell r="AT290" t="str">
            <v>JAMA DIAZ EMILIA ESMERALDA</v>
          </cell>
        </row>
        <row r="291">
          <cell r="C291" t="str">
            <v>0802656074</v>
          </cell>
          <cell r="AT291" t="str">
            <v>JAMA DIAZ EMILIA ESMERALDA</v>
          </cell>
        </row>
        <row r="292">
          <cell r="C292" t="str">
            <v>0802656074</v>
          </cell>
          <cell r="AT292" t="str">
            <v>JAMA DIAZ EMILIA ESMERALDA</v>
          </cell>
        </row>
        <row r="293">
          <cell r="C293" t="str">
            <v>0702221946</v>
          </cell>
          <cell r="AT293" t="str">
            <v>MADRID PEÑA TRUMAN ALCIVAR</v>
          </cell>
        </row>
        <row r="294">
          <cell r="C294" t="str">
            <v>0702221946</v>
          </cell>
          <cell r="AT294" t="str">
            <v>MADRID PEÑA TRUMAN ALCIVAR</v>
          </cell>
        </row>
        <row r="295">
          <cell r="C295" t="str">
            <v>0702221946</v>
          </cell>
          <cell r="AT295" t="str">
            <v>MADRID PEÑA TRUMAN ALCIVAR</v>
          </cell>
        </row>
        <row r="296">
          <cell r="C296" t="str">
            <v>0702221946</v>
          </cell>
          <cell r="AT296" t="str">
            <v>MADRID PEÑA TRUMAN ALCIVAR</v>
          </cell>
        </row>
        <row r="297">
          <cell r="C297" t="str">
            <v>0702221946</v>
          </cell>
          <cell r="AT297" t="str">
            <v>MADRID PEÑA TRUMAN ALCIVAR</v>
          </cell>
        </row>
        <row r="298">
          <cell r="C298" t="str">
            <v>0803162791</v>
          </cell>
          <cell r="AT298" t="str">
            <v>MENENDEZ CEDEÑO LORENA DEL CARMEN</v>
          </cell>
        </row>
        <row r="299">
          <cell r="C299" t="str">
            <v>0803162791</v>
          </cell>
          <cell r="AT299" t="str">
            <v>MENENDEZ CEDEÑO LORENA DEL CARMEN</v>
          </cell>
        </row>
        <row r="300">
          <cell r="C300" t="str">
            <v>0803162791</v>
          </cell>
          <cell r="AT300" t="str">
            <v>MENENDEZ CEDEÑO LORENA DEL CARMEN</v>
          </cell>
        </row>
        <row r="301">
          <cell r="C301" t="str">
            <v>0803162791</v>
          </cell>
          <cell r="AT301" t="str">
            <v>MENENDEZ CEDEÑO LORENA DEL CARMEN</v>
          </cell>
        </row>
        <row r="302">
          <cell r="C302" t="str">
            <v>0803162791</v>
          </cell>
          <cell r="AT302" t="str">
            <v>MENENDEZ CEDEÑO LORENA DEL CARMEN</v>
          </cell>
        </row>
        <row r="303">
          <cell r="C303" t="str">
            <v>0803162791</v>
          </cell>
          <cell r="AT303" t="str">
            <v>MENENDEZ CEDEÑO LORENA DEL CARMEN</v>
          </cell>
        </row>
        <row r="304">
          <cell r="C304" t="str">
            <v>0803162791</v>
          </cell>
          <cell r="AT304" t="str">
            <v>MENENDEZ CEDEÑO LORENA DEL CARMEN</v>
          </cell>
        </row>
        <row r="305">
          <cell r="C305" t="str">
            <v>0802826362</v>
          </cell>
          <cell r="AT305" t="str">
            <v>RAMIREZ CASTILLO DAMARIS PAULETTE</v>
          </cell>
        </row>
        <row r="306">
          <cell r="C306" t="str">
            <v>0802826362</v>
          </cell>
          <cell r="AT306" t="str">
            <v>RAMIREZ CASTILLO DAMARIS PAULETTE</v>
          </cell>
        </row>
        <row r="307">
          <cell r="C307" t="str">
            <v>0802826362</v>
          </cell>
          <cell r="AT307" t="str">
            <v>RAMIREZ CASTILLO DAMARIS PAULETTE</v>
          </cell>
        </row>
        <row r="308">
          <cell r="C308" t="str">
            <v>0802826362</v>
          </cell>
          <cell r="AT308" t="str">
            <v>RAMIREZ CASTILLO DAMARIS PAULETTE</v>
          </cell>
        </row>
        <row r="309">
          <cell r="C309" t="str">
            <v>0801901109</v>
          </cell>
          <cell r="AT309" t="str">
            <v>MONTAÑO BONE NELSON DARIO</v>
          </cell>
        </row>
        <row r="310">
          <cell r="C310" t="str">
            <v>0801901109</v>
          </cell>
          <cell r="AT310" t="str">
            <v>MONTAÑO BONE NELSON DARIO</v>
          </cell>
        </row>
        <row r="311">
          <cell r="C311" t="str">
            <v>0801901109</v>
          </cell>
          <cell r="AT311" t="str">
            <v>MONTAÑO BONE NELSON DARIO</v>
          </cell>
        </row>
        <row r="312">
          <cell r="C312" t="str">
            <v>0801901109</v>
          </cell>
          <cell r="AT312" t="str">
            <v>MONTAÑO BONE NELSON DARIO</v>
          </cell>
        </row>
        <row r="313">
          <cell r="C313" t="str">
            <v>0801901109</v>
          </cell>
          <cell r="AT313" t="str">
            <v>MONTAÑO BONE NELSON DARIO</v>
          </cell>
        </row>
        <row r="314">
          <cell r="C314" t="str">
            <v>0801901109</v>
          </cell>
          <cell r="AT314" t="str">
            <v>MONTAÑO BONE NELSON DARIO</v>
          </cell>
        </row>
        <row r="315">
          <cell r="C315" t="str">
            <v>0801901109</v>
          </cell>
          <cell r="AT315" t="str">
            <v>MONTAÑO BONE NELSON DARIO</v>
          </cell>
        </row>
        <row r="316">
          <cell r="C316" t="str">
            <v>0801901109</v>
          </cell>
          <cell r="AT316" t="str">
            <v>MONTAÑO BONE NELSON DARIO</v>
          </cell>
        </row>
        <row r="317">
          <cell r="C317" t="str">
            <v>0801901109</v>
          </cell>
          <cell r="AT317" t="str">
            <v>MONTAÑO BONE NELSON DARIO</v>
          </cell>
        </row>
        <row r="318">
          <cell r="C318" t="str">
            <v>0801901109</v>
          </cell>
          <cell r="AT318" t="str">
            <v>MONTAÑO BONE NELSON DARIO</v>
          </cell>
        </row>
        <row r="319">
          <cell r="C319" t="str">
            <v>0802087734</v>
          </cell>
          <cell r="AT319" t="str">
            <v>MONTAÑO TENORIO TAIRA BLASINA</v>
          </cell>
        </row>
        <row r="320">
          <cell r="C320" t="str">
            <v>0802087734</v>
          </cell>
          <cell r="AT320" t="str">
            <v>MONTAÑO TENORIO TAIRA BLASINA</v>
          </cell>
        </row>
        <row r="321">
          <cell r="C321" t="str">
            <v>0802087734</v>
          </cell>
          <cell r="AT321" t="str">
            <v>MONTAÑO TENORIO TAIRA BLASINA</v>
          </cell>
        </row>
        <row r="322">
          <cell r="C322" t="str">
            <v>0802087734</v>
          </cell>
          <cell r="AT322" t="str">
            <v>MONTAÑO TENORIO TAIRA BLASINA</v>
          </cell>
        </row>
        <row r="323">
          <cell r="C323" t="str">
            <v>0802087734</v>
          </cell>
          <cell r="AT323" t="str">
            <v>MONTAÑO TENORIO TAIRA BLASINA</v>
          </cell>
        </row>
        <row r="324">
          <cell r="C324" t="str">
            <v>0802087734</v>
          </cell>
          <cell r="AT324" t="str">
            <v>MONTAÑO TENORIO TAIRA BLASINA</v>
          </cell>
        </row>
        <row r="325">
          <cell r="C325" t="str">
            <v>0802087734</v>
          </cell>
          <cell r="AT325" t="str">
            <v>MONTAÑO TENORIO TAIRA BLASINA</v>
          </cell>
        </row>
        <row r="326">
          <cell r="C326" t="str">
            <v>0802087734</v>
          </cell>
          <cell r="AT326" t="str">
            <v>MONTAÑO TENORIO TAIRA BLASINA</v>
          </cell>
        </row>
        <row r="327">
          <cell r="C327" t="str">
            <v>0800604449</v>
          </cell>
          <cell r="AT327" t="str">
            <v>MORCILLO FIGUEROA DELIA ELINA</v>
          </cell>
        </row>
        <row r="328">
          <cell r="C328" t="str">
            <v>0800604449</v>
          </cell>
          <cell r="AT328" t="str">
            <v>MORCILLO FIGUEROA DELIA ELINA</v>
          </cell>
        </row>
        <row r="329">
          <cell r="C329" t="str">
            <v>0800604449</v>
          </cell>
          <cell r="AT329" t="str">
            <v>MORCILLO FIGUEROA DELIA ELINA</v>
          </cell>
        </row>
        <row r="330">
          <cell r="C330" t="str">
            <v>0800604449</v>
          </cell>
          <cell r="AT330" t="str">
            <v>MORCILLO FIGUEROA DELIA ELINA</v>
          </cell>
        </row>
        <row r="331">
          <cell r="C331" t="str">
            <v>0800604449</v>
          </cell>
          <cell r="AT331" t="str">
            <v>MORCILLO FIGUEROA DELIA ELINA</v>
          </cell>
        </row>
        <row r="332">
          <cell r="C332" t="str">
            <v>0800604449</v>
          </cell>
          <cell r="AT332" t="str">
            <v>MORCILLO FIGUEROA DELIA ELINA</v>
          </cell>
        </row>
        <row r="333">
          <cell r="C333" t="str">
            <v>0800604449</v>
          </cell>
          <cell r="AT333" t="str">
            <v>MORCILLO FIGUEROA DELIA ELINA</v>
          </cell>
        </row>
        <row r="334">
          <cell r="C334" t="str">
            <v>0800604449</v>
          </cell>
          <cell r="AT334" t="str">
            <v>MORCILLO FIGUEROA DELIA ELINA</v>
          </cell>
        </row>
        <row r="335">
          <cell r="C335" t="str">
            <v>0800604449</v>
          </cell>
          <cell r="AT335" t="str">
            <v>MORCILLO FIGUEROA DELIA ELINA</v>
          </cell>
        </row>
        <row r="336">
          <cell r="C336" t="str">
            <v>0800604449</v>
          </cell>
          <cell r="AT336" t="str">
            <v>MORCILLO FIGUEROA DELIA ELINA</v>
          </cell>
        </row>
        <row r="337">
          <cell r="C337" t="str">
            <v>0800604449</v>
          </cell>
          <cell r="AT337" t="str">
            <v>MORCILLO FIGUEROA DELIA ELINA</v>
          </cell>
        </row>
        <row r="338">
          <cell r="C338" t="str">
            <v>0800604449</v>
          </cell>
          <cell r="AT338" t="str">
            <v>MORCILLO FIGUEROA DELIA ELINA</v>
          </cell>
        </row>
        <row r="339">
          <cell r="C339" t="str">
            <v>0800604449</v>
          </cell>
          <cell r="AT339" t="str">
            <v>MORCILLO FIGUEROA DELIA ELINA</v>
          </cell>
        </row>
        <row r="340">
          <cell r="C340" t="str">
            <v>0800604449</v>
          </cell>
          <cell r="AT340" t="str">
            <v>MORCILLO FIGUEROA DELIA ELINA</v>
          </cell>
        </row>
        <row r="341">
          <cell r="C341">
            <v>803484161</v>
          </cell>
          <cell r="AT341" t="str">
            <v>ZUÑIGA SOSA EVELIN ALEXANDRA</v>
          </cell>
        </row>
        <row r="342">
          <cell r="C342" t="str">
            <v>0803484161</v>
          </cell>
          <cell r="AT342" t="str">
            <v>ZUÑIGA SOSA EVELIN ALEXANDRA</v>
          </cell>
        </row>
        <row r="343">
          <cell r="C343" t="str">
            <v>0803484161</v>
          </cell>
          <cell r="AT343" t="str">
            <v>ZUÑIGA SOSA EVELIN ALEXANDRA</v>
          </cell>
        </row>
        <row r="344">
          <cell r="C344" t="str">
            <v>0801463555</v>
          </cell>
          <cell r="AT344" t="str">
            <v>OLAYA CAMACHO CARLOS ECUADOR</v>
          </cell>
        </row>
        <row r="345">
          <cell r="C345" t="str">
            <v>0801463555</v>
          </cell>
          <cell r="AT345" t="str">
            <v>OLAYA CAMACHO CARLOS ECUADOR</v>
          </cell>
        </row>
        <row r="346">
          <cell r="C346" t="str">
            <v>0801463555</v>
          </cell>
          <cell r="AT346" t="str">
            <v>OLAYA CAMACHO CARLOS ECUADOR</v>
          </cell>
        </row>
        <row r="347">
          <cell r="C347" t="str">
            <v>0801463555</v>
          </cell>
          <cell r="AT347" t="str">
            <v>OLAYA CAMACHO CARLOS ECUADOR</v>
          </cell>
        </row>
        <row r="348">
          <cell r="C348" t="str">
            <v>0801463555</v>
          </cell>
          <cell r="AT348" t="str">
            <v>OLAYA CAMACHO CARLOS ECUADOR</v>
          </cell>
        </row>
        <row r="349">
          <cell r="C349" t="str">
            <v>0801463555</v>
          </cell>
          <cell r="AT349" t="str">
            <v>OLAYA CAMACHO CARLOS ECUADOR</v>
          </cell>
        </row>
        <row r="350">
          <cell r="C350" t="str">
            <v>0801463555</v>
          </cell>
          <cell r="AT350" t="str">
            <v>OLAYA CAMACHO CARLOS ECUADOR</v>
          </cell>
        </row>
        <row r="351">
          <cell r="C351" t="str">
            <v>0801463555</v>
          </cell>
          <cell r="AT351" t="str">
            <v>OLAYA CAMACHO CARLOS ECUADOR</v>
          </cell>
        </row>
        <row r="352">
          <cell r="C352" t="str">
            <v>0801463555</v>
          </cell>
          <cell r="AT352" t="str">
            <v>OLAYA CAMACHO CARLOS ECUADOR</v>
          </cell>
        </row>
        <row r="353">
          <cell r="C353" t="str">
            <v>0801463555</v>
          </cell>
          <cell r="AT353" t="str">
            <v>OLAYA CAMACHO CARLOS ECUADOR</v>
          </cell>
        </row>
        <row r="354">
          <cell r="C354" t="str">
            <v>0801463555</v>
          </cell>
          <cell r="AT354" t="str">
            <v>OLAYA CAMACHO CARLOS ECUADOR</v>
          </cell>
        </row>
        <row r="355">
          <cell r="C355" t="str">
            <v>0801463555</v>
          </cell>
          <cell r="AT355" t="str">
            <v>OLAYA CAMACHO CARLOS ECUADOR</v>
          </cell>
        </row>
        <row r="356">
          <cell r="C356" t="str">
            <v>0801463555</v>
          </cell>
          <cell r="AT356" t="str">
            <v>OLAYA CAMACHO CARLOS ECUADOR</v>
          </cell>
        </row>
        <row r="357">
          <cell r="C357" t="str">
            <v>0804372993</v>
          </cell>
          <cell r="AT357" t="str">
            <v>OLAYA CHASING EDISON EDUARDO</v>
          </cell>
        </row>
        <row r="358">
          <cell r="C358" t="str">
            <v>0804372993</v>
          </cell>
          <cell r="AT358" t="str">
            <v>OLAYA CHASING EDISON EDUARDO</v>
          </cell>
        </row>
        <row r="359">
          <cell r="C359" t="str">
            <v>0804372993</v>
          </cell>
          <cell r="AT359" t="str">
            <v>OLAYA CHASING EDISON EDUARDO</v>
          </cell>
        </row>
        <row r="360">
          <cell r="C360" t="str">
            <v>0804372993</v>
          </cell>
          <cell r="AT360" t="str">
            <v>OLAYA CHASING EDISON EDUARDO</v>
          </cell>
        </row>
        <row r="361">
          <cell r="C361" t="str">
            <v>1724550163</v>
          </cell>
          <cell r="AT361" t="str">
            <v xml:space="preserve">VILLARREAL PUGA JOSUE </v>
          </cell>
        </row>
        <row r="362">
          <cell r="C362" t="str">
            <v>1724550163</v>
          </cell>
          <cell r="AT362" t="str">
            <v xml:space="preserve">VILLARREAL PUGA JOSUE </v>
          </cell>
        </row>
        <row r="363">
          <cell r="C363" t="str">
            <v>1724550163</v>
          </cell>
          <cell r="AT363" t="str">
            <v xml:space="preserve">VILLARREAL PUGA JOSUE </v>
          </cell>
        </row>
        <row r="364">
          <cell r="C364" t="str">
            <v>1724550163</v>
          </cell>
          <cell r="AT364" t="str">
            <v xml:space="preserve">VILLARREAL PUGA JOSUE </v>
          </cell>
        </row>
        <row r="365">
          <cell r="C365" t="str">
            <v>1724550163</v>
          </cell>
          <cell r="AT365" t="str">
            <v xml:space="preserve">VILLARREAL PUGA JOSUE </v>
          </cell>
        </row>
        <row r="366">
          <cell r="C366" t="str">
            <v>1724550163</v>
          </cell>
          <cell r="AT366" t="str">
            <v xml:space="preserve">VILLARREAL PUGA JOSUE </v>
          </cell>
        </row>
        <row r="367">
          <cell r="C367" t="str">
            <v>0801552696</v>
          </cell>
          <cell r="AT367" t="str">
            <v xml:space="preserve">OREJUELA MINA NARDY </v>
          </cell>
        </row>
        <row r="368">
          <cell r="C368" t="str">
            <v>0801552696</v>
          </cell>
          <cell r="AT368" t="str">
            <v xml:space="preserve">OREJUELA MINA NARDY </v>
          </cell>
        </row>
        <row r="369">
          <cell r="C369" t="str">
            <v>0801552696</v>
          </cell>
          <cell r="AT369" t="str">
            <v xml:space="preserve">OREJUELA MINA NARDY </v>
          </cell>
        </row>
        <row r="370">
          <cell r="C370" t="str">
            <v>0801552696</v>
          </cell>
          <cell r="AT370" t="str">
            <v xml:space="preserve">OREJUELA MINA NARDY </v>
          </cell>
        </row>
        <row r="371">
          <cell r="C371" t="str">
            <v>0801552696</v>
          </cell>
          <cell r="AT371" t="str">
            <v xml:space="preserve">OREJUELA MINA NARDY </v>
          </cell>
        </row>
        <row r="372">
          <cell r="C372" t="str">
            <v>0801552696</v>
          </cell>
          <cell r="AT372" t="str">
            <v xml:space="preserve">OREJUELA MINA NARDY </v>
          </cell>
        </row>
        <row r="373">
          <cell r="C373" t="str">
            <v>0801552696</v>
          </cell>
          <cell r="AT373" t="str">
            <v xml:space="preserve">OREJUELA MINA NARDY </v>
          </cell>
        </row>
        <row r="374">
          <cell r="C374" t="str">
            <v>0801552696</v>
          </cell>
          <cell r="AT374" t="str">
            <v xml:space="preserve">OREJUELA MINA NARDY </v>
          </cell>
        </row>
        <row r="375">
          <cell r="C375" t="str">
            <v>0801552696</v>
          </cell>
          <cell r="AT375" t="str">
            <v xml:space="preserve">OREJUELA MINA NARDY </v>
          </cell>
        </row>
        <row r="376">
          <cell r="C376" t="str">
            <v>0801552696</v>
          </cell>
          <cell r="AT376" t="str">
            <v xml:space="preserve">OREJUELA MINA NARDY </v>
          </cell>
        </row>
        <row r="377">
          <cell r="C377" t="str">
            <v>0801552696</v>
          </cell>
          <cell r="AT377" t="str">
            <v xml:space="preserve">OREJUELA MINA NARDY </v>
          </cell>
        </row>
        <row r="378">
          <cell r="C378" t="str">
            <v>0801552696</v>
          </cell>
          <cell r="AT378" t="str">
            <v xml:space="preserve">OREJUELA MINA NARDY </v>
          </cell>
        </row>
        <row r="379">
          <cell r="C379" t="str">
            <v>0801552696</v>
          </cell>
          <cell r="AT379" t="str">
            <v xml:space="preserve">OREJUELA MINA NARDY </v>
          </cell>
        </row>
        <row r="380">
          <cell r="C380" t="str">
            <v>0801771403</v>
          </cell>
          <cell r="AT380" t="str">
            <v>ORTIZ ORTIZ ROSA ELINA</v>
          </cell>
        </row>
        <row r="381">
          <cell r="C381" t="str">
            <v>0801771403</v>
          </cell>
          <cell r="AT381" t="str">
            <v>ORTIZ ORTIZ ROSA ELINA</v>
          </cell>
        </row>
        <row r="382">
          <cell r="C382" t="str">
            <v>0801771403</v>
          </cell>
          <cell r="AT382" t="str">
            <v>ORTIZ ORTIZ ROSA ELINA</v>
          </cell>
        </row>
        <row r="383">
          <cell r="C383" t="str">
            <v>0801771403</v>
          </cell>
          <cell r="AT383" t="str">
            <v>ORTIZ ORTIZ ROSA ELINA</v>
          </cell>
        </row>
        <row r="384">
          <cell r="C384" t="str">
            <v>0801861238</v>
          </cell>
          <cell r="AT384" t="str">
            <v>PALACIOS SALINAS TARYN YESENIA</v>
          </cell>
        </row>
        <row r="385">
          <cell r="C385" t="str">
            <v>0801861238</v>
          </cell>
          <cell r="AT385" t="str">
            <v>PALACIOS SALINAS TARYN YESENIA</v>
          </cell>
        </row>
        <row r="386">
          <cell r="C386" t="str">
            <v>0801861238</v>
          </cell>
          <cell r="AT386" t="str">
            <v>PALACIOS SALINAS TARYN YESENIA</v>
          </cell>
        </row>
        <row r="387">
          <cell r="C387" t="str">
            <v>0801861238</v>
          </cell>
          <cell r="AT387" t="str">
            <v>PALACIOS SALINAS TARYN YESENIA</v>
          </cell>
        </row>
        <row r="388">
          <cell r="C388" t="str">
            <v>0801861238</v>
          </cell>
          <cell r="AT388" t="str">
            <v>PALACIOS SALINAS TARYN YESENIA</v>
          </cell>
        </row>
        <row r="389">
          <cell r="C389" t="str">
            <v>0801861238</v>
          </cell>
          <cell r="AT389" t="str">
            <v>PALACIOS SALINAS TARYN YESENIA</v>
          </cell>
        </row>
        <row r="390">
          <cell r="C390" t="str">
            <v>0801861238</v>
          </cell>
          <cell r="AT390" t="str">
            <v>PALACIOS SALINAS TARYN YESENIA</v>
          </cell>
        </row>
        <row r="391">
          <cell r="C391" t="str">
            <v>0801861238</v>
          </cell>
          <cell r="AT391" t="str">
            <v>PALACIOS SALINAS TARYN YESENIA</v>
          </cell>
        </row>
        <row r="392">
          <cell r="C392" t="str">
            <v>0801861238</v>
          </cell>
          <cell r="AT392" t="str">
            <v>PALACIOS SALINAS TARYN YESENIA</v>
          </cell>
        </row>
        <row r="393">
          <cell r="C393" t="str">
            <v>0801861238</v>
          </cell>
          <cell r="AT393" t="str">
            <v>PALACIOS SALINAS TARYN YESENIA</v>
          </cell>
        </row>
        <row r="394">
          <cell r="C394" t="str">
            <v>0801861238</v>
          </cell>
          <cell r="AT394" t="str">
            <v>PALACIOS SALINAS TARYN YESENIA</v>
          </cell>
        </row>
        <row r="395">
          <cell r="C395" t="str">
            <v>0801861238</v>
          </cell>
          <cell r="AT395" t="str">
            <v>PALACIOS SALINAS TARYN YESENIA</v>
          </cell>
        </row>
        <row r="396">
          <cell r="C396" t="str">
            <v>0801861238</v>
          </cell>
          <cell r="AT396" t="str">
            <v>PALACIOS SALINAS TARYN YESENIA</v>
          </cell>
        </row>
        <row r="397">
          <cell r="C397" t="str">
            <v>0801861238</v>
          </cell>
          <cell r="AT397" t="str">
            <v>PALACIOS SALINAS TARYN YESENIA</v>
          </cell>
        </row>
        <row r="398">
          <cell r="C398" t="str">
            <v>0801861238</v>
          </cell>
          <cell r="AT398" t="str">
            <v>PALACIOS SALINAS TARYN YESENIA</v>
          </cell>
        </row>
        <row r="399">
          <cell r="C399" t="str">
            <v>0801861238</v>
          </cell>
          <cell r="AT399" t="str">
            <v>PALACIOS SALINAS TARYN YESENIA</v>
          </cell>
        </row>
        <row r="400">
          <cell r="C400" t="str">
            <v>0801861238</v>
          </cell>
          <cell r="AT400" t="str">
            <v>PALACIOS SALINAS TARYN YESENIA</v>
          </cell>
        </row>
        <row r="401">
          <cell r="C401" t="str">
            <v>0801861238</v>
          </cell>
          <cell r="AT401" t="str">
            <v>PALACIOS SALINAS TARYN YESENIA</v>
          </cell>
        </row>
        <row r="402">
          <cell r="C402" t="str">
            <v>0801861238</v>
          </cell>
          <cell r="AT402" t="str">
            <v>PALACIOS SALINAS TARYN YESENIA</v>
          </cell>
        </row>
        <row r="403">
          <cell r="C403" t="str">
            <v>0801861238</v>
          </cell>
          <cell r="AT403" t="str">
            <v>PALACIOS SALINAS TARYN YESENIA</v>
          </cell>
        </row>
        <row r="404">
          <cell r="C404" t="str">
            <v>0801861238</v>
          </cell>
          <cell r="AT404" t="str">
            <v>PALACIOS SALINAS TARYN YESENIA</v>
          </cell>
        </row>
        <row r="405">
          <cell r="C405" t="str">
            <v>0801313024</v>
          </cell>
          <cell r="AT405" t="str">
            <v>PLAZA VIZCAINO JENNY JACKELINE</v>
          </cell>
        </row>
        <row r="406">
          <cell r="C406" t="str">
            <v>0801313024</v>
          </cell>
          <cell r="AT406" t="str">
            <v>PLAZA VIZCAINO JENNY JACKELINE</v>
          </cell>
        </row>
        <row r="407">
          <cell r="C407" t="str">
            <v>0801313024</v>
          </cell>
          <cell r="AT407" t="str">
            <v>PLAZA VIZCAINO JENNY JACKELINE</v>
          </cell>
        </row>
        <row r="408">
          <cell r="C408" t="str">
            <v>0801313024</v>
          </cell>
          <cell r="AT408" t="str">
            <v>PLAZA VIZCAINO JENNY JACKELINE</v>
          </cell>
        </row>
        <row r="409">
          <cell r="C409" t="str">
            <v>0801313024</v>
          </cell>
          <cell r="AT409" t="str">
            <v>PLAZA VIZCAINO JENNY JACKELINE</v>
          </cell>
        </row>
        <row r="410">
          <cell r="C410" t="str">
            <v>0801313024</v>
          </cell>
          <cell r="AT410" t="str">
            <v>PLAZA VIZCAINO JENNY JACKELINE</v>
          </cell>
        </row>
        <row r="411">
          <cell r="C411" t="str">
            <v>0801313024</v>
          </cell>
          <cell r="AT411" t="str">
            <v>PLAZA VIZCAINO JENNY JACKELINE</v>
          </cell>
        </row>
        <row r="412">
          <cell r="C412" t="str">
            <v>0801558446</v>
          </cell>
          <cell r="AT412" t="str">
            <v>INTRIAGO FERRIN ANA SARIAH</v>
          </cell>
        </row>
        <row r="413">
          <cell r="C413" t="str">
            <v>0802551325</v>
          </cell>
          <cell r="AT413" t="str">
            <v>PROAÑO ROCHA JACKELINE DEL ROSARIO</v>
          </cell>
        </row>
        <row r="414">
          <cell r="C414" t="str">
            <v>0802551325</v>
          </cell>
          <cell r="AT414" t="str">
            <v>PROAÑO ROCHA JACKELINE DEL ROSARIO</v>
          </cell>
        </row>
        <row r="415">
          <cell r="C415" t="str">
            <v>0802551325</v>
          </cell>
          <cell r="AT415" t="str">
            <v>PROAÑO ROCHA JACKELINE DEL ROSARIO</v>
          </cell>
        </row>
        <row r="416">
          <cell r="C416" t="str">
            <v>0802551325</v>
          </cell>
          <cell r="AT416" t="str">
            <v>PROAÑO ROCHA JACKELINE DEL ROSARIO</v>
          </cell>
        </row>
        <row r="417">
          <cell r="C417" t="str">
            <v>0802551325</v>
          </cell>
          <cell r="AT417" t="str">
            <v>PROAÑO ROCHA JACKELINE DEL ROSARIO</v>
          </cell>
        </row>
        <row r="418">
          <cell r="C418" t="str">
            <v>0802551325</v>
          </cell>
          <cell r="AT418" t="str">
            <v>PROAÑO ROCHA JACKELINE DEL ROSARIO</v>
          </cell>
        </row>
        <row r="419">
          <cell r="C419" t="str">
            <v>0802551325</v>
          </cell>
          <cell r="AT419" t="str">
            <v>PROAÑO ROCHA JACKELINE DEL ROSARIO</v>
          </cell>
        </row>
        <row r="420">
          <cell r="C420" t="str">
            <v>0802551325</v>
          </cell>
          <cell r="AT420" t="str">
            <v>PROAÑO ROCHA JACKELINE DEL ROSARIO</v>
          </cell>
        </row>
        <row r="421">
          <cell r="C421" t="str">
            <v>0802551325</v>
          </cell>
          <cell r="AT421" t="str">
            <v>PROAÑO ROCHA JACKELINE DEL ROSARIO</v>
          </cell>
        </row>
        <row r="422">
          <cell r="C422" t="str">
            <v>0802551325</v>
          </cell>
          <cell r="AT422" t="str">
            <v>PROAÑO ROCHA JACKELINE DEL ROSARIO</v>
          </cell>
        </row>
        <row r="423">
          <cell r="C423" t="str">
            <v>0802551325</v>
          </cell>
          <cell r="AT423" t="str">
            <v>PROAÑO ROCHA JACKELINE DEL ROSARIO</v>
          </cell>
        </row>
        <row r="424">
          <cell r="C424" t="str">
            <v>0802551325</v>
          </cell>
          <cell r="AT424" t="str">
            <v>PROAÑO ROCHA JACKELINE DEL ROSARIO</v>
          </cell>
        </row>
        <row r="425">
          <cell r="C425" t="str">
            <v>0802551325</v>
          </cell>
          <cell r="AT425" t="str">
            <v>PROAÑO ROCHA JACKELINE DEL ROSARIO</v>
          </cell>
        </row>
        <row r="426">
          <cell r="C426" t="str">
            <v>0802551325</v>
          </cell>
          <cell r="AT426" t="str">
            <v>PROAÑO ROCHA JACKELINE DEL ROSARIO</v>
          </cell>
        </row>
        <row r="427">
          <cell r="C427" t="str">
            <v>0802551325</v>
          </cell>
          <cell r="AT427" t="str">
            <v>PROAÑO ROCHA JACKELINE DEL ROSARIO</v>
          </cell>
        </row>
        <row r="428">
          <cell r="C428" t="str">
            <v>0802551325</v>
          </cell>
          <cell r="AT428" t="str">
            <v>PROAÑO ROCHA JACKELINE DEL ROSARIO</v>
          </cell>
        </row>
        <row r="429">
          <cell r="C429" t="str">
            <v>0802551325</v>
          </cell>
          <cell r="AT429" t="str">
            <v>PROAÑO ROCHA JACKELINE DEL ROSARIO</v>
          </cell>
        </row>
        <row r="430">
          <cell r="C430" t="str">
            <v>0802551325</v>
          </cell>
          <cell r="AT430" t="str">
            <v>PROAÑO ROCHA JACKELINE DEL ROSARIO</v>
          </cell>
        </row>
        <row r="431">
          <cell r="C431" t="str">
            <v>0802551325</v>
          </cell>
          <cell r="AT431" t="str">
            <v>PROAÑO ROCHA JACKELINE DEL ROSARIO</v>
          </cell>
        </row>
        <row r="432">
          <cell r="C432" t="str">
            <v>0800758344</v>
          </cell>
          <cell r="AT432" t="str">
            <v>QUINTERO ARROYO JORGE TULIO</v>
          </cell>
        </row>
        <row r="433">
          <cell r="C433" t="str">
            <v>0800758344</v>
          </cell>
          <cell r="AT433" t="str">
            <v>QUINTERO ARROYO JORGE TULIO</v>
          </cell>
        </row>
        <row r="434">
          <cell r="C434" t="str">
            <v>0800758344</v>
          </cell>
          <cell r="AT434" t="str">
            <v>QUINTERO ARROYO JORGE TULIO</v>
          </cell>
        </row>
        <row r="435">
          <cell r="C435" t="str">
            <v>0800787673</v>
          </cell>
          <cell r="AT435" t="str">
            <v>QUINTERO CORTEZ ERIKA IVETTE</v>
          </cell>
        </row>
        <row r="436">
          <cell r="C436" t="str">
            <v>0800787673</v>
          </cell>
          <cell r="AT436" t="str">
            <v>QUINTERO CORTEZ ERIKA IVETTE</v>
          </cell>
        </row>
        <row r="437">
          <cell r="C437" t="str">
            <v>0800787673</v>
          </cell>
          <cell r="AT437" t="str">
            <v>QUINTERO CORTEZ ERIKA IVETTE</v>
          </cell>
        </row>
        <row r="438">
          <cell r="C438" t="str">
            <v>0800787673</v>
          </cell>
          <cell r="AT438" t="str">
            <v>QUINTERO CORTEZ ERIKA IVETTE</v>
          </cell>
        </row>
        <row r="439">
          <cell r="C439" t="str">
            <v>0800787673</v>
          </cell>
          <cell r="AT439" t="str">
            <v>QUINTERO CORTEZ ERIKA IVETTE</v>
          </cell>
        </row>
        <row r="440">
          <cell r="C440" t="str">
            <v>0800787673</v>
          </cell>
          <cell r="AT440" t="str">
            <v>QUINTERO CORTEZ ERIKA IVETTE</v>
          </cell>
        </row>
        <row r="441">
          <cell r="C441" t="str">
            <v>0800787673</v>
          </cell>
          <cell r="AT441" t="str">
            <v>QUINTERO CORTEZ ERIKA IVETTE</v>
          </cell>
        </row>
        <row r="442">
          <cell r="C442" t="str">
            <v>0800787673</v>
          </cell>
          <cell r="AT442" t="str">
            <v>QUINTERO CORTEZ ERIKA IVETTE</v>
          </cell>
        </row>
        <row r="443">
          <cell r="C443" t="str">
            <v>0800787673</v>
          </cell>
          <cell r="AT443" t="str">
            <v>QUINTERO CORTEZ ERIKA IVETTE</v>
          </cell>
        </row>
        <row r="444">
          <cell r="C444" t="str">
            <v>0800787673</v>
          </cell>
          <cell r="AT444" t="str">
            <v>QUINTERO CORTEZ ERIKA IVETTE</v>
          </cell>
        </row>
        <row r="445">
          <cell r="C445" t="str">
            <v>0800787673</v>
          </cell>
          <cell r="AT445" t="str">
            <v>QUINTERO CORTEZ ERIKA IVETTE</v>
          </cell>
        </row>
        <row r="446">
          <cell r="C446" t="str">
            <v>0800787673</v>
          </cell>
          <cell r="AT446" t="str">
            <v>QUINTERO CORTEZ ERIKA IVETTE</v>
          </cell>
        </row>
        <row r="447">
          <cell r="C447" t="str">
            <v>0800787673</v>
          </cell>
          <cell r="AT447" t="str">
            <v>QUINTERO CORTEZ ERIKA IVETTE</v>
          </cell>
        </row>
        <row r="448">
          <cell r="C448" t="str">
            <v>0800787673</v>
          </cell>
          <cell r="AT448" t="str">
            <v>QUINTERO CORTEZ ERIKA IVETTE</v>
          </cell>
        </row>
        <row r="449">
          <cell r="C449" t="str">
            <v>0800787673</v>
          </cell>
          <cell r="AT449" t="str">
            <v>QUINTERO CORTEZ ERIKA IVETTE</v>
          </cell>
        </row>
        <row r="450">
          <cell r="C450" t="str">
            <v>0800787673</v>
          </cell>
          <cell r="AT450" t="str">
            <v>QUINTERO CORTEZ ERIKA IVETTE</v>
          </cell>
        </row>
        <row r="451">
          <cell r="C451" t="str">
            <v>0800787673</v>
          </cell>
          <cell r="AT451" t="str">
            <v>QUINTERO CORTEZ ERIKA IVETTE</v>
          </cell>
        </row>
        <row r="452">
          <cell r="C452" t="str">
            <v>0800787673</v>
          </cell>
          <cell r="AT452" t="str">
            <v>QUINTERO CORTEZ ERIKA IVETTE</v>
          </cell>
        </row>
        <row r="453">
          <cell r="C453" t="str">
            <v>0800787673</v>
          </cell>
          <cell r="AT453" t="str">
            <v>QUINTERO CORTEZ ERIKA IVETTE</v>
          </cell>
        </row>
        <row r="454">
          <cell r="C454" t="str">
            <v>0800787673</v>
          </cell>
          <cell r="AT454" t="str">
            <v>QUINTERO CORTEZ ERIKA IVETTE</v>
          </cell>
        </row>
        <row r="455">
          <cell r="C455" t="str">
            <v>0800787673</v>
          </cell>
          <cell r="AT455" t="str">
            <v>QUINTERO CORTEZ ERIKA IVETTE</v>
          </cell>
        </row>
        <row r="456">
          <cell r="C456" t="str">
            <v>0800787673</v>
          </cell>
          <cell r="AT456" t="str">
            <v>QUINTERO CORTEZ ERIKA IVETTE</v>
          </cell>
        </row>
        <row r="457">
          <cell r="C457" t="str">
            <v>0800787673</v>
          </cell>
          <cell r="AT457" t="str">
            <v>QUINTERO CORTEZ ERIKA IVETTE</v>
          </cell>
        </row>
        <row r="458">
          <cell r="C458" t="str">
            <v>0800787673</v>
          </cell>
          <cell r="AT458" t="str">
            <v>QUINTERO CORTEZ ERIKA IVETTE</v>
          </cell>
        </row>
        <row r="459">
          <cell r="C459" t="str">
            <v>0800787673</v>
          </cell>
          <cell r="AT459" t="str">
            <v>QUINTERO CORTEZ ERIKA IVETTE</v>
          </cell>
        </row>
        <row r="460">
          <cell r="C460" t="str">
            <v>0800787673</v>
          </cell>
          <cell r="AT460" t="str">
            <v>QUINTERO CORTEZ ERIKA IVETTE</v>
          </cell>
        </row>
        <row r="461">
          <cell r="C461" t="str">
            <v>0800787673</v>
          </cell>
          <cell r="AT461" t="str">
            <v>QUINTERO CORTEZ ERIKA IVETTE</v>
          </cell>
        </row>
        <row r="462">
          <cell r="C462" t="str">
            <v>0802288852</v>
          </cell>
          <cell r="AT462" t="str">
            <v>QUIÑONEZ CABEZA YECICA YANIRA</v>
          </cell>
        </row>
        <row r="463">
          <cell r="C463" t="str">
            <v>0802288852</v>
          </cell>
          <cell r="AT463" t="str">
            <v>QUIÑONEZ CABEZA YECICA YANIRA</v>
          </cell>
        </row>
        <row r="464">
          <cell r="C464" t="str">
            <v>0802288852</v>
          </cell>
          <cell r="AT464" t="str">
            <v>QUIÑONEZ CABEZA YECICA YANIRA</v>
          </cell>
        </row>
        <row r="465">
          <cell r="C465" t="str">
            <v>0802288852</v>
          </cell>
          <cell r="AT465" t="str">
            <v>QUIÑONEZ CABEZA YECICA YANIRA</v>
          </cell>
        </row>
        <row r="466">
          <cell r="C466" t="str">
            <v>0802288852</v>
          </cell>
          <cell r="AT466" t="str">
            <v>QUIÑONEZ CABEZA YECICA YANIRA</v>
          </cell>
        </row>
        <row r="467">
          <cell r="C467" t="str">
            <v>0802288852</v>
          </cell>
          <cell r="AT467" t="str">
            <v>QUIÑONEZ CABEZA YECICA YANIRA</v>
          </cell>
        </row>
        <row r="468">
          <cell r="C468" t="str">
            <v>0802288852</v>
          </cell>
          <cell r="AT468" t="str">
            <v>QUIÑONEZ CABEZA YECICA YANIRA</v>
          </cell>
        </row>
        <row r="469">
          <cell r="C469" t="str">
            <v>0802288852</v>
          </cell>
          <cell r="AT469" t="str">
            <v>QUIÑONEZ CABEZA YECICA YANIRA</v>
          </cell>
        </row>
        <row r="470">
          <cell r="C470" t="str">
            <v>0802288852</v>
          </cell>
          <cell r="AT470" t="str">
            <v>QUIÑONEZ CABEZA YECICA YANIRA</v>
          </cell>
        </row>
        <row r="471">
          <cell r="C471" t="str">
            <v>0802288852</v>
          </cell>
          <cell r="AT471" t="str">
            <v>QUIÑONEZ CABEZA YECICA YANIRA</v>
          </cell>
        </row>
        <row r="472">
          <cell r="C472" t="str">
            <v>0802288852</v>
          </cell>
          <cell r="AT472" t="str">
            <v>QUIÑONEZ CABEZA YECICA YANIRA</v>
          </cell>
        </row>
        <row r="473">
          <cell r="C473" t="str">
            <v>0802288852</v>
          </cell>
          <cell r="AT473" t="str">
            <v>QUIÑONEZ CABEZA YECICA YANIRA</v>
          </cell>
        </row>
        <row r="474">
          <cell r="C474" t="str">
            <v>0802288852</v>
          </cell>
          <cell r="AT474" t="str">
            <v>QUIÑONEZ CABEZA YECICA YANIRA</v>
          </cell>
        </row>
        <row r="475">
          <cell r="C475" t="str">
            <v>0802288852</v>
          </cell>
          <cell r="AT475" t="str">
            <v>QUIÑONEZ CABEZA YECICA YANIRA</v>
          </cell>
        </row>
        <row r="476">
          <cell r="C476" t="str">
            <v>0802288852</v>
          </cell>
          <cell r="AT476" t="str">
            <v>QUIÑONEZ CABEZA YECICA YANIRA</v>
          </cell>
        </row>
        <row r="477">
          <cell r="C477" t="str">
            <v>0802288852</v>
          </cell>
          <cell r="AT477" t="str">
            <v>QUIÑONEZ CABEZA YECICA YANIRA</v>
          </cell>
        </row>
        <row r="478">
          <cell r="C478" t="str">
            <v>0802288852</v>
          </cell>
          <cell r="AT478" t="str">
            <v>QUIÑONEZ CABEZA YECICA YANIRA</v>
          </cell>
        </row>
        <row r="479">
          <cell r="C479" t="str">
            <v>0802288852</v>
          </cell>
          <cell r="AT479" t="str">
            <v>QUIÑONEZ CABEZA YECICA YANIRA</v>
          </cell>
        </row>
        <row r="480">
          <cell r="C480" t="str">
            <v>0802288852</v>
          </cell>
          <cell r="AT480" t="str">
            <v>QUIÑONEZ CABEZA YECICA YANIRA</v>
          </cell>
        </row>
        <row r="481">
          <cell r="C481" t="str">
            <v>0802288852</v>
          </cell>
          <cell r="AT481" t="str">
            <v>QUIÑONEZ CABEZA YECICA YANIRA</v>
          </cell>
        </row>
        <row r="482">
          <cell r="C482" t="str">
            <v>0802288852</v>
          </cell>
          <cell r="AT482" t="str">
            <v>QUIÑONEZ CABEZA YECICA YANIRA</v>
          </cell>
        </row>
        <row r="483">
          <cell r="C483" t="str">
            <v>0802288852</v>
          </cell>
          <cell r="AT483" t="str">
            <v>QUIÑONEZ CABEZA YECICA YANIRA</v>
          </cell>
        </row>
        <row r="484">
          <cell r="C484" t="str">
            <v>0802288852</v>
          </cell>
          <cell r="AT484" t="str">
            <v>QUIÑONEZ CABEZA YECICA YANIRA</v>
          </cell>
        </row>
        <row r="485">
          <cell r="C485" t="str">
            <v>0802288852</v>
          </cell>
          <cell r="AT485" t="str">
            <v>QUIÑONEZ CABEZA YECICA YANIRA</v>
          </cell>
        </row>
        <row r="486">
          <cell r="C486" t="str">
            <v>0802288852</v>
          </cell>
          <cell r="AT486" t="str">
            <v>QUIÑONEZ CABEZA YECICA YANIRA</v>
          </cell>
        </row>
        <row r="487">
          <cell r="C487" t="str">
            <v>0802288852</v>
          </cell>
          <cell r="AT487" t="str">
            <v>QUIÑONEZ CABEZA YECICA YANIRA</v>
          </cell>
        </row>
        <row r="488">
          <cell r="C488" t="str">
            <v>0802288852</v>
          </cell>
          <cell r="AT488" t="str">
            <v>QUIÑONEZ CABEZA YECICA YANIRA</v>
          </cell>
        </row>
        <row r="489">
          <cell r="C489" t="str">
            <v>0802288852</v>
          </cell>
          <cell r="AT489" t="str">
            <v>QUIÑONEZ CABEZA YECICA YANIRA</v>
          </cell>
        </row>
        <row r="490">
          <cell r="C490" t="str">
            <v>0802288852</v>
          </cell>
          <cell r="AT490" t="str">
            <v>QUIÑONEZ CABEZA YECICA YANIRA</v>
          </cell>
        </row>
        <row r="491">
          <cell r="C491" t="str">
            <v>0802288852</v>
          </cell>
          <cell r="AT491" t="str">
            <v>QUIÑONEZ CABEZA YECICA YANIRA</v>
          </cell>
        </row>
        <row r="492">
          <cell r="C492" t="str">
            <v>0802288852</v>
          </cell>
          <cell r="AT492" t="str">
            <v>QUIÑONEZ CABEZA YECICA YANIRA</v>
          </cell>
        </row>
        <row r="493">
          <cell r="C493" t="str">
            <v>0801694787</v>
          </cell>
          <cell r="AT493" t="str">
            <v>QUIÑONEZ LIMONES EVA VIRGINIA</v>
          </cell>
        </row>
        <row r="494">
          <cell r="C494" t="str">
            <v>0801694787</v>
          </cell>
          <cell r="AT494" t="str">
            <v>QUIÑONEZ LIMONES EVA VIRGINIA</v>
          </cell>
        </row>
        <row r="495">
          <cell r="C495" t="str">
            <v>0801694787</v>
          </cell>
          <cell r="AT495" t="str">
            <v>QUIÑONEZ LIMONES EVA VIRGINIA</v>
          </cell>
        </row>
        <row r="496">
          <cell r="C496" t="str">
            <v>0801694787</v>
          </cell>
          <cell r="AT496" t="str">
            <v>QUIÑONEZ LIMONES EVA VIRGINIA</v>
          </cell>
        </row>
        <row r="497">
          <cell r="C497" t="str">
            <v>0801694787</v>
          </cell>
          <cell r="AT497" t="str">
            <v>QUIÑONEZ LIMONES EVA VIRGINIA</v>
          </cell>
        </row>
        <row r="498">
          <cell r="C498" t="str">
            <v>0801694787</v>
          </cell>
          <cell r="AT498" t="str">
            <v>QUIÑONEZ LIMONES EVA VIRGINIA</v>
          </cell>
        </row>
        <row r="499">
          <cell r="C499" t="str">
            <v>0801694787</v>
          </cell>
          <cell r="AT499" t="str">
            <v>QUIÑONEZ LIMONES EVA VIRGINIA</v>
          </cell>
        </row>
        <row r="500">
          <cell r="C500" t="str">
            <v>0801694787</v>
          </cell>
          <cell r="AT500" t="str">
            <v>QUIÑONEZ LIMONES EVA VIRGINIA</v>
          </cell>
        </row>
        <row r="501">
          <cell r="C501" t="str">
            <v>0801694787</v>
          </cell>
          <cell r="AT501" t="str">
            <v>QUIÑONEZ LIMONES EVA VIRGINIA</v>
          </cell>
        </row>
        <row r="502">
          <cell r="C502" t="str">
            <v>0801694787</v>
          </cell>
          <cell r="AT502" t="str">
            <v>QUIÑONEZ LIMONES EVA VIRGINIA</v>
          </cell>
        </row>
        <row r="503">
          <cell r="C503" t="str">
            <v>0801694787</v>
          </cell>
          <cell r="AT503" t="str">
            <v>QUIÑONEZ LIMONES EVA VIRGINIA</v>
          </cell>
        </row>
        <row r="504">
          <cell r="C504" t="str">
            <v>0801694787</v>
          </cell>
          <cell r="AT504" t="str">
            <v>QUIÑONEZ LIMONES EVA VIRGINIA</v>
          </cell>
        </row>
        <row r="505">
          <cell r="C505" t="str">
            <v>0801694787</v>
          </cell>
          <cell r="AT505" t="str">
            <v>QUIÑONEZ LIMONES EVA VIRGINIA</v>
          </cell>
        </row>
        <row r="506">
          <cell r="C506" t="str">
            <v>0801694787</v>
          </cell>
          <cell r="AT506" t="str">
            <v>QUIÑONEZ LIMONES EVA VIRGINIA</v>
          </cell>
        </row>
        <row r="507">
          <cell r="C507" t="str">
            <v>0801694787</v>
          </cell>
          <cell r="AT507" t="str">
            <v>QUIÑONEZ LIMONES EVA VIRGINIA</v>
          </cell>
        </row>
        <row r="508">
          <cell r="C508" t="str">
            <v>0801694787</v>
          </cell>
          <cell r="AT508" t="str">
            <v>QUIÑONEZ LIMONES EVA VIRGINIA</v>
          </cell>
        </row>
        <row r="509">
          <cell r="C509" t="str">
            <v>0801694787</v>
          </cell>
          <cell r="AT509" t="str">
            <v>QUIÑONEZ LIMONES EVA VIRGINIA</v>
          </cell>
        </row>
        <row r="510">
          <cell r="C510" t="str">
            <v>0801694787</v>
          </cell>
          <cell r="AT510" t="str">
            <v>QUIÑONEZ LIMONES EVA VIRGINIA</v>
          </cell>
        </row>
        <row r="511">
          <cell r="C511" t="str">
            <v>0801694787</v>
          </cell>
          <cell r="AT511" t="str">
            <v>QUIÑONEZ LIMONES EVA VIRGINIA</v>
          </cell>
        </row>
        <row r="512">
          <cell r="C512" t="str">
            <v>0801694787</v>
          </cell>
          <cell r="AT512" t="str">
            <v>QUIÑONEZ LIMONES EVA VIRGINIA</v>
          </cell>
        </row>
        <row r="513">
          <cell r="C513" t="str">
            <v>0801694787</v>
          </cell>
          <cell r="AT513" t="str">
            <v>QUIÑONEZ LIMONES EVA VIRGINIA</v>
          </cell>
        </row>
        <row r="514">
          <cell r="C514" t="str">
            <v>0801694787</v>
          </cell>
          <cell r="AT514" t="str">
            <v>QUIÑONEZ LIMONES EVA VIRGINIA</v>
          </cell>
        </row>
        <row r="515">
          <cell r="C515" t="str">
            <v>0801694787</v>
          </cell>
          <cell r="AT515" t="str">
            <v>QUIÑONEZ LIMONES EVA VIRGINIA</v>
          </cell>
        </row>
        <row r="516">
          <cell r="C516" t="str">
            <v>0801694787</v>
          </cell>
          <cell r="AT516" t="str">
            <v>QUIÑONEZ LIMONES EVA VIRGINIA</v>
          </cell>
        </row>
        <row r="517">
          <cell r="C517" t="str">
            <v>0801694787</v>
          </cell>
          <cell r="AT517" t="str">
            <v>QUIÑONEZ LIMONES EVA VIRGINIA</v>
          </cell>
        </row>
        <row r="518">
          <cell r="C518" t="str">
            <v>0802097576</v>
          </cell>
          <cell r="AT518" t="str">
            <v>QUIÑONEZ REINA ROBERTO CARLOS</v>
          </cell>
        </row>
        <row r="519">
          <cell r="C519" t="str">
            <v>0802097576</v>
          </cell>
          <cell r="AT519" t="str">
            <v>QUIÑONEZ REINA ROBERTO CARLOS</v>
          </cell>
        </row>
        <row r="520">
          <cell r="C520" t="str">
            <v>0802097576</v>
          </cell>
          <cell r="AT520" t="str">
            <v>QUIÑONEZ REINA ROBERTO CARLOS</v>
          </cell>
        </row>
        <row r="521">
          <cell r="C521" t="str">
            <v>0802097576</v>
          </cell>
          <cell r="AT521" t="str">
            <v>QUIÑONEZ REINA ROBERTO CARLOS</v>
          </cell>
        </row>
        <row r="522">
          <cell r="C522" t="str">
            <v>0802097576</v>
          </cell>
          <cell r="AT522" t="str">
            <v>QUIÑONEZ REINA ROBERTO CARLOS</v>
          </cell>
        </row>
        <row r="523">
          <cell r="C523" t="str">
            <v>0802097576</v>
          </cell>
          <cell r="AT523" t="str">
            <v>QUIÑONEZ REINA ROBERTO CARLOS</v>
          </cell>
        </row>
        <row r="524">
          <cell r="C524" t="str">
            <v>0802097576</v>
          </cell>
          <cell r="AT524" t="str">
            <v>QUIÑONEZ REINA ROBERTO CARLOS</v>
          </cell>
        </row>
        <row r="525">
          <cell r="C525" t="str">
            <v>0802097576</v>
          </cell>
          <cell r="AT525" t="str">
            <v>QUIÑONEZ REINA ROBERTO CARLOS</v>
          </cell>
        </row>
        <row r="526">
          <cell r="C526" t="str">
            <v>0802097576</v>
          </cell>
          <cell r="AT526" t="str">
            <v>QUIÑONEZ REINA ROBERTO CARLOS</v>
          </cell>
        </row>
        <row r="527">
          <cell r="C527" t="str">
            <v>0802097576</v>
          </cell>
          <cell r="AT527" t="str">
            <v>QUIÑONEZ REINA ROBERTO CARLOS</v>
          </cell>
        </row>
        <row r="528">
          <cell r="C528" t="str">
            <v>0802097576</v>
          </cell>
          <cell r="AT528" t="str">
            <v>QUIÑONEZ REINA ROBERTO CARLOS</v>
          </cell>
        </row>
        <row r="529">
          <cell r="C529" t="str">
            <v>0802097576</v>
          </cell>
          <cell r="AT529" t="str">
            <v>QUIÑONEZ REINA ROBERTO CARLOS</v>
          </cell>
        </row>
        <row r="530">
          <cell r="C530" t="str">
            <v>0802097576</v>
          </cell>
          <cell r="AT530" t="str">
            <v>QUIÑONEZ REINA ROBERTO CARLOS</v>
          </cell>
        </row>
        <row r="531">
          <cell r="C531" t="str">
            <v>0802097576</v>
          </cell>
          <cell r="AT531" t="str">
            <v>QUIÑONEZ REINA ROBERTO CARLOS</v>
          </cell>
        </row>
        <row r="532">
          <cell r="C532" t="str">
            <v>0802097576</v>
          </cell>
          <cell r="AT532" t="str">
            <v>QUIÑONEZ REINA ROBERTO CARLOS</v>
          </cell>
        </row>
        <row r="533">
          <cell r="C533" t="str">
            <v>0802097576</v>
          </cell>
          <cell r="AT533" t="str">
            <v>QUIÑONEZ REINA ROBERTO CARLOS</v>
          </cell>
        </row>
        <row r="534">
          <cell r="C534" t="str">
            <v>0802097576</v>
          </cell>
          <cell r="AT534" t="str">
            <v>QUIÑONEZ REINA ROBERTO CARLOS</v>
          </cell>
        </row>
        <row r="535">
          <cell r="C535" t="str">
            <v>0802097576</v>
          </cell>
          <cell r="AT535" t="str">
            <v>QUIÑONEZ REINA ROBERTO CARLOS</v>
          </cell>
        </row>
        <row r="536">
          <cell r="C536" t="str">
            <v>0802097576</v>
          </cell>
          <cell r="AT536" t="str">
            <v>QUIÑONEZ REINA ROBERTO CARLOS</v>
          </cell>
        </row>
        <row r="537">
          <cell r="C537" t="str">
            <v>0802097576</v>
          </cell>
          <cell r="AT537" t="str">
            <v>QUIÑONEZ REINA ROBERTO CARLOS</v>
          </cell>
        </row>
        <row r="538">
          <cell r="C538" t="str">
            <v>0802097576</v>
          </cell>
          <cell r="AT538" t="str">
            <v>QUIÑONEZ REINA ROBERTO CARLOS</v>
          </cell>
        </row>
        <row r="539">
          <cell r="C539" t="str">
            <v>0802097576</v>
          </cell>
          <cell r="AT539" t="str">
            <v>QUIÑONEZ REINA ROBERTO CARLOS</v>
          </cell>
        </row>
        <row r="540">
          <cell r="C540" t="str">
            <v>0801431354</v>
          </cell>
          <cell r="AT540" t="str">
            <v>REYES RODRIGUEZ MARITZA DE JESUS</v>
          </cell>
        </row>
        <row r="541">
          <cell r="C541" t="str">
            <v>0801431354</v>
          </cell>
          <cell r="AT541" t="str">
            <v>REYES RODRIGUEZ MARITZA DE JESUS</v>
          </cell>
        </row>
        <row r="542">
          <cell r="C542" t="str">
            <v>0801431354</v>
          </cell>
          <cell r="AT542" t="str">
            <v>REYES RODRIGUEZ MARITZA DE JESUS</v>
          </cell>
        </row>
        <row r="543">
          <cell r="C543" t="str">
            <v>0801431354</v>
          </cell>
          <cell r="AT543" t="str">
            <v>REYES RODRIGUEZ MARITZA DE JESUS</v>
          </cell>
        </row>
        <row r="544">
          <cell r="C544" t="str">
            <v>0801431354</v>
          </cell>
          <cell r="AT544" t="str">
            <v>REYES RODRIGUEZ MARITZA DE JESUS</v>
          </cell>
        </row>
        <row r="545">
          <cell r="C545" t="str">
            <v>0801431354</v>
          </cell>
          <cell r="AT545" t="str">
            <v>REYES RODRIGUEZ MARITZA DE JESUS</v>
          </cell>
        </row>
        <row r="546">
          <cell r="C546" t="str">
            <v>0801431354</v>
          </cell>
          <cell r="AT546" t="str">
            <v>REYES RODRIGUEZ MARITZA DE JESUS</v>
          </cell>
        </row>
        <row r="547">
          <cell r="C547" t="str">
            <v>0801431354</v>
          </cell>
          <cell r="AT547" t="str">
            <v>REYES RODRIGUEZ MARITZA DE JESUS</v>
          </cell>
        </row>
        <row r="548">
          <cell r="C548" t="str">
            <v>0801431354</v>
          </cell>
          <cell r="AT548" t="str">
            <v>REYES RODRIGUEZ MARITZA DE JESUS</v>
          </cell>
        </row>
        <row r="549">
          <cell r="C549" t="str">
            <v>0801431354</v>
          </cell>
          <cell r="AT549" t="str">
            <v>REYES RODRIGUEZ MARITZA DE JESUS</v>
          </cell>
        </row>
        <row r="550">
          <cell r="C550" t="str">
            <v>0801431354</v>
          </cell>
          <cell r="AT550" t="str">
            <v>REYES RODRIGUEZ MARITZA DE JESUS</v>
          </cell>
        </row>
        <row r="551">
          <cell r="C551" t="str">
            <v>0801431354</v>
          </cell>
          <cell r="AT551" t="str">
            <v>REYES RODRIGUEZ MARITZA DE JESUS</v>
          </cell>
        </row>
        <row r="552">
          <cell r="C552" t="str">
            <v>0801431354</v>
          </cell>
          <cell r="AT552" t="str">
            <v>REYES RODRIGUEZ MARITZA DE JESUS</v>
          </cell>
        </row>
        <row r="553">
          <cell r="C553" t="str">
            <v>0801431354</v>
          </cell>
          <cell r="AT553" t="str">
            <v>REYES RODRIGUEZ MARITZA DE JESUS</v>
          </cell>
        </row>
        <row r="554">
          <cell r="C554" t="str">
            <v>0801431354</v>
          </cell>
          <cell r="AT554" t="str">
            <v>REYES RODRIGUEZ MARITZA DE JESUS</v>
          </cell>
        </row>
        <row r="555">
          <cell r="C555" t="str">
            <v>0801431354</v>
          </cell>
          <cell r="AT555" t="str">
            <v>REYES RODRIGUEZ MARITZA DE JESUS</v>
          </cell>
        </row>
        <row r="556">
          <cell r="C556" t="str">
            <v>0804478931</v>
          </cell>
          <cell r="AT556" t="str">
            <v>RODRIGUEZ MERO SAMUEL ENRIQUE</v>
          </cell>
        </row>
        <row r="557">
          <cell r="C557" t="str">
            <v>0804478931</v>
          </cell>
          <cell r="AT557" t="str">
            <v>RODRIGUEZ MERO SAMUEL ENRIQUE</v>
          </cell>
        </row>
        <row r="558">
          <cell r="C558" t="str">
            <v>0804478931</v>
          </cell>
          <cell r="AT558" t="str">
            <v>RODRIGUEZ MERO SAMUEL ENRIQUE</v>
          </cell>
        </row>
        <row r="559">
          <cell r="C559" t="str">
            <v>0804478931</v>
          </cell>
          <cell r="AT559" t="str">
            <v>RODRIGUEZ MERO SAMUEL ENRIQUE</v>
          </cell>
        </row>
        <row r="560">
          <cell r="C560" t="str">
            <v>0801679556</v>
          </cell>
          <cell r="AT560" t="str">
            <v>RODRIGUEZ REALPE EDWIN ENRIQUE</v>
          </cell>
        </row>
        <row r="561">
          <cell r="C561" t="str">
            <v>0801679556</v>
          </cell>
          <cell r="AT561" t="str">
            <v>RODRIGUEZ REALPE EDWIN ENRIQUE</v>
          </cell>
        </row>
        <row r="562">
          <cell r="C562" t="str">
            <v>0801679556</v>
          </cell>
          <cell r="AT562" t="str">
            <v>RODRIGUEZ REALPE EDWIN ENRIQUE</v>
          </cell>
        </row>
        <row r="563">
          <cell r="C563" t="str">
            <v>0801679556</v>
          </cell>
          <cell r="AT563" t="str">
            <v>RODRIGUEZ REALPE EDWIN ENRIQUE</v>
          </cell>
        </row>
        <row r="564">
          <cell r="C564" t="str">
            <v>0801679556</v>
          </cell>
          <cell r="AT564" t="str">
            <v>RODRIGUEZ REALPE EDWIN ENRIQUE</v>
          </cell>
        </row>
        <row r="565">
          <cell r="C565" t="str">
            <v>0801679556</v>
          </cell>
          <cell r="AT565" t="str">
            <v>RODRIGUEZ REALPE EDWIN ENRIQUE</v>
          </cell>
        </row>
        <row r="566">
          <cell r="C566" t="str">
            <v>0801679556</v>
          </cell>
          <cell r="AT566" t="str">
            <v>RODRIGUEZ REALPE EDWIN ENRIQUE</v>
          </cell>
        </row>
        <row r="567">
          <cell r="C567" t="str">
            <v>0801646472</v>
          </cell>
          <cell r="AT567" t="str">
            <v>RODRIGUEZ VALENCIA ELENA MARIZOL</v>
          </cell>
        </row>
        <row r="568">
          <cell r="C568" t="str">
            <v>0801646472</v>
          </cell>
          <cell r="AT568" t="str">
            <v>RODRIGUEZ VALENCIA ELENA MARIZOL</v>
          </cell>
        </row>
        <row r="569">
          <cell r="C569" t="str">
            <v>0801646472</v>
          </cell>
          <cell r="AT569" t="str">
            <v>RODRIGUEZ VALENCIA ELENA MARIZOL</v>
          </cell>
        </row>
        <row r="570">
          <cell r="C570" t="str">
            <v>0801646472</v>
          </cell>
          <cell r="AT570" t="str">
            <v>RODRIGUEZ VALENCIA ELENA MARIZOL</v>
          </cell>
        </row>
        <row r="571">
          <cell r="C571" t="str">
            <v>0801646472</v>
          </cell>
          <cell r="AT571" t="str">
            <v>RODRIGUEZ VALENCIA ELENA MARIZOL</v>
          </cell>
        </row>
        <row r="572">
          <cell r="C572" t="str">
            <v>0801646472</v>
          </cell>
          <cell r="AT572" t="str">
            <v>RODRIGUEZ VALENCIA ELENA MARIZOL</v>
          </cell>
        </row>
        <row r="573">
          <cell r="C573" t="str">
            <v>0801646472</v>
          </cell>
          <cell r="AT573" t="str">
            <v>RODRIGUEZ VALENCIA ELENA MARIZOL</v>
          </cell>
        </row>
        <row r="574">
          <cell r="C574" t="str">
            <v>0801646472</v>
          </cell>
          <cell r="AT574" t="str">
            <v>RODRIGUEZ VALENCIA ELENA MARIZOL</v>
          </cell>
        </row>
        <row r="575">
          <cell r="C575" t="str">
            <v>0801646472</v>
          </cell>
          <cell r="AT575" t="str">
            <v>RODRIGUEZ VALENCIA ELENA MARIZOL</v>
          </cell>
        </row>
        <row r="576">
          <cell r="C576" t="str">
            <v>0850068842</v>
          </cell>
          <cell r="AT576" t="str">
            <v>MAFFARES ESTUPIÑAN KIRA BRIGITTE</v>
          </cell>
        </row>
        <row r="577">
          <cell r="C577" t="str">
            <v>0801947466</v>
          </cell>
          <cell r="AT577" t="str">
            <v>SAENZ ITURRALDE BLANCA NIEVE</v>
          </cell>
        </row>
        <row r="578">
          <cell r="C578" t="str">
            <v>0801947466</v>
          </cell>
          <cell r="AT578" t="str">
            <v>SAENZ ITURRALDE BLANCA NIEVE</v>
          </cell>
        </row>
        <row r="579">
          <cell r="C579" t="str">
            <v>0801947466</v>
          </cell>
          <cell r="AT579" t="str">
            <v>SAENZ ITURRALDE BLANCA NIEVE</v>
          </cell>
        </row>
        <row r="580">
          <cell r="C580" t="str">
            <v>0801947466</v>
          </cell>
          <cell r="AT580" t="str">
            <v>SAENZ ITURRALDE BLANCA NIEVE</v>
          </cell>
        </row>
        <row r="581">
          <cell r="C581" t="str">
            <v>0801947466</v>
          </cell>
          <cell r="AT581" t="str">
            <v>SAENZ ITURRALDE BLANCA NIEVE</v>
          </cell>
        </row>
        <row r="582">
          <cell r="C582" t="str">
            <v>0801947466</v>
          </cell>
          <cell r="AT582" t="str">
            <v>SAENZ ITURRALDE BLANCA NIEVE</v>
          </cell>
        </row>
        <row r="583">
          <cell r="C583" t="str">
            <v>0801947466</v>
          </cell>
          <cell r="AT583" t="str">
            <v>SAENZ ITURRALDE BLANCA NIEVE</v>
          </cell>
        </row>
        <row r="584">
          <cell r="C584" t="str">
            <v>1757069586</v>
          </cell>
          <cell r="AT584" t="str">
            <v>BLANCO LÓPEZ YASMÍN TERESA</v>
          </cell>
        </row>
        <row r="585">
          <cell r="C585" t="str">
            <v>0800700890</v>
          </cell>
          <cell r="AT585" t="str">
            <v>SANCHEZ GUERRERO MARCIA LILIANA</v>
          </cell>
        </row>
        <row r="586">
          <cell r="C586" t="str">
            <v>0800700890</v>
          </cell>
          <cell r="AT586" t="str">
            <v>SANCHEZ GUERRERO MARCIA LILIANA</v>
          </cell>
        </row>
        <row r="587">
          <cell r="C587" t="str">
            <v>0800700890</v>
          </cell>
          <cell r="AT587" t="str">
            <v>SANCHEZ GUERRERO MARCIA LILIANA</v>
          </cell>
        </row>
        <row r="588">
          <cell r="C588" t="str">
            <v>0800700890</v>
          </cell>
          <cell r="AT588" t="str">
            <v>SANCHEZ GUERRERO MARCIA LILIANA</v>
          </cell>
        </row>
        <row r="589">
          <cell r="C589" t="str">
            <v>0800700890</v>
          </cell>
          <cell r="AT589" t="str">
            <v>SANCHEZ GUERRERO MARCIA LILIANA</v>
          </cell>
        </row>
        <row r="590">
          <cell r="C590" t="str">
            <v>0929229441</v>
          </cell>
          <cell r="AT590" t="str">
            <v>MOJARRANGO INTRIAGO KARINA ALEXANDRA</v>
          </cell>
        </row>
        <row r="591">
          <cell r="C591" t="str">
            <v>0929229441</v>
          </cell>
          <cell r="AT591" t="str">
            <v>MOJARRANGO INTRIAGO KARINA ALEXANDRA</v>
          </cell>
        </row>
        <row r="592">
          <cell r="C592" t="str">
            <v>0929229441</v>
          </cell>
          <cell r="AT592" t="str">
            <v>MOJARRANGO INTRIAGO KARINA ALEXANDRA</v>
          </cell>
        </row>
        <row r="593">
          <cell r="C593" t="str">
            <v>0802138461</v>
          </cell>
          <cell r="AT593" t="str">
            <v>SOSA ESTACIO WALTER VINICIO</v>
          </cell>
        </row>
        <row r="594">
          <cell r="C594" t="str">
            <v>0802138461</v>
          </cell>
          <cell r="AT594" t="str">
            <v>SOSA ESTACIO WALTER VINICIO</v>
          </cell>
        </row>
        <row r="595">
          <cell r="C595" t="str">
            <v>0802138461</v>
          </cell>
          <cell r="AT595" t="str">
            <v>SOSA ESTACIO WALTER VINICIO</v>
          </cell>
        </row>
        <row r="596">
          <cell r="C596" t="str">
            <v>0802138461</v>
          </cell>
          <cell r="AT596" t="str">
            <v>SOSA ESTACIO WALTER VINICIO</v>
          </cell>
        </row>
        <row r="597">
          <cell r="C597" t="str">
            <v>0802138461</v>
          </cell>
          <cell r="AT597" t="str">
            <v>SOSA ESTACIO WALTER VINICIO</v>
          </cell>
        </row>
        <row r="598">
          <cell r="C598" t="str">
            <v>0802138461</v>
          </cell>
          <cell r="AT598" t="str">
            <v>SOSA ESTACIO WALTER VINICIO</v>
          </cell>
        </row>
        <row r="599">
          <cell r="C599" t="str">
            <v>0802138461</v>
          </cell>
          <cell r="AT599" t="str">
            <v>SOSA ESTACIO WALTER VINICIO</v>
          </cell>
        </row>
        <row r="600">
          <cell r="C600" t="str">
            <v>0802138461</v>
          </cell>
          <cell r="AT600" t="str">
            <v>SOSA ESTACIO WALTER VINICIO</v>
          </cell>
        </row>
        <row r="601">
          <cell r="C601" t="str">
            <v>0802138461</v>
          </cell>
          <cell r="AT601" t="str">
            <v>SOSA ESTACIO WALTER VINICIO</v>
          </cell>
        </row>
        <row r="602">
          <cell r="C602" t="str">
            <v>0802138461</v>
          </cell>
          <cell r="AT602" t="str">
            <v>SOSA ESTACIO WALTER VINICIO</v>
          </cell>
        </row>
        <row r="603">
          <cell r="C603" t="str">
            <v>0802138461</v>
          </cell>
          <cell r="AT603" t="str">
            <v>SOSA ESTACIO WALTER VINICIO</v>
          </cell>
        </row>
        <row r="604">
          <cell r="C604" t="str">
            <v>0802138461</v>
          </cell>
          <cell r="AT604" t="str">
            <v>SOSA ESTACIO WALTER VINICIO</v>
          </cell>
        </row>
        <row r="605">
          <cell r="C605" t="str">
            <v>0802138461</v>
          </cell>
          <cell r="AT605" t="str">
            <v>SOSA ESTACIO WALTER VINICIO</v>
          </cell>
        </row>
        <row r="606">
          <cell r="C606" t="str">
            <v>0802138461</v>
          </cell>
          <cell r="AT606" t="str">
            <v>SOSA ESTACIO WALTER VINICIO</v>
          </cell>
        </row>
        <row r="607">
          <cell r="C607" t="str">
            <v>0802138461</v>
          </cell>
          <cell r="AT607" t="str">
            <v>SOSA ESTACIO WALTER VINICIO</v>
          </cell>
        </row>
        <row r="608">
          <cell r="C608" t="str">
            <v>0802138461</v>
          </cell>
          <cell r="AT608" t="str">
            <v>SOSA ESTACIO WALTER VINICIO</v>
          </cell>
        </row>
        <row r="609">
          <cell r="C609" t="str">
            <v>0802138461</v>
          </cell>
          <cell r="AT609" t="str">
            <v>SOSA ESTACIO WALTER VINICIO</v>
          </cell>
        </row>
        <row r="610">
          <cell r="C610" t="str">
            <v>0802138461</v>
          </cell>
          <cell r="AT610" t="str">
            <v>SOSA ESTACIO WALTER VINICIO</v>
          </cell>
        </row>
        <row r="611">
          <cell r="C611" t="str">
            <v>0802138461</v>
          </cell>
          <cell r="AT611" t="str">
            <v>SOSA ESTACIO WALTER VINICIO</v>
          </cell>
        </row>
        <row r="612">
          <cell r="C612" t="str">
            <v>0800728438</v>
          </cell>
          <cell r="AT612" t="str">
            <v>TOSCANO LOPEZ ELBA DOLORES</v>
          </cell>
        </row>
        <row r="613">
          <cell r="C613" t="str">
            <v>0800728438</v>
          </cell>
          <cell r="AT613" t="str">
            <v>TOSCANO LOPEZ ELBA DOLORES</v>
          </cell>
        </row>
        <row r="614">
          <cell r="C614" t="str">
            <v>0800728438</v>
          </cell>
          <cell r="AT614" t="str">
            <v>TOSCANO LOPEZ ELBA DOLORES</v>
          </cell>
        </row>
        <row r="615">
          <cell r="C615" t="str">
            <v>0800728438</v>
          </cell>
          <cell r="AT615" t="str">
            <v>TOSCANO LOPEZ ELBA DOLORES</v>
          </cell>
        </row>
        <row r="616">
          <cell r="C616" t="str">
            <v>0800728438</v>
          </cell>
          <cell r="AT616" t="str">
            <v>TOSCANO LOPEZ ELBA DOLORES</v>
          </cell>
        </row>
        <row r="617">
          <cell r="C617" t="str">
            <v>0800728438</v>
          </cell>
          <cell r="AT617" t="str">
            <v>TOSCANO LOPEZ ELBA DOLORES</v>
          </cell>
        </row>
        <row r="618">
          <cell r="C618" t="str">
            <v>0800728438</v>
          </cell>
          <cell r="AT618" t="str">
            <v>TOSCANO LOPEZ ELBA DOLORES</v>
          </cell>
        </row>
        <row r="619">
          <cell r="C619" t="str">
            <v>0800728438</v>
          </cell>
          <cell r="AT619" t="str">
            <v>TOSCANO LOPEZ ELBA DOLORES</v>
          </cell>
        </row>
        <row r="620">
          <cell r="C620" t="str">
            <v>0800728438</v>
          </cell>
          <cell r="AT620" t="str">
            <v>TOSCANO LOPEZ ELBA DOLORES</v>
          </cell>
        </row>
        <row r="621">
          <cell r="C621" t="str">
            <v>0800728438</v>
          </cell>
          <cell r="AT621" t="str">
            <v>TOSCANO LOPEZ ELBA DOLORES</v>
          </cell>
        </row>
        <row r="622">
          <cell r="C622" t="str">
            <v>0800728438</v>
          </cell>
          <cell r="AT622" t="str">
            <v>TOSCANO LOPEZ ELBA DOLORES</v>
          </cell>
        </row>
        <row r="623">
          <cell r="C623" t="str">
            <v>0801725813</v>
          </cell>
          <cell r="AT623" t="str">
            <v>TRUJILLO DELGADO ISABEL SUSANA</v>
          </cell>
        </row>
        <row r="624">
          <cell r="C624" t="str">
            <v>0801725813</v>
          </cell>
          <cell r="AT624" t="str">
            <v>TRUJILLO DELGADO ISABEL SUSANA</v>
          </cell>
        </row>
        <row r="625">
          <cell r="C625" t="str">
            <v>0801725813</v>
          </cell>
          <cell r="AT625" t="str">
            <v>TRUJILLO DELGADO ISABEL SUSANA</v>
          </cell>
        </row>
        <row r="626">
          <cell r="C626" t="str">
            <v>0801725813</v>
          </cell>
          <cell r="AT626" t="str">
            <v>TRUJILLO DELGADO ISABEL SUSANA</v>
          </cell>
        </row>
        <row r="627">
          <cell r="C627" t="str">
            <v>0801725813</v>
          </cell>
          <cell r="AT627" t="str">
            <v>TRUJILLO DELGADO ISABEL SUSANA</v>
          </cell>
        </row>
        <row r="628">
          <cell r="C628" t="str">
            <v>0801725813</v>
          </cell>
          <cell r="AT628" t="str">
            <v>TRUJILLO DELGADO ISABEL SUSANA</v>
          </cell>
        </row>
        <row r="629">
          <cell r="C629" t="str">
            <v>0801725813</v>
          </cell>
          <cell r="AT629" t="str">
            <v>TRUJILLO DELGADO ISABEL SUSANA</v>
          </cell>
        </row>
        <row r="630">
          <cell r="C630" t="str">
            <v>0801725813</v>
          </cell>
          <cell r="AT630" t="str">
            <v>TRUJILLO DELGADO ISABEL SUSANA</v>
          </cell>
        </row>
        <row r="631">
          <cell r="C631" t="str">
            <v>0801725813</v>
          </cell>
          <cell r="AT631" t="str">
            <v>TRUJILLO DELGADO ISABEL SUSANA</v>
          </cell>
        </row>
        <row r="632">
          <cell r="C632" t="str">
            <v>0801725813</v>
          </cell>
          <cell r="AT632" t="str">
            <v>TRUJILLO DELGADO ISABEL SUSANA</v>
          </cell>
        </row>
        <row r="633">
          <cell r="C633" t="str">
            <v>0801725813</v>
          </cell>
          <cell r="AT633" t="str">
            <v>TRUJILLO DELGADO ISABEL SUSANA</v>
          </cell>
        </row>
        <row r="634">
          <cell r="C634" t="str">
            <v>0801725813</v>
          </cell>
          <cell r="AT634" t="str">
            <v>TRUJILLO DELGADO ISABEL SUSANA</v>
          </cell>
        </row>
        <row r="635">
          <cell r="C635" t="str">
            <v>0801725813</v>
          </cell>
          <cell r="AT635" t="str">
            <v>TRUJILLO DELGADO ISABEL SUSANA</v>
          </cell>
        </row>
        <row r="636">
          <cell r="C636" t="str">
            <v>0801725813</v>
          </cell>
          <cell r="AT636" t="str">
            <v>TRUJILLO DELGADO ISABEL SUSANA</v>
          </cell>
        </row>
        <row r="637">
          <cell r="C637" t="str">
            <v>0801725813</v>
          </cell>
          <cell r="AT637" t="str">
            <v>TRUJILLO DELGADO ISABEL SUSANA</v>
          </cell>
        </row>
        <row r="638">
          <cell r="C638" t="str">
            <v>0801725813</v>
          </cell>
          <cell r="AT638" t="str">
            <v>TRUJILLO DELGADO ISABEL SUSANA</v>
          </cell>
        </row>
        <row r="639">
          <cell r="C639" t="str">
            <v>0801725813</v>
          </cell>
          <cell r="AT639" t="str">
            <v>TRUJILLO DELGADO ISABEL SUSANA</v>
          </cell>
        </row>
        <row r="640">
          <cell r="C640" t="str">
            <v>0801725813</v>
          </cell>
          <cell r="AT640" t="str">
            <v>TRUJILLO DELGADO ISABEL SUSANA</v>
          </cell>
        </row>
        <row r="641">
          <cell r="C641" t="str">
            <v>0801725813</v>
          </cell>
          <cell r="AT641" t="str">
            <v>TRUJILLO DELGADO ISABEL SUSANA</v>
          </cell>
        </row>
        <row r="642">
          <cell r="C642" t="str">
            <v>0801725813</v>
          </cell>
          <cell r="AT642" t="str">
            <v>TRUJILLO DELGADO ISABEL SUSANA</v>
          </cell>
        </row>
        <row r="643">
          <cell r="C643" t="str">
            <v>0801725813</v>
          </cell>
          <cell r="AT643" t="str">
            <v>TRUJILLO DELGADO ISABEL SUSANA</v>
          </cell>
        </row>
        <row r="644">
          <cell r="C644" t="str">
            <v>0801725813</v>
          </cell>
          <cell r="AT644" t="str">
            <v>TRUJILLO DELGADO ISABEL SUSANA</v>
          </cell>
        </row>
        <row r="645">
          <cell r="C645" t="str">
            <v>0801725813</v>
          </cell>
          <cell r="AT645" t="str">
            <v>TRUJILLO DELGADO ISABEL SUSANA</v>
          </cell>
        </row>
        <row r="646">
          <cell r="C646" t="str">
            <v>0801725813</v>
          </cell>
          <cell r="AT646" t="str">
            <v>TRUJILLO DELGADO ISABEL SUSANA</v>
          </cell>
        </row>
        <row r="647">
          <cell r="C647" t="str">
            <v>0801725813</v>
          </cell>
          <cell r="AT647" t="str">
            <v>TRUJILLO DELGADO ISABEL SUSANA</v>
          </cell>
        </row>
        <row r="648">
          <cell r="C648" t="str">
            <v>0801725813</v>
          </cell>
          <cell r="AT648" t="str">
            <v>TRUJILLO DELGADO ISABEL SUSANA</v>
          </cell>
        </row>
        <row r="649">
          <cell r="C649" t="str">
            <v>0801725813</v>
          </cell>
          <cell r="AT649" t="str">
            <v>TRUJILLO DELGADO ISABEL SUSANA</v>
          </cell>
        </row>
        <row r="650">
          <cell r="C650" t="str">
            <v>0801725813</v>
          </cell>
          <cell r="AT650" t="str">
            <v>TRUJILLO DELGADO ISABEL SUSANA</v>
          </cell>
        </row>
        <row r="651">
          <cell r="C651" t="str">
            <v>0801725813</v>
          </cell>
          <cell r="AT651" t="str">
            <v>TRUJILLO DELGADO ISABEL SUSANA</v>
          </cell>
        </row>
        <row r="652">
          <cell r="C652" t="str">
            <v>0801725813</v>
          </cell>
          <cell r="AT652" t="str">
            <v>TRUJILLO DELGADO ISABEL SUSANA</v>
          </cell>
        </row>
        <row r="653">
          <cell r="C653" t="str">
            <v>0801725813</v>
          </cell>
          <cell r="AT653" t="str">
            <v>TRUJILLO DELGADO ISABEL SUSANA</v>
          </cell>
        </row>
        <row r="654">
          <cell r="C654" t="str">
            <v>0801725813</v>
          </cell>
          <cell r="AT654" t="str">
            <v>TRUJILLO DELGADO ISABEL SUSANA</v>
          </cell>
        </row>
        <row r="655">
          <cell r="C655" t="str">
            <v>0801725813</v>
          </cell>
          <cell r="AT655" t="str">
            <v>TRUJILLO DELGADO ISABEL SUSANA</v>
          </cell>
        </row>
        <row r="656">
          <cell r="C656" t="str">
            <v>0801725813</v>
          </cell>
          <cell r="AT656" t="str">
            <v>TRUJILLO DELGADO ISABEL SUSANA</v>
          </cell>
        </row>
        <row r="657">
          <cell r="C657" t="str">
            <v>0801725813</v>
          </cell>
          <cell r="AT657" t="str">
            <v>TRUJILLO DELGADO ISABEL SUSANA</v>
          </cell>
        </row>
        <row r="658">
          <cell r="C658" t="str">
            <v>1725767139</v>
          </cell>
          <cell r="AT658" t="str">
            <v>URBINA GARCIA DE VICUÑA AITOR GERMAN</v>
          </cell>
        </row>
        <row r="659">
          <cell r="C659" t="str">
            <v>1725767139</v>
          </cell>
          <cell r="AT659" t="str">
            <v>URBINA GARCIA DE VICUÑA AITOR GERMAN</v>
          </cell>
        </row>
        <row r="660">
          <cell r="C660" t="str">
            <v>1725767139</v>
          </cell>
          <cell r="AT660" t="str">
            <v>URBINA GARCIA DE VICUÑA AITOR GERMAN</v>
          </cell>
        </row>
        <row r="661">
          <cell r="C661" t="str">
            <v>1725767139</v>
          </cell>
          <cell r="AT661" t="str">
            <v>URBINA GARCIA DE VICUÑA AITOR GERMAN</v>
          </cell>
        </row>
        <row r="662">
          <cell r="C662" t="str">
            <v>1725767139</v>
          </cell>
          <cell r="AT662" t="str">
            <v>URBINA GARCIA DE VICUÑA AITOR GERMAN</v>
          </cell>
        </row>
        <row r="663">
          <cell r="C663" t="str">
            <v>1725767139</v>
          </cell>
          <cell r="AT663" t="str">
            <v>URBINA GARCIA DE VICUÑA AITOR GERMAN</v>
          </cell>
        </row>
        <row r="664">
          <cell r="C664" t="str">
            <v>1725767139</v>
          </cell>
          <cell r="AT664" t="str">
            <v>URBINA GARCIA DE VICUÑA AITOR GERMAN</v>
          </cell>
        </row>
        <row r="665">
          <cell r="C665" t="str">
            <v>1725767139</v>
          </cell>
          <cell r="AT665" t="str">
            <v>URBINA GARCIA DE VICUÑA AITOR GERMAN</v>
          </cell>
        </row>
        <row r="666">
          <cell r="C666" t="str">
            <v>1725767139</v>
          </cell>
          <cell r="AT666" t="str">
            <v>URBINA GARCIA DE VICUÑA AITOR GERMAN</v>
          </cell>
        </row>
        <row r="667">
          <cell r="C667" t="str">
            <v>1725767139</v>
          </cell>
          <cell r="AT667" t="str">
            <v>URBINA GARCIA DE VICUÑA AITOR GERMAN</v>
          </cell>
        </row>
        <row r="668">
          <cell r="C668" t="str">
            <v>1725767139</v>
          </cell>
          <cell r="AT668" t="str">
            <v>URBINA GARCIA DE VICUÑA AITOR GERMAN</v>
          </cell>
        </row>
        <row r="669">
          <cell r="C669" t="str">
            <v>1725767139</v>
          </cell>
          <cell r="AT669" t="str">
            <v>URBINA GARCIA DE VICUÑA AITOR GERMAN</v>
          </cell>
        </row>
        <row r="670">
          <cell r="C670" t="str">
            <v>1725767139</v>
          </cell>
          <cell r="AT670" t="str">
            <v>URBINA GARCIA DE VICUÑA AITOR GERMAN</v>
          </cell>
        </row>
        <row r="671">
          <cell r="C671" t="str">
            <v>1725767139</v>
          </cell>
          <cell r="AT671" t="str">
            <v>URBINA GARCIA DE VICUÑA AITOR GERMAN</v>
          </cell>
        </row>
        <row r="672">
          <cell r="C672" t="str">
            <v>1725767139</v>
          </cell>
          <cell r="AT672" t="str">
            <v>URBINA GARCIA DE VICUÑA AITOR GERMAN</v>
          </cell>
        </row>
        <row r="673">
          <cell r="C673" t="str">
            <v>1725767139</v>
          </cell>
          <cell r="AT673" t="str">
            <v>URBINA GARCIA DE VICUÑA AITOR GERMAN</v>
          </cell>
        </row>
        <row r="674">
          <cell r="C674" t="str">
            <v>1725767139</v>
          </cell>
          <cell r="AT674" t="str">
            <v>URBINA GARCIA DE VICUÑA AITOR GERMAN</v>
          </cell>
        </row>
        <row r="675">
          <cell r="C675" t="str">
            <v>1725767139</v>
          </cell>
          <cell r="AT675" t="str">
            <v>URBINA GARCIA DE VICUÑA AITOR GERMAN</v>
          </cell>
        </row>
        <row r="676">
          <cell r="C676" t="str">
            <v>1725767139</v>
          </cell>
          <cell r="AT676" t="str">
            <v>URBINA GARCIA DE VICUÑA AITOR GERMAN</v>
          </cell>
        </row>
        <row r="677">
          <cell r="C677" t="str">
            <v>1725767139</v>
          </cell>
          <cell r="AT677" t="str">
            <v>URBINA GARCIA DE VICUÑA AITOR GERMAN</v>
          </cell>
        </row>
        <row r="678">
          <cell r="C678" t="str">
            <v>0803440007</v>
          </cell>
          <cell r="AT678" t="str">
            <v>VELA ERAZO JOSE JEFFERSON</v>
          </cell>
        </row>
        <row r="679">
          <cell r="C679" t="str">
            <v>0803440007</v>
          </cell>
          <cell r="AT679" t="str">
            <v>VELA ERAZO JOSE JEFFERSON</v>
          </cell>
        </row>
        <row r="680">
          <cell r="C680" t="str">
            <v>0800395956</v>
          </cell>
          <cell r="AT680" t="str">
            <v>VELEZ LOOR MARIA ELENA</v>
          </cell>
        </row>
        <row r="681">
          <cell r="C681" t="str">
            <v>0800395956</v>
          </cell>
          <cell r="AT681" t="str">
            <v>VELEZ LOOR MARIA ELENA</v>
          </cell>
        </row>
        <row r="682">
          <cell r="C682" t="str">
            <v>0800395956</v>
          </cell>
          <cell r="AT682" t="str">
            <v>VELEZ LOOR MARIA ELENA</v>
          </cell>
        </row>
        <row r="683">
          <cell r="C683" t="str">
            <v>0800395956</v>
          </cell>
          <cell r="AT683" t="str">
            <v>VELEZ LOOR MARIA ELENA</v>
          </cell>
        </row>
        <row r="684">
          <cell r="C684" t="str">
            <v>0800395956</v>
          </cell>
          <cell r="AT684" t="str">
            <v>VELEZ LOOR MARIA ELENA</v>
          </cell>
        </row>
        <row r="685">
          <cell r="C685" t="str">
            <v>0800395956</v>
          </cell>
          <cell r="AT685" t="str">
            <v>VELEZ LOOR MARIA ELENA</v>
          </cell>
        </row>
        <row r="686">
          <cell r="C686" t="str">
            <v>0800395956</v>
          </cell>
          <cell r="AT686" t="str">
            <v>VELEZ LOOR MARIA ELENA</v>
          </cell>
        </row>
        <row r="687">
          <cell r="C687" t="str">
            <v>0800395956</v>
          </cell>
          <cell r="AT687" t="str">
            <v>VELEZ LOOR MARIA ELENA</v>
          </cell>
        </row>
        <row r="688">
          <cell r="C688" t="str">
            <v>0800395956</v>
          </cell>
          <cell r="AT688" t="str">
            <v>VELEZ LOOR MARIA ELENA</v>
          </cell>
        </row>
        <row r="689">
          <cell r="C689" t="str">
            <v>0800395956</v>
          </cell>
          <cell r="AT689" t="str">
            <v>VELEZ LOOR MARIA ELENA</v>
          </cell>
        </row>
        <row r="690">
          <cell r="C690" t="str">
            <v>0800395956</v>
          </cell>
          <cell r="AT690" t="str">
            <v>VELEZ LOOR MARIA ELENA</v>
          </cell>
        </row>
        <row r="691">
          <cell r="C691" t="str">
            <v>0800395956</v>
          </cell>
          <cell r="AT691" t="str">
            <v>VELEZ LOOR MARIA ELENA</v>
          </cell>
        </row>
        <row r="692">
          <cell r="C692" t="str">
            <v>0800395956</v>
          </cell>
          <cell r="AT692" t="str">
            <v>VELEZ LOOR MARIA ELENA</v>
          </cell>
        </row>
        <row r="693">
          <cell r="C693" t="str">
            <v>0800395956</v>
          </cell>
          <cell r="AT693" t="str">
            <v>VELEZ LOOR MARIA ELENA</v>
          </cell>
        </row>
        <row r="694">
          <cell r="C694" t="str">
            <v>0800395956</v>
          </cell>
          <cell r="AT694" t="str">
            <v>VELEZ LOOR MARIA ELENA</v>
          </cell>
        </row>
        <row r="695">
          <cell r="C695" t="str">
            <v>0800395956</v>
          </cell>
          <cell r="AT695" t="str">
            <v>VELEZ LOOR MARIA ELENA</v>
          </cell>
        </row>
        <row r="696">
          <cell r="C696" t="str">
            <v>0800395956</v>
          </cell>
          <cell r="AT696" t="str">
            <v>VELEZ LOOR MARIA ELENA</v>
          </cell>
        </row>
        <row r="697">
          <cell r="C697" t="str">
            <v>0800395956</v>
          </cell>
          <cell r="AT697" t="str">
            <v>VELEZ LOOR MARIA ELENA</v>
          </cell>
        </row>
        <row r="698">
          <cell r="C698" t="str">
            <v>0800395956</v>
          </cell>
          <cell r="AT698" t="str">
            <v>VELEZ LOOR MARIA ELENA</v>
          </cell>
        </row>
        <row r="699">
          <cell r="C699" t="str">
            <v>0800395956</v>
          </cell>
          <cell r="AT699" t="str">
            <v>VELEZ LOOR MARIA ELENA</v>
          </cell>
        </row>
        <row r="700">
          <cell r="C700" t="str">
            <v>0800395956</v>
          </cell>
          <cell r="AT700" t="str">
            <v>VELEZ LOOR MARIA ELENA</v>
          </cell>
        </row>
        <row r="701">
          <cell r="C701" t="str">
            <v>0800395956</v>
          </cell>
          <cell r="AT701" t="str">
            <v>VELEZ LOOR MARIA ELENA</v>
          </cell>
        </row>
        <row r="702">
          <cell r="C702" t="str">
            <v>0800395956</v>
          </cell>
          <cell r="AT702" t="str">
            <v>VELEZ LOOR MARIA ELENA</v>
          </cell>
        </row>
        <row r="703">
          <cell r="C703" t="str">
            <v>0800395956</v>
          </cell>
          <cell r="AT703" t="str">
            <v>VELEZ LOOR MARIA ELENA</v>
          </cell>
        </row>
        <row r="704">
          <cell r="C704" t="str">
            <v>0800395956</v>
          </cell>
          <cell r="AT704" t="str">
            <v>VELEZ LOOR MARIA ELENA</v>
          </cell>
        </row>
        <row r="705">
          <cell r="C705" t="str">
            <v>0800395956</v>
          </cell>
          <cell r="AT705" t="str">
            <v>VELEZ LOOR MARIA ELENA</v>
          </cell>
        </row>
        <row r="706">
          <cell r="C706" t="str">
            <v>0801529678</v>
          </cell>
          <cell r="AT706" t="str">
            <v>VERA PINARGOTE LILIAN MARITZA</v>
          </cell>
        </row>
        <row r="707">
          <cell r="C707" t="str">
            <v>0801529678</v>
          </cell>
          <cell r="AT707" t="str">
            <v>VERA PINARGOTE LILIAN MARITZA</v>
          </cell>
        </row>
        <row r="708">
          <cell r="C708" t="str">
            <v>0801529678</v>
          </cell>
          <cell r="AT708" t="str">
            <v>VERA PINARGOTE LILIAN MARITZA</v>
          </cell>
        </row>
        <row r="709">
          <cell r="C709" t="str">
            <v>0801529678</v>
          </cell>
          <cell r="AT709" t="str">
            <v>VERA PINARGOTE LILIAN MARITZA</v>
          </cell>
        </row>
        <row r="710">
          <cell r="C710" t="str">
            <v>0801529678</v>
          </cell>
          <cell r="AT710" t="str">
            <v>VERA PINARGOTE LILIAN MARITZA</v>
          </cell>
        </row>
        <row r="711">
          <cell r="C711" t="str">
            <v>0801529678</v>
          </cell>
          <cell r="AT711" t="str">
            <v>VERA PINARGOTE LILIAN MARITZA</v>
          </cell>
        </row>
        <row r="712">
          <cell r="C712" t="str">
            <v>0801529678</v>
          </cell>
          <cell r="AT712" t="str">
            <v>VERA PINARGOTE LILIAN MARITZA</v>
          </cell>
        </row>
        <row r="713">
          <cell r="C713" t="str">
            <v>0801529678</v>
          </cell>
          <cell r="AT713" t="str">
            <v>VERA PINARGOTE LILIAN MARITZA</v>
          </cell>
        </row>
        <row r="714">
          <cell r="C714" t="str">
            <v>0801529678</v>
          </cell>
          <cell r="AT714" t="str">
            <v>VERA PINARGOTE LILIAN MARITZA</v>
          </cell>
        </row>
        <row r="715">
          <cell r="C715" t="str">
            <v>0801529678</v>
          </cell>
          <cell r="AT715" t="str">
            <v>VERA PINARGOTE LILIAN MARITZA</v>
          </cell>
        </row>
        <row r="716">
          <cell r="C716" t="str">
            <v>0801529678</v>
          </cell>
          <cell r="AT716" t="str">
            <v>VERA PINARGOTE LILIAN MARITZA</v>
          </cell>
        </row>
        <row r="717">
          <cell r="C717" t="str">
            <v>0801529678</v>
          </cell>
          <cell r="AT717" t="str">
            <v>VERA PINARGOTE LILIAN MARITZA</v>
          </cell>
        </row>
        <row r="718">
          <cell r="C718" t="str">
            <v>0801529678</v>
          </cell>
          <cell r="AT718" t="str">
            <v>VERA PINARGOTE LILIAN MARITZA</v>
          </cell>
        </row>
        <row r="719">
          <cell r="C719" t="str">
            <v>0801529678</v>
          </cell>
          <cell r="AT719" t="str">
            <v>VERA PINARGOTE LILIAN MARITZA</v>
          </cell>
        </row>
        <row r="720">
          <cell r="C720" t="str">
            <v>0801529678</v>
          </cell>
          <cell r="AT720" t="str">
            <v>VERA PINARGOTE LILIAN MARITZA</v>
          </cell>
        </row>
        <row r="721">
          <cell r="C721" t="str">
            <v>0801529678</v>
          </cell>
          <cell r="AT721" t="str">
            <v>VERA PINARGOTE LILIAN MARITZA</v>
          </cell>
        </row>
        <row r="722">
          <cell r="C722" t="str">
            <v>0801529678</v>
          </cell>
          <cell r="AT722" t="str">
            <v>VERA PINARGOTE LILIAN MARITZA</v>
          </cell>
        </row>
        <row r="723">
          <cell r="C723" t="str">
            <v>0801529678</v>
          </cell>
          <cell r="AT723" t="str">
            <v>VERA PINARGOTE LILIAN MARITZA</v>
          </cell>
        </row>
        <row r="724">
          <cell r="C724" t="str">
            <v>0801529678</v>
          </cell>
          <cell r="AT724" t="str">
            <v>VERA PINARGOTE LILIAN MARITZA</v>
          </cell>
        </row>
        <row r="725">
          <cell r="C725" t="str">
            <v>0801529678</v>
          </cell>
          <cell r="AT725" t="str">
            <v>VERA PINARGOTE LILIAN MARITZA</v>
          </cell>
        </row>
        <row r="726">
          <cell r="C726" t="str">
            <v>0801529678</v>
          </cell>
          <cell r="AT726" t="str">
            <v>VERA PINARGOTE LILIAN MARITZA</v>
          </cell>
        </row>
        <row r="727">
          <cell r="C727" t="str">
            <v>0801529678</v>
          </cell>
          <cell r="AT727" t="str">
            <v>VERA PINARGOTE LILIAN MARITZA</v>
          </cell>
        </row>
        <row r="728">
          <cell r="C728" t="str">
            <v>0801529678</v>
          </cell>
          <cell r="AT728" t="str">
            <v>VERA PINARGOTE LILIAN MARITZA</v>
          </cell>
        </row>
        <row r="729">
          <cell r="C729" t="str">
            <v>0801529678</v>
          </cell>
          <cell r="AT729" t="str">
            <v>VERA PINARGOTE LILIAN MARITZA</v>
          </cell>
        </row>
        <row r="730">
          <cell r="C730" t="str">
            <v>0801529678</v>
          </cell>
          <cell r="AT730" t="str">
            <v>VERA PINARGOTE LILIAN MARITZA</v>
          </cell>
        </row>
        <row r="731">
          <cell r="C731" t="str">
            <v>0801529678</v>
          </cell>
          <cell r="AT731" t="str">
            <v>VERA PINARGOTE LILIAN MARITZA</v>
          </cell>
        </row>
        <row r="732">
          <cell r="C732" t="str">
            <v>0801529678</v>
          </cell>
          <cell r="AT732" t="str">
            <v>VERA PINARGOTE LILIAN MARITZA</v>
          </cell>
        </row>
        <row r="733">
          <cell r="C733" t="str">
            <v>0801529678</v>
          </cell>
          <cell r="AT733" t="str">
            <v>VERA PINARGOTE LILIAN MARITZA</v>
          </cell>
        </row>
        <row r="734">
          <cell r="C734" t="str">
            <v>0801858218</v>
          </cell>
          <cell r="AT734" t="str">
            <v>VILELA SOSA MARIBEL SOLANGE</v>
          </cell>
        </row>
        <row r="735">
          <cell r="C735" t="str">
            <v>0801858218</v>
          </cell>
          <cell r="AT735" t="str">
            <v>VILELA SOSA MARIBEL SOLANGE</v>
          </cell>
        </row>
        <row r="736">
          <cell r="C736" t="str">
            <v>0801858218</v>
          </cell>
          <cell r="AT736" t="str">
            <v>VILELA SOSA MARIBEL SOLANGE</v>
          </cell>
        </row>
        <row r="737">
          <cell r="C737" t="str">
            <v>0801858218</v>
          </cell>
          <cell r="AT737" t="str">
            <v>VILELA SOSA MARIBEL SOLANGE</v>
          </cell>
        </row>
        <row r="738">
          <cell r="C738" t="str">
            <v>0801858218</v>
          </cell>
          <cell r="AT738" t="str">
            <v>VILELA SOSA MARIBEL SOLANGE</v>
          </cell>
        </row>
        <row r="739">
          <cell r="C739" t="str">
            <v>0802744920</v>
          </cell>
          <cell r="AT739" t="str">
            <v>VERDUGA VERGARA LITA PEGGY</v>
          </cell>
        </row>
        <row r="740">
          <cell r="C740" t="str">
            <v>0800728735</v>
          </cell>
          <cell r="AT740" t="str">
            <v xml:space="preserve">ACHILIE VALENCIA TAHIMI </v>
          </cell>
        </row>
        <row r="741">
          <cell r="C741" t="str">
            <v>0800728735</v>
          </cell>
          <cell r="AT741" t="str">
            <v xml:space="preserve">ACHILIE VALENCIA TAHIMI </v>
          </cell>
        </row>
        <row r="742">
          <cell r="C742" t="str">
            <v>0800728735</v>
          </cell>
          <cell r="AT742" t="str">
            <v xml:space="preserve">ACHILIE VALENCIA TAHIMI </v>
          </cell>
        </row>
        <row r="743">
          <cell r="C743" t="str">
            <v>0800728735</v>
          </cell>
          <cell r="AT743" t="str">
            <v xml:space="preserve">ACHILIE VALENCIA TAHIMI </v>
          </cell>
        </row>
        <row r="744">
          <cell r="C744" t="str">
            <v>0800728735</v>
          </cell>
          <cell r="AT744" t="str">
            <v xml:space="preserve">ACHILIE VALENCIA TAHIMI </v>
          </cell>
        </row>
        <row r="745">
          <cell r="C745" t="str">
            <v>0800728735</v>
          </cell>
          <cell r="AT745" t="str">
            <v xml:space="preserve">ACHILIE VALENCIA TAHIMI </v>
          </cell>
        </row>
        <row r="746">
          <cell r="C746" t="str">
            <v>0800728735</v>
          </cell>
          <cell r="AT746" t="str">
            <v xml:space="preserve">ACHILIE VALENCIA TAHIMI </v>
          </cell>
        </row>
        <row r="747">
          <cell r="C747" t="str">
            <v>0800728735</v>
          </cell>
          <cell r="AT747" t="str">
            <v xml:space="preserve">ACHILIE VALENCIA TAHIMI </v>
          </cell>
        </row>
        <row r="748">
          <cell r="C748" t="str">
            <v>0800728735</v>
          </cell>
          <cell r="AT748" t="str">
            <v xml:space="preserve">ACHILIE VALENCIA TAHIMI </v>
          </cell>
        </row>
        <row r="749">
          <cell r="C749" t="str">
            <v>0800728735</v>
          </cell>
          <cell r="AT749" t="str">
            <v xml:space="preserve">ACHILIE VALENCIA TAHIMI </v>
          </cell>
        </row>
        <row r="750">
          <cell r="C750" t="str">
            <v>0800728735</v>
          </cell>
          <cell r="AT750" t="str">
            <v xml:space="preserve">ACHILIE VALENCIA TAHIMI </v>
          </cell>
        </row>
        <row r="751">
          <cell r="C751" t="str">
            <v>0800728735</v>
          </cell>
          <cell r="AT751" t="str">
            <v xml:space="preserve">ACHILIE VALENCIA TAHIMI </v>
          </cell>
        </row>
        <row r="752">
          <cell r="C752" t="str">
            <v>0800728735</v>
          </cell>
          <cell r="AT752" t="str">
            <v xml:space="preserve">ACHILIE VALENCIA TAHIMI </v>
          </cell>
        </row>
        <row r="753">
          <cell r="C753" t="str">
            <v>0800728735</v>
          </cell>
          <cell r="AT753" t="str">
            <v xml:space="preserve">ACHILIE VALENCIA TAHIMI </v>
          </cell>
        </row>
        <row r="754">
          <cell r="C754" t="str">
            <v>0800728735</v>
          </cell>
          <cell r="AT754" t="str">
            <v xml:space="preserve">ACHILIE VALENCIA TAHIMI </v>
          </cell>
        </row>
        <row r="755">
          <cell r="C755" t="str">
            <v>0800728735</v>
          </cell>
          <cell r="AT755" t="str">
            <v xml:space="preserve">ACHILIE VALENCIA TAHIMI </v>
          </cell>
        </row>
        <row r="756">
          <cell r="C756" t="str">
            <v>0800728735</v>
          </cell>
          <cell r="AT756" t="str">
            <v xml:space="preserve">ACHILIE VALENCIA TAHIMI </v>
          </cell>
        </row>
        <row r="757">
          <cell r="C757" t="str">
            <v>0800728735</v>
          </cell>
          <cell r="AT757" t="str">
            <v xml:space="preserve">ACHILIE VALENCIA TAHIMI </v>
          </cell>
        </row>
        <row r="758">
          <cell r="C758" t="str">
            <v>0800728735</v>
          </cell>
          <cell r="AT758" t="str">
            <v xml:space="preserve">ACHILIE VALENCIA TAHIMI </v>
          </cell>
        </row>
        <row r="759">
          <cell r="C759" t="str">
            <v>0800728735</v>
          </cell>
          <cell r="AT759" t="str">
            <v xml:space="preserve">ACHILIE VALENCIA TAHIMI </v>
          </cell>
        </row>
        <row r="760">
          <cell r="C760" t="str">
            <v>0800728735</v>
          </cell>
          <cell r="AT760" t="str">
            <v xml:space="preserve">ACHILIE VALENCIA TAHIMI </v>
          </cell>
        </row>
        <row r="761">
          <cell r="C761" t="str">
            <v>0800728735</v>
          </cell>
          <cell r="AT761" t="str">
            <v xml:space="preserve">ACHILIE VALENCIA TAHIMI </v>
          </cell>
        </row>
        <row r="762">
          <cell r="C762" t="str">
            <v>0800728735</v>
          </cell>
          <cell r="AT762" t="str">
            <v xml:space="preserve">ACHILIE VALENCIA TAHIMI </v>
          </cell>
        </row>
        <row r="763">
          <cell r="C763" t="str">
            <v>0800728735</v>
          </cell>
          <cell r="AT763" t="str">
            <v xml:space="preserve">ACHILIE VALENCIA TAHIMI </v>
          </cell>
        </row>
        <row r="764">
          <cell r="C764" t="str">
            <v>0800728735</v>
          </cell>
          <cell r="AT764" t="str">
            <v xml:space="preserve">ACHILIE VALENCIA TAHIMI </v>
          </cell>
        </row>
        <row r="765">
          <cell r="C765" t="str">
            <v>0800728735</v>
          </cell>
          <cell r="AT765" t="str">
            <v xml:space="preserve">ACHILIE VALENCIA TAHIMI </v>
          </cell>
        </row>
        <row r="766">
          <cell r="C766" t="str">
            <v>0800728735</v>
          </cell>
          <cell r="AT766" t="str">
            <v xml:space="preserve">ACHILIE VALENCIA TAHIMI </v>
          </cell>
        </row>
        <row r="767">
          <cell r="C767" t="str">
            <v>0802885665</v>
          </cell>
          <cell r="AT767" t="str">
            <v>AGUILAR QUIÑONEZ VERONICA ELIZABETH</v>
          </cell>
        </row>
        <row r="768">
          <cell r="C768" t="str">
            <v>0802885665</v>
          </cell>
          <cell r="AT768" t="str">
            <v>AGUILAR QUIÑONEZ VERONICA ELIZABETH</v>
          </cell>
        </row>
        <row r="769">
          <cell r="C769" t="str">
            <v>0802885665</v>
          </cell>
          <cell r="AT769" t="str">
            <v>AGUILAR QUIÑONEZ VERONICA ELIZABETH</v>
          </cell>
        </row>
        <row r="770">
          <cell r="C770" t="str">
            <v>0802885665</v>
          </cell>
          <cell r="AT770" t="str">
            <v>AGUILAR QUIÑONEZ VERONICA ELIZABETH</v>
          </cell>
        </row>
        <row r="771">
          <cell r="C771" t="str">
            <v>0802885665</v>
          </cell>
          <cell r="AT771" t="str">
            <v>AGUILAR QUIÑONEZ VERONICA ELIZABETH</v>
          </cell>
        </row>
        <row r="772">
          <cell r="C772" t="str">
            <v>0802885665</v>
          </cell>
          <cell r="AT772" t="str">
            <v>AGUILAR QUIÑONEZ VERONICA ELIZABETH</v>
          </cell>
        </row>
        <row r="773">
          <cell r="C773" t="str">
            <v>0802885665</v>
          </cell>
          <cell r="AT773" t="str">
            <v>AGUILAR QUIÑONEZ VERONICA ELIZABETH</v>
          </cell>
        </row>
        <row r="774">
          <cell r="C774" t="str">
            <v>0802885665</v>
          </cell>
          <cell r="AT774" t="str">
            <v>AGUILAR QUIÑONEZ VERONICA ELIZABETH</v>
          </cell>
        </row>
        <row r="775">
          <cell r="C775" t="str">
            <v>0802885665</v>
          </cell>
          <cell r="AT775" t="str">
            <v>AGUILAR QUIÑONEZ VERONICA ELIZABETH</v>
          </cell>
        </row>
        <row r="776">
          <cell r="C776" t="str">
            <v>0802885665</v>
          </cell>
          <cell r="AT776" t="str">
            <v>AGUILAR QUIÑONEZ VERONICA ELIZABETH</v>
          </cell>
        </row>
        <row r="777">
          <cell r="C777" t="str">
            <v>0802885665</v>
          </cell>
          <cell r="AT777" t="str">
            <v>AGUILAR QUIÑONEZ VERONICA ELIZABETH</v>
          </cell>
        </row>
        <row r="778">
          <cell r="C778" t="str">
            <v>0802885665</v>
          </cell>
          <cell r="AT778" t="str">
            <v>AGUILAR QUIÑONEZ VERONICA ELIZABETH</v>
          </cell>
        </row>
        <row r="779">
          <cell r="C779" t="str">
            <v>0802885665</v>
          </cell>
          <cell r="AT779" t="str">
            <v>AGUILAR QUIÑONEZ VERONICA ELIZABETH</v>
          </cell>
        </row>
        <row r="780">
          <cell r="C780" t="str">
            <v>0802885665</v>
          </cell>
          <cell r="AT780" t="str">
            <v>AGUILAR QUIÑONEZ VERONICA ELIZABETH</v>
          </cell>
        </row>
        <row r="781">
          <cell r="C781" t="str">
            <v>0802885665</v>
          </cell>
          <cell r="AT781" t="str">
            <v>AGUILAR QUIÑONEZ VERONICA ELIZABETH</v>
          </cell>
        </row>
        <row r="782">
          <cell r="C782" t="str">
            <v>0802885665</v>
          </cell>
          <cell r="AT782" t="str">
            <v>AGUILAR QUIÑONEZ VERONICA ELIZABETH</v>
          </cell>
        </row>
        <row r="783">
          <cell r="C783" t="str">
            <v>0802885665</v>
          </cell>
          <cell r="AT783" t="str">
            <v>AGUILAR QUIÑONEZ VERONICA ELIZABETH</v>
          </cell>
        </row>
        <row r="784">
          <cell r="C784" t="str">
            <v>0802885665</v>
          </cell>
          <cell r="AT784" t="str">
            <v>AGUILAR QUIÑONEZ VERONICA ELIZABETH</v>
          </cell>
        </row>
        <row r="785">
          <cell r="C785" t="str">
            <v>0802885665</v>
          </cell>
          <cell r="AT785" t="str">
            <v>AGUILAR QUIÑONEZ VERONICA ELIZABETH</v>
          </cell>
        </row>
        <row r="786">
          <cell r="C786" t="str">
            <v>0802885665</v>
          </cell>
          <cell r="AT786" t="str">
            <v>AGUILAR QUIÑONEZ VERONICA ELIZABETH</v>
          </cell>
        </row>
        <row r="787">
          <cell r="C787" t="str">
            <v>0802885665</v>
          </cell>
          <cell r="AT787" t="str">
            <v>AGUILAR QUIÑONEZ VERONICA ELIZABETH</v>
          </cell>
        </row>
        <row r="788">
          <cell r="C788" t="str">
            <v>0802885665</v>
          </cell>
          <cell r="AT788" t="str">
            <v>AGUILAR QUIÑONEZ VERONICA ELIZABETH</v>
          </cell>
        </row>
        <row r="789">
          <cell r="C789" t="str">
            <v>0802885665</v>
          </cell>
          <cell r="AT789" t="str">
            <v>AGUILAR QUIÑONEZ VERONICA ELIZABETH</v>
          </cell>
        </row>
        <row r="790">
          <cell r="C790" t="str">
            <v>0802885665</v>
          </cell>
          <cell r="AT790" t="str">
            <v>AGUILAR QUIÑONEZ VERONICA ELIZABETH</v>
          </cell>
        </row>
        <row r="791">
          <cell r="C791" t="str">
            <v>0802885665</v>
          </cell>
          <cell r="AT791" t="str">
            <v>AGUILAR QUIÑONEZ VERONICA ELIZABETH</v>
          </cell>
        </row>
        <row r="792">
          <cell r="C792" t="str">
            <v>0802669531</v>
          </cell>
          <cell r="AT792" t="str">
            <v>ALAVA CHILA ORLIN ELADIO</v>
          </cell>
        </row>
        <row r="793">
          <cell r="C793" t="str">
            <v>0802669531</v>
          </cell>
          <cell r="AT793" t="str">
            <v>ALAVA CHILA ORLIN ELADIO</v>
          </cell>
        </row>
        <row r="794">
          <cell r="C794" t="str">
            <v>0802669531</v>
          </cell>
          <cell r="AT794" t="str">
            <v>ALAVA CHILA ORLIN ELADIO</v>
          </cell>
        </row>
        <row r="795">
          <cell r="C795" t="str">
            <v>0802669531</v>
          </cell>
          <cell r="AT795" t="str">
            <v>ALAVA CHILA ORLIN ELADIO</v>
          </cell>
        </row>
        <row r="796">
          <cell r="C796" t="str">
            <v>0802669531</v>
          </cell>
          <cell r="AT796" t="str">
            <v>ALAVA CHILA ORLIN ELADIO</v>
          </cell>
        </row>
        <row r="797">
          <cell r="C797" t="str">
            <v>0802669531</v>
          </cell>
          <cell r="AT797" t="str">
            <v>ALAVA CHILA ORLIN ELADIO</v>
          </cell>
        </row>
        <row r="798">
          <cell r="C798" t="str">
            <v>0802669531</v>
          </cell>
          <cell r="AT798" t="str">
            <v>ALAVA CHILA ORLIN ELADIO</v>
          </cell>
        </row>
        <row r="799">
          <cell r="C799" t="str">
            <v>0802669531</v>
          </cell>
          <cell r="AT799" t="str">
            <v>ALAVA CHILA ORLIN ELADIO</v>
          </cell>
        </row>
        <row r="800">
          <cell r="C800" t="str">
            <v>0802669531</v>
          </cell>
          <cell r="AT800" t="str">
            <v>ALAVA CHILA ORLIN ELADIO</v>
          </cell>
        </row>
        <row r="801">
          <cell r="C801" t="str">
            <v>0802669531</v>
          </cell>
          <cell r="AT801" t="str">
            <v>ALAVA CHILA ORLIN ELADIO</v>
          </cell>
        </row>
        <row r="802">
          <cell r="C802" t="str">
            <v>0802669531</v>
          </cell>
          <cell r="AT802" t="str">
            <v>ALAVA CHILA ORLIN ELADIO</v>
          </cell>
        </row>
        <row r="803">
          <cell r="C803" t="str">
            <v>0802669531</v>
          </cell>
          <cell r="AT803" t="str">
            <v>ALAVA CHILA ORLIN ELADIO</v>
          </cell>
        </row>
        <row r="804">
          <cell r="C804" t="str">
            <v>0802669531</v>
          </cell>
          <cell r="AT804" t="str">
            <v>ALAVA CHILA ORLIN ELADIO</v>
          </cell>
        </row>
        <row r="805">
          <cell r="C805" t="str">
            <v>0802669531</v>
          </cell>
          <cell r="AT805" t="str">
            <v>ALAVA CHILA ORLIN ELADIO</v>
          </cell>
        </row>
        <row r="806">
          <cell r="C806" t="str">
            <v>0802669531</v>
          </cell>
          <cell r="AT806" t="str">
            <v>ALAVA CHILA ORLIN ELADIO</v>
          </cell>
        </row>
        <row r="807">
          <cell r="C807" t="str">
            <v>0802669531</v>
          </cell>
          <cell r="AT807" t="str">
            <v>ALAVA CHILA ORLIN ELADIO</v>
          </cell>
        </row>
        <row r="808">
          <cell r="C808" t="str">
            <v>0802669531</v>
          </cell>
          <cell r="AT808" t="str">
            <v>ALAVA CHILA ORLIN ELADIO</v>
          </cell>
        </row>
        <row r="809">
          <cell r="C809" t="str">
            <v>0802669531</v>
          </cell>
          <cell r="AT809" t="str">
            <v>ALAVA CHILA ORLIN ELADIO</v>
          </cell>
        </row>
        <row r="810">
          <cell r="C810" t="str">
            <v>0802669531</v>
          </cell>
          <cell r="AT810" t="str">
            <v>ALAVA CHILA ORLIN ELADIO</v>
          </cell>
        </row>
        <row r="811">
          <cell r="C811" t="str">
            <v>0802669531</v>
          </cell>
          <cell r="AT811" t="str">
            <v>ALAVA CHILA ORLIN ELADIO</v>
          </cell>
        </row>
        <row r="812">
          <cell r="C812" t="str">
            <v>0802669531</v>
          </cell>
          <cell r="AT812" t="str">
            <v>ALAVA CHILA ORLIN ELADIO</v>
          </cell>
        </row>
        <row r="813">
          <cell r="C813" t="str">
            <v>0802669531</v>
          </cell>
          <cell r="AT813" t="str">
            <v>ALAVA CHILA ORLIN ELADIO</v>
          </cell>
        </row>
        <row r="814">
          <cell r="C814" t="str">
            <v>1713736294</v>
          </cell>
          <cell r="AT814" t="str">
            <v>MARIÑO ANDRADE HENRY GEOVANNY</v>
          </cell>
        </row>
        <row r="815">
          <cell r="C815" t="str">
            <v>1704065638</v>
          </cell>
          <cell r="AT815" t="str">
            <v>ROVALINO TELLO FAUSTO MARCELO</v>
          </cell>
        </row>
        <row r="816">
          <cell r="C816" t="str">
            <v>0801445107</v>
          </cell>
          <cell r="AT816" t="str">
            <v>ANGULO ALEGRIA MEMI VICTORIA</v>
          </cell>
        </row>
        <row r="817">
          <cell r="C817" t="str">
            <v>0801445107</v>
          </cell>
          <cell r="AT817" t="str">
            <v>ANGULO ALEGRIA MEMI VICTORIA</v>
          </cell>
        </row>
        <row r="818">
          <cell r="C818" t="str">
            <v>0801445107</v>
          </cell>
          <cell r="AT818" t="str">
            <v>ANGULO ALEGRIA MEMI VICTORIA</v>
          </cell>
        </row>
        <row r="819">
          <cell r="C819" t="str">
            <v>0801445107</v>
          </cell>
          <cell r="AT819" t="str">
            <v>ANGULO ALEGRIA MEMI VICTORIA</v>
          </cell>
        </row>
        <row r="820">
          <cell r="C820" t="str">
            <v>0801445107</v>
          </cell>
          <cell r="AT820" t="str">
            <v>ANGULO ALEGRIA MEMI VICTORIA</v>
          </cell>
        </row>
        <row r="821">
          <cell r="C821" t="str">
            <v>0801445107</v>
          </cell>
          <cell r="AT821" t="str">
            <v>ANGULO ALEGRIA MEMI VICTORIA</v>
          </cell>
        </row>
        <row r="822">
          <cell r="C822" t="str">
            <v>0801445107</v>
          </cell>
          <cell r="AT822" t="str">
            <v>ANGULO ALEGRIA MEMI VICTORIA</v>
          </cell>
        </row>
        <row r="823">
          <cell r="C823" t="str">
            <v>0801445107</v>
          </cell>
          <cell r="AT823" t="str">
            <v>ANGULO ALEGRIA MEMI VICTORIA</v>
          </cell>
        </row>
        <row r="824">
          <cell r="C824" t="str">
            <v>0801445107</v>
          </cell>
          <cell r="AT824" t="str">
            <v>ANGULO ALEGRIA MEMI VICTORIA</v>
          </cell>
        </row>
        <row r="825">
          <cell r="C825" t="str">
            <v>0801445107</v>
          </cell>
          <cell r="AT825" t="str">
            <v>ANGULO ALEGRIA MEMI VICTORIA</v>
          </cell>
        </row>
        <row r="826">
          <cell r="C826" t="str">
            <v>0801445107</v>
          </cell>
          <cell r="AT826" t="str">
            <v>ANGULO ALEGRIA MEMI VICTORIA</v>
          </cell>
        </row>
        <row r="827">
          <cell r="C827" t="str">
            <v>0801445107</v>
          </cell>
          <cell r="AT827" t="str">
            <v>ANGULO ALEGRIA MEMI VICTORIA</v>
          </cell>
        </row>
        <row r="828">
          <cell r="C828" t="str">
            <v>0801445107</v>
          </cell>
          <cell r="AT828" t="str">
            <v>ANGULO ALEGRIA MEMI VICTORIA</v>
          </cell>
        </row>
        <row r="829">
          <cell r="C829" t="str">
            <v>0801445107</v>
          </cell>
          <cell r="AT829" t="str">
            <v>ANGULO ALEGRIA MEMI VICTORIA</v>
          </cell>
        </row>
        <row r="830">
          <cell r="C830" t="str">
            <v>0801445107</v>
          </cell>
          <cell r="AT830" t="str">
            <v>ANGULO ALEGRIA MEMI VICTORIA</v>
          </cell>
        </row>
        <row r="831">
          <cell r="C831" t="str">
            <v>0801445107</v>
          </cell>
          <cell r="AT831" t="str">
            <v>ANGULO ALEGRIA MEMI VICTORIA</v>
          </cell>
        </row>
        <row r="832">
          <cell r="C832" t="str">
            <v>0801445107</v>
          </cell>
          <cell r="AT832" t="str">
            <v>ANGULO ALEGRIA MEMI VICTORIA</v>
          </cell>
        </row>
        <row r="833">
          <cell r="C833" t="str">
            <v>0801445107</v>
          </cell>
          <cell r="AT833" t="str">
            <v>ANGULO ALEGRIA MEMI VICTORIA</v>
          </cell>
        </row>
        <row r="834">
          <cell r="C834" t="str">
            <v>0801445107</v>
          </cell>
          <cell r="AT834" t="str">
            <v>ANGULO ALEGRIA MEMI VICTORIA</v>
          </cell>
        </row>
        <row r="835">
          <cell r="C835" t="str">
            <v>0801445107</v>
          </cell>
          <cell r="AT835" t="str">
            <v>ANGULO ALEGRIA MEMI VICTORIA</v>
          </cell>
        </row>
        <row r="836">
          <cell r="C836" t="str">
            <v>0801445107</v>
          </cell>
          <cell r="AT836" t="str">
            <v>ANGULO ALEGRIA MEMI VICTORIA</v>
          </cell>
        </row>
        <row r="837">
          <cell r="C837" t="str">
            <v>0801445107</v>
          </cell>
          <cell r="AT837" t="str">
            <v>ANGULO ALEGRIA MEMI VICTORIA</v>
          </cell>
        </row>
        <row r="838">
          <cell r="C838" t="str">
            <v>0801445107</v>
          </cell>
          <cell r="AT838" t="str">
            <v>ANGULO ALEGRIA MEMI VICTORIA</v>
          </cell>
        </row>
        <row r="839">
          <cell r="C839" t="str">
            <v>0801445107</v>
          </cell>
          <cell r="AT839" t="str">
            <v>ANGULO ALEGRIA MEMI VICTORIA</v>
          </cell>
        </row>
        <row r="840">
          <cell r="C840" t="str">
            <v>0801445107</v>
          </cell>
          <cell r="AT840" t="str">
            <v>ANGULO ALEGRIA MEMI VICTORIA</v>
          </cell>
        </row>
        <row r="841">
          <cell r="C841" t="str">
            <v>0801445107</v>
          </cell>
          <cell r="AT841" t="str">
            <v>ANGULO ALEGRIA MEMI VICTORIA</v>
          </cell>
        </row>
        <row r="842">
          <cell r="C842" t="str">
            <v>0801445107</v>
          </cell>
          <cell r="AT842" t="str">
            <v>ANGULO ALEGRIA MEMI VICTORIA</v>
          </cell>
        </row>
        <row r="843">
          <cell r="C843" t="str">
            <v>0801445107</v>
          </cell>
          <cell r="AT843" t="str">
            <v>ANGULO ALEGRIA MEMI VICTORIA</v>
          </cell>
        </row>
        <row r="844">
          <cell r="C844" t="str">
            <v>0801445107</v>
          </cell>
          <cell r="AT844" t="str">
            <v>ANGULO ALEGRIA MEMI VICTORIA</v>
          </cell>
        </row>
        <row r="845">
          <cell r="C845" t="str">
            <v>0801445107</v>
          </cell>
          <cell r="AT845" t="str">
            <v>ANGULO ALEGRIA MEMI VICTORIA</v>
          </cell>
        </row>
        <row r="846">
          <cell r="C846" t="str">
            <v>0801445107</v>
          </cell>
          <cell r="AT846" t="str">
            <v>ANGULO ALEGRIA MEMI VICTORIA</v>
          </cell>
        </row>
        <row r="847">
          <cell r="C847" t="str">
            <v>0801445107</v>
          </cell>
          <cell r="AT847" t="str">
            <v>ANGULO ALEGRIA MEMI VICTORIA</v>
          </cell>
        </row>
        <row r="848">
          <cell r="C848" t="str">
            <v>0801445107</v>
          </cell>
          <cell r="AT848" t="str">
            <v>ANGULO ALEGRIA MEMI VICTORIA</v>
          </cell>
        </row>
        <row r="849">
          <cell r="C849" t="str">
            <v>0801445107</v>
          </cell>
          <cell r="AT849" t="str">
            <v>ANGULO ALEGRIA MEMI VICTORIA</v>
          </cell>
        </row>
        <row r="850">
          <cell r="C850" t="str">
            <v>0801445107</v>
          </cell>
          <cell r="AT850" t="str">
            <v>ANGULO ALEGRIA MEMI VICTORIA</v>
          </cell>
        </row>
        <row r="851">
          <cell r="C851" t="str">
            <v>0801912221</v>
          </cell>
          <cell r="AT851" t="str">
            <v>ANGULO CASTILLO JACINTA VERONICA</v>
          </cell>
        </row>
        <row r="852">
          <cell r="C852" t="str">
            <v>0801912221</v>
          </cell>
          <cell r="AT852" t="str">
            <v>ANGULO CASTILLO JACINTA VERONICA</v>
          </cell>
        </row>
        <row r="853">
          <cell r="C853" t="str">
            <v>0801912221</v>
          </cell>
          <cell r="AT853" t="str">
            <v>ANGULO CASTILLO JACINTA VERONICA</v>
          </cell>
        </row>
        <row r="854">
          <cell r="C854" t="str">
            <v>0801912221</v>
          </cell>
          <cell r="AT854" t="str">
            <v>ANGULO CASTILLO JACINTA VERONICA</v>
          </cell>
        </row>
        <row r="855">
          <cell r="C855" t="str">
            <v>0801912221</v>
          </cell>
          <cell r="AT855" t="str">
            <v>ANGULO CASTILLO JACINTA VERONICA</v>
          </cell>
        </row>
        <row r="856">
          <cell r="C856" t="str">
            <v>0801912221</v>
          </cell>
          <cell r="AT856" t="str">
            <v>ANGULO CASTILLO JACINTA VERONICA</v>
          </cell>
        </row>
        <row r="857">
          <cell r="C857" t="str">
            <v>0801912221</v>
          </cell>
          <cell r="AT857" t="str">
            <v>ANGULO CASTILLO JACINTA VERONICA</v>
          </cell>
        </row>
        <row r="858">
          <cell r="C858" t="str">
            <v>0801912221</v>
          </cell>
          <cell r="AT858" t="str">
            <v>ANGULO CASTILLO JACINTA VERONICA</v>
          </cell>
        </row>
        <row r="859">
          <cell r="C859" t="str">
            <v>0801912221</v>
          </cell>
          <cell r="AT859" t="str">
            <v>ANGULO CASTILLO JACINTA VERONICA</v>
          </cell>
        </row>
        <row r="860">
          <cell r="C860" t="str">
            <v>0801912221</v>
          </cell>
          <cell r="AT860" t="str">
            <v>ANGULO CASTILLO JACINTA VERONICA</v>
          </cell>
        </row>
        <row r="861">
          <cell r="C861" t="str">
            <v>0801912221</v>
          </cell>
          <cell r="AT861" t="str">
            <v>ANGULO CASTILLO JACINTA VERONICA</v>
          </cell>
        </row>
        <row r="862">
          <cell r="C862" t="str">
            <v>0801912221</v>
          </cell>
          <cell r="AT862" t="str">
            <v>ANGULO CASTILLO JACINTA VERONICA</v>
          </cell>
        </row>
        <row r="863">
          <cell r="C863" t="str">
            <v>0801912221</v>
          </cell>
          <cell r="AT863" t="str">
            <v>ANGULO CASTILLO JACINTA VERONICA</v>
          </cell>
        </row>
        <row r="864">
          <cell r="C864" t="str">
            <v>0801912221</v>
          </cell>
          <cell r="AT864" t="str">
            <v>ANGULO CASTILLO JACINTA VERONICA</v>
          </cell>
        </row>
        <row r="865">
          <cell r="C865" t="str">
            <v>0801912221</v>
          </cell>
          <cell r="AT865" t="str">
            <v>ANGULO CASTILLO JACINTA VERONICA</v>
          </cell>
        </row>
        <row r="866">
          <cell r="C866" t="str">
            <v>0801912221</v>
          </cell>
          <cell r="AT866" t="str">
            <v>ANGULO CASTILLO JACINTA VERONICA</v>
          </cell>
        </row>
        <row r="867">
          <cell r="C867" t="str">
            <v>0801912221</v>
          </cell>
          <cell r="AT867" t="str">
            <v>ANGULO CASTILLO JACINTA VERONICA</v>
          </cell>
        </row>
        <row r="868">
          <cell r="C868" t="str">
            <v>0801912221</v>
          </cell>
          <cell r="AT868" t="str">
            <v>ANGULO CASTILLO JACINTA VERONICA</v>
          </cell>
        </row>
        <row r="869">
          <cell r="C869" t="str">
            <v>0801912221</v>
          </cell>
          <cell r="AT869" t="str">
            <v>ANGULO CASTILLO JACINTA VERONICA</v>
          </cell>
        </row>
        <row r="870">
          <cell r="C870" t="str">
            <v>0801912221</v>
          </cell>
          <cell r="AT870" t="str">
            <v>ANGULO CASTILLO JACINTA VERONICA</v>
          </cell>
        </row>
        <row r="871">
          <cell r="C871" t="str">
            <v>0801912221</v>
          </cell>
          <cell r="AT871" t="str">
            <v>ANGULO CASTILLO JACINTA VERONICA</v>
          </cell>
        </row>
        <row r="872">
          <cell r="C872" t="str">
            <v>0801912221</v>
          </cell>
          <cell r="AT872" t="str">
            <v>ANGULO CASTILLO JACINTA VERONICA</v>
          </cell>
        </row>
        <row r="873">
          <cell r="C873" t="str">
            <v>0801912221</v>
          </cell>
          <cell r="AT873" t="str">
            <v>ANGULO CASTILLO JACINTA VERONICA</v>
          </cell>
        </row>
        <row r="874">
          <cell r="C874" t="str">
            <v>0801912221</v>
          </cell>
          <cell r="AT874" t="str">
            <v>ANGULO CASTILLO JACINTA VERONICA</v>
          </cell>
        </row>
        <row r="875">
          <cell r="C875" t="str">
            <v>0801912221</v>
          </cell>
          <cell r="AT875" t="str">
            <v>ANGULO CASTILLO JACINTA VERONICA</v>
          </cell>
        </row>
        <row r="876">
          <cell r="C876" t="str">
            <v>0801912221</v>
          </cell>
          <cell r="AT876" t="str">
            <v>ANGULO CASTILLO JACINTA VERONICA</v>
          </cell>
        </row>
        <row r="877">
          <cell r="C877" t="str">
            <v>0801912221</v>
          </cell>
          <cell r="AT877" t="str">
            <v>ANGULO CASTILLO JACINTA VERONICA</v>
          </cell>
        </row>
        <row r="878">
          <cell r="C878" t="str">
            <v>0801912221</v>
          </cell>
          <cell r="AT878" t="str">
            <v>ANGULO CASTILLO JACINTA VERONICA</v>
          </cell>
        </row>
        <row r="879">
          <cell r="C879" t="str">
            <v>0801912221</v>
          </cell>
          <cell r="AT879" t="str">
            <v>ANGULO CASTILLO JACINTA VERONICA</v>
          </cell>
        </row>
        <row r="880">
          <cell r="C880" t="str">
            <v>0801912221</v>
          </cell>
          <cell r="AT880" t="str">
            <v>ANGULO CASTILLO JACINTA VERONICA</v>
          </cell>
        </row>
        <row r="881">
          <cell r="C881" t="str">
            <v>0801912221</v>
          </cell>
          <cell r="AT881" t="str">
            <v>ANGULO CASTILLO JACINTA VERONICA</v>
          </cell>
        </row>
        <row r="882">
          <cell r="C882" t="str">
            <v>0801912221</v>
          </cell>
          <cell r="AT882" t="str">
            <v>ANGULO CASTILLO JACINTA VERONICA</v>
          </cell>
        </row>
        <row r="883">
          <cell r="C883" t="str">
            <v>0801912221</v>
          </cell>
          <cell r="AT883" t="str">
            <v>ANGULO CASTILLO JACINTA VERONICA</v>
          </cell>
        </row>
        <row r="884">
          <cell r="C884" t="str">
            <v>0801912221</v>
          </cell>
          <cell r="AT884" t="str">
            <v>ANGULO CASTILLO JACINTA VERONICA</v>
          </cell>
        </row>
        <row r="885">
          <cell r="C885" t="str">
            <v>0801912221</v>
          </cell>
          <cell r="AT885" t="str">
            <v>ANGULO CASTILLO JACINTA VERONICA</v>
          </cell>
        </row>
        <row r="886">
          <cell r="C886" t="str">
            <v>0801912221</v>
          </cell>
          <cell r="AT886" t="str">
            <v>ANGULO CASTILLO JACINTA VERONICA</v>
          </cell>
        </row>
        <row r="887">
          <cell r="C887" t="str">
            <v>0905704870</v>
          </cell>
          <cell r="AT887" t="str">
            <v>ANGULO CUELLAR RAMON EBERTO</v>
          </cell>
        </row>
        <row r="888">
          <cell r="C888" t="str">
            <v>0905704870</v>
          </cell>
          <cell r="AT888" t="str">
            <v>ANGULO CUELLAR RAMON EBERTO</v>
          </cell>
        </row>
        <row r="889">
          <cell r="C889" t="str">
            <v>0905704870</v>
          </cell>
          <cell r="AT889" t="str">
            <v>ANGULO CUELLAR RAMON EBERTO</v>
          </cell>
        </row>
        <row r="890">
          <cell r="C890" t="str">
            <v>0905704870</v>
          </cell>
          <cell r="AT890" t="str">
            <v>ANGULO CUELLAR RAMON EBERTO</v>
          </cell>
        </row>
        <row r="891">
          <cell r="C891" t="str">
            <v>0905704870</v>
          </cell>
          <cell r="AT891" t="str">
            <v>ANGULO CUELLAR RAMON EBERTO</v>
          </cell>
        </row>
        <row r="892">
          <cell r="C892" t="str">
            <v>0905704870</v>
          </cell>
          <cell r="AT892" t="str">
            <v>ANGULO CUELLAR RAMON EBERTO</v>
          </cell>
        </row>
        <row r="893">
          <cell r="C893" t="str">
            <v>0905704870</v>
          </cell>
          <cell r="AT893" t="str">
            <v>ANGULO CUELLAR RAMON EBERTO</v>
          </cell>
        </row>
        <row r="894">
          <cell r="C894" t="str">
            <v>0905704870</v>
          </cell>
          <cell r="AT894" t="str">
            <v>ANGULO CUELLAR RAMON EBERTO</v>
          </cell>
        </row>
        <row r="895">
          <cell r="C895" t="str">
            <v>0905704870</v>
          </cell>
          <cell r="AT895" t="str">
            <v>ANGULO CUELLAR RAMON EBERTO</v>
          </cell>
        </row>
        <row r="896">
          <cell r="C896" t="str">
            <v>0905704870</v>
          </cell>
          <cell r="AT896" t="str">
            <v>ANGULO CUELLAR RAMON EBERTO</v>
          </cell>
        </row>
        <row r="897">
          <cell r="C897" t="str">
            <v>0905704870</v>
          </cell>
          <cell r="AT897" t="str">
            <v>ANGULO CUELLAR RAMON EBERTO</v>
          </cell>
        </row>
        <row r="898">
          <cell r="C898" t="str">
            <v>0905704870</v>
          </cell>
          <cell r="AT898" t="str">
            <v>ANGULO CUELLAR RAMON EBERTO</v>
          </cell>
        </row>
        <row r="899">
          <cell r="C899" t="str">
            <v>0905704870</v>
          </cell>
          <cell r="AT899" t="str">
            <v>ANGULO CUELLAR RAMON EBERTO</v>
          </cell>
        </row>
        <row r="900">
          <cell r="C900" t="str">
            <v>0905704870</v>
          </cell>
          <cell r="AT900" t="str">
            <v>ANGULO CUELLAR RAMON EBERTO</v>
          </cell>
        </row>
        <row r="901">
          <cell r="C901" t="str">
            <v>0905704870</v>
          </cell>
          <cell r="AT901" t="str">
            <v>ANGULO CUELLAR RAMON EBERTO</v>
          </cell>
        </row>
        <row r="902">
          <cell r="C902" t="str">
            <v>0905704870</v>
          </cell>
          <cell r="AT902" t="str">
            <v>ANGULO CUELLAR RAMON EBERTO</v>
          </cell>
        </row>
        <row r="903">
          <cell r="C903" t="str">
            <v>0905704870</v>
          </cell>
          <cell r="AT903" t="str">
            <v>ANGULO CUELLAR RAMON EBERTO</v>
          </cell>
        </row>
        <row r="904">
          <cell r="C904" t="str">
            <v>0905704870</v>
          </cell>
          <cell r="AT904" t="str">
            <v>ANGULO CUELLAR RAMON EBERTO</v>
          </cell>
        </row>
        <row r="905">
          <cell r="C905" t="str">
            <v>0905704870</v>
          </cell>
          <cell r="AT905" t="str">
            <v>ANGULO CUELLAR RAMON EBERTO</v>
          </cell>
        </row>
        <row r="906">
          <cell r="C906" t="str">
            <v>0905704870</v>
          </cell>
          <cell r="AT906" t="str">
            <v>ANGULO CUELLAR RAMON EBERTO</v>
          </cell>
        </row>
        <row r="907">
          <cell r="C907" t="str">
            <v>0905704870</v>
          </cell>
          <cell r="AT907" t="str">
            <v>ANGULO CUELLAR RAMON EBERTO</v>
          </cell>
        </row>
        <row r="908">
          <cell r="C908" t="str">
            <v>0905704870</v>
          </cell>
          <cell r="AT908" t="str">
            <v>ANGULO CUELLAR RAMON EBERTO</v>
          </cell>
        </row>
        <row r="909">
          <cell r="C909" t="str">
            <v>0905704870</v>
          </cell>
          <cell r="AT909" t="str">
            <v>ANGULO CUELLAR RAMON EBERTO</v>
          </cell>
        </row>
        <row r="910">
          <cell r="C910" t="str">
            <v>0905704870</v>
          </cell>
          <cell r="AT910" t="str">
            <v>ANGULO CUELLAR RAMON EBERTO</v>
          </cell>
        </row>
        <row r="911">
          <cell r="C911" t="str">
            <v>0905704870</v>
          </cell>
          <cell r="AT911" t="str">
            <v>ANGULO CUELLAR RAMON EBERTO</v>
          </cell>
        </row>
        <row r="912">
          <cell r="C912" t="str">
            <v>0905704870</v>
          </cell>
          <cell r="AT912" t="str">
            <v>ANGULO CUELLAR RAMON EBERTO</v>
          </cell>
        </row>
        <row r="913">
          <cell r="C913" t="str">
            <v>0905704870</v>
          </cell>
          <cell r="AT913" t="str">
            <v>ANGULO CUELLAR RAMON EBERTO</v>
          </cell>
        </row>
        <row r="914">
          <cell r="C914" t="str">
            <v>1206324731</v>
          </cell>
          <cell r="AT914" t="str">
            <v>ARIAS CARPIO WENDY TATIANA</v>
          </cell>
        </row>
        <row r="915">
          <cell r="C915" t="str">
            <v>1206324731</v>
          </cell>
          <cell r="AT915" t="str">
            <v>ARIAS CARPIO WENDY TATIANA</v>
          </cell>
        </row>
        <row r="916">
          <cell r="C916" t="str">
            <v>1206324731</v>
          </cell>
          <cell r="AT916" t="str">
            <v>ARIAS CARPIO WENDY TATIANA</v>
          </cell>
        </row>
        <row r="917">
          <cell r="C917" t="str">
            <v>1206324731</v>
          </cell>
          <cell r="AT917" t="str">
            <v>ARIAS CARPIO WENDY TATIANA</v>
          </cell>
        </row>
        <row r="918">
          <cell r="C918" t="str">
            <v>1206324731</v>
          </cell>
          <cell r="AT918" t="str">
            <v>ARIAS CARPIO WENDY TATIANA</v>
          </cell>
        </row>
        <row r="919">
          <cell r="C919" t="str">
            <v>1206324731</v>
          </cell>
          <cell r="AT919" t="str">
            <v>ARIAS CARPIO WENDY TATIANA</v>
          </cell>
        </row>
        <row r="920">
          <cell r="C920" t="str">
            <v>1206324731</v>
          </cell>
          <cell r="AT920" t="str">
            <v>ARIAS CARPIO WENDY TATIANA</v>
          </cell>
        </row>
        <row r="921">
          <cell r="C921" t="str">
            <v>1206324731</v>
          </cell>
          <cell r="AT921" t="str">
            <v>ARIAS CARPIO WENDY TATIANA</v>
          </cell>
        </row>
        <row r="922">
          <cell r="C922" t="str">
            <v>1206324731</v>
          </cell>
          <cell r="AT922" t="str">
            <v>ARIAS CARPIO WENDY TATIANA</v>
          </cell>
        </row>
        <row r="923">
          <cell r="C923" t="str">
            <v>1206324731</v>
          </cell>
          <cell r="AT923" t="str">
            <v>ARIAS CARPIO WENDY TATIANA</v>
          </cell>
        </row>
        <row r="924">
          <cell r="C924" t="str">
            <v>1206324731</v>
          </cell>
          <cell r="AT924" t="str">
            <v>ARIAS CARPIO WENDY TATIANA</v>
          </cell>
        </row>
        <row r="925">
          <cell r="C925" t="str">
            <v>1206324731</v>
          </cell>
          <cell r="AT925" t="str">
            <v>ARIAS CARPIO WENDY TATIANA</v>
          </cell>
        </row>
        <row r="926">
          <cell r="C926" t="str">
            <v>1206324731</v>
          </cell>
          <cell r="AT926" t="str">
            <v>ARIAS CARPIO WENDY TATIANA</v>
          </cell>
        </row>
        <row r="927">
          <cell r="C927" t="str">
            <v>1206324731</v>
          </cell>
          <cell r="AT927" t="str">
            <v>ARIAS CARPIO WENDY TATIANA</v>
          </cell>
        </row>
        <row r="928">
          <cell r="C928" t="str">
            <v>1206324731</v>
          </cell>
          <cell r="AT928" t="str">
            <v>ARIAS CARPIO WENDY TATIANA</v>
          </cell>
        </row>
        <row r="929">
          <cell r="C929" t="str">
            <v>1206324731</v>
          </cell>
          <cell r="AT929" t="str">
            <v>ARIAS CARPIO WENDY TATIANA</v>
          </cell>
        </row>
        <row r="930">
          <cell r="C930" t="str">
            <v>1206324731</v>
          </cell>
          <cell r="AT930" t="str">
            <v>ARIAS CARPIO WENDY TATIANA</v>
          </cell>
        </row>
        <row r="931">
          <cell r="C931" t="str">
            <v>1206324731</v>
          </cell>
          <cell r="AT931" t="str">
            <v>ARIAS CARPIO WENDY TATIANA</v>
          </cell>
        </row>
        <row r="932">
          <cell r="C932" t="str">
            <v>0503270506</v>
          </cell>
          <cell r="AT932" t="str">
            <v>ARMAS ARIAS MARIO JAVIER</v>
          </cell>
        </row>
        <row r="933">
          <cell r="C933" t="str">
            <v>0503270506</v>
          </cell>
          <cell r="AT933" t="str">
            <v>ARMAS ARIAS MARIO JAVIER</v>
          </cell>
        </row>
        <row r="934">
          <cell r="C934" t="str">
            <v>0503270506</v>
          </cell>
          <cell r="AT934" t="str">
            <v>ARMAS ARIAS MARIO JAVIER</v>
          </cell>
        </row>
        <row r="935">
          <cell r="C935" t="str">
            <v>0503270506</v>
          </cell>
          <cell r="AT935" t="str">
            <v>ARMAS ARIAS MARIO JAVIER</v>
          </cell>
        </row>
        <row r="936">
          <cell r="C936" t="str">
            <v>0503270506</v>
          </cell>
          <cell r="AT936" t="str">
            <v>ARMAS ARIAS MARIO JAVIER</v>
          </cell>
        </row>
        <row r="937">
          <cell r="C937" t="str">
            <v>0503270506</v>
          </cell>
          <cell r="AT937" t="str">
            <v>ARMAS ARIAS MARIO JAVIER</v>
          </cell>
        </row>
        <row r="938">
          <cell r="C938" t="str">
            <v>0503270506</v>
          </cell>
          <cell r="AT938" t="str">
            <v>ARMAS ARIAS MARIO JAVIER</v>
          </cell>
        </row>
        <row r="939">
          <cell r="C939" t="str">
            <v>0503270506</v>
          </cell>
          <cell r="AT939" t="str">
            <v>ARMAS ARIAS MARIO JAVIER</v>
          </cell>
        </row>
        <row r="940">
          <cell r="C940" t="str">
            <v>0503270506</v>
          </cell>
          <cell r="AT940" t="str">
            <v>ARMAS ARIAS MARIO JAVIER</v>
          </cell>
        </row>
        <row r="941">
          <cell r="C941" t="str">
            <v>0503270506</v>
          </cell>
          <cell r="AT941" t="str">
            <v>ARMAS ARIAS MARIO JAVIER</v>
          </cell>
        </row>
        <row r="942">
          <cell r="C942" t="str">
            <v>0503270506</v>
          </cell>
          <cell r="AT942" t="str">
            <v>ARMAS ARIAS MARIO JAVIER</v>
          </cell>
        </row>
        <row r="943">
          <cell r="C943" t="str">
            <v>0801771437</v>
          </cell>
          <cell r="AT943" t="str">
            <v>ARMIJOS POROZO IRLANDA MAGALY</v>
          </cell>
        </row>
        <row r="944">
          <cell r="C944" t="str">
            <v>0801771437</v>
          </cell>
          <cell r="AT944" t="str">
            <v>ARMIJOS POROZO IRLANDA MAGALY</v>
          </cell>
        </row>
        <row r="945">
          <cell r="C945" t="str">
            <v>0801771437</v>
          </cell>
          <cell r="AT945" t="str">
            <v>ARMIJOS POROZO IRLANDA MAGALY</v>
          </cell>
        </row>
        <row r="946">
          <cell r="C946" t="str">
            <v>0801771437</v>
          </cell>
          <cell r="AT946" t="str">
            <v>ARMIJOS POROZO IRLANDA MAGALY</v>
          </cell>
        </row>
        <row r="947">
          <cell r="C947" t="str">
            <v>0801771437</v>
          </cell>
          <cell r="AT947" t="str">
            <v>ARMIJOS POROZO IRLANDA MAGALY</v>
          </cell>
        </row>
        <row r="948">
          <cell r="C948" t="str">
            <v>0801771437</v>
          </cell>
          <cell r="AT948" t="str">
            <v>ARMIJOS POROZO IRLANDA MAGALY</v>
          </cell>
        </row>
        <row r="949">
          <cell r="C949" t="str">
            <v>0801771437</v>
          </cell>
          <cell r="AT949" t="str">
            <v>ARMIJOS POROZO IRLANDA MAGALY</v>
          </cell>
        </row>
        <row r="950">
          <cell r="C950" t="str">
            <v>0801771437</v>
          </cell>
          <cell r="AT950" t="str">
            <v>ARMIJOS POROZO IRLANDA MAGALY</v>
          </cell>
        </row>
        <row r="951">
          <cell r="C951" t="str">
            <v>0801771437</v>
          </cell>
          <cell r="AT951" t="str">
            <v>ARMIJOS POROZO IRLANDA MAGALY</v>
          </cell>
        </row>
        <row r="952">
          <cell r="C952" t="str">
            <v>0801771437</v>
          </cell>
          <cell r="AT952" t="str">
            <v>ARMIJOS POROZO IRLANDA MAGALY</v>
          </cell>
        </row>
        <row r="953">
          <cell r="C953" t="str">
            <v>0801771437</v>
          </cell>
          <cell r="AT953" t="str">
            <v>ARMIJOS POROZO IRLANDA MAGALY</v>
          </cell>
        </row>
        <row r="954">
          <cell r="C954" t="str">
            <v>0801771437</v>
          </cell>
          <cell r="AT954" t="str">
            <v>ARMIJOS POROZO IRLANDA MAGALY</v>
          </cell>
        </row>
        <row r="955">
          <cell r="C955" t="str">
            <v>0801771437</v>
          </cell>
          <cell r="AT955" t="str">
            <v>ARMIJOS POROZO IRLANDA MAGALY</v>
          </cell>
        </row>
        <row r="956">
          <cell r="C956" t="str">
            <v>0801771437</v>
          </cell>
          <cell r="AT956" t="str">
            <v>ARMIJOS POROZO IRLANDA MAGALY</v>
          </cell>
        </row>
        <row r="957">
          <cell r="C957" t="str">
            <v>0801771437</v>
          </cell>
          <cell r="AT957" t="str">
            <v>ARMIJOS POROZO IRLANDA MAGALY</v>
          </cell>
        </row>
        <row r="958">
          <cell r="C958" t="str">
            <v>0801771437</v>
          </cell>
          <cell r="AT958" t="str">
            <v>ARMIJOS POROZO IRLANDA MAGALY</v>
          </cell>
        </row>
        <row r="959">
          <cell r="C959" t="str">
            <v>0801771437</v>
          </cell>
          <cell r="AT959" t="str">
            <v>ARMIJOS POROZO IRLANDA MAGALY</v>
          </cell>
        </row>
        <row r="960">
          <cell r="C960" t="str">
            <v>0801771437</v>
          </cell>
          <cell r="AT960" t="str">
            <v>ARMIJOS POROZO IRLANDA MAGALY</v>
          </cell>
        </row>
        <row r="961">
          <cell r="C961" t="str">
            <v>0801771437</v>
          </cell>
          <cell r="AT961" t="str">
            <v>ARMIJOS POROZO IRLANDA MAGALY</v>
          </cell>
        </row>
        <row r="962">
          <cell r="C962" t="str">
            <v>0801771437</v>
          </cell>
          <cell r="AT962" t="str">
            <v>ARMIJOS POROZO IRLANDA MAGALY</v>
          </cell>
        </row>
        <row r="963">
          <cell r="C963" t="str">
            <v>0801771437</v>
          </cell>
          <cell r="AT963" t="str">
            <v>ARMIJOS POROZO IRLANDA MAGALY</v>
          </cell>
        </row>
        <row r="964">
          <cell r="C964" t="str">
            <v>0801771437</v>
          </cell>
          <cell r="AT964" t="str">
            <v>ARMIJOS POROZO IRLANDA MAGALY</v>
          </cell>
        </row>
        <row r="965">
          <cell r="C965" t="str">
            <v>0801771437</v>
          </cell>
          <cell r="AT965" t="str">
            <v>ARMIJOS POROZO IRLANDA MAGALY</v>
          </cell>
        </row>
        <row r="966">
          <cell r="C966" t="str">
            <v>0801771437</v>
          </cell>
          <cell r="AT966" t="str">
            <v>ARMIJOS POROZO IRLANDA MAGALY</v>
          </cell>
        </row>
        <row r="967">
          <cell r="C967" t="str">
            <v>0801771437</v>
          </cell>
          <cell r="AT967" t="str">
            <v>ARMIJOS POROZO IRLANDA MAGALY</v>
          </cell>
        </row>
        <row r="968">
          <cell r="C968" t="str">
            <v>0801771437</v>
          </cell>
          <cell r="AT968" t="str">
            <v>ARMIJOS POROZO IRLANDA MAGALY</v>
          </cell>
        </row>
        <row r="969">
          <cell r="C969" t="str">
            <v>0801771437</v>
          </cell>
          <cell r="AT969" t="str">
            <v>ARMIJOS POROZO IRLANDA MAGALY</v>
          </cell>
        </row>
        <row r="970">
          <cell r="C970" t="str">
            <v>0801771437</v>
          </cell>
          <cell r="AT970" t="str">
            <v>ARMIJOS POROZO IRLANDA MAGALY</v>
          </cell>
        </row>
        <row r="971">
          <cell r="C971" t="str">
            <v>0801771437</v>
          </cell>
          <cell r="AT971" t="str">
            <v>ARMIJOS POROZO IRLANDA MAGALY</v>
          </cell>
        </row>
        <row r="972">
          <cell r="C972" t="str">
            <v>0801771437</v>
          </cell>
          <cell r="AT972" t="str">
            <v>ARMIJOS POROZO IRLANDA MAGALY</v>
          </cell>
        </row>
        <row r="973">
          <cell r="C973" t="str">
            <v>0801771437</v>
          </cell>
          <cell r="AT973" t="str">
            <v>ARMIJOS POROZO IRLANDA MAGALY</v>
          </cell>
        </row>
        <row r="974">
          <cell r="C974" t="str">
            <v>0801771437</v>
          </cell>
          <cell r="AT974" t="str">
            <v>ARMIJOS POROZO IRLANDA MAGALY</v>
          </cell>
        </row>
        <row r="975">
          <cell r="C975" t="str">
            <v>0801771437</v>
          </cell>
          <cell r="AT975" t="str">
            <v>ARMIJOS POROZO IRLANDA MAGALY</v>
          </cell>
        </row>
        <row r="976">
          <cell r="C976" t="str">
            <v>0801771437</v>
          </cell>
          <cell r="AT976" t="str">
            <v>ARMIJOS POROZO IRLANDA MAGALY</v>
          </cell>
        </row>
        <row r="977">
          <cell r="C977" t="str">
            <v>0801771437</v>
          </cell>
          <cell r="AT977" t="str">
            <v>ARMIJOS POROZO IRLANDA MAGALY</v>
          </cell>
        </row>
        <row r="978">
          <cell r="C978" t="str">
            <v>1714407838</v>
          </cell>
          <cell r="AT978" t="str">
            <v>BAUTISTA SEGOVIA ALEXANDRA MARIBEL</v>
          </cell>
        </row>
        <row r="979">
          <cell r="C979" t="str">
            <v>1714407838</v>
          </cell>
          <cell r="AT979" t="str">
            <v>BAUTISTA SEGOVIA ALEXANDRA MARIBEL</v>
          </cell>
        </row>
        <row r="980">
          <cell r="C980" t="str">
            <v>1714407838</v>
          </cell>
          <cell r="AT980" t="str">
            <v>BAUTISTA SEGOVIA ALEXANDRA MARIBEL</v>
          </cell>
        </row>
        <row r="981">
          <cell r="C981" t="str">
            <v>1714407838</v>
          </cell>
          <cell r="AT981" t="str">
            <v>BAUTISTA SEGOVIA ALEXANDRA MARIBEL</v>
          </cell>
        </row>
        <row r="982">
          <cell r="C982" t="str">
            <v>1714407838</v>
          </cell>
          <cell r="AT982" t="str">
            <v>BAUTISTA SEGOVIA ALEXANDRA MARIBEL</v>
          </cell>
        </row>
        <row r="983">
          <cell r="C983" t="str">
            <v>1714407838</v>
          </cell>
          <cell r="AT983" t="str">
            <v>BAUTISTA SEGOVIA ALEXANDRA MARIBEL</v>
          </cell>
        </row>
        <row r="984">
          <cell r="C984" t="str">
            <v>1714407838</v>
          </cell>
          <cell r="AT984" t="str">
            <v>BAUTISTA SEGOVIA ALEXANDRA MARIBEL</v>
          </cell>
        </row>
        <row r="985">
          <cell r="C985" t="str">
            <v>1714407838</v>
          </cell>
          <cell r="AT985" t="str">
            <v>BAUTISTA SEGOVIA ALEXANDRA MARIBEL</v>
          </cell>
        </row>
        <row r="986">
          <cell r="C986" t="str">
            <v>1714407838</v>
          </cell>
          <cell r="AT986" t="str">
            <v>BAUTISTA SEGOVIA ALEXANDRA MARIBEL</v>
          </cell>
        </row>
        <row r="987">
          <cell r="C987" t="str">
            <v>1714407838</v>
          </cell>
          <cell r="AT987" t="str">
            <v>BAUTISTA SEGOVIA ALEXANDRA MARIBEL</v>
          </cell>
        </row>
        <row r="988">
          <cell r="C988" t="str">
            <v>1714407838</v>
          </cell>
          <cell r="AT988" t="str">
            <v>BAUTISTA SEGOVIA ALEXANDRA MARIBEL</v>
          </cell>
        </row>
        <row r="989">
          <cell r="C989" t="str">
            <v>1714407838</v>
          </cell>
          <cell r="AT989" t="str">
            <v>BAUTISTA SEGOVIA ALEXANDRA MARIBEL</v>
          </cell>
        </row>
        <row r="990">
          <cell r="C990" t="str">
            <v>1714407838</v>
          </cell>
          <cell r="AT990" t="str">
            <v>BAUTISTA SEGOVIA ALEXANDRA MARIBEL</v>
          </cell>
        </row>
        <row r="991">
          <cell r="C991" t="str">
            <v>1714407838</v>
          </cell>
          <cell r="AT991" t="str">
            <v>BAUTISTA SEGOVIA ALEXANDRA MARIBEL</v>
          </cell>
        </row>
        <row r="992">
          <cell r="C992" t="str">
            <v>1714407838</v>
          </cell>
          <cell r="AT992" t="str">
            <v>BAUTISTA SEGOVIA ALEXANDRA MARIBEL</v>
          </cell>
        </row>
        <row r="993">
          <cell r="C993" t="str">
            <v>1714407838</v>
          </cell>
          <cell r="AT993" t="str">
            <v>BAUTISTA SEGOVIA ALEXANDRA MARIBEL</v>
          </cell>
        </row>
        <row r="994">
          <cell r="C994" t="str">
            <v>1714407838</v>
          </cell>
          <cell r="AT994" t="str">
            <v>BAUTISTA SEGOVIA ALEXANDRA MARIBEL</v>
          </cell>
        </row>
        <row r="995">
          <cell r="C995" t="str">
            <v>1714407838</v>
          </cell>
          <cell r="AT995" t="str">
            <v>BAUTISTA SEGOVIA ALEXANDRA MARIBEL</v>
          </cell>
        </row>
        <row r="996">
          <cell r="C996" t="str">
            <v>1714407838</v>
          </cell>
          <cell r="AT996" t="str">
            <v>BAUTISTA SEGOVIA ALEXANDRA MARIBEL</v>
          </cell>
        </row>
        <row r="997">
          <cell r="C997" t="str">
            <v>1714407838</v>
          </cell>
          <cell r="AT997" t="str">
            <v>BAUTISTA SEGOVIA ALEXANDRA MARIBEL</v>
          </cell>
        </row>
        <row r="998">
          <cell r="C998" t="str">
            <v>1714407838</v>
          </cell>
          <cell r="AT998" t="str">
            <v>BAUTISTA SEGOVIA ALEXANDRA MARIBEL</v>
          </cell>
        </row>
        <row r="999">
          <cell r="C999" t="str">
            <v>1714407838</v>
          </cell>
          <cell r="AT999" t="str">
            <v>BAUTISTA SEGOVIA ALEXANDRA MARIBEL</v>
          </cell>
        </row>
        <row r="1000">
          <cell r="C1000" t="str">
            <v>1714407838</v>
          </cell>
          <cell r="AT1000" t="str">
            <v>BAUTISTA SEGOVIA ALEXANDRA MARIBEL</v>
          </cell>
        </row>
        <row r="1001">
          <cell r="C1001" t="str">
            <v>1714407838</v>
          </cell>
          <cell r="AT1001" t="str">
            <v>BAUTISTA SEGOVIA ALEXANDRA MARIBEL</v>
          </cell>
        </row>
        <row r="1002">
          <cell r="C1002" t="str">
            <v>1714407838</v>
          </cell>
          <cell r="AT1002" t="str">
            <v>BAUTISTA SEGOVIA ALEXANDRA MARIBEL</v>
          </cell>
        </row>
        <row r="1003">
          <cell r="C1003" t="str">
            <v>1714407838</v>
          </cell>
          <cell r="AT1003" t="str">
            <v>BAUTISTA SEGOVIA ALEXANDRA MARIBEL</v>
          </cell>
        </row>
        <row r="1004">
          <cell r="C1004" t="str">
            <v>1714407838</v>
          </cell>
          <cell r="AT1004" t="str">
            <v>BAUTISTA SEGOVIA ALEXANDRA MARIBEL</v>
          </cell>
        </row>
        <row r="1005">
          <cell r="C1005" t="str">
            <v>1714407838</v>
          </cell>
          <cell r="AT1005" t="str">
            <v>BAUTISTA SEGOVIA ALEXANDRA MARIBEL</v>
          </cell>
        </row>
        <row r="1006">
          <cell r="C1006" t="str">
            <v>1714407838</v>
          </cell>
          <cell r="AT1006" t="str">
            <v>BAUTISTA SEGOVIA ALEXANDRA MARIBEL</v>
          </cell>
        </row>
        <row r="1007">
          <cell r="C1007" t="str">
            <v>1714407838</v>
          </cell>
          <cell r="AT1007" t="str">
            <v>BAUTISTA SEGOVIA ALEXANDRA MARIBEL</v>
          </cell>
        </row>
        <row r="1008">
          <cell r="C1008" t="str">
            <v>1714407838</v>
          </cell>
          <cell r="AT1008" t="str">
            <v>BAUTISTA SEGOVIA ALEXANDRA MARIBEL</v>
          </cell>
        </row>
        <row r="1009">
          <cell r="C1009" t="str">
            <v>1714407838</v>
          </cell>
          <cell r="AT1009" t="str">
            <v>BAUTISTA SEGOVIA ALEXANDRA MARIBEL</v>
          </cell>
        </row>
        <row r="1010">
          <cell r="C1010" t="str">
            <v>1714407838</v>
          </cell>
          <cell r="AT1010" t="str">
            <v>BAUTISTA SEGOVIA ALEXANDRA MARIBEL</v>
          </cell>
        </row>
        <row r="1011">
          <cell r="C1011" t="str">
            <v>1714407838</v>
          </cell>
          <cell r="AT1011" t="str">
            <v>BAUTISTA SEGOVIA ALEXANDRA MARIBEL</v>
          </cell>
        </row>
        <row r="1012">
          <cell r="C1012" t="str">
            <v>1714407838</v>
          </cell>
          <cell r="AT1012" t="str">
            <v>BAUTISTA SEGOVIA ALEXANDRA MARIBEL</v>
          </cell>
        </row>
        <row r="1013">
          <cell r="C1013" t="str">
            <v>1714407838</v>
          </cell>
          <cell r="AT1013" t="str">
            <v>BAUTISTA SEGOVIA ALEXANDRA MARIBEL</v>
          </cell>
        </row>
        <row r="1014">
          <cell r="C1014" t="str">
            <v>1714407838</v>
          </cell>
          <cell r="AT1014" t="str">
            <v>BAUTISTA SEGOVIA ALEXANDRA MARIBEL</v>
          </cell>
        </row>
        <row r="1015">
          <cell r="C1015" t="str">
            <v>1714407838</v>
          </cell>
          <cell r="AT1015" t="str">
            <v>BAUTISTA SEGOVIA ALEXANDRA MARIBEL</v>
          </cell>
        </row>
        <row r="1016">
          <cell r="C1016" t="str">
            <v>1714407838</v>
          </cell>
          <cell r="AT1016" t="str">
            <v>BAUTISTA SEGOVIA ALEXANDRA MARIBEL</v>
          </cell>
        </row>
        <row r="1017">
          <cell r="C1017" t="str">
            <v>1714407838</v>
          </cell>
          <cell r="AT1017" t="str">
            <v>BAUTISTA SEGOVIA ALEXANDRA MARIBEL</v>
          </cell>
        </row>
        <row r="1018">
          <cell r="C1018" t="str">
            <v>1714407838</v>
          </cell>
          <cell r="AT1018" t="str">
            <v>BAUTISTA SEGOVIA ALEXANDRA MARIBEL</v>
          </cell>
        </row>
        <row r="1019">
          <cell r="C1019" t="str">
            <v>1714407838</v>
          </cell>
          <cell r="AT1019" t="str">
            <v>BAUTISTA SEGOVIA ALEXANDRA MARIBEL</v>
          </cell>
        </row>
        <row r="1020">
          <cell r="C1020" t="str">
            <v>1714407838</v>
          </cell>
          <cell r="AT1020" t="str">
            <v>BAUTISTA SEGOVIA ALEXANDRA MARIBEL</v>
          </cell>
        </row>
        <row r="1021">
          <cell r="C1021" t="str">
            <v>1714407838</v>
          </cell>
          <cell r="AT1021" t="str">
            <v>BAUTISTA SEGOVIA ALEXANDRA MARIBEL</v>
          </cell>
        </row>
        <row r="1022">
          <cell r="C1022" t="str">
            <v>1714407838</v>
          </cell>
          <cell r="AT1022" t="str">
            <v>BAUTISTA SEGOVIA ALEXANDRA MARIBEL</v>
          </cell>
        </row>
        <row r="1023">
          <cell r="C1023" t="str">
            <v>1714407838</v>
          </cell>
          <cell r="AT1023" t="str">
            <v>BAUTISTA SEGOVIA ALEXANDRA MARIBEL</v>
          </cell>
        </row>
        <row r="1024">
          <cell r="C1024" t="str">
            <v>1714407838</v>
          </cell>
          <cell r="AT1024" t="str">
            <v>BAUTISTA SEGOVIA ALEXANDRA MARIBEL</v>
          </cell>
        </row>
        <row r="1025">
          <cell r="C1025" t="str">
            <v>1714407838</v>
          </cell>
          <cell r="AT1025" t="str">
            <v>BAUTISTA SEGOVIA ALEXANDRA MARIBEL</v>
          </cell>
        </row>
        <row r="1026">
          <cell r="C1026" t="str">
            <v>1714407838</v>
          </cell>
          <cell r="AT1026" t="str">
            <v>BAUTISTA SEGOVIA ALEXANDRA MARIBEL</v>
          </cell>
        </row>
        <row r="1027">
          <cell r="C1027" t="str">
            <v>1714407838</v>
          </cell>
          <cell r="AT1027" t="str">
            <v>BAUTISTA SEGOVIA ALEXANDRA MARIBEL</v>
          </cell>
        </row>
        <row r="1028">
          <cell r="C1028" t="str">
            <v>1714407838</v>
          </cell>
          <cell r="AT1028" t="str">
            <v>BAUTISTA SEGOVIA ALEXANDRA MARIBEL</v>
          </cell>
        </row>
        <row r="1029">
          <cell r="C1029" t="str">
            <v>1714407838</v>
          </cell>
          <cell r="AT1029" t="str">
            <v>BAUTISTA SEGOVIA ALEXANDRA MARIBEL</v>
          </cell>
        </row>
        <row r="1030">
          <cell r="C1030" t="str">
            <v>1714407838</v>
          </cell>
          <cell r="AT1030" t="str">
            <v>BAUTISTA SEGOVIA ALEXANDRA MARIBEL</v>
          </cell>
        </row>
        <row r="1031">
          <cell r="C1031" t="str">
            <v>1714407838</v>
          </cell>
          <cell r="AT1031" t="str">
            <v>BAUTISTA SEGOVIA ALEXANDRA MARIBEL</v>
          </cell>
        </row>
        <row r="1032">
          <cell r="C1032" t="str">
            <v>1714407838</v>
          </cell>
          <cell r="AT1032" t="str">
            <v>BAUTISTA SEGOVIA ALEXANDRA MARIBEL</v>
          </cell>
        </row>
        <row r="1033">
          <cell r="C1033" t="str">
            <v>1714407838</v>
          </cell>
          <cell r="AT1033" t="str">
            <v>BAUTISTA SEGOVIA ALEXANDRA MARIBEL</v>
          </cell>
        </row>
        <row r="1034">
          <cell r="C1034" t="str">
            <v>1714407838</v>
          </cell>
          <cell r="AT1034" t="str">
            <v>BAUTISTA SEGOVIA ALEXANDRA MARIBEL</v>
          </cell>
        </row>
        <row r="1035">
          <cell r="C1035" t="str">
            <v>1714407838</v>
          </cell>
          <cell r="AT1035" t="str">
            <v>BAUTISTA SEGOVIA ALEXANDRA MARIBEL</v>
          </cell>
        </row>
        <row r="1036">
          <cell r="C1036" t="str">
            <v>1714407838</v>
          </cell>
          <cell r="AT1036" t="str">
            <v>BAUTISTA SEGOVIA ALEXANDRA MARIBEL</v>
          </cell>
        </row>
        <row r="1037">
          <cell r="C1037" t="str">
            <v>1714407838</v>
          </cell>
          <cell r="AT1037" t="str">
            <v>BAUTISTA SEGOVIA ALEXANDRA MARIBEL</v>
          </cell>
        </row>
        <row r="1038">
          <cell r="C1038" t="str">
            <v>1714407838</v>
          </cell>
          <cell r="AT1038" t="str">
            <v>BAUTISTA SEGOVIA ALEXANDRA MARIBEL</v>
          </cell>
        </row>
        <row r="1039">
          <cell r="C1039" t="str">
            <v>1714407838</v>
          </cell>
          <cell r="AT1039" t="str">
            <v>BAUTISTA SEGOVIA ALEXANDRA MARIBEL</v>
          </cell>
        </row>
        <row r="1040">
          <cell r="C1040" t="str">
            <v>1714407838</v>
          </cell>
          <cell r="AT1040" t="str">
            <v>BAUTISTA SEGOVIA ALEXANDRA MARIBEL</v>
          </cell>
        </row>
        <row r="1041">
          <cell r="C1041" t="str">
            <v>1714407838</v>
          </cell>
          <cell r="AT1041" t="str">
            <v>BAUTISTA SEGOVIA ALEXANDRA MARIBEL</v>
          </cell>
        </row>
        <row r="1042">
          <cell r="C1042" t="str">
            <v>1714407838</v>
          </cell>
          <cell r="AT1042" t="str">
            <v>BAUTISTA SEGOVIA ALEXANDRA MARIBEL</v>
          </cell>
        </row>
        <row r="1043">
          <cell r="C1043" t="str">
            <v>1714407838</v>
          </cell>
          <cell r="AT1043" t="str">
            <v>BAUTISTA SEGOVIA ALEXANDRA MARIBEL</v>
          </cell>
        </row>
        <row r="1044">
          <cell r="C1044" t="str">
            <v>1714407838</v>
          </cell>
          <cell r="AT1044" t="str">
            <v>BAUTISTA SEGOVIA ALEXANDRA MARIBEL</v>
          </cell>
        </row>
        <row r="1045">
          <cell r="C1045" t="str">
            <v>1757107121</v>
          </cell>
          <cell r="AT1045" t="str">
            <v xml:space="preserve">PEREZ LEON ABEL </v>
          </cell>
        </row>
        <row r="1046">
          <cell r="C1046" t="str">
            <v>1757107121</v>
          </cell>
          <cell r="AT1046" t="str">
            <v xml:space="preserve">PEREZ LEON ABEL </v>
          </cell>
        </row>
        <row r="1047">
          <cell r="C1047" t="str">
            <v>1757107121</v>
          </cell>
          <cell r="AT1047" t="str">
            <v xml:space="preserve">PEREZ LEON ABEL </v>
          </cell>
        </row>
        <row r="1048">
          <cell r="C1048" t="str">
            <v>0801748260</v>
          </cell>
          <cell r="AT1048" t="str">
            <v>BENITES CAÑIZARES ROXANA IVON</v>
          </cell>
        </row>
        <row r="1049">
          <cell r="C1049" t="str">
            <v>0801748260</v>
          </cell>
          <cell r="AT1049" t="str">
            <v>BENITES CAÑIZARES ROXANA IVON</v>
          </cell>
        </row>
        <row r="1050">
          <cell r="C1050" t="str">
            <v>0801748260</v>
          </cell>
          <cell r="AT1050" t="str">
            <v>BENITES CAÑIZARES ROXANA IVON</v>
          </cell>
        </row>
        <row r="1051">
          <cell r="C1051" t="str">
            <v>0801748260</v>
          </cell>
          <cell r="AT1051" t="str">
            <v>BENITES CAÑIZARES ROXANA IVON</v>
          </cell>
        </row>
        <row r="1052">
          <cell r="C1052" t="str">
            <v>0801748260</v>
          </cell>
          <cell r="AT1052" t="str">
            <v>BENITES CAÑIZARES ROXANA IVON</v>
          </cell>
        </row>
        <row r="1053">
          <cell r="C1053" t="str">
            <v>0801748260</v>
          </cell>
          <cell r="AT1053" t="str">
            <v>BENITES CAÑIZARES ROXANA IVON</v>
          </cell>
        </row>
        <row r="1054">
          <cell r="C1054" t="str">
            <v>0801748260</v>
          </cell>
          <cell r="AT1054" t="str">
            <v>BENITES CAÑIZARES ROXANA IVON</v>
          </cell>
        </row>
        <row r="1055">
          <cell r="C1055" t="str">
            <v>0801748260</v>
          </cell>
          <cell r="AT1055" t="str">
            <v>BENITES CAÑIZARES ROXANA IVON</v>
          </cell>
        </row>
        <row r="1056">
          <cell r="C1056" t="str">
            <v>0801748260</v>
          </cell>
          <cell r="AT1056" t="str">
            <v>BENITES CAÑIZARES ROXANA IVON</v>
          </cell>
        </row>
        <row r="1057">
          <cell r="C1057" t="str">
            <v>0801748260</v>
          </cell>
          <cell r="AT1057" t="str">
            <v>BENITES CAÑIZARES ROXANA IVON</v>
          </cell>
        </row>
        <row r="1058">
          <cell r="C1058" t="str">
            <v>0801748260</v>
          </cell>
          <cell r="AT1058" t="str">
            <v>BENITES CAÑIZARES ROXANA IVON</v>
          </cell>
        </row>
        <row r="1059">
          <cell r="C1059" t="str">
            <v>0801748260</v>
          </cell>
          <cell r="AT1059" t="str">
            <v>BENITES CAÑIZARES ROXANA IVON</v>
          </cell>
        </row>
        <row r="1060">
          <cell r="C1060" t="str">
            <v>0801748260</v>
          </cell>
          <cell r="AT1060" t="str">
            <v>BENITES CAÑIZARES ROXANA IVON</v>
          </cell>
        </row>
        <row r="1061">
          <cell r="C1061" t="str">
            <v>0801748260</v>
          </cell>
          <cell r="AT1061" t="str">
            <v>BENITES CAÑIZARES ROXANA IVON</v>
          </cell>
        </row>
        <row r="1062">
          <cell r="C1062" t="str">
            <v>0801748260</v>
          </cell>
          <cell r="AT1062" t="str">
            <v>BENITES CAÑIZARES ROXANA IVON</v>
          </cell>
        </row>
        <row r="1063">
          <cell r="C1063" t="str">
            <v>0801748260</v>
          </cell>
          <cell r="AT1063" t="str">
            <v>BENITES CAÑIZARES ROXANA IVON</v>
          </cell>
        </row>
        <row r="1064">
          <cell r="C1064" t="str">
            <v>0801748260</v>
          </cell>
          <cell r="AT1064" t="str">
            <v>BENITES CAÑIZARES ROXANA IVON</v>
          </cell>
        </row>
        <row r="1065">
          <cell r="C1065" t="str">
            <v>0801748260</v>
          </cell>
          <cell r="AT1065" t="str">
            <v>BENITES CAÑIZARES ROXANA IVON</v>
          </cell>
        </row>
        <row r="1066">
          <cell r="C1066" t="str">
            <v>0801748260</v>
          </cell>
          <cell r="AT1066" t="str">
            <v>BENITES CAÑIZARES ROXANA IVON</v>
          </cell>
        </row>
        <row r="1067">
          <cell r="C1067" t="str">
            <v>0801748260</v>
          </cell>
          <cell r="AT1067" t="str">
            <v>BENITES CAÑIZARES ROXANA IVON</v>
          </cell>
        </row>
        <row r="1068">
          <cell r="C1068" t="str">
            <v>0801748260</v>
          </cell>
          <cell r="AT1068" t="str">
            <v>BENITES CAÑIZARES ROXANA IVON</v>
          </cell>
        </row>
        <row r="1069">
          <cell r="C1069" t="str">
            <v>0801748260</v>
          </cell>
          <cell r="AT1069" t="str">
            <v>BENITES CAÑIZARES ROXANA IVON</v>
          </cell>
        </row>
        <row r="1070">
          <cell r="C1070" t="str">
            <v>0801748260</v>
          </cell>
          <cell r="AT1070" t="str">
            <v>BENITES CAÑIZARES ROXANA IVON</v>
          </cell>
        </row>
        <row r="1071">
          <cell r="C1071" t="str">
            <v>0801748260</v>
          </cell>
          <cell r="AT1071" t="str">
            <v>BENITES CAÑIZARES ROXANA IVON</v>
          </cell>
        </row>
        <row r="1072">
          <cell r="C1072" t="str">
            <v>0801748260</v>
          </cell>
          <cell r="AT1072" t="str">
            <v>BENITES CAÑIZARES ROXANA IVON</v>
          </cell>
        </row>
        <row r="1073">
          <cell r="C1073" t="str">
            <v>0801748260</v>
          </cell>
          <cell r="AT1073" t="str">
            <v>BENITES CAÑIZARES ROXANA IVON</v>
          </cell>
        </row>
        <row r="1074">
          <cell r="C1074" t="str">
            <v>0801748260</v>
          </cell>
          <cell r="AT1074" t="str">
            <v>BENITES CAÑIZARES ROXANA IVON</v>
          </cell>
        </row>
        <row r="1075">
          <cell r="C1075" t="str">
            <v>0801748260</v>
          </cell>
          <cell r="AT1075" t="str">
            <v>BENITES CAÑIZARES ROXANA IVON</v>
          </cell>
        </row>
        <row r="1076">
          <cell r="C1076" t="str">
            <v>0801748260</v>
          </cell>
          <cell r="AT1076" t="str">
            <v>BENITES CAÑIZARES ROXANA IVON</v>
          </cell>
        </row>
        <row r="1077">
          <cell r="C1077" t="str">
            <v>0801748260</v>
          </cell>
          <cell r="AT1077" t="str">
            <v>BENITES CAÑIZARES ROXANA IVON</v>
          </cell>
        </row>
        <row r="1078">
          <cell r="C1078" t="str">
            <v>0801748260</v>
          </cell>
          <cell r="AT1078" t="str">
            <v>BENITES CAÑIZARES ROXANA IVON</v>
          </cell>
        </row>
        <row r="1079">
          <cell r="C1079" t="str">
            <v>0801748260</v>
          </cell>
          <cell r="AT1079" t="str">
            <v>BENITES CAÑIZARES ROXANA IVON</v>
          </cell>
        </row>
        <row r="1080">
          <cell r="C1080" t="str">
            <v>0801748260</v>
          </cell>
          <cell r="AT1080" t="str">
            <v>BENITES CAÑIZARES ROXANA IVON</v>
          </cell>
        </row>
        <row r="1081">
          <cell r="C1081" t="str">
            <v>0801748260</v>
          </cell>
          <cell r="AT1081" t="str">
            <v>BENITES CAÑIZARES ROXANA IVON</v>
          </cell>
        </row>
        <row r="1082">
          <cell r="C1082" t="str">
            <v>0801748260</v>
          </cell>
          <cell r="AT1082" t="str">
            <v>BENITES CAÑIZARES ROXANA IVON</v>
          </cell>
        </row>
        <row r="1083">
          <cell r="C1083" t="str">
            <v>0801748260</v>
          </cell>
          <cell r="AT1083" t="str">
            <v>BENITES CAÑIZARES ROXANA IVON</v>
          </cell>
        </row>
        <row r="1084">
          <cell r="C1084" t="str">
            <v>0801748260</v>
          </cell>
          <cell r="AT1084" t="str">
            <v>BENITES CAÑIZARES ROXANA IVON</v>
          </cell>
        </row>
        <row r="1085">
          <cell r="C1085" t="str">
            <v>0801748260</v>
          </cell>
          <cell r="AT1085" t="str">
            <v>BENITES CAÑIZARES ROXANA IVON</v>
          </cell>
        </row>
        <row r="1086">
          <cell r="C1086" t="str">
            <v>0801748260</v>
          </cell>
          <cell r="AT1086" t="str">
            <v>BENITES CAÑIZARES ROXANA IVON</v>
          </cell>
        </row>
        <row r="1087">
          <cell r="C1087" t="str">
            <v>0801748260</v>
          </cell>
          <cell r="AT1087" t="str">
            <v>BENITES CAÑIZARES ROXANA IVON</v>
          </cell>
        </row>
        <row r="1088">
          <cell r="C1088" t="str">
            <v>0801748260</v>
          </cell>
          <cell r="AT1088" t="str">
            <v>BENITES CAÑIZARES ROXANA IVON</v>
          </cell>
        </row>
        <row r="1089">
          <cell r="C1089" t="str">
            <v>0801748260</v>
          </cell>
          <cell r="AT1089" t="str">
            <v>BENITES CAÑIZARES ROXANA IVON</v>
          </cell>
        </row>
        <row r="1090">
          <cell r="C1090" t="str">
            <v>0801748260</v>
          </cell>
          <cell r="AT1090" t="str">
            <v>BENITES CAÑIZARES ROXANA IVON</v>
          </cell>
        </row>
        <row r="1091">
          <cell r="C1091" t="str">
            <v>0801748260</v>
          </cell>
          <cell r="AT1091" t="str">
            <v>BENITES CAÑIZARES ROXANA IVON</v>
          </cell>
        </row>
        <row r="1092">
          <cell r="C1092" t="str">
            <v>0801748260</v>
          </cell>
          <cell r="AT1092" t="str">
            <v>BENITES CAÑIZARES ROXANA IVON</v>
          </cell>
        </row>
        <row r="1093">
          <cell r="C1093" t="str">
            <v>0801748260</v>
          </cell>
          <cell r="AT1093" t="str">
            <v>BENITES CAÑIZARES ROXANA IVON</v>
          </cell>
        </row>
        <row r="1094">
          <cell r="C1094" t="str">
            <v>0801748260</v>
          </cell>
          <cell r="AT1094" t="str">
            <v>BENITES CAÑIZARES ROXANA IVON</v>
          </cell>
        </row>
        <row r="1095">
          <cell r="C1095" t="str">
            <v>0801748260</v>
          </cell>
          <cell r="AT1095" t="str">
            <v>BENITES CAÑIZARES ROXANA IVON</v>
          </cell>
        </row>
        <row r="1096">
          <cell r="C1096" t="str">
            <v>0801748260</v>
          </cell>
          <cell r="AT1096" t="str">
            <v>BENITES CAÑIZARES ROXANA IVON</v>
          </cell>
        </row>
        <row r="1097">
          <cell r="C1097" t="str">
            <v>0801748260</v>
          </cell>
          <cell r="AT1097" t="str">
            <v>BENITES CAÑIZARES ROXANA IVON</v>
          </cell>
        </row>
        <row r="1098">
          <cell r="C1098" t="str">
            <v>0801748260</v>
          </cell>
          <cell r="AT1098" t="str">
            <v>BENITES CAÑIZARES ROXANA IVON</v>
          </cell>
        </row>
        <row r="1099">
          <cell r="C1099" t="str">
            <v>0801748260</v>
          </cell>
          <cell r="AT1099" t="str">
            <v>BENITES CAÑIZARES ROXANA IVON</v>
          </cell>
        </row>
        <row r="1100">
          <cell r="C1100" t="str">
            <v>0801748260</v>
          </cell>
          <cell r="AT1100" t="str">
            <v>BENITES CAÑIZARES ROXANA IVON</v>
          </cell>
        </row>
        <row r="1101">
          <cell r="C1101" t="str">
            <v>0801748260</v>
          </cell>
          <cell r="AT1101" t="str">
            <v>BENITES CAÑIZARES ROXANA IVON</v>
          </cell>
        </row>
        <row r="1102">
          <cell r="C1102" t="str">
            <v>0801748260</v>
          </cell>
          <cell r="AT1102" t="str">
            <v>BENITES CAÑIZARES ROXANA IVON</v>
          </cell>
        </row>
        <row r="1103">
          <cell r="C1103" t="str">
            <v>0801748260</v>
          </cell>
          <cell r="AT1103" t="str">
            <v>BENITES CAÑIZARES ROXANA IVON</v>
          </cell>
        </row>
        <row r="1104">
          <cell r="C1104" t="str">
            <v>0801748260</v>
          </cell>
          <cell r="AT1104" t="str">
            <v>BENITES CAÑIZARES ROXANA IVON</v>
          </cell>
        </row>
        <row r="1105">
          <cell r="C1105" t="str">
            <v>0801748260</v>
          </cell>
          <cell r="AT1105" t="str">
            <v>BENITES CAÑIZARES ROXANA IVON</v>
          </cell>
        </row>
        <row r="1106">
          <cell r="C1106" t="str">
            <v>0801748260</v>
          </cell>
          <cell r="AT1106" t="str">
            <v>BENITES CAÑIZARES ROXANA IVON</v>
          </cell>
        </row>
        <row r="1107">
          <cell r="C1107" t="str">
            <v>0801748260</v>
          </cell>
          <cell r="AT1107" t="str">
            <v>BENITES CAÑIZARES ROXANA IVON</v>
          </cell>
        </row>
        <row r="1108">
          <cell r="C1108" t="str">
            <v>0801748260</v>
          </cell>
          <cell r="AT1108" t="str">
            <v>BENITES CAÑIZARES ROXANA IVON</v>
          </cell>
        </row>
        <row r="1109">
          <cell r="C1109" t="str">
            <v>0801748260</v>
          </cell>
          <cell r="AT1109" t="str">
            <v>BENITES CAÑIZARES ROXANA IVON</v>
          </cell>
        </row>
        <row r="1110">
          <cell r="C1110" t="str">
            <v>0801748260</v>
          </cell>
          <cell r="AT1110" t="str">
            <v>BENITES CAÑIZARES ROXANA IVON</v>
          </cell>
        </row>
        <row r="1111">
          <cell r="C1111" t="str">
            <v>0801748260</v>
          </cell>
          <cell r="AT1111" t="str">
            <v>BENITES CAÑIZARES ROXANA IVON</v>
          </cell>
        </row>
        <row r="1112">
          <cell r="C1112" t="str">
            <v>0801748260</v>
          </cell>
          <cell r="AT1112" t="str">
            <v>BENITES CAÑIZARES ROXANA IVON</v>
          </cell>
        </row>
        <row r="1113">
          <cell r="C1113" t="str">
            <v>0801748260</v>
          </cell>
          <cell r="AT1113" t="str">
            <v>BENITES CAÑIZARES ROXANA IVON</v>
          </cell>
        </row>
        <row r="1114">
          <cell r="C1114" t="str">
            <v>0801748260</v>
          </cell>
          <cell r="AT1114" t="str">
            <v>BENITES CAÑIZARES ROXANA IVON</v>
          </cell>
        </row>
        <row r="1115">
          <cell r="C1115" t="str">
            <v>0801748260</v>
          </cell>
          <cell r="AT1115" t="str">
            <v>BENITES CAÑIZARES ROXANA IVON</v>
          </cell>
        </row>
        <row r="1116">
          <cell r="C1116" t="str">
            <v>0801748260</v>
          </cell>
          <cell r="AT1116" t="str">
            <v>BENITES CAÑIZARES ROXANA IVON</v>
          </cell>
        </row>
        <row r="1117">
          <cell r="C1117" t="str">
            <v>0801748260</v>
          </cell>
          <cell r="AT1117" t="str">
            <v>BENITES CAÑIZARES ROXANA IVON</v>
          </cell>
        </row>
        <row r="1118">
          <cell r="C1118" t="str">
            <v>0801748260</v>
          </cell>
          <cell r="AT1118" t="str">
            <v>BENITES CAÑIZARES ROXANA IVON</v>
          </cell>
        </row>
        <row r="1119">
          <cell r="C1119" t="str">
            <v>0801748260</v>
          </cell>
          <cell r="AT1119" t="str">
            <v>BENITES CAÑIZARES ROXANA IVON</v>
          </cell>
        </row>
        <row r="1120">
          <cell r="C1120" t="str">
            <v>0801748260</v>
          </cell>
          <cell r="AT1120" t="str">
            <v>BENITES CAÑIZARES ROXANA IVON</v>
          </cell>
        </row>
        <row r="1121">
          <cell r="C1121" t="str">
            <v>0801748260</v>
          </cell>
          <cell r="AT1121" t="str">
            <v>BENITES CAÑIZARES ROXANA IVON</v>
          </cell>
        </row>
        <row r="1122">
          <cell r="C1122" t="str">
            <v>1750819565</v>
          </cell>
          <cell r="AT1122" t="str">
            <v>BERNABE LILLO MARIA DE LOS LIRIOS</v>
          </cell>
        </row>
        <row r="1123">
          <cell r="C1123" t="str">
            <v>1750819565</v>
          </cell>
          <cell r="AT1123" t="str">
            <v>BERNABE LILLO MARIA DE LOS LIRIOS</v>
          </cell>
        </row>
        <row r="1124">
          <cell r="C1124" t="str">
            <v>1750819565</v>
          </cell>
          <cell r="AT1124" t="str">
            <v>BERNABE LILLO MARIA DE LOS LIRIOS</v>
          </cell>
        </row>
        <row r="1125">
          <cell r="C1125" t="str">
            <v>1750819565</v>
          </cell>
          <cell r="AT1125" t="str">
            <v>BERNABE LILLO MARIA DE LOS LIRIOS</v>
          </cell>
        </row>
        <row r="1126">
          <cell r="C1126" t="str">
            <v>1750819565</v>
          </cell>
          <cell r="AT1126" t="str">
            <v>BERNABE LILLO MARIA DE LOS LIRIOS</v>
          </cell>
        </row>
        <row r="1127">
          <cell r="C1127" t="str">
            <v>1750819565</v>
          </cell>
          <cell r="AT1127" t="str">
            <v>BERNABE LILLO MARIA DE LOS LIRIOS</v>
          </cell>
        </row>
        <row r="1128">
          <cell r="C1128" t="str">
            <v>1750819565</v>
          </cell>
          <cell r="AT1128" t="str">
            <v>BERNABE LILLO MARIA DE LOS LIRIOS</v>
          </cell>
        </row>
        <row r="1129">
          <cell r="C1129" t="str">
            <v>1750819565</v>
          </cell>
          <cell r="AT1129" t="str">
            <v>BERNABE LILLO MARIA DE LOS LIRIOS</v>
          </cell>
        </row>
        <row r="1130">
          <cell r="C1130" t="str">
            <v>1750819565</v>
          </cell>
          <cell r="AT1130" t="str">
            <v>BERNABE LILLO MARIA DE LOS LIRIOS</v>
          </cell>
        </row>
        <row r="1131">
          <cell r="C1131" t="str">
            <v>1750819565</v>
          </cell>
          <cell r="AT1131" t="str">
            <v>BERNABE LILLO MARIA DE LOS LIRIOS</v>
          </cell>
        </row>
        <row r="1132">
          <cell r="C1132" t="str">
            <v>1750819565</v>
          </cell>
          <cell r="AT1132" t="str">
            <v>BERNABE LILLO MARIA DE LOS LIRIOS</v>
          </cell>
        </row>
        <row r="1133">
          <cell r="C1133" t="str">
            <v>1750819565</v>
          </cell>
          <cell r="AT1133" t="str">
            <v>BERNABE LILLO MARIA DE LOS LIRIOS</v>
          </cell>
        </row>
        <row r="1134">
          <cell r="C1134" t="str">
            <v>1750819565</v>
          </cell>
          <cell r="AT1134" t="str">
            <v>BERNABE LILLO MARIA DE LOS LIRIOS</v>
          </cell>
        </row>
        <row r="1135">
          <cell r="C1135" t="str">
            <v>1750819565</v>
          </cell>
          <cell r="AT1135" t="str">
            <v>BERNABE LILLO MARIA DE LOS LIRIOS</v>
          </cell>
        </row>
        <row r="1136">
          <cell r="C1136" t="str">
            <v>1750819565</v>
          </cell>
          <cell r="AT1136" t="str">
            <v>BERNABE LILLO MARIA DE LOS LIRIOS</v>
          </cell>
        </row>
        <row r="1137">
          <cell r="C1137" t="str">
            <v>1750819565</v>
          </cell>
          <cell r="AT1137" t="str">
            <v>BERNABE LILLO MARIA DE LOS LIRIOS</v>
          </cell>
        </row>
        <row r="1138">
          <cell r="C1138" t="str">
            <v>1750819565</v>
          </cell>
          <cell r="AT1138" t="str">
            <v>BERNABE LILLO MARIA DE LOS LIRIOS</v>
          </cell>
        </row>
        <row r="1139">
          <cell r="C1139" t="str">
            <v>1750819565</v>
          </cell>
          <cell r="AT1139" t="str">
            <v>BERNABE LILLO MARIA DE LOS LIRIOS</v>
          </cell>
        </row>
        <row r="1140">
          <cell r="C1140" t="str">
            <v>1750819565</v>
          </cell>
          <cell r="AT1140" t="str">
            <v>BERNABE LILLO MARIA DE LOS LIRIOS</v>
          </cell>
        </row>
        <row r="1141">
          <cell r="C1141" t="str">
            <v>1750819565</v>
          </cell>
          <cell r="AT1141" t="str">
            <v>BERNABE LILLO MARIA DE LOS LIRIOS</v>
          </cell>
        </row>
        <row r="1142">
          <cell r="C1142" t="str">
            <v>1750819565</v>
          </cell>
          <cell r="AT1142" t="str">
            <v>BERNABE LILLO MARIA DE LOS LIRIOS</v>
          </cell>
        </row>
        <row r="1143">
          <cell r="C1143" t="str">
            <v>1750819565</v>
          </cell>
          <cell r="AT1143" t="str">
            <v>BERNABE LILLO MARIA DE LOS LIRIOS</v>
          </cell>
        </row>
        <row r="1144">
          <cell r="C1144" t="str">
            <v>1750819565</v>
          </cell>
          <cell r="AT1144" t="str">
            <v>BERNABE LILLO MARIA DE LOS LIRIOS</v>
          </cell>
        </row>
        <row r="1145">
          <cell r="C1145" t="str">
            <v>1750819565</v>
          </cell>
          <cell r="AT1145" t="str">
            <v>BERNABE LILLO MARIA DE LOS LIRIOS</v>
          </cell>
        </row>
        <row r="1146">
          <cell r="C1146" t="str">
            <v>1750819565</v>
          </cell>
          <cell r="AT1146" t="str">
            <v>BERNABE LILLO MARIA DE LOS LIRIOS</v>
          </cell>
        </row>
        <row r="1147">
          <cell r="C1147" t="str">
            <v>1750819565</v>
          </cell>
          <cell r="AT1147" t="str">
            <v>BERNABE LILLO MARIA DE LOS LIRIOS</v>
          </cell>
        </row>
        <row r="1148">
          <cell r="C1148" t="str">
            <v>1750819565</v>
          </cell>
          <cell r="AT1148" t="str">
            <v>BERNABE LILLO MARIA DE LOS LIRIOS</v>
          </cell>
        </row>
        <row r="1149">
          <cell r="C1149" t="str">
            <v>1750819565</v>
          </cell>
          <cell r="AT1149" t="str">
            <v>BERNABE LILLO MARIA DE LOS LIRIOS</v>
          </cell>
        </row>
        <row r="1150">
          <cell r="C1150" t="str">
            <v>1750819565</v>
          </cell>
          <cell r="AT1150" t="str">
            <v>BERNABE LILLO MARIA DE LOS LIRIOS</v>
          </cell>
        </row>
        <row r="1151">
          <cell r="C1151" t="str">
            <v>1750819565</v>
          </cell>
          <cell r="AT1151" t="str">
            <v>BERNABE LILLO MARIA DE LOS LIRIOS</v>
          </cell>
        </row>
        <row r="1152">
          <cell r="C1152" t="str">
            <v>1750819565</v>
          </cell>
          <cell r="AT1152" t="str">
            <v>BERNABE LILLO MARIA DE LOS LIRIOS</v>
          </cell>
        </row>
        <row r="1153">
          <cell r="C1153" t="str">
            <v>1750819565</v>
          </cell>
          <cell r="AT1153" t="str">
            <v>BERNABE LILLO MARIA DE LOS LIRIOS</v>
          </cell>
        </row>
        <row r="1154">
          <cell r="C1154" t="str">
            <v>1750819565</v>
          </cell>
          <cell r="AT1154" t="str">
            <v>BERNABE LILLO MARIA DE LOS LIRIOS</v>
          </cell>
        </row>
        <row r="1155">
          <cell r="C1155" t="str">
            <v>1750819565</v>
          </cell>
          <cell r="AT1155" t="str">
            <v>BERNABE LILLO MARIA DE LOS LIRIOS</v>
          </cell>
        </row>
        <row r="1156">
          <cell r="C1156" t="str">
            <v>1750819565</v>
          </cell>
          <cell r="AT1156" t="str">
            <v>BERNABE LILLO MARIA DE LOS LIRIOS</v>
          </cell>
        </row>
        <row r="1157">
          <cell r="C1157" t="str">
            <v>1750819565</v>
          </cell>
          <cell r="AT1157" t="str">
            <v>BERNABE LILLO MARIA DE LOS LIRIOS</v>
          </cell>
        </row>
        <row r="1158">
          <cell r="C1158" t="str">
            <v>1750819565</v>
          </cell>
          <cell r="AT1158" t="str">
            <v>BERNABE LILLO MARIA DE LOS LIRIOS</v>
          </cell>
        </row>
        <row r="1159">
          <cell r="C1159" t="str">
            <v>1750819565</v>
          </cell>
          <cell r="AT1159" t="str">
            <v>BERNABE LILLO MARIA DE LOS LIRIOS</v>
          </cell>
        </row>
        <row r="1160">
          <cell r="C1160" t="str">
            <v>1750819565</v>
          </cell>
          <cell r="AT1160" t="str">
            <v>BERNABE LILLO MARIA DE LOS LIRIOS</v>
          </cell>
        </row>
        <row r="1161">
          <cell r="C1161" t="str">
            <v>1750819565</v>
          </cell>
          <cell r="AT1161" t="str">
            <v>BERNABE LILLO MARIA DE LOS LIRIOS</v>
          </cell>
        </row>
        <row r="1162">
          <cell r="C1162" t="str">
            <v>0801907197</v>
          </cell>
          <cell r="AT1162" t="str">
            <v>BURBANO SALAZAR JAVIER ENRIQUE</v>
          </cell>
        </row>
        <row r="1163">
          <cell r="C1163" t="str">
            <v>0801907197</v>
          </cell>
          <cell r="AT1163" t="str">
            <v>BURBANO SALAZAR JAVIER ENRIQUE</v>
          </cell>
        </row>
        <row r="1164">
          <cell r="C1164" t="str">
            <v>0801907197</v>
          </cell>
          <cell r="AT1164" t="str">
            <v>BURBANO SALAZAR JAVIER ENRIQUE</v>
          </cell>
        </row>
        <row r="1165">
          <cell r="C1165" t="str">
            <v>0801907197</v>
          </cell>
          <cell r="AT1165" t="str">
            <v>BURBANO SALAZAR JAVIER ENRIQUE</v>
          </cell>
        </row>
        <row r="1166">
          <cell r="C1166" t="str">
            <v>0801907197</v>
          </cell>
          <cell r="AT1166" t="str">
            <v>BURBANO SALAZAR JAVIER ENRIQUE</v>
          </cell>
        </row>
        <row r="1167">
          <cell r="C1167" t="str">
            <v>0801907197</v>
          </cell>
          <cell r="AT1167" t="str">
            <v>BURBANO SALAZAR JAVIER ENRIQUE</v>
          </cell>
        </row>
        <row r="1168">
          <cell r="C1168" t="str">
            <v>0801907197</v>
          </cell>
          <cell r="AT1168" t="str">
            <v>BURBANO SALAZAR JAVIER ENRIQUE</v>
          </cell>
        </row>
        <row r="1169">
          <cell r="C1169" t="str">
            <v>0801907197</v>
          </cell>
          <cell r="AT1169" t="str">
            <v>BURBANO SALAZAR JAVIER ENRIQUE</v>
          </cell>
        </row>
        <row r="1170">
          <cell r="C1170" t="str">
            <v>0801907197</v>
          </cell>
          <cell r="AT1170" t="str">
            <v>BURBANO SALAZAR JAVIER ENRIQUE</v>
          </cell>
        </row>
        <row r="1171">
          <cell r="C1171" t="str">
            <v>0801907197</v>
          </cell>
          <cell r="AT1171" t="str">
            <v>BURBANO SALAZAR JAVIER ENRIQUE</v>
          </cell>
        </row>
        <row r="1172">
          <cell r="C1172" t="str">
            <v>0801907197</v>
          </cell>
          <cell r="AT1172" t="str">
            <v>BURBANO SALAZAR JAVIER ENRIQUE</v>
          </cell>
        </row>
        <row r="1173">
          <cell r="C1173" t="str">
            <v>0801907197</v>
          </cell>
          <cell r="AT1173" t="str">
            <v>BURBANO SALAZAR JAVIER ENRIQUE</v>
          </cell>
        </row>
        <row r="1174">
          <cell r="C1174" t="str">
            <v>0801907197</v>
          </cell>
          <cell r="AT1174" t="str">
            <v>BURBANO SALAZAR JAVIER ENRIQUE</v>
          </cell>
        </row>
        <row r="1175">
          <cell r="C1175" t="str">
            <v>0801907197</v>
          </cell>
          <cell r="AT1175" t="str">
            <v>BURBANO SALAZAR JAVIER ENRIQUE</v>
          </cell>
        </row>
        <row r="1176">
          <cell r="C1176" t="str">
            <v>0801907197</v>
          </cell>
          <cell r="AT1176" t="str">
            <v>BURBANO SALAZAR JAVIER ENRIQUE</v>
          </cell>
        </row>
        <row r="1177">
          <cell r="C1177" t="str">
            <v>0801907197</v>
          </cell>
          <cell r="AT1177" t="str">
            <v>BURBANO SALAZAR JAVIER ENRIQUE</v>
          </cell>
        </row>
        <row r="1178">
          <cell r="C1178" t="str">
            <v>0801907197</v>
          </cell>
          <cell r="AT1178" t="str">
            <v>BURBANO SALAZAR JAVIER ENRIQUE</v>
          </cell>
        </row>
        <row r="1179">
          <cell r="C1179" t="str">
            <v>0801907197</v>
          </cell>
          <cell r="AT1179" t="str">
            <v>BURBANO SALAZAR JAVIER ENRIQUE</v>
          </cell>
        </row>
        <row r="1180">
          <cell r="C1180" t="str">
            <v>0801907197</v>
          </cell>
          <cell r="AT1180" t="str">
            <v>BURBANO SALAZAR JAVIER ENRIQUE</v>
          </cell>
        </row>
        <row r="1181">
          <cell r="C1181" t="str">
            <v>0801907197</v>
          </cell>
          <cell r="AT1181" t="str">
            <v>BURBANO SALAZAR JAVIER ENRIQUE</v>
          </cell>
        </row>
        <row r="1182">
          <cell r="C1182" t="str">
            <v>0601492267</v>
          </cell>
          <cell r="AT1182" t="str">
            <v>VITERI MONTESDEOCA JOSE FABRICIO</v>
          </cell>
        </row>
        <row r="1183">
          <cell r="C1183" t="str">
            <v>1709678583</v>
          </cell>
          <cell r="AT1183" t="str">
            <v>CABRERA ERAZO SILVIA YOLANDA</v>
          </cell>
        </row>
        <row r="1184">
          <cell r="C1184" t="str">
            <v>1709678583</v>
          </cell>
          <cell r="AT1184" t="str">
            <v>CABRERA ERAZO SILVIA YOLANDA</v>
          </cell>
        </row>
        <row r="1185">
          <cell r="C1185" t="str">
            <v>1709678583</v>
          </cell>
          <cell r="AT1185" t="str">
            <v>CABRERA ERAZO SILVIA YOLANDA</v>
          </cell>
        </row>
        <row r="1186">
          <cell r="C1186" t="str">
            <v>1709678583</v>
          </cell>
          <cell r="AT1186" t="str">
            <v>CABRERA ERAZO SILVIA YOLANDA</v>
          </cell>
        </row>
        <row r="1187">
          <cell r="C1187" t="str">
            <v>1709678583</v>
          </cell>
          <cell r="AT1187" t="str">
            <v>CABRERA ERAZO SILVIA YOLANDA</v>
          </cell>
        </row>
        <row r="1188">
          <cell r="C1188" t="str">
            <v>1709678583</v>
          </cell>
          <cell r="AT1188" t="str">
            <v>CABRERA ERAZO SILVIA YOLANDA</v>
          </cell>
        </row>
        <row r="1189">
          <cell r="C1189" t="str">
            <v>1709678583</v>
          </cell>
          <cell r="AT1189" t="str">
            <v>CABRERA ERAZO SILVIA YOLANDA</v>
          </cell>
        </row>
        <row r="1190">
          <cell r="C1190" t="str">
            <v>1709678583</v>
          </cell>
          <cell r="AT1190" t="str">
            <v>CABRERA ERAZO SILVIA YOLANDA</v>
          </cell>
        </row>
        <row r="1191">
          <cell r="C1191" t="str">
            <v>1709678583</v>
          </cell>
          <cell r="AT1191" t="str">
            <v>CABRERA ERAZO SILVIA YOLANDA</v>
          </cell>
        </row>
        <row r="1192">
          <cell r="C1192" t="str">
            <v>1709678583</v>
          </cell>
          <cell r="AT1192" t="str">
            <v>CABRERA ERAZO SILVIA YOLANDA</v>
          </cell>
        </row>
        <row r="1193">
          <cell r="C1193" t="str">
            <v>1709678583</v>
          </cell>
          <cell r="AT1193" t="str">
            <v>CABRERA ERAZO SILVIA YOLANDA</v>
          </cell>
        </row>
        <row r="1194">
          <cell r="C1194" t="str">
            <v>1709678583</v>
          </cell>
          <cell r="AT1194" t="str">
            <v>CABRERA ERAZO SILVIA YOLANDA</v>
          </cell>
        </row>
        <row r="1195">
          <cell r="C1195" t="str">
            <v>1709678583</v>
          </cell>
          <cell r="AT1195" t="str">
            <v>CABRERA ERAZO SILVIA YOLANDA</v>
          </cell>
        </row>
        <row r="1196">
          <cell r="C1196" t="str">
            <v>1709678583</v>
          </cell>
          <cell r="AT1196" t="str">
            <v>CABRERA ERAZO SILVIA YOLANDA</v>
          </cell>
        </row>
        <row r="1197">
          <cell r="C1197" t="str">
            <v>1709678583</v>
          </cell>
          <cell r="AT1197" t="str">
            <v>CABRERA ERAZO SILVIA YOLANDA</v>
          </cell>
        </row>
        <row r="1198">
          <cell r="C1198" t="str">
            <v>1709678583</v>
          </cell>
          <cell r="AT1198" t="str">
            <v>CABRERA ERAZO SILVIA YOLANDA</v>
          </cell>
        </row>
        <row r="1199">
          <cell r="C1199" t="str">
            <v>1709678583</v>
          </cell>
          <cell r="AT1199" t="str">
            <v>CABRERA ERAZO SILVIA YOLANDA</v>
          </cell>
        </row>
        <row r="1200">
          <cell r="C1200" t="str">
            <v>1709678583</v>
          </cell>
          <cell r="AT1200" t="str">
            <v>CABRERA ERAZO SILVIA YOLANDA</v>
          </cell>
        </row>
        <row r="1201">
          <cell r="C1201" t="str">
            <v>1709678583</v>
          </cell>
          <cell r="AT1201" t="str">
            <v>CABRERA ERAZO SILVIA YOLANDA</v>
          </cell>
        </row>
        <row r="1202">
          <cell r="C1202" t="str">
            <v>1709678583</v>
          </cell>
          <cell r="AT1202" t="str">
            <v>CABRERA ERAZO SILVIA YOLANDA</v>
          </cell>
        </row>
        <row r="1203">
          <cell r="C1203" t="str">
            <v>1709678583</v>
          </cell>
          <cell r="AT1203" t="str">
            <v>CABRERA ERAZO SILVIA YOLANDA</v>
          </cell>
        </row>
        <row r="1204">
          <cell r="C1204" t="str">
            <v>1709678583</v>
          </cell>
          <cell r="AT1204" t="str">
            <v>CABRERA ERAZO SILVIA YOLANDA</v>
          </cell>
        </row>
        <row r="1205">
          <cell r="C1205" t="str">
            <v>1709678583</v>
          </cell>
          <cell r="AT1205" t="str">
            <v>CABRERA ERAZO SILVIA YOLANDA</v>
          </cell>
        </row>
        <row r="1206">
          <cell r="C1206" t="str">
            <v>1709678583</v>
          </cell>
          <cell r="AT1206" t="str">
            <v>CABRERA ERAZO SILVIA YOLANDA</v>
          </cell>
        </row>
        <row r="1207">
          <cell r="C1207" t="str">
            <v>1709678583</v>
          </cell>
          <cell r="AT1207" t="str">
            <v>CABRERA ERAZO SILVIA YOLANDA</v>
          </cell>
        </row>
        <row r="1208">
          <cell r="C1208" t="str">
            <v>1709678583</v>
          </cell>
          <cell r="AT1208" t="str">
            <v>CABRERA ERAZO SILVIA YOLANDA</v>
          </cell>
        </row>
        <row r="1209">
          <cell r="C1209" t="str">
            <v>1709678583</v>
          </cell>
          <cell r="AT1209" t="str">
            <v>CABRERA ERAZO SILVIA YOLANDA</v>
          </cell>
        </row>
        <row r="1210">
          <cell r="C1210" t="str">
            <v>1709678583</v>
          </cell>
          <cell r="AT1210" t="str">
            <v>CABRERA ERAZO SILVIA YOLANDA</v>
          </cell>
        </row>
        <row r="1211">
          <cell r="C1211" t="str">
            <v>1709678583</v>
          </cell>
          <cell r="AT1211" t="str">
            <v>CABRERA ERAZO SILVIA YOLANDA</v>
          </cell>
        </row>
        <row r="1212">
          <cell r="C1212" t="str">
            <v>1709678583</v>
          </cell>
          <cell r="AT1212" t="str">
            <v>CABRERA ERAZO SILVIA YOLANDA</v>
          </cell>
        </row>
        <row r="1213">
          <cell r="C1213" t="str">
            <v>0913847372</v>
          </cell>
          <cell r="AT1213" t="str">
            <v>PARRALES ARAGONES VICTOR HUGO</v>
          </cell>
        </row>
        <row r="1214">
          <cell r="C1214" t="str">
            <v>1757041353</v>
          </cell>
          <cell r="AT1214" t="str">
            <v>REYES ALVAREZ MIRIAN LISANDRA</v>
          </cell>
        </row>
        <row r="1215">
          <cell r="C1215" t="str">
            <v>0802476374</v>
          </cell>
          <cell r="AT1215" t="str">
            <v>CARVAJAL CARVAJAL JOSE LUIS</v>
          </cell>
        </row>
        <row r="1216">
          <cell r="C1216" t="str">
            <v>0802476374</v>
          </cell>
          <cell r="AT1216" t="str">
            <v>CARVAJAL CARVAJAL JOSE LUIS</v>
          </cell>
        </row>
        <row r="1217">
          <cell r="C1217" t="str">
            <v>0802476374</v>
          </cell>
          <cell r="AT1217" t="str">
            <v>CARVAJAL CARVAJAL JOSE LUIS</v>
          </cell>
        </row>
        <row r="1218">
          <cell r="C1218" t="str">
            <v>0802476374</v>
          </cell>
          <cell r="AT1218" t="str">
            <v>CARVAJAL CARVAJAL JOSE LUIS</v>
          </cell>
        </row>
        <row r="1219">
          <cell r="C1219" t="str">
            <v>0802476374</v>
          </cell>
          <cell r="AT1219" t="str">
            <v>CARVAJAL CARVAJAL JOSE LUIS</v>
          </cell>
        </row>
        <row r="1220">
          <cell r="C1220" t="str">
            <v>0802476374</v>
          </cell>
          <cell r="AT1220" t="str">
            <v>CARVAJAL CARVAJAL JOSE LUIS</v>
          </cell>
        </row>
        <row r="1221">
          <cell r="C1221" t="str">
            <v>0802476374</v>
          </cell>
          <cell r="AT1221" t="str">
            <v>CARVAJAL CARVAJAL JOSE LUIS</v>
          </cell>
        </row>
        <row r="1222">
          <cell r="C1222" t="str">
            <v>0802476374</v>
          </cell>
          <cell r="AT1222" t="str">
            <v>CARVAJAL CARVAJAL JOSE LUIS</v>
          </cell>
        </row>
        <row r="1223">
          <cell r="C1223" t="str">
            <v>0802476374</v>
          </cell>
          <cell r="AT1223" t="str">
            <v>CARVAJAL CARVAJAL JOSE LUIS</v>
          </cell>
        </row>
        <row r="1224">
          <cell r="C1224" t="str">
            <v>0802476374</v>
          </cell>
          <cell r="AT1224" t="str">
            <v>CARVAJAL CARVAJAL JOSE LUIS</v>
          </cell>
        </row>
        <row r="1225">
          <cell r="C1225" t="str">
            <v>0802476374</v>
          </cell>
          <cell r="AT1225" t="str">
            <v>CARVAJAL CARVAJAL JOSE LUIS</v>
          </cell>
        </row>
        <row r="1226">
          <cell r="C1226" t="str">
            <v>0802476374</v>
          </cell>
          <cell r="AT1226" t="str">
            <v>CARVAJAL CARVAJAL JOSE LUIS</v>
          </cell>
        </row>
        <row r="1227">
          <cell r="C1227" t="str">
            <v>0802476374</v>
          </cell>
          <cell r="AT1227" t="str">
            <v>CARVAJAL CARVAJAL JOSE LUIS</v>
          </cell>
        </row>
        <row r="1228">
          <cell r="C1228" t="str">
            <v>0802476374</v>
          </cell>
          <cell r="AT1228" t="str">
            <v>CARVAJAL CARVAJAL JOSE LUIS</v>
          </cell>
        </row>
        <row r="1229">
          <cell r="C1229" t="str">
            <v>0802476374</v>
          </cell>
          <cell r="AT1229" t="str">
            <v>CARVAJAL CARVAJAL JOSE LUIS</v>
          </cell>
        </row>
        <row r="1230">
          <cell r="C1230" t="str">
            <v>0802476374</v>
          </cell>
          <cell r="AT1230" t="str">
            <v>CARVAJAL CARVAJAL JOSE LUIS</v>
          </cell>
        </row>
        <row r="1231">
          <cell r="C1231" t="str">
            <v>0802476374</v>
          </cell>
          <cell r="AT1231" t="str">
            <v>CARVAJAL CARVAJAL JOSE LUIS</v>
          </cell>
        </row>
        <row r="1232">
          <cell r="C1232" t="str">
            <v>0802476374</v>
          </cell>
          <cell r="AT1232" t="str">
            <v>CARVAJAL CARVAJAL JOSE LUIS</v>
          </cell>
        </row>
        <row r="1233">
          <cell r="C1233" t="str">
            <v>0802476374</v>
          </cell>
          <cell r="AT1233" t="str">
            <v>CARVAJAL CARVAJAL JOSE LUIS</v>
          </cell>
        </row>
        <row r="1234">
          <cell r="C1234" t="str">
            <v>0802476374</v>
          </cell>
          <cell r="AT1234" t="str">
            <v>CARVAJAL CARVAJAL JOSE LUIS</v>
          </cell>
        </row>
        <row r="1235">
          <cell r="C1235" t="str">
            <v>1706483722</v>
          </cell>
          <cell r="AT1235" t="str">
            <v>OÑA SERRANO HECTOR LEONARDO</v>
          </cell>
        </row>
        <row r="1236">
          <cell r="C1236" t="str">
            <v>1757510373</v>
          </cell>
          <cell r="AT1236" t="str">
            <v>BARRUECO SUAREZ LIENA IRENA</v>
          </cell>
        </row>
        <row r="1237">
          <cell r="C1237" t="str">
            <v>1756724363</v>
          </cell>
          <cell r="AT1237" t="str">
            <v xml:space="preserve">GUILLEN PEREIRA LISBET </v>
          </cell>
        </row>
        <row r="1238">
          <cell r="C1238" t="str">
            <v>0803116334</v>
          </cell>
          <cell r="AT1238" t="str">
            <v>CERVANTES INTRIAGO JENNY CRISTINA</v>
          </cell>
        </row>
        <row r="1239">
          <cell r="C1239" t="str">
            <v>0803116334</v>
          </cell>
          <cell r="AT1239" t="str">
            <v>CERVANTES INTRIAGO JENNY CRISTINA</v>
          </cell>
        </row>
        <row r="1240">
          <cell r="C1240" t="str">
            <v>0803116334</v>
          </cell>
          <cell r="AT1240" t="str">
            <v>CERVANTES INTRIAGO JENNY CRISTINA</v>
          </cell>
        </row>
        <row r="1241">
          <cell r="C1241" t="str">
            <v>0803116334</v>
          </cell>
          <cell r="AT1241" t="str">
            <v>CERVANTES INTRIAGO JENNY CRISTINA</v>
          </cell>
        </row>
        <row r="1242">
          <cell r="C1242" t="str">
            <v>0803116334</v>
          </cell>
          <cell r="AT1242" t="str">
            <v>CERVANTES INTRIAGO JENNY CRISTINA</v>
          </cell>
        </row>
        <row r="1243">
          <cell r="C1243" t="str">
            <v>0803116334</v>
          </cell>
          <cell r="AT1243" t="str">
            <v>CERVANTES INTRIAGO JENNY CRISTINA</v>
          </cell>
        </row>
        <row r="1244">
          <cell r="C1244" t="str">
            <v>0803116334</v>
          </cell>
          <cell r="AT1244" t="str">
            <v>CERVANTES INTRIAGO JENNY CRISTINA</v>
          </cell>
        </row>
        <row r="1245">
          <cell r="C1245" t="str">
            <v>0803116334</v>
          </cell>
          <cell r="AT1245" t="str">
            <v>CERVANTES INTRIAGO JENNY CRISTINA</v>
          </cell>
        </row>
        <row r="1246">
          <cell r="C1246" t="str">
            <v>0803116334</v>
          </cell>
          <cell r="AT1246" t="str">
            <v>CERVANTES INTRIAGO JENNY CRISTINA</v>
          </cell>
        </row>
        <row r="1247">
          <cell r="C1247" t="str">
            <v>0803116334</v>
          </cell>
          <cell r="AT1247" t="str">
            <v>CERVANTES INTRIAGO JENNY CRISTINA</v>
          </cell>
        </row>
        <row r="1248">
          <cell r="C1248" t="str">
            <v>0803116334</v>
          </cell>
          <cell r="AT1248" t="str">
            <v>CERVANTES INTRIAGO JENNY CRISTINA</v>
          </cell>
        </row>
        <row r="1249">
          <cell r="C1249" t="str">
            <v>0803116334</v>
          </cell>
          <cell r="AT1249" t="str">
            <v>CERVANTES INTRIAGO JENNY CRISTINA</v>
          </cell>
        </row>
        <row r="1250">
          <cell r="C1250" t="str">
            <v>0803116334</v>
          </cell>
          <cell r="AT1250" t="str">
            <v>CERVANTES INTRIAGO JENNY CRISTINA</v>
          </cell>
        </row>
        <row r="1251">
          <cell r="C1251" t="str">
            <v>0803116334</v>
          </cell>
          <cell r="AT1251" t="str">
            <v>CERVANTES INTRIAGO JENNY CRISTINA</v>
          </cell>
        </row>
        <row r="1252">
          <cell r="C1252" t="str">
            <v>0803116334</v>
          </cell>
          <cell r="AT1252" t="str">
            <v>CERVANTES INTRIAGO JENNY CRISTINA</v>
          </cell>
        </row>
        <row r="1253">
          <cell r="C1253" t="str">
            <v>0803116334</v>
          </cell>
          <cell r="AT1253" t="str">
            <v>CERVANTES INTRIAGO JENNY CRISTINA</v>
          </cell>
        </row>
        <row r="1254">
          <cell r="C1254" t="str">
            <v>0803116334</v>
          </cell>
          <cell r="AT1254" t="str">
            <v>CERVANTES INTRIAGO JENNY CRISTINA</v>
          </cell>
        </row>
        <row r="1255">
          <cell r="C1255" t="str">
            <v>0801728387</v>
          </cell>
          <cell r="AT1255" t="str">
            <v>GALIANO ARTURO IVAN RICARDO</v>
          </cell>
        </row>
        <row r="1256">
          <cell r="C1256" t="str">
            <v>0801728387</v>
          </cell>
          <cell r="AT1256" t="str">
            <v>GALIANO ARTURO IVAN RICARDO</v>
          </cell>
        </row>
        <row r="1257">
          <cell r="C1257" t="str">
            <v>0801728387</v>
          </cell>
          <cell r="AT1257" t="str">
            <v>GALIANO ARTURO IVAN RICARDO</v>
          </cell>
        </row>
        <row r="1258">
          <cell r="C1258" t="str">
            <v>0801571902</v>
          </cell>
          <cell r="AT1258" t="str">
            <v>CHILAN COLORADO CORINA ARACELY</v>
          </cell>
        </row>
        <row r="1259">
          <cell r="C1259" t="str">
            <v>0801571902</v>
          </cell>
          <cell r="AT1259" t="str">
            <v>CHILAN COLORADO CORINA ARACELY</v>
          </cell>
        </row>
        <row r="1260">
          <cell r="C1260" t="str">
            <v>0801571902</v>
          </cell>
          <cell r="AT1260" t="str">
            <v>CHILAN COLORADO CORINA ARACELY</v>
          </cell>
        </row>
        <row r="1261">
          <cell r="C1261" t="str">
            <v>0801571902</v>
          </cell>
          <cell r="AT1261" t="str">
            <v>CHILAN COLORADO CORINA ARACELY</v>
          </cell>
        </row>
        <row r="1262">
          <cell r="C1262" t="str">
            <v>0801571902</v>
          </cell>
          <cell r="AT1262" t="str">
            <v>CHILAN COLORADO CORINA ARACELY</v>
          </cell>
        </row>
        <row r="1263">
          <cell r="C1263" t="str">
            <v>0801571902</v>
          </cell>
          <cell r="AT1263" t="str">
            <v>CHILAN COLORADO CORINA ARACELY</v>
          </cell>
        </row>
        <row r="1264">
          <cell r="C1264" t="str">
            <v>0801571902</v>
          </cell>
          <cell r="AT1264" t="str">
            <v>CHILAN COLORADO CORINA ARACELY</v>
          </cell>
        </row>
        <row r="1265">
          <cell r="C1265" t="str">
            <v>0801571902</v>
          </cell>
          <cell r="AT1265" t="str">
            <v>CHILAN COLORADO CORINA ARACELY</v>
          </cell>
        </row>
        <row r="1266">
          <cell r="C1266" t="str">
            <v>0801571902</v>
          </cell>
          <cell r="AT1266" t="str">
            <v>CHILAN COLORADO CORINA ARACELY</v>
          </cell>
        </row>
        <row r="1267">
          <cell r="C1267" t="str">
            <v>0801571902</v>
          </cell>
          <cell r="AT1267" t="str">
            <v>CHILAN COLORADO CORINA ARACELY</v>
          </cell>
        </row>
        <row r="1268">
          <cell r="C1268" t="str">
            <v>0801571902</v>
          </cell>
          <cell r="AT1268" t="str">
            <v>CHILAN COLORADO CORINA ARACELY</v>
          </cell>
        </row>
        <row r="1269">
          <cell r="C1269" t="str">
            <v>0801571902</v>
          </cell>
          <cell r="AT1269" t="str">
            <v>CHILAN COLORADO CORINA ARACELY</v>
          </cell>
        </row>
        <row r="1270">
          <cell r="C1270" t="str">
            <v>0801571902</v>
          </cell>
          <cell r="AT1270" t="str">
            <v>CHILAN COLORADO CORINA ARACELY</v>
          </cell>
        </row>
        <row r="1271">
          <cell r="C1271" t="str">
            <v>0801571902</v>
          </cell>
          <cell r="AT1271" t="str">
            <v>CHILAN COLORADO CORINA ARACELY</v>
          </cell>
        </row>
        <row r="1272">
          <cell r="C1272" t="str">
            <v>0801571902</v>
          </cell>
          <cell r="AT1272" t="str">
            <v>CHILAN COLORADO CORINA ARACELY</v>
          </cell>
        </row>
        <row r="1273">
          <cell r="C1273" t="str">
            <v>0801571902</v>
          </cell>
          <cell r="AT1273" t="str">
            <v>CHILAN COLORADO CORINA ARACELY</v>
          </cell>
        </row>
        <row r="1274">
          <cell r="C1274" t="str">
            <v>0801571902</v>
          </cell>
          <cell r="AT1274" t="str">
            <v>CHILAN COLORADO CORINA ARACELY</v>
          </cell>
        </row>
        <row r="1275">
          <cell r="C1275" t="str">
            <v>0801571902</v>
          </cell>
          <cell r="AT1275" t="str">
            <v>CHILAN COLORADO CORINA ARACELY</v>
          </cell>
        </row>
        <row r="1276">
          <cell r="C1276" t="str">
            <v>0801438482</v>
          </cell>
          <cell r="AT1276" t="str">
            <v>DONOSO VARGAS JOSE HERNAN</v>
          </cell>
        </row>
        <row r="1277">
          <cell r="C1277" t="str">
            <v>0801438482</v>
          </cell>
          <cell r="AT1277" t="str">
            <v>DONOSO VARGAS JOSE HERNAN</v>
          </cell>
        </row>
        <row r="1278">
          <cell r="C1278" t="str">
            <v>0801438482</v>
          </cell>
          <cell r="AT1278" t="str">
            <v>DONOSO VARGAS JOSE HERNAN</v>
          </cell>
        </row>
        <row r="1279">
          <cell r="C1279" t="str">
            <v>0801438482</v>
          </cell>
          <cell r="AT1279" t="str">
            <v>DONOSO VARGAS JOSE HERNAN</v>
          </cell>
        </row>
        <row r="1280">
          <cell r="C1280" t="str">
            <v>0801438482</v>
          </cell>
          <cell r="AT1280" t="str">
            <v>DONOSO VARGAS JOSE HERNAN</v>
          </cell>
        </row>
        <row r="1281">
          <cell r="C1281" t="str">
            <v>0801438482</v>
          </cell>
          <cell r="AT1281" t="str">
            <v>DONOSO VARGAS JOSE HERNAN</v>
          </cell>
        </row>
        <row r="1282">
          <cell r="C1282" t="str">
            <v>0801438482</v>
          </cell>
          <cell r="AT1282" t="str">
            <v>DONOSO VARGAS JOSE HERNAN</v>
          </cell>
        </row>
        <row r="1283">
          <cell r="C1283" t="str">
            <v>0801438482</v>
          </cell>
          <cell r="AT1283" t="str">
            <v>DONOSO VARGAS JOSE HERNAN</v>
          </cell>
        </row>
        <row r="1284">
          <cell r="C1284" t="str">
            <v>0801438482</v>
          </cell>
          <cell r="AT1284" t="str">
            <v>DONOSO VARGAS JOSE HERNAN</v>
          </cell>
        </row>
        <row r="1285">
          <cell r="C1285" t="str">
            <v>0801438482</v>
          </cell>
          <cell r="AT1285" t="str">
            <v>DONOSO VARGAS JOSE HERNAN</v>
          </cell>
        </row>
        <row r="1286">
          <cell r="C1286" t="str">
            <v>0801438482</v>
          </cell>
          <cell r="AT1286" t="str">
            <v>DONOSO VARGAS JOSE HERNAN</v>
          </cell>
        </row>
        <row r="1287">
          <cell r="C1287" t="str">
            <v>0801438482</v>
          </cell>
          <cell r="AT1287" t="str">
            <v>DONOSO VARGAS JOSE HERNAN</v>
          </cell>
        </row>
        <row r="1288">
          <cell r="C1288" t="str">
            <v>0801438482</v>
          </cell>
          <cell r="AT1288" t="str">
            <v>DONOSO VARGAS JOSE HERNAN</v>
          </cell>
        </row>
        <row r="1289">
          <cell r="C1289" t="str">
            <v>0801438482</v>
          </cell>
          <cell r="AT1289" t="str">
            <v>DONOSO VARGAS JOSE HERNAN</v>
          </cell>
        </row>
        <row r="1290">
          <cell r="C1290" t="str">
            <v>0801438482</v>
          </cell>
          <cell r="AT1290" t="str">
            <v>DONOSO VARGAS JOSE HERNAN</v>
          </cell>
        </row>
        <row r="1291">
          <cell r="C1291" t="str">
            <v>0801438482</v>
          </cell>
          <cell r="AT1291" t="str">
            <v>DONOSO VARGAS JOSE HERNAN</v>
          </cell>
        </row>
        <row r="1292">
          <cell r="C1292" t="str">
            <v>0801438482</v>
          </cell>
          <cell r="AT1292" t="str">
            <v>DONOSO VARGAS JOSE HERNAN</v>
          </cell>
        </row>
        <row r="1293">
          <cell r="C1293" t="str">
            <v>0801438482</v>
          </cell>
          <cell r="AT1293" t="str">
            <v>DONOSO VARGAS JOSE HERNAN</v>
          </cell>
        </row>
        <row r="1294">
          <cell r="C1294" t="str">
            <v>0801438482</v>
          </cell>
          <cell r="AT1294" t="str">
            <v>DONOSO VARGAS JOSE HERNAN</v>
          </cell>
        </row>
        <row r="1295">
          <cell r="C1295" t="str">
            <v>0801438482</v>
          </cell>
          <cell r="AT1295" t="str">
            <v>DONOSO VARGAS JOSE HERNAN</v>
          </cell>
        </row>
        <row r="1296">
          <cell r="C1296" t="str">
            <v>0801438482</v>
          </cell>
          <cell r="AT1296" t="str">
            <v>DONOSO VARGAS JOSE HERNAN</v>
          </cell>
        </row>
        <row r="1297">
          <cell r="C1297" t="str">
            <v>0801438482</v>
          </cell>
          <cell r="AT1297" t="str">
            <v>DONOSO VARGAS JOSE HERNAN</v>
          </cell>
        </row>
        <row r="1298">
          <cell r="C1298" t="str">
            <v>0801438482</v>
          </cell>
          <cell r="AT1298" t="str">
            <v>DONOSO VARGAS JOSE HERNAN</v>
          </cell>
        </row>
        <row r="1299">
          <cell r="C1299" t="str">
            <v>0801438482</v>
          </cell>
          <cell r="AT1299" t="str">
            <v>DONOSO VARGAS JOSE HERNAN</v>
          </cell>
        </row>
        <row r="1300">
          <cell r="C1300" t="str">
            <v>0801438482</v>
          </cell>
          <cell r="AT1300" t="str">
            <v>DONOSO VARGAS JOSE HERNAN</v>
          </cell>
        </row>
        <row r="1301">
          <cell r="C1301" t="str">
            <v>0801438482</v>
          </cell>
          <cell r="AT1301" t="str">
            <v>DONOSO VARGAS JOSE HERNAN</v>
          </cell>
        </row>
        <row r="1302">
          <cell r="C1302" t="str">
            <v>0801438482</v>
          </cell>
          <cell r="AT1302" t="str">
            <v>DONOSO VARGAS JOSE HERNAN</v>
          </cell>
        </row>
        <row r="1303">
          <cell r="C1303" t="str">
            <v>0801438482</v>
          </cell>
          <cell r="AT1303" t="str">
            <v>DONOSO VARGAS JOSE HERNAN</v>
          </cell>
        </row>
        <row r="1304">
          <cell r="C1304" t="str">
            <v>0801438482</v>
          </cell>
          <cell r="AT1304" t="str">
            <v>DONOSO VARGAS JOSE HERNAN</v>
          </cell>
        </row>
        <row r="1305">
          <cell r="C1305" t="str">
            <v>0801438482</v>
          </cell>
          <cell r="AT1305" t="str">
            <v>DONOSO VARGAS JOSE HERNAN</v>
          </cell>
        </row>
        <row r="1306">
          <cell r="C1306" t="str">
            <v>0801438482</v>
          </cell>
          <cell r="AT1306" t="str">
            <v>DONOSO VARGAS JOSE HERNAN</v>
          </cell>
        </row>
        <row r="1307">
          <cell r="C1307" t="str">
            <v>0801438482</v>
          </cell>
          <cell r="AT1307" t="str">
            <v>DONOSO VARGAS JOSE HERNAN</v>
          </cell>
        </row>
        <row r="1308">
          <cell r="C1308" t="str">
            <v>0801438482</v>
          </cell>
          <cell r="AT1308" t="str">
            <v>DONOSO VARGAS JOSE HERNAN</v>
          </cell>
        </row>
        <row r="1309">
          <cell r="C1309" t="str">
            <v>0801438482</v>
          </cell>
          <cell r="AT1309" t="str">
            <v>DONOSO VARGAS JOSE HERNAN</v>
          </cell>
        </row>
        <row r="1310">
          <cell r="C1310" t="str">
            <v>0801438482</v>
          </cell>
          <cell r="AT1310" t="str">
            <v>DONOSO VARGAS JOSE HERNAN</v>
          </cell>
        </row>
        <row r="1311">
          <cell r="C1311" t="str">
            <v>0801438482</v>
          </cell>
          <cell r="AT1311" t="str">
            <v>DONOSO VARGAS JOSE HERNAN</v>
          </cell>
        </row>
        <row r="1312">
          <cell r="C1312" t="str">
            <v>0801438482</v>
          </cell>
          <cell r="AT1312" t="str">
            <v>DONOSO VARGAS JOSE HERNAN</v>
          </cell>
        </row>
        <row r="1313">
          <cell r="C1313" t="str">
            <v>0801438482</v>
          </cell>
          <cell r="AT1313" t="str">
            <v>DONOSO VARGAS JOSE HERNAN</v>
          </cell>
        </row>
        <row r="1314">
          <cell r="C1314" t="str">
            <v>0801438482</v>
          </cell>
          <cell r="AT1314" t="str">
            <v>DONOSO VARGAS JOSE HERNAN</v>
          </cell>
        </row>
        <row r="1315">
          <cell r="C1315" t="str">
            <v>0801438482</v>
          </cell>
          <cell r="AT1315" t="str">
            <v>DONOSO VARGAS JOSE HERNAN</v>
          </cell>
        </row>
        <row r="1316">
          <cell r="C1316" t="str">
            <v>0801438482</v>
          </cell>
          <cell r="AT1316" t="str">
            <v>DONOSO VARGAS JOSE HERNAN</v>
          </cell>
        </row>
        <row r="1317">
          <cell r="C1317" t="str">
            <v>0801438482</v>
          </cell>
          <cell r="AT1317" t="str">
            <v>DONOSO VARGAS JOSE HERNAN</v>
          </cell>
        </row>
        <row r="1318">
          <cell r="C1318" t="str">
            <v>0801438482</v>
          </cell>
          <cell r="AT1318" t="str">
            <v>DONOSO VARGAS JOSE HERNAN</v>
          </cell>
        </row>
        <row r="1319">
          <cell r="C1319" t="str">
            <v>0801438482</v>
          </cell>
          <cell r="AT1319" t="str">
            <v>DONOSO VARGAS JOSE HERNAN</v>
          </cell>
        </row>
        <row r="1320">
          <cell r="C1320" t="str">
            <v>0801438482</v>
          </cell>
          <cell r="AT1320" t="str">
            <v>DONOSO VARGAS JOSE HERNAN</v>
          </cell>
        </row>
        <row r="1321">
          <cell r="C1321" t="str">
            <v>0801438482</v>
          </cell>
          <cell r="AT1321" t="str">
            <v>DONOSO VARGAS JOSE HERNAN</v>
          </cell>
        </row>
        <row r="1322">
          <cell r="C1322" t="str">
            <v>0801438482</v>
          </cell>
          <cell r="AT1322" t="str">
            <v>DONOSO VARGAS JOSE HERNAN</v>
          </cell>
        </row>
        <row r="1323">
          <cell r="C1323" t="str">
            <v>0801438482</v>
          </cell>
          <cell r="AT1323" t="str">
            <v>DONOSO VARGAS JOSE HERNAN</v>
          </cell>
        </row>
        <row r="1324">
          <cell r="C1324" t="str">
            <v>0912544780</v>
          </cell>
          <cell r="AT1324" t="str">
            <v>ESPAÑA FRANCIS NELFA ELIZABETH</v>
          </cell>
        </row>
        <row r="1325">
          <cell r="C1325" t="str">
            <v>0912544780</v>
          </cell>
          <cell r="AT1325" t="str">
            <v>ESPAÑA FRANCIS NELFA ELIZABETH</v>
          </cell>
        </row>
        <row r="1326">
          <cell r="C1326" t="str">
            <v>0912544780</v>
          </cell>
          <cell r="AT1326" t="str">
            <v>ESPAÑA FRANCIS NELFA ELIZABETH</v>
          </cell>
        </row>
        <row r="1327">
          <cell r="C1327" t="str">
            <v>0912544780</v>
          </cell>
          <cell r="AT1327" t="str">
            <v>ESPAÑA FRANCIS NELFA ELIZABETH</v>
          </cell>
        </row>
        <row r="1328">
          <cell r="C1328" t="str">
            <v>0912544780</v>
          </cell>
          <cell r="AT1328" t="str">
            <v>ESPAÑA FRANCIS NELFA ELIZABETH</v>
          </cell>
        </row>
        <row r="1329">
          <cell r="C1329" t="str">
            <v>0912544780</v>
          </cell>
          <cell r="AT1329" t="str">
            <v>ESPAÑA FRANCIS NELFA ELIZABETH</v>
          </cell>
        </row>
        <row r="1330">
          <cell r="C1330" t="str">
            <v>0912544780</v>
          </cell>
          <cell r="AT1330" t="str">
            <v>ESPAÑA FRANCIS NELFA ELIZABETH</v>
          </cell>
        </row>
        <row r="1331">
          <cell r="C1331" t="str">
            <v>0912544780</v>
          </cell>
          <cell r="AT1331" t="str">
            <v>ESPAÑA FRANCIS NELFA ELIZABETH</v>
          </cell>
        </row>
        <row r="1332">
          <cell r="C1332" t="str">
            <v>0912544780</v>
          </cell>
          <cell r="AT1332" t="str">
            <v>ESPAÑA FRANCIS NELFA ELIZABETH</v>
          </cell>
        </row>
        <row r="1333">
          <cell r="C1333" t="str">
            <v>0912544780</v>
          </cell>
          <cell r="AT1333" t="str">
            <v>ESPAÑA FRANCIS NELFA ELIZABETH</v>
          </cell>
        </row>
        <row r="1334">
          <cell r="C1334" t="str">
            <v>0912544780</v>
          </cell>
          <cell r="AT1334" t="str">
            <v>ESPAÑA FRANCIS NELFA ELIZABETH</v>
          </cell>
        </row>
        <row r="1335">
          <cell r="C1335" t="str">
            <v>0912544780</v>
          </cell>
          <cell r="AT1335" t="str">
            <v>ESPAÑA FRANCIS NELFA ELIZABETH</v>
          </cell>
        </row>
        <row r="1336">
          <cell r="C1336" t="str">
            <v>0912544780</v>
          </cell>
          <cell r="AT1336" t="str">
            <v>ESPAÑA FRANCIS NELFA ELIZABETH</v>
          </cell>
        </row>
        <row r="1337">
          <cell r="C1337" t="str">
            <v>0912544780</v>
          </cell>
          <cell r="AT1337" t="str">
            <v>ESPAÑA FRANCIS NELFA ELIZABETH</v>
          </cell>
        </row>
        <row r="1338">
          <cell r="C1338" t="str">
            <v>0912544780</v>
          </cell>
          <cell r="AT1338" t="str">
            <v>ESPAÑA FRANCIS NELFA ELIZABETH</v>
          </cell>
        </row>
        <row r="1339">
          <cell r="C1339" t="str">
            <v>0912544780</v>
          </cell>
          <cell r="AT1339" t="str">
            <v>ESPAÑA FRANCIS NELFA ELIZABETH</v>
          </cell>
        </row>
        <row r="1340">
          <cell r="C1340" t="str">
            <v>0912544780</v>
          </cell>
          <cell r="AT1340" t="str">
            <v>ESPAÑA FRANCIS NELFA ELIZABETH</v>
          </cell>
        </row>
        <row r="1341">
          <cell r="C1341" t="str">
            <v>0912544780</v>
          </cell>
          <cell r="AT1341" t="str">
            <v>ESPAÑA FRANCIS NELFA ELIZABETH</v>
          </cell>
        </row>
        <row r="1342">
          <cell r="C1342" t="str">
            <v>0912544780</v>
          </cell>
          <cell r="AT1342" t="str">
            <v>ESPAÑA FRANCIS NELFA ELIZABETH</v>
          </cell>
        </row>
        <row r="1343">
          <cell r="C1343" t="str">
            <v>0912544780</v>
          </cell>
          <cell r="AT1343" t="str">
            <v>ESPAÑA FRANCIS NELFA ELIZABETH</v>
          </cell>
        </row>
        <row r="1344">
          <cell r="C1344" t="str">
            <v>0912544780</v>
          </cell>
          <cell r="AT1344" t="str">
            <v>ESPAÑA FRANCIS NELFA ELIZABETH</v>
          </cell>
        </row>
        <row r="1345">
          <cell r="C1345" t="str">
            <v>0912544780</v>
          </cell>
          <cell r="AT1345" t="str">
            <v>ESPAÑA FRANCIS NELFA ELIZABETH</v>
          </cell>
        </row>
        <row r="1346">
          <cell r="C1346" t="str">
            <v>0912544780</v>
          </cell>
          <cell r="AT1346" t="str">
            <v>ESPAÑA FRANCIS NELFA ELIZABETH</v>
          </cell>
        </row>
        <row r="1347">
          <cell r="C1347" t="str">
            <v>0912544780</v>
          </cell>
          <cell r="AT1347" t="str">
            <v>ESPAÑA FRANCIS NELFA ELIZABETH</v>
          </cell>
        </row>
        <row r="1348">
          <cell r="C1348" t="str">
            <v>0912544780</v>
          </cell>
          <cell r="AT1348" t="str">
            <v>ESPAÑA FRANCIS NELFA ELIZABETH</v>
          </cell>
        </row>
        <row r="1349">
          <cell r="C1349" t="str">
            <v>0912544780</v>
          </cell>
          <cell r="AT1349" t="str">
            <v>ESPAÑA FRANCIS NELFA ELIZABETH</v>
          </cell>
        </row>
        <row r="1350">
          <cell r="C1350" t="str">
            <v>0912544780</v>
          </cell>
          <cell r="AT1350" t="str">
            <v>ESPAÑA FRANCIS NELFA ELIZABETH</v>
          </cell>
        </row>
        <row r="1351">
          <cell r="C1351" t="str">
            <v>0912544780</v>
          </cell>
          <cell r="AT1351" t="str">
            <v>ESPAÑA FRANCIS NELFA ELIZABETH</v>
          </cell>
        </row>
        <row r="1352">
          <cell r="C1352" t="str">
            <v>0912544780</v>
          </cell>
          <cell r="AT1352" t="str">
            <v>ESPAÑA FRANCIS NELFA ELIZABETH</v>
          </cell>
        </row>
        <row r="1353">
          <cell r="C1353" t="str">
            <v>0912544780</v>
          </cell>
          <cell r="AT1353" t="str">
            <v>ESPAÑA FRANCIS NELFA ELIZABETH</v>
          </cell>
        </row>
        <row r="1354">
          <cell r="C1354" t="str">
            <v>0912544780</v>
          </cell>
          <cell r="AT1354" t="str">
            <v>ESPAÑA FRANCIS NELFA ELIZABETH</v>
          </cell>
        </row>
        <row r="1355">
          <cell r="C1355" t="str">
            <v>0912544780</v>
          </cell>
          <cell r="AT1355" t="str">
            <v>ESPAÑA FRANCIS NELFA ELIZABETH</v>
          </cell>
        </row>
        <row r="1356">
          <cell r="C1356" t="str">
            <v>0912544780</v>
          </cell>
          <cell r="AT1356" t="str">
            <v>ESPAÑA FRANCIS NELFA ELIZABETH</v>
          </cell>
        </row>
        <row r="1357">
          <cell r="C1357" t="str">
            <v>0912544780</v>
          </cell>
          <cell r="AT1357" t="str">
            <v>ESPAÑA FRANCIS NELFA ELIZABETH</v>
          </cell>
        </row>
        <row r="1358">
          <cell r="C1358" t="str">
            <v>0912544780</v>
          </cell>
          <cell r="AT1358" t="str">
            <v>ESPAÑA FRANCIS NELFA ELIZABETH</v>
          </cell>
        </row>
        <row r="1359">
          <cell r="C1359" t="str">
            <v>0912544780</v>
          </cell>
          <cell r="AT1359" t="str">
            <v>ESPAÑA FRANCIS NELFA ELIZABETH</v>
          </cell>
        </row>
        <row r="1360">
          <cell r="C1360" t="str">
            <v>0800968869</v>
          </cell>
          <cell r="AT1360" t="str">
            <v>FALCONES BENALCAZAR MERCY JANETH</v>
          </cell>
        </row>
        <row r="1361">
          <cell r="C1361" t="str">
            <v>0800968869</v>
          </cell>
          <cell r="AT1361" t="str">
            <v>FALCONES BENALCAZAR MERCY JANETH</v>
          </cell>
        </row>
        <row r="1362">
          <cell r="C1362" t="str">
            <v>0800968869</v>
          </cell>
          <cell r="AT1362" t="str">
            <v>FALCONES BENALCAZAR MERCY JANETH</v>
          </cell>
        </row>
        <row r="1363">
          <cell r="C1363" t="str">
            <v>0800968869</v>
          </cell>
          <cell r="AT1363" t="str">
            <v>FALCONES BENALCAZAR MERCY JANETH</v>
          </cell>
        </row>
        <row r="1364">
          <cell r="C1364" t="str">
            <v>0800968869</v>
          </cell>
          <cell r="AT1364" t="str">
            <v>FALCONES BENALCAZAR MERCY JANETH</v>
          </cell>
        </row>
        <row r="1365">
          <cell r="C1365" t="str">
            <v>0800968869</v>
          </cell>
          <cell r="AT1365" t="str">
            <v>FALCONES BENALCAZAR MERCY JANETH</v>
          </cell>
        </row>
        <row r="1366">
          <cell r="C1366" t="str">
            <v>0800968869</v>
          </cell>
          <cell r="AT1366" t="str">
            <v>FALCONES BENALCAZAR MERCY JANETH</v>
          </cell>
        </row>
        <row r="1367">
          <cell r="C1367" t="str">
            <v>0800968869</v>
          </cell>
          <cell r="AT1367" t="str">
            <v>FALCONES BENALCAZAR MERCY JANETH</v>
          </cell>
        </row>
        <row r="1368">
          <cell r="C1368" t="str">
            <v>0800968869</v>
          </cell>
          <cell r="AT1368" t="str">
            <v>FALCONES BENALCAZAR MERCY JANETH</v>
          </cell>
        </row>
        <row r="1369">
          <cell r="C1369" t="str">
            <v>0800968869</v>
          </cell>
          <cell r="AT1369" t="str">
            <v>FALCONES BENALCAZAR MERCY JANETH</v>
          </cell>
        </row>
        <row r="1370">
          <cell r="C1370" t="str">
            <v>0800968869</v>
          </cell>
          <cell r="AT1370" t="str">
            <v>FALCONES BENALCAZAR MERCY JANETH</v>
          </cell>
        </row>
        <row r="1371">
          <cell r="C1371" t="str">
            <v>0800968869</v>
          </cell>
          <cell r="AT1371" t="str">
            <v>FALCONES BENALCAZAR MERCY JANETH</v>
          </cell>
        </row>
        <row r="1372">
          <cell r="C1372" t="str">
            <v>0800968869</v>
          </cell>
          <cell r="AT1372" t="str">
            <v>FALCONES BENALCAZAR MERCY JANETH</v>
          </cell>
        </row>
        <row r="1373">
          <cell r="C1373" t="str">
            <v>0800968869</v>
          </cell>
          <cell r="AT1373" t="str">
            <v>FALCONES BENALCAZAR MERCY JANETH</v>
          </cell>
        </row>
        <row r="1374">
          <cell r="C1374" t="str">
            <v>0800968869</v>
          </cell>
          <cell r="AT1374" t="str">
            <v>FALCONES BENALCAZAR MERCY JANETH</v>
          </cell>
        </row>
        <row r="1375">
          <cell r="C1375" t="str">
            <v>0800968869</v>
          </cell>
          <cell r="AT1375" t="str">
            <v>FALCONES BENALCAZAR MERCY JANETH</v>
          </cell>
        </row>
        <row r="1376">
          <cell r="C1376" t="str">
            <v>0800968869</v>
          </cell>
          <cell r="AT1376" t="str">
            <v>FALCONES BENALCAZAR MERCY JANETH</v>
          </cell>
        </row>
        <row r="1377">
          <cell r="C1377" t="str">
            <v>0800968869</v>
          </cell>
          <cell r="AT1377" t="str">
            <v>FALCONES BENALCAZAR MERCY JANETH</v>
          </cell>
        </row>
        <row r="1378">
          <cell r="C1378" t="str">
            <v>0800968869</v>
          </cell>
          <cell r="AT1378" t="str">
            <v>FALCONES BENALCAZAR MERCY JANETH</v>
          </cell>
        </row>
        <row r="1379">
          <cell r="C1379" t="str">
            <v>0800968869</v>
          </cell>
          <cell r="AT1379" t="str">
            <v>FALCONES BENALCAZAR MERCY JANETH</v>
          </cell>
        </row>
        <row r="1380">
          <cell r="C1380" t="str">
            <v>0800968869</v>
          </cell>
          <cell r="AT1380" t="str">
            <v>FALCONES BENALCAZAR MERCY JANETH</v>
          </cell>
        </row>
        <row r="1381">
          <cell r="C1381" t="str">
            <v>0800968869</v>
          </cell>
          <cell r="AT1381" t="str">
            <v>FALCONES BENALCAZAR MERCY JANETH</v>
          </cell>
        </row>
        <row r="1382">
          <cell r="C1382" t="str">
            <v>0800968869</v>
          </cell>
          <cell r="AT1382" t="str">
            <v>FALCONES BENALCAZAR MERCY JANETH</v>
          </cell>
        </row>
        <row r="1383">
          <cell r="C1383" t="str">
            <v>0800968869</v>
          </cell>
          <cell r="AT1383" t="str">
            <v>FALCONES BENALCAZAR MERCY JANETH</v>
          </cell>
        </row>
        <row r="1384">
          <cell r="C1384" t="str">
            <v>0800968869</v>
          </cell>
          <cell r="AT1384" t="str">
            <v>FALCONES BENALCAZAR MERCY JANETH</v>
          </cell>
        </row>
        <row r="1385">
          <cell r="C1385" t="str">
            <v>0800968869</v>
          </cell>
          <cell r="AT1385" t="str">
            <v>FALCONES BENALCAZAR MERCY JANETH</v>
          </cell>
        </row>
        <row r="1386">
          <cell r="C1386" t="str">
            <v>0800968869</v>
          </cell>
          <cell r="AT1386" t="str">
            <v>FALCONES BENALCAZAR MERCY JANETH</v>
          </cell>
        </row>
        <row r="1387">
          <cell r="C1387" t="str">
            <v>0800968869</v>
          </cell>
          <cell r="AT1387" t="str">
            <v>FALCONES BENALCAZAR MERCY JANETH</v>
          </cell>
        </row>
        <row r="1388">
          <cell r="C1388" t="str">
            <v>0800968869</v>
          </cell>
          <cell r="AT1388" t="str">
            <v>FALCONES BENALCAZAR MERCY JANETH</v>
          </cell>
        </row>
        <row r="1389">
          <cell r="C1389" t="str">
            <v>0800968869</v>
          </cell>
          <cell r="AT1389" t="str">
            <v>FALCONES BENALCAZAR MERCY JANETH</v>
          </cell>
        </row>
        <row r="1390">
          <cell r="C1390" t="str">
            <v>0800968869</v>
          </cell>
          <cell r="AT1390" t="str">
            <v>FALCONES BENALCAZAR MERCY JANETH</v>
          </cell>
        </row>
        <row r="1391">
          <cell r="C1391" t="str">
            <v>0800968869</v>
          </cell>
          <cell r="AT1391" t="str">
            <v>FALCONES BENALCAZAR MERCY JANETH</v>
          </cell>
        </row>
        <row r="1392">
          <cell r="C1392" t="str">
            <v>0800968869</v>
          </cell>
          <cell r="AT1392" t="str">
            <v>FALCONES BENALCAZAR MERCY JANETH</v>
          </cell>
        </row>
        <row r="1393">
          <cell r="C1393" t="str">
            <v>0800968869</v>
          </cell>
          <cell r="AT1393" t="str">
            <v>FALCONES BENALCAZAR MERCY JANETH</v>
          </cell>
        </row>
        <row r="1394">
          <cell r="C1394" t="str">
            <v>0800968869</v>
          </cell>
          <cell r="AT1394" t="str">
            <v>FALCONES BENALCAZAR MERCY JANETH</v>
          </cell>
        </row>
        <row r="1395">
          <cell r="C1395" t="str">
            <v>0800968869</v>
          </cell>
          <cell r="AT1395" t="str">
            <v>FALCONES BENALCAZAR MERCY JANETH</v>
          </cell>
        </row>
        <row r="1396">
          <cell r="C1396" t="str">
            <v>0800968869</v>
          </cell>
          <cell r="AT1396" t="str">
            <v>FALCONES BENALCAZAR MERCY JANETH</v>
          </cell>
        </row>
        <row r="1397">
          <cell r="C1397" t="str">
            <v>0800968869</v>
          </cell>
          <cell r="AT1397" t="str">
            <v>FALCONES BENALCAZAR MERCY JANETH</v>
          </cell>
        </row>
        <row r="1398">
          <cell r="C1398" t="str">
            <v>0800968869</v>
          </cell>
          <cell r="AT1398" t="str">
            <v>FALCONES BENALCAZAR MERCY JANETH</v>
          </cell>
        </row>
        <row r="1399">
          <cell r="C1399" t="str">
            <v>0800968869</v>
          </cell>
          <cell r="AT1399" t="str">
            <v>FALCONES BENALCAZAR MERCY JANETH</v>
          </cell>
        </row>
        <row r="1400">
          <cell r="C1400" t="str">
            <v>0800968869</v>
          </cell>
          <cell r="AT1400" t="str">
            <v>FALCONES BENALCAZAR MERCY JANETH</v>
          </cell>
        </row>
        <row r="1401">
          <cell r="C1401" t="str">
            <v>0400630760</v>
          </cell>
          <cell r="AT1401" t="str">
            <v>FIERRO RAMIREZ EDGAR JACINTO</v>
          </cell>
        </row>
        <row r="1402">
          <cell r="C1402" t="str">
            <v>0400630760</v>
          </cell>
          <cell r="AT1402" t="str">
            <v>FIERRO RAMIREZ EDGAR JACINTO</v>
          </cell>
        </row>
        <row r="1403">
          <cell r="C1403" t="str">
            <v>0400630760</v>
          </cell>
          <cell r="AT1403" t="str">
            <v>FIERRO RAMIREZ EDGAR JACINTO</v>
          </cell>
        </row>
        <row r="1404">
          <cell r="C1404" t="str">
            <v>0400630760</v>
          </cell>
          <cell r="AT1404" t="str">
            <v>FIERRO RAMIREZ EDGAR JACINTO</v>
          </cell>
        </row>
        <row r="1405">
          <cell r="C1405" t="str">
            <v>0400630760</v>
          </cell>
          <cell r="AT1405" t="str">
            <v>FIERRO RAMIREZ EDGAR JACINTO</v>
          </cell>
        </row>
        <row r="1406">
          <cell r="C1406" t="str">
            <v>0400630760</v>
          </cell>
          <cell r="AT1406" t="str">
            <v>FIERRO RAMIREZ EDGAR JACINTO</v>
          </cell>
        </row>
        <row r="1407">
          <cell r="C1407" t="str">
            <v>0400630760</v>
          </cell>
          <cell r="AT1407" t="str">
            <v>FIERRO RAMIREZ EDGAR JACINTO</v>
          </cell>
        </row>
        <row r="1408">
          <cell r="C1408" t="str">
            <v>0400630760</v>
          </cell>
          <cell r="AT1408" t="str">
            <v>FIERRO RAMIREZ EDGAR JACINTO</v>
          </cell>
        </row>
        <row r="1409">
          <cell r="C1409" t="str">
            <v>0400630760</v>
          </cell>
          <cell r="AT1409" t="str">
            <v>FIERRO RAMIREZ EDGAR JACINTO</v>
          </cell>
        </row>
        <row r="1410">
          <cell r="C1410" t="str">
            <v>0400630760</v>
          </cell>
          <cell r="AT1410" t="str">
            <v>FIERRO RAMIREZ EDGAR JACINTO</v>
          </cell>
        </row>
        <row r="1411">
          <cell r="C1411" t="str">
            <v>0400630760</v>
          </cell>
          <cell r="AT1411" t="str">
            <v>FIERRO RAMIREZ EDGAR JACINTO</v>
          </cell>
        </row>
        <row r="1412">
          <cell r="C1412" t="str">
            <v>0400630760</v>
          </cell>
          <cell r="AT1412" t="str">
            <v>FIERRO RAMIREZ EDGAR JACINTO</v>
          </cell>
        </row>
        <row r="1413">
          <cell r="C1413" t="str">
            <v>0400630760</v>
          </cell>
          <cell r="AT1413" t="str">
            <v>FIERRO RAMIREZ EDGAR JACINTO</v>
          </cell>
        </row>
        <row r="1414">
          <cell r="C1414" t="str">
            <v>0400630760</v>
          </cell>
          <cell r="AT1414" t="str">
            <v>FIERRO RAMIREZ EDGAR JACINTO</v>
          </cell>
        </row>
        <row r="1415">
          <cell r="C1415" t="str">
            <v>0400630760</v>
          </cell>
          <cell r="AT1415" t="str">
            <v>FIERRO RAMIREZ EDGAR JACINTO</v>
          </cell>
        </row>
        <row r="1416">
          <cell r="C1416" t="str">
            <v>0400630760</v>
          </cell>
          <cell r="AT1416" t="str">
            <v>FIERRO RAMIREZ EDGAR JACINTO</v>
          </cell>
        </row>
        <row r="1417">
          <cell r="C1417" t="str">
            <v>0400630760</v>
          </cell>
          <cell r="AT1417" t="str">
            <v>FIERRO RAMIREZ EDGAR JACINTO</v>
          </cell>
        </row>
        <row r="1418">
          <cell r="C1418" t="str">
            <v>0801262338</v>
          </cell>
          <cell r="AT1418" t="str">
            <v>GILER SALVATIERRA MIRYAM MARJORIE</v>
          </cell>
        </row>
        <row r="1419">
          <cell r="C1419" t="str">
            <v>0801262338</v>
          </cell>
          <cell r="AT1419" t="str">
            <v>GILER SALVATIERRA MIRYAM MARJORIE</v>
          </cell>
        </row>
        <row r="1420">
          <cell r="C1420" t="str">
            <v>0801262338</v>
          </cell>
          <cell r="AT1420" t="str">
            <v>GILER SALVATIERRA MIRYAM MARJORIE</v>
          </cell>
        </row>
        <row r="1421">
          <cell r="C1421" t="str">
            <v>0801262338</v>
          </cell>
          <cell r="AT1421" t="str">
            <v>GILER SALVATIERRA MIRYAM MARJORIE</v>
          </cell>
        </row>
        <row r="1422">
          <cell r="C1422" t="str">
            <v>0801262338</v>
          </cell>
          <cell r="AT1422" t="str">
            <v>GILER SALVATIERRA MIRYAM MARJORIE</v>
          </cell>
        </row>
        <row r="1423">
          <cell r="C1423" t="str">
            <v>0801262338</v>
          </cell>
          <cell r="AT1423" t="str">
            <v>GILER SALVATIERRA MIRYAM MARJORIE</v>
          </cell>
        </row>
        <row r="1424">
          <cell r="C1424" t="str">
            <v>0801262338</v>
          </cell>
          <cell r="AT1424" t="str">
            <v>GILER SALVATIERRA MIRYAM MARJORIE</v>
          </cell>
        </row>
        <row r="1425">
          <cell r="C1425" t="str">
            <v>0801262338</v>
          </cell>
          <cell r="AT1425" t="str">
            <v>GILER SALVATIERRA MIRYAM MARJORIE</v>
          </cell>
        </row>
        <row r="1426">
          <cell r="C1426" t="str">
            <v>0801262338</v>
          </cell>
          <cell r="AT1426" t="str">
            <v>GILER SALVATIERRA MIRYAM MARJORIE</v>
          </cell>
        </row>
        <row r="1427">
          <cell r="C1427" t="str">
            <v>0801262338</v>
          </cell>
          <cell r="AT1427" t="str">
            <v>GILER SALVATIERRA MIRYAM MARJORIE</v>
          </cell>
        </row>
        <row r="1428">
          <cell r="C1428" t="str">
            <v>0801262338</v>
          </cell>
          <cell r="AT1428" t="str">
            <v>GILER SALVATIERRA MIRYAM MARJORIE</v>
          </cell>
        </row>
        <row r="1429">
          <cell r="C1429" t="str">
            <v>0801262338</v>
          </cell>
          <cell r="AT1429" t="str">
            <v>GILER SALVATIERRA MIRYAM MARJORIE</v>
          </cell>
        </row>
        <row r="1430">
          <cell r="C1430" t="str">
            <v>0801262338</v>
          </cell>
          <cell r="AT1430" t="str">
            <v>GILER SALVATIERRA MIRYAM MARJORIE</v>
          </cell>
        </row>
        <row r="1431">
          <cell r="C1431" t="str">
            <v>0801262338</v>
          </cell>
          <cell r="AT1431" t="str">
            <v>GILER SALVATIERRA MIRYAM MARJORIE</v>
          </cell>
        </row>
        <row r="1432">
          <cell r="C1432" t="str">
            <v>0801262338</v>
          </cell>
          <cell r="AT1432" t="str">
            <v>GILER SALVATIERRA MIRYAM MARJORIE</v>
          </cell>
        </row>
        <row r="1433">
          <cell r="C1433" t="str">
            <v>0801262338</v>
          </cell>
          <cell r="AT1433" t="str">
            <v>GILER SALVATIERRA MIRYAM MARJORIE</v>
          </cell>
        </row>
        <row r="1434">
          <cell r="C1434" t="str">
            <v>0801262338</v>
          </cell>
          <cell r="AT1434" t="str">
            <v>GILER SALVATIERRA MIRYAM MARJORIE</v>
          </cell>
        </row>
        <row r="1435">
          <cell r="C1435" t="str">
            <v>0801262338</v>
          </cell>
          <cell r="AT1435" t="str">
            <v>GILER SALVATIERRA MIRYAM MARJORIE</v>
          </cell>
        </row>
        <row r="1436">
          <cell r="C1436" t="str">
            <v>0801262338</v>
          </cell>
          <cell r="AT1436" t="str">
            <v>GILER SALVATIERRA MIRYAM MARJORIE</v>
          </cell>
        </row>
        <row r="1437">
          <cell r="C1437" t="str">
            <v>0801262338</v>
          </cell>
          <cell r="AT1437" t="str">
            <v>GILER SALVATIERRA MIRYAM MARJORIE</v>
          </cell>
        </row>
        <row r="1438">
          <cell r="C1438" t="str">
            <v>0801262338</v>
          </cell>
          <cell r="AT1438" t="str">
            <v>GILER SALVATIERRA MIRYAM MARJORIE</v>
          </cell>
        </row>
        <row r="1439">
          <cell r="C1439" t="str">
            <v>0801262338</v>
          </cell>
          <cell r="AT1439" t="str">
            <v>GILER SALVATIERRA MIRYAM MARJORIE</v>
          </cell>
        </row>
        <row r="1440">
          <cell r="C1440" t="str">
            <v>0801262338</v>
          </cell>
          <cell r="AT1440" t="str">
            <v>GILER SALVATIERRA MIRYAM MARJORIE</v>
          </cell>
        </row>
        <row r="1441">
          <cell r="C1441" t="str">
            <v>0801262338</v>
          </cell>
          <cell r="AT1441" t="str">
            <v>GILER SALVATIERRA MIRYAM MARJORIE</v>
          </cell>
        </row>
        <row r="1442">
          <cell r="C1442" t="str">
            <v>0801262338</v>
          </cell>
          <cell r="AT1442" t="str">
            <v>GILER SALVATIERRA MIRYAM MARJORIE</v>
          </cell>
        </row>
        <row r="1443">
          <cell r="C1443" t="str">
            <v>0801262338</v>
          </cell>
          <cell r="AT1443" t="str">
            <v>GILER SALVATIERRA MIRYAM MARJORIE</v>
          </cell>
        </row>
        <row r="1444">
          <cell r="C1444" t="str">
            <v>0801262338</v>
          </cell>
          <cell r="AT1444" t="str">
            <v>GILER SALVATIERRA MIRYAM MARJORIE</v>
          </cell>
        </row>
        <row r="1445">
          <cell r="C1445" t="str">
            <v>0801262338</v>
          </cell>
          <cell r="AT1445" t="str">
            <v>GILER SALVATIERRA MIRYAM MARJORIE</v>
          </cell>
        </row>
        <row r="1446">
          <cell r="C1446" t="str">
            <v>0801471285</v>
          </cell>
          <cell r="AT1446" t="str">
            <v>GODOY ROSERO PEDRO CESAR</v>
          </cell>
        </row>
        <row r="1447">
          <cell r="C1447" t="str">
            <v>0801471285</v>
          </cell>
          <cell r="AT1447" t="str">
            <v>GODOY ROSERO PEDRO CESAR</v>
          </cell>
        </row>
        <row r="1448">
          <cell r="C1448" t="str">
            <v>0801471285</v>
          </cell>
          <cell r="AT1448" t="str">
            <v>GODOY ROSERO PEDRO CESAR</v>
          </cell>
        </row>
        <row r="1449">
          <cell r="C1449" t="str">
            <v>0801471285</v>
          </cell>
          <cell r="AT1449" t="str">
            <v>GODOY ROSERO PEDRO CESAR</v>
          </cell>
        </row>
        <row r="1450">
          <cell r="C1450" t="str">
            <v>0801471285</v>
          </cell>
          <cell r="AT1450" t="str">
            <v>GODOY ROSERO PEDRO CESAR</v>
          </cell>
        </row>
        <row r="1451">
          <cell r="C1451" t="str">
            <v>0801471285</v>
          </cell>
          <cell r="AT1451" t="str">
            <v>GODOY ROSERO PEDRO CESAR</v>
          </cell>
        </row>
        <row r="1452">
          <cell r="C1452" t="str">
            <v>0801471285</v>
          </cell>
          <cell r="AT1452" t="str">
            <v>GODOY ROSERO PEDRO CESAR</v>
          </cell>
        </row>
        <row r="1453">
          <cell r="C1453" t="str">
            <v>0801471285</v>
          </cell>
          <cell r="AT1453" t="str">
            <v>GODOY ROSERO PEDRO CESAR</v>
          </cell>
        </row>
        <row r="1454">
          <cell r="C1454" t="str">
            <v>0801471285</v>
          </cell>
          <cell r="AT1454" t="str">
            <v>GODOY ROSERO PEDRO CESAR</v>
          </cell>
        </row>
        <row r="1455">
          <cell r="C1455" t="str">
            <v>0801471285</v>
          </cell>
          <cell r="AT1455" t="str">
            <v>GODOY ROSERO PEDRO CESAR</v>
          </cell>
        </row>
        <row r="1456">
          <cell r="C1456" t="str">
            <v>0801471285</v>
          </cell>
          <cell r="AT1456" t="str">
            <v>GODOY ROSERO PEDRO CESAR</v>
          </cell>
        </row>
        <row r="1457">
          <cell r="C1457" t="str">
            <v>0801471285</v>
          </cell>
          <cell r="AT1457" t="str">
            <v>GODOY ROSERO PEDRO CESAR</v>
          </cell>
        </row>
        <row r="1458">
          <cell r="C1458" t="str">
            <v>0801471285</v>
          </cell>
          <cell r="AT1458" t="str">
            <v>GODOY ROSERO PEDRO CESAR</v>
          </cell>
        </row>
        <row r="1459">
          <cell r="C1459" t="str">
            <v>0801471285</v>
          </cell>
          <cell r="AT1459" t="str">
            <v>GODOY ROSERO PEDRO CESAR</v>
          </cell>
        </row>
        <row r="1460">
          <cell r="C1460" t="str">
            <v>0801471285</v>
          </cell>
          <cell r="AT1460" t="str">
            <v>GODOY ROSERO PEDRO CESAR</v>
          </cell>
        </row>
        <row r="1461">
          <cell r="C1461" t="str">
            <v>0801471285</v>
          </cell>
          <cell r="AT1461" t="str">
            <v>GODOY ROSERO PEDRO CESAR</v>
          </cell>
        </row>
        <row r="1462">
          <cell r="C1462" t="str">
            <v>0801471285</v>
          </cell>
          <cell r="AT1462" t="str">
            <v>GODOY ROSERO PEDRO CESAR</v>
          </cell>
        </row>
        <row r="1463">
          <cell r="C1463" t="str">
            <v>0801471285</v>
          </cell>
          <cell r="AT1463" t="str">
            <v>GODOY ROSERO PEDRO CESAR</v>
          </cell>
        </row>
        <row r="1464">
          <cell r="C1464" t="str">
            <v>0801471285</v>
          </cell>
          <cell r="AT1464" t="str">
            <v>GODOY ROSERO PEDRO CESAR</v>
          </cell>
        </row>
        <row r="1465">
          <cell r="C1465" t="str">
            <v>0801471285</v>
          </cell>
          <cell r="AT1465" t="str">
            <v>GODOY ROSERO PEDRO CESAR</v>
          </cell>
        </row>
        <row r="1466">
          <cell r="C1466" t="str">
            <v>0801471285</v>
          </cell>
          <cell r="AT1466" t="str">
            <v>GODOY ROSERO PEDRO CESAR</v>
          </cell>
        </row>
        <row r="1467">
          <cell r="C1467" t="str">
            <v>0801471285</v>
          </cell>
          <cell r="AT1467" t="str">
            <v>GODOY ROSERO PEDRO CESAR</v>
          </cell>
        </row>
        <row r="1468">
          <cell r="C1468" t="str">
            <v>0801471285</v>
          </cell>
          <cell r="AT1468" t="str">
            <v>GODOY ROSERO PEDRO CESAR</v>
          </cell>
        </row>
        <row r="1469">
          <cell r="C1469" t="str">
            <v>0801471285</v>
          </cell>
          <cell r="AT1469" t="str">
            <v>GODOY ROSERO PEDRO CESAR</v>
          </cell>
        </row>
        <row r="1470">
          <cell r="C1470" t="str">
            <v>0801471285</v>
          </cell>
          <cell r="AT1470" t="str">
            <v>GODOY ROSERO PEDRO CESAR</v>
          </cell>
        </row>
        <row r="1471">
          <cell r="C1471" t="str">
            <v>0801471285</v>
          </cell>
          <cell r="AT1471" t="str">
            <v>GODOY ROSERO PEDRO CESAR</v>
          </cell>
        </row>
        <row r="1472">
          <cell r="C1472" t="str">
            <v>0801471285</v>
          </cell>
          <cell r="AT1472" t="str">
            <v>GODOY ROSERO PEDRO CESAR</v>
          </cell>
        </row>
        <row r="1473">
          <cell r="C1473" t="str">
            <v>0801471285</v>
          </cell>
          <cell r="AT1473" t="str">
            <v>GODOY ROSERO PEDRO CESAR</v>
          </cell>
        </row>
        <row r="1474">
          <cell r="C1474" t="str">
            <v>0801471285</v>
          </cell>
          <cell r="AT1474" t="str">
            <v>GODOY ROSERO PEDRO CESAR</v>
          </cell>
        </row>
        <row r="1475">
          <cell r="C1475" t="str">
            <v>0801471285</v>
          </cell>
          <cell r="AT1475" t="str">
            <v>GODOY ROSERO PEDRO CESAR</v>
          </cell>
        </row>
        <row r="1476">
          <cell r="C1476" t="str">
            <v>0801471285</v>
          </cell>
          <cell r="AT1476" t="str">
            <v>GODOY ROSERO PEDRO CESAR</v>
          </cell>
        </row>
        <row r="1477">
          <cell r="C1477" t="str">
            <v>0801471285</v>
          </cell>
          <cell r="AT1477" t="str">
            <v>GODOY ROSERO PEDRO CESAR</v>
          </cell>
        </row>
        <row r="1478">
          <cell r="C1478" t="str">
            <v>0801471285</v>
          </cell>
          <cell r="AT1478" t="str">
            <v>GODOY ROSERO PEDRO CESAR</v>
          </cell>
        </row>
        <row r="1479">
          <cell r="C1479" t="str">
            <v>0801471285</v>
          </cell>
          <cell r="AT1479" t="str">
            <v>GODOY ROSERO PEDRO CESAR</v>
          </cell>
        </row>
        <row r="1480">
          <cell r="C1480" t="str">
            <v>0801471285</v>
          </cell>
          <cell r="AT1480" t="str">
            <v>GODOY ROSERO PEDRO CESAR</v>
          </cell>
        </row>
        <row r="1481">
          <cell r="C1481" t="str">
            <v>0801471285</v>
          </cell>
          <cell r="AT1481" t="str">
            <v>GODOY ROSERO PEDRO CESAR</v>
          </cell>
        </row>
        <row r="1482">
          <cell r="C1482" t="str">
            <v>0804091577</v>
          </cell>
          <cell r="AT1482" t="str">
            <v>ITURRE SAMANIEGO ANA KAREN</v>
          </cell>
        </row>
        <row r="1483">
          <cell r="C1483" t="str">
            <v>0804091577</v>
          </cell>
          <cell r="AT1483" t="str">
            <v>ITURRE SAMANIEGO ANA KAREN</v>
          </cell>
        </row>
        <row r="1484">
          <cell r="C1484" t="str">
            <v>0910770742</v>
          </cell>
          <cell r="AT1484" t="str">
            <v>GRIJALVA ARRIAGA INGRID VALENTINA</v>
          </cell>
        </row>
        <row r="1485">
          <cell r="C1485" t="str">
            <v>0910770742</v>
          </cell>
          <cell r="AT1485" t="str">
            <v>GRIJALVA ARRIAGA INGRID VALENTINA</v>
          </cell>
        </row>
        <row r="1486">
          <cell r="C1486" t="str">
            <v>0910770742</v>
          </cell>
          <cell r="AT1486" t="str">
            <v>GRIJALVA ARRIAGA INGRID VALENTINA</v>
          </cell>
        </row>
        <row r="1487">
          <cell r="C1487" t="str">
            <v>0910770742</v>
          </cell>
          <cell r="AT1487" t="str">
            <v>GRIJALVA ARRIAGA INGRID VALENTINA</v>
          </cell>
        </row>
        <row r="1488">
          <cell r="C1488" t="str">
            <v>0910770742</v>
          </cell>
          <cell r="AT1488" t="str">
            <v>GRIJALVA ARRIAGA INGRID VALENTINA</v>
          </cell>
        </row>
        <row r="1489">
          <cell r="C1489" t="str">
            <v>0910770742</v>
          </cell>
          <cell r="AT1489" t="str">
            <v>GRIJALVA ARRIAGA INGRID VALENTINA</v>
          </cell>
        </row>
        <row r="1490">
          <cell r="C1490" t="str">
            <v>0910770742</v>
          </cell>
          <cell r="AT1490" t="str">
            <v>GRIJALVA ARRIAGA INGRID VALENTINA</v>
          </cell>
        </row>
        <row r="1491">
          <cell r="C1491" t="str">
            <v>0910770742</v>
          </cell>
          <cell r="AT1491" t="str">
            <v>GRIJALVA ARRIAGA INGRID VALENTINA</v>
          </cell>
        </row>
        <row r="1492">
          <cell r="C1492" t="str">
            <v>0910770742</v>
          </cell>
          <cell r="AT1492" t="str">
            <v>GRIJALVA ARRIAGA INGRID VALENTINA</v>
          </cell>
        </row>
        <row r="1493">
          <cell r="C1493" t="str">
            <v>0910770742</v>
          </cell>
          <cell r="AT1493" t="str">
            <v>GRIJALVA ARRIAGA INGRID VALENTINA</v>
          </cell>
        </row>
        <row r="1494">
          <cell r="C1494" t="str">
            <v>0910770742</v>
          </cell>
          <cell r="AT1494" t="str">
            <v>GRIJALVA ARRIAGA INGRID VALENTINA</v>
          </cell>
        </row>
        <row r="1495">
          <cell r="C1495" t="str">
            <v>0910770742</v>
          </cell>
          <cell r="AT1495" t="str">
            <v>GRIJALVA ARRIAGA INGRID VALENTINA</v>
          </cell>
        </row>
        <row r="1496">
          <cell r="C1496" t="str">
            <v>0910770742</v>
          </cell>
          <cell r="AT1496" t="str">
            <v>GRIJALVA ARRIAGA INGRID VALENTINA</v>
          </cell>
        </row>
        <row r="1497">
          <cell r="C1497" t="str">
            <v>0910770742</v>
          </cell>
          <cell r="AT1497" t="str">
            <v>GRIJALVA ARRIAGA INGRID VALENTINA</v>
          </cell>
        </row>
        <row r="1498">
          <cell r="C1498" t="str">
            <v>0910770742</v>
          </cell>
          <cell r="AT1498" t="str">
            <v>GRIJALVA ARRIAGA INGRID VALENTINA</v>
          </cell>
        </row>
        <row r="1499">
          <cell r="C1499" t="str">
            <v>0910770742</v>
          </cell>
          <cell r="AT1499" t="str">
            <v>GRIJALVA ARRIAGA INGRID VALENTINA</v>
          </cell>
        </row>
        <row r="1500">
          <cell r="C1500" t="str">
            <v>0910770742</v>
          </cell>
          <cell r="AT1500" t="str">
            <v>GRIJALVA ARRIAGA INGRID VALENTINA</v>
          </cell>
        </row>
        <row r="1501">
          <cell r="C1501" t="str">
            <v>0910770742</v>
          </cell>
          <cell r="AT1501" t="str">
            <v>GRIJALVA ARRIAGA INGRID VALENTINA</v>
          </cell>
        </row>
        <row r="1502">
          <cell r="C1502" t="str">
            <v>0910770742</v>
          </cell>
          <cell r="AT1502" t="str">
            <v>GRIJALVA ARRIAGA INGRID VALENTINA</v>
          </cell>
        </row>
        <row r="1503">
          <cell r="C1503" t="str">
            <v>0910770742</v>
          </cell>
          <cell r="AT1503" t="str">
            <v>GRIJALVA ARRIAGA INGRID VALENTINA</v>
          </cell>
        </row>
        <row r="1504">
          <cell r="C1504" t="str">
            <v>0910770742</v>
          </cell>
          <cell r="AT1504" t="str">
            <v>GRIJALVA ARRIAGA INGRID VALENTINA</v>
          </cell>
        </row>
        <row r="1505">
          <cell r="C1505" t="str">
            <v>0910770742</v>
          </cell>
          <cell r="AT1505" t="str">
            <v>GRIJALVA ARRIAGA INGRID VALENTINA</v>
          </cell>
        </row>
        <row r="1506">
          <cell r="C1506" t="str">
            <v>0910770742</v>
          </cell>
          <cell r="AT1506" t="str">
            <v>GRIJALVA ARRIAGA INGRID VALENTINA</v>
          </cell>
        </row>
        <row r="1507">
          <cell r="C1507" t="str">
            <v>0910770742</v>
          </cell>
          <cell r="AT1507" t="str">
            <v>GRIJALVA ARRIAGA INGRID VALENTINA</v>
          </cell>
        </row>
        <row r="1508">
          <cell r="C1508" t="str">
            <v>0910770742</v>
          </cell>
          <cell r="AT1508" t="str">
            <v>GRIJALVA ARRIAGA INGRID VALENTINA</v>
          </cell>
        </row>
        <row r="1509">
          <cell r="C1509" t="str">
            <v>0910770742</v>
          </cell>
          <cell r="AT1509" t="str">
            <v>GRIJALVA ARRIAGA INGRID VALENTINA</v>
          </cell>
        </row>
        <row r="1510">
          <cell r="C1510" t="str">
            <v>0910770742</v>
          </cell>
          <cell r="AT1510" t="str">
            <v>GRIJALVA ARRIAGA INGRID VALENTINA</v>
          </cell>
        </row>
        <row r="1511">
          <cell r="C1511" t="str">
            <v>0910770742</v>
          </cell>
          <cell r="AT1511" t="str">
            <v>GRIJALVA ARRIAGA INGRID VALENTINA</v>
          </cell>
        </row>
        <row r="1512">
          <cell r="C1512" t="str">
            <v>0910770742</v>
          </cell>
          <cell r="AT1512" t="str">
            <v>GRIJALVA ARRIAGA INGRID VALENTINA</v>
          </cell>
        </row>
        <row r="1513">
          <cell r="C1513" t="str">
            <v>0910770742</v>
          </cell>
          <cell r="AT1513" t="str">
            <v>GRIJALVA ARRIAGA INGRID VALENTINA</v>
          </cell>
        </row>
        <row r="1514">
          <cell r="C1514" t="str">
            <v>0910770742</v>
          </cell>
          <cell r="AT1514" t="str">
            <v>GRIJALVA ARRIAGA INGRID VALENTINA</v>
          </cell>
        </row>
        <row r="1515">
          <cell r="C1515" t="str">
            <v>0910770742</v>
          </cell>
          <cell r="AT1515" t="str">
            <v>GRIJALVA ARRIAGA INGRID VALENTINA</v>
          </cell>
        </row>
        <row r="1516">
          <cell r="C1516" t="str">
            <v>0910770742</v>
          </cell>
          <cell r="AT1516" t="str">
            <v>GRIJALVA ARRIAGA INGRID VALENTINA</v>
          </cell>
        </row>
        <row r="1517">
          <cell r="C1517" t="str">
            <v>0910770742</v>
          </cell>
          <cell r="AT1517" t="str">
            <v>GRIJALVA ARRIAGA INGRID VALENTINA</v>
          </cell>
        </row>
        <row r="1518">
          <cell r="C1518" t="str">
            <v>0910770742</v>
          </cell>
          <cell r="AT1518" t="str">
            <v>GRIJALVA ARRIAGA INGRID VALENTINA</v>
          </cell>
        </row>
        <row r="1519">
          <cell r="C1519" t="str">
            <v>0910770742</v>
          </cell>
          <cell r="AT1519" t="str">
            <v>GRIJALVA ARRIAGA INGRID VALENTINA</v>
          </cell>
        </row>
        <row r="1520">
          <cell r="C1520" t="str">
            <v>0910770742</v>
          </cell>
          <cell r="AT1520" t="str">
            <v>GRIJALVA ARRIAGA INGRID VALENTINA</v>
          </cell>
        </row>
        <row r="1521">
          <cell r="C1521" t="str">
            <v>0910770742</v>
          </cell>
          <cell r="AT1521" t="str">
            <v>GRIJALVA ARRIAGA INGRID VALENTINA</v>
          </cell>
        </row>
        <row r="1522">
          <cell r="C1522" t="str">
            <v>0910770742</v>
          </cell>
          <cell r="AT1522" t="str">
            <v>GRIJALVA ARRIAGA INGRID VALENTINA</v>
          </cell>
        </row>
        <row r="1523">
          <cell r="C1523" t="str">
            <v>0910770742</v>
          </cell>
          <cell r="AT1523" t="str">
            <v>GRIJALVA ARRIAGA INGRID VALENTINA</v>
          </cell>
        </row>
        <row r="1524">
          <cell r="C1524" t="str">
            <v>0910770742</v>
          </cell>
          <cell r="AT1524" t="str">
            <v>GRIJALVA ARRIAGA INGRID VALENTINA</v>
          </cell>
        </row>
        <row r="1525">
          <cell r="C1525" t="str">
            <v>0910770742</v>
          </cell>
          <cell r="AT1525" t="str">
            <v>GRIJALVA ARRIAGA INGRID VALENTINA</v>
          </cell>
        </row>
        <row r="1526">
          <cell r="C1526" t="str">
            <v>0910770742</v>
          </cell>
          <cell r="AT1526" t="str">
            <v>GRIJALVA ARRIAGA INGRID VALENTINA</v>
          </cell>
        </row>
        <row r="1527">
          <cell r="C1527" t="str">
            <v>0910770742</v>
          </cell>
          <cell r="AT1527" t="str">
            <v>GRIJALVA ARRIAGA INGRID VALENTINA</v>
          </cell>
        </row>
        <row r="1528">
          <cell r="C1528" t="str">
            <v>0910770742</v>
          </cell>
          <cell r="AT1528" t="str">
            <v>GRIJALVA ARRIAGA INGRID VALENTINA</v>
          </cell>
        </row>
        <row r="1529">
          <cell r="C1529" t="str">
            <v>0910770742</v>
          </cell>
          <cell r="AT1529" t="str">
            <v>GRIJALVA ARRIAGA INGRID VALENTINA</v>
          </cell>
        </row>
        <row r="1530">
          <cell r="C1530" t="str">
            <v>0910770742</v>
          </cell>
          <cell r="AT1530" t="str">
            <v>GRIJALVA ARRIAGA INGRID VALENTINA</v>
          </cell>
        </row>
        <row r="1531">
          <cell r="C1531" t="str">
            <v>0910770742</v>
          </cell>
          <cell r="AT1531" t="str">
            <v>GRIJALVA ARRIAGA INGRID VALENTINA</v>
          </cell>
        </row>
        <row r="1532">
          <cell r="C1532" t="str">
            <v>0910770742</v>
          </cell>
          <cell r="AT1532" t="str">
            <v>GRIJALVA ARRIAGA INGRID VALENTINA</v>
          </cell>
        </row>
        <row r="1533">
          <cell r="C1533" t="str">
            <v>0910770742</v>
          </cell>
          <cell r="AT1533" t="str">
            <v>GRIJALVA ARRIAGA INGRID VALENTINA</v>
          </cell>
        </row>
        <row r="1534">
          <cell r="C1534" t="str">
            <v>0910770742</v>
          </cell>
          <cell r="AT1534" t="str">
            <v>GRIJALVA ARRIAGA INGRID VALENTINA</v>
          </cell>
        </row>
        <row r="1535">
          <cell r="C1535" t="str">
            <v>0910770742</v>
          </cell>
          <cell r="AT1535" t="str">
            <v>GRIJALVA ARRIAGA INGRID VALENTINA</v>
          </cell>
        </row>
        <row r="1536">
          <cell r="C1536" t="str">
            <v>0850411638</v>
          </cell>
          <cell r="AT1536" t="str">
            <v>OLAYA RENGIFO ROSA MELANY</v>
          </cell>
        </row>
        <row r="1537">
          <cell r="C1537" t="str">
            <v>0850411638</v>
          </cell>
          <cell r="AT1537" t="str">
            <v>OLAYA RENGIFO ROSA MELANY</v>
          </cell>
        </row>
        <row r="1538">
          <cell r="C1538" t="str">
            <v>0850411638</v>
          </cell>
          <cell r="AT1538" t="str">
            <v>OLAYA RENGIFO ROSA MELANY</v>
          </cell>
        </row>
        <row r="1539">
          <cell r="C1539" t="str">
            <v>0803223593</v>
          </cell>
          <cell r="AT1539" t="str">
            <v>PICO ALCIVAR LAURA CRISTINA</v>
          </cell>
        </row>
        <row r="1540">
          <cell r="C1540" t="str">
            <v>0803223593</v>
          </cell>
          <cell r="AT1540" t="str">
            <v>PICO ALCIVAR LAURA CRISTINA</v>
          </cell>
        </row>
        <row r="1541">
          <cell r="C1541" t="str">
            <v>0803223593</v>
          </cell>
          <cell r="AT1541" t="str">
            <v>PICO ALCIVAR LAURA CRISTINA</v>
          </cell>
        </row>
        <row r="1542">
          <cell r="C1542" t="str">
            <v>0803223593</v>
          </cell>
          <cell r="AT1542" t="str">
            <v>PICO ALCIVAR LAURA CRISTINA</v>
          </cell>
        </row>
        <row r="1543">
          <cell r="C1543" t="str">
            <v>0803223593</v>
          </cell>
          <cell r="AT1543" t="str">
            <v>PICO ALCIVAR LAURA CRISTINA</v>
          </cell>
        </row>
        <row r="1544">
          <cell r="C1544" t="str">
            <v>0803223593</v>
          </cell>
          <cell r="AT1544" t="str">
            <v>PICO ALCIVAR LAURA CRISTINA</v>
          </cell>
        </row>
        <row r="1545">
          <cell r="C1545" t="str">
            <v>0803223593</v>
          </cell>
          <cell r="AT1545" t="str">
            <v>PICO ALCIVAR LAURA CRISTINA</v>
          </cell>
        </row>
        <row r="1546">
          <cell r="C1546" t="str">
            <v>0803223593</v>
          </cell>
          <cell r="AT1546" t="str">
            <v>PICO ALCIVAR LAURA CRISTINA</v>
          </cell>
        </row>
        <row r="1547">
          <cell r="C1547" t="str">
            <v>0803223593</v>
          </cell>
          <cell r="AT1547" t="str">
            <v>PICO ALCIVAR LAURA CRISTINA</v>
          </cell>
        </row>
        <row r="1548">
          <cell r="C1548" t="str">
            <v>0803223593</v>
          </cell>
          <cell r="AT1548" t="str">
            <v>PICO ALCIVAR LAURA CRISTINA</v>
          </cell>
        </row>
        <row r="1549">
          <cell r="C1549" t="str">
            <v>0803223593</v>
          </cell>
          <cell r="AT1549" t="str">
            <v>PICO ALCIVAR LAURA CRISTINA</v>
          </cell>
        </row>
        <row r="1550">
          <cell r="C1550" t="str">
            <v>0803223593</v>
          </cell>
          <cell r="AT1550" t="str">
            <v>PICO ALCIVAR LAURA CRISTINA</v>
          </cell>
        </row>
        <row r="1551">
          <cell r="C1551" t="str">
            <v>0803223593</v>
          </cell>
          <cell r="AT1551" t="str">
            <v>PICO ALCIVAR LAURA CRISTINA</v>
          </cell>
        </row>
        <row r="1552">
          <cell r="C1552" t="str">
            <v>0803223593</v>
          </cell>
          <cell r="AT1552" t="str">
            <v>PICO ALCIVAR LAURA CRISTINA</v>
          </cell>
        </row>
        <row r="1553">
          <cell r="C1553" t="str">
            <v>0803223593</v>
          </cell>
          <cell r="AT1553" t="str">
            <v>PICO ALCIVAR LAURA CRISTINA</v>
          </cell>
        </row>
        <row r="1554">
          <cell r="C1554" t="str">
            <v>0802240135</v>
          </cell>
          <cell r="AT1554" t="str">
            <v>JACOME VELEZ TITO GIMMY</v>
          </cell>
        </row>
        <row r="1555">
          <cell r="C1555" t="str">
            <v>0802240135</v>
          </cell>
          <cell r="AT1555" t="str">
            <v>JACOME VELEZ TITO GIMMY</v>
          </cell>
        </row>
        <row r="1556">
          <cell r="C1556" t="str">
            <v>0802240135</v>
          </cell>
          <cell r="AT1556" t="str">
            <v>JACOME VELEZ TITO GIMMY</v>
          </cell>
        </row>
        <row r="1557">
          <cell r="C1557" t="str">
            <v>0802240135</v>
          </cell>
          <cell r="AT1557" t="str">
            <v>JACOME VELEZ TITO GIMMY</v>
          </cell>
        </row>
        <row r="1558">
          <cell r="C1558" t="str">
            <v>0802240135</v>
          </cell>
          <cell r="AT1558" t="str">
            <v>JACOME VELEZ TITO GIMMY</v>
          </cell>
        </row>
        <row r="1559">
          <cell r="C1559" t="str">
            <v>0802240135</v>
          </cell>
          <cell r="AT1559" t="str">
            <v>JACOME VELEZ TITO GIMMY</v>
          </cell>
        </row>
        <row r="1560">
          <cell r="C1560" t="str">
            <v>0802240135</v>
          </cell>
          <cell r="AT1560" t="str">
            <v>JACOME VELEZ TITO GIMMY</v>
          </cell>
        </row>
        <row r="1561">
          <cell r="C1561" t="str">
            <v>0802240135</v>
          </cell>
          <cell r="AT1561" t="str">
            <v>JACOME VELEZ TITO GIMMY</v>
          </cell>
        </row>
        <row r="1562">
          <cell r="C1562" t="str">
            <v>0802240135</v>
          </cell>
          <cell r="AT1562" t="str">
            <v>JACOME VELEZ TITO GIMMY</v>
          </cell>
        </row>
        <row r="1563">
          <cell r="C1563" t="str">
            <v>0802240135</v>
          </cell>
          <cell r="AT1563" t="str">
            <v>JACOME VELEZ TITO GIMMY</v>
          </cell>
        </row>
        <row r="1564">
          <cell r="C1564" t="str">
            <v>0802240135</v>
          </cell>
          <cell r="AT1564" t="str">
            <v>JACOME VELEZ TITO GIMMY</v>
          </cell>
        </row>
        <row r="1565">
          <cell r="C1565" t="str">
            <v>0802240135</v>
          </cell>
          <cell r="AT1565" t="str">
            <v>JACOME VELEZ TITO GIMMY</v>
          </cell>
        </row>
        <row r="1566">
          <cell r="C1566" t="str">
            <v>0802240135</v>
          </cell>
          <cell r="AT1566" t="str">
            <v>JACOME VELEZ TITO GIMMY</v>
          </cell>
        </row>
        <row r="1567">
          <cell r="C1567" t="str">
            <v>0802240135</v>
          </cell>
          <cell r="AT1567" t="str">
            <v>JACOME VELEZ TITO GIMMY</v>
          </cell>
        </row>
        <row r="1568">
          <cell r="C1568" t="str">
            <v>0802240135</v>
          </cell>
          <cell r="AT1568" t="str">
            <v>JACOME VELEZ TITO GIMMY</v>
          </cell>
        </row>
        <row r="1569">
          <cell r="C1569" t="str">
            <v>0802240135</v>
          </cell>
          <cell r="AT1569" t="str">
            <v>JACOME VELEZ TITO GIMMY</v>
          </cell>
        </row>
        <row r="1570">
          <cell r="C1570" t="str">
            <v>0802240135</v>
          </cell>
          <cell r="AT1570" t="str">
            <v>JACOME VELEZ TITO GIMMY</v>
          </cell>
        </row>
        <row r="1571">
          <cell r="C1571" t="str">
            <v>0802240135</v>
          </cell>
          <cell r="AT1571" t="str">
            <v>JACOME VELEZ TITO GIMMY</v>
          </cell>
        </row>
        <row r="1572">
          <cell r="C1572" t="str">
            <v>0802240135</v>
          </cell>
          <cell r="AT1572" t="str">
            <v>JACOME VELEZ TITO GIMMY</v>
          </cell>
        </row>
        <row r="1573">
          <cell r="C1573" t="str">
            <v>1710367374</v>
          </cell>
          <cell r="AT1573" t="str">
            <v>JIMENEZ PRADO PEDRO JORGE</v>
          </cell>
        </row>
        <row r="1574">
          <cell r="C1574" t="str">
            <v>1710367374</v>
          </cell>
          <cell r="AT1574" t="str">
            <v>JIMENEZ PRADO PEDRO JORGE</v>
          </cell>
        </row>
        <row r="1575">
          <cell r="C1575" t="str">
            <v>1710367374</v>
          </cell>
          <cell r="AT1575" t="str">
            <v>JIMENEZ PRADO PEDRO JORGE</v>
          </cell>
        </row>
        <row r="1576">
          <cell r="C1576" t="str">
            <v>1710367374</v>
          </cell>
          <cell r="AT1576" t="str">
            <v>JIMENEZ PRADO PEDRO JORGE</v>
          </cell>
        </row>
        <row r="1577">
          <cell r="C1577" t="str">
            <v>1710367374</v>
          </cell>
          <cell r="AT1577" t="str">
            <v>JIMENEZ PRADO PEDRO JORGE</v>
          </cell>
        </row>
        <row r="1578">
          <cell r="C1578" t="str">
            <v>1710367374</v>
          </cell>
          <cell r="AT1578" t="str">
            <v>JIMENEZ PRADO PEDRO JORGE</v>
          </cell>
        </row>
        <row r="1579">
          <cell r="C1579" t="str">
            <v>1710367374</v>
          </cell>
          <cell r="AT1579" t="str">
            <v>JIMENEZ PRADO PEDRO JORGE</v>
          </cell>
        </row>
        <row r="1580">
          <cell r="C1580" t="str">
            <v>1710367374</v>
          </cell>
          <cell r="AT1580" t="str">
            <v>JIMENEZ PRADO PEDRO JORGE</v>
          </cell>
        </row>
        <row r="1581">
          <cell r="C1581" t="str">
            <v>1710367374</v>
          </cell>
          <cell r="AT1581" t="str">
            <v>JIMENEZ PRADO PEDRO JORGE</v>
          </cell>
        </row>
        <row r="1582">
          <cell r="C1582" t="str">
            <v>0801750720</v>
          </cell>
          <cell r="AT1582" t="str">
            <v>LARA CALDERON ELSA MARIA</v>
          </cell>
        </row>
        <row r="1583">
          <cell r="C1583" t="str">
            <v>0801750720</v>
          </cell>
          <cell r="AT1583" t="str">
            <v>LARA CALDERON ELSA MARIA</v>
          </cell>
        </row>
        <row r="1584">
          <cell r="C1584" t="str">
            <v>0801750720</v>
          </cell>
          <cell r="AT1584" t="str">
            <v>LARA CALDERON ELSA MARIA</v>
          </cell>
        </row>
        <row r="1585">
          <cell r="C1585" t="str">
            <v>0801750720</v>
          </cell>
          <cell r="AT1585" t="str">
            <v>LARA CALDERON ELSA MARIA</v>
          </cell>
        </row>
        <row r="1586">
          <cell r="C1586" t="str">
            <v>0801750720</v>
          </cell>
          <cell r="AT1586" t="str">
            <v>LARA CALDERON ELSA MARIA</v>
          </cell>
        </row>
        <row r="1587">
          <cell r="C1587" t="str">
            <v>0801750720</v>
          </cell>
          <cell r="AT1587" t="str">
            <v>LARA CALDERON ELSA MARIA</v>
          </cell>
        </row>
        <row r="1588">
          <cell r="C1588" t="str">
            <v>0801750720</v>
          </cell>
          <cell r="AT1588" t="str">
            <v>LARA CALDERON ELSA MARIA</v>
          </cell>
        </row>
        <row r="1589">
          <cell r="C1589" t="str">
            <v>0960285609</v>
          </cell>
          <cell r="AT1589" t="str">
            <v xml:space="preserve">JIMENEZ BARRERA MARICELYS </v>
          </cell>
        </row>
        <row r="1590">
          <cell r="C1590" t="str">
            <v>0800626434</v>
          </cell>
          <cell r="AT1590" t="str">
            <v>LIMONES GONZALEZ KATIA DEL CARMEN</v>
          </cell>
        </row>
        <row r="1591">
          <cell r="C1591" t="str">
            <v>0800626434</v>
          </cell>
          <cell r="AT1591" t="str">
            <v>LIMONES GONZALEZ KATIA DEL CARMEN</v>
          </cell>
        </row>
        <row r="1592">
          <cell r="C1592" t="str">
            <v>0800626434</v>
          </cell>
          <cell r="AT1592" t="str">
            <v>LIMONES GONZALEZ KATIA DEL CARMEN</v>
          </cell>
        </row>
        <row r="1593">
          <cell r="C1593" t="str">
            <v>0800626434</v>
          </cell>
          <cell r="AT1593" t="str">
            <v>LIMONES GONZALEZ KATIA DEL CARMEN</v>
          </cell>
        </row>
        <row r="1594">
          <cell r="C1594" t="str">
            <v>0800626434</v>
          </cell>
          <cell r="AT1594" t="str">
            <v>LIMONES GONZALEZ KATIA DEL CARMEN</v>
          </cell>
        </row>
        <row r="1595">
          <cell r="C1595" t="str">
            <v>0800626434</v>
          </cell>
          <cell r="AT1595" t="str">
            <v>LIMONES GONZALEZ KATIA DEL CARMEN</v>
          </cell>
        </row>
        <row r="1596">
          <cell r="C1596" t="str">
            <v>0800626434</v>
          </cell>
          <cell r="AT1596" t="str">
            <v>LIMONES GONZALEZ KATIA DEL CARMEN</v>
          </cell>
        </row>
        <row r="1597">
          <cell r="C1597" t="str">
            <v>0800626434</v>
          </cell>
          <cell r="AT1597" t="str">
            <v>LIMONES GONZALEZ KATIA DEL CARMEN</v>
          </cell>
        </row>
        <row r="1598">
          <cell r="C1598" t="str">
            <v>0800626434</v>
          </cell>
          <cell r="AT1598" t="str">
            <v>LIMONES GONZALEZ KATIA DEL CARMEN</v>
          </cell>
        </row>
        <row r="1599">
          <cell r="C1599" t="str">
            <v>0800626434</v>
          </cell>
          <cell r="AT1599" t="str">
            <v>LIMONES GONZALEZ KATIA DEL CARMEN</v>
          </cell>
        </row>
        <row r="1600">
          <cell r="C1600" t="str">
            <v>0800626434</v>
          </cell>
          <cell r="AT1600" t="str">
            <v>LIMONES GONZALEZ KATIA DEL CARMEN</v>
          </cell>
        </row>
        <row r="1601">
          <cell r="C1601" t="str">
            <v>0800626434</v>
          </cell>
          <cell r="AT1601" t="str">
            <v>LIMONES GONZALEZ KATIA DEL CARMEN</v>
          </cell>
        </row>
        <row r="1602">
          <cell r="C1602" t="str">
            <v>0800626434</v>
          </cell>
          <cell r="AT1602" t="str">
            <v>LIMONES GONZALEZ KATIA DEL CARMEN</v>
          </cell>
        </row>
        <row r="1603">
          <cell r="C1603" t="str">
            <v>0800626434</v>
          </cell>
          <cell r="AT1603" t="str">
            <v>LIMONES GONZALEZ KATIA DEL CARMEN</v>
          </cell>
        </row>
        <row r="1604">
          <cell r="C1604" t="str">
            <v>0800626434</v>
          </cell>
          <cell r="AT1604" t="str">
            <v>LIMONES GONZALEZ KATIA DEL CARMEN</v>
          </cell>
        </row>
        <row r="1605">
          <cell r="C1605" t="str">
            <v>0800626434</v>
          </cell>
          <cell r="AT1605" t="str">
            <v>LIMONES GONZALEZ KATIA DEL CARMEN</v>
          </cell>
        </row>
        <row r="1606">
          <cell r="C1606" t="str">
            <v>0800626434</v>
          </cell>
          <cell r="AT1606" t="str">
            <v>LIMONES GONZALEZ KATIA DEL CARMEN</v>
          </cell>
        </row>
        <row r="1607">
          <cell r="C1607" t="str">
            <v>0800626434</v>
          </cell>
          <cell r="AT1607" t="str">
            <v>LIMONES GONZALEZ KATIA DEL CARMEN</v>
          </cell>
        </row>
        <row r="1608">
          <cell r="C1608" t="str">
            <v>0800626434</v>
          </cell>
          <cell r="AT1608" t="str">
            <v>LIMONES GONZALEZ KATIA DEL CARMEN</v>
          </cell>
        </row>
        <row r="1609">
          <cell r="C1609" t="str">
            <v>0800626434</v>
          </cell>
          <cell r="AT1609" t="str">
            <v>LIMONES GONZALEZ KATIA DEL CARMEN</v>
          </cell>
        </row>
        <row r="1610">
          <cell r="C1610" t="str">
            <v>0800626434</v>
          </cell>
          <cell r="AT1610" t="str">
            <v>LIMONES GONZALEZ KATIA DEL CARMEN</v>
          </cell>
        </row>
        <row r="1611">
          <cell r="C1611" t="str">
            <v>0800626434</v>
          </cell>
          <cell r="AT1611" t="str">
            <v>LIMONES GONZALEZ KATIA DEL CARMEN</v>
          </cell>
        </row>
        <row r="1612">
          <cell r="C1612" t="str">
            <v>0800626434</v>
          </cell>
          <cell r="AT1612" t="str">
            <v>LIMONES GONZALEZ KATIA DEL CARMEN</v>
          </cell>
        </row>
        <row r="1613">
          <cell r="C1613" t="str">
            <v>0800626434</v>
          </cell>
          <cell r="AT1613" t="str">
            <v>LIMONES GONZALEZ KATIA DEL CARMEN</v>
          </cell>
        </row>
        <row r="1614">
          <cell r="C1614" t="str">
            <v>0800626434</v>
          </cell>
          <cell r="AT1614" t="str">
            <v>LIMONES GONZALEZ KATIA DEL CARMEN</v>
          </cell>
        </row>
        <row r="1615">
          <cell r="C1615" t="str">
            <v>0800626434</v>
          </cell>
          <cell r="AT1615" t="str">
            <v>LIMONES GONZALEZ KATIA DEL CARMEN</v>
          </cell>
        </row>
        <row r="1616">
          <cell r="C1616" t="str">
            <v>0800626434</v>
          </cell>
          <cell r="AT1616" t="str">
            <v>LIMONES GONZALEZ KATIA DEL CARMEN</v>
          </cell>
        </row>
        <row r="1617">
          <cell r="C1617" t="str">
            <v>0800626434</v>
          </cell>
          <cell r="AT1617" t="str">
            <v>LIMONES GONZALEZ KATIA DEL CARMEN</v>
          </cell>
        </row>
        <row r="1618">
          <cell r="C1618" t="str">
            <v>0800626434</v>
          </cell>
          <cell r="AT1618" t="str">
            <v>LIMONES GONZALEZ KATIA DEL CARMEN</v>
          </cell>
        </row>
        <row r="1619">
          <cell r="C1619" t="str">
            <v>0800626434</v>
          </cell>
          <cell r="AT1619" t="str">
            <v>LIMONES GONZALEZ KATIA DEL CARMEN</v>
          </cell>
        </row>
        <row r="1620">
          <cell r="C1620" t="str">
            <v>0800626434</v>
          </cell>
          <cell r="AT1620" t="str">
            <v>LIMONES GONZALEZ KATIA DEL CARMEN</v>
          </cell>
        </row>
        <row r="1621">
          <cell r="C1621" t="str">
            <v>0800626434</v>
          </cell>
          <cell r="AT1621" t="str">
            <v>LIMONES GONZALEZ KATIA DEL CARMEN</v>
          </cell>
        </row>
        <row r="1622">
          <cell r="C1622" t="str">
            <v>0800626434</v>
          </cell>
          <cell r="AT1622" t="str">
            <v>LIMONES GONZALEZ KATIA DEL CARMEN</v>
          </cell>
        </row>
        <row r="1623">
          <cell r="C1623" t="str">
            <v>0800626434</v>
          </cell>
          <cell r="AT1623" t="str">
            <v>LIMONES GONZALEZ KATIA DEL CARMEN</v>
          </cell>
        </row>
        <row r="1624">
          <cell r="C1624" t="str">
            <v>0800626434</v>
          </cell>
          <cell r="AT1624" t="str">
            <v>LIMONES GONZALEZ KATIA DEL CARMEN</v>
          </cell>
        </row>
        <row r="1625">
          <cell r="C1625" t="str">
            <v>0800626434</v>
          </cell>
          <cell r="AT1625" t="str">
            <v>LIMONES GONZALEZ KATIA DEL CARMEN</v>
          </cell>
        </row>
        <row r="1626">
          <cell r="C1626" t="str">
            <v>0800626434</v>
          </cell>
          <cell r="AT1626" t="str">
            <v>LIMONES GONZALEZ KATIA DEL CARMEN</v>
          </cell>
        </row>
        <row r="1627">
          <cell r="C1627" t="str">
            <v>0800626434</v>
          </cell>
          <cell r="AT1627" t="str">
            <v>LIMONES GONZALEZ KATIA DEL CARMEN</v>
          </cell>
        </row>
        <row r="1628">
          <cell r="C1628" t="str">
            <v>0800626434</v>
          </cell>
          <cell r="AT1628" t="str">
            <v>LIMONES GONZALEZ KATIA DEL CARMEN</v>
          </cell>
        </row>
        <row r="1629">
          <cell r="C1629" t="str">
            <v>0800626434</v>
          </cell>
          <cell r="AT1629" t="str">
            <v>LIMONES GONZALEZ KATIA DEL CARMEN</v>
          </cell>
        </row>
        <row r="1630">
          <cell r="C1630" t="str">
            <v>0800626434</v>
          </cell>
          <cell r="AT1630" t="str">
            <v>LIMONES GONZALEZ KATIA DEL CARMEN</v>
          </cell>
        </row>
        <row r="1631">
          <cell r="C1631" t="str">
            <v>0800626434</v>
          </cell>
          <cell r="AT1631" t="str">
            <v>LIMONES GONZALEZ KATIA DEL CARMEN</v>
          </cell>
        </row>
        <row r="1632">
          <cell r="C1632" t="str">
            <v>0800626434</v>
          </cell>
          <cell r="AT1632" t="str">
            <v>LIMONES GONZALEZ KATIA DEL CARMEN</v>
          </cell>
        </row>
        <row r="1633">
          <cell r="C1633" t="str">
            <v>0800626434</v>
          </cell>
          <cell r="AT1633" t="str">
            <v>LIMONES GONZALEZ KATIA DEL CARMEN</v>
          </cell>
        </row>
        <row r="1634">
          <cell r="C1634" t="str">
            <v>0800626434</v>
          </cell>
          <cell r="AT1634" t="str">
            <v>LIMONES GONZALEZ KATIA DEL CARMEN</v>
          </cell>
        </row>
        <row r="1635">
          <cell r="C1635" t="str">
            <v>0800626434</v>
          </cell>
          <cell r="AT1635" t="str">
            <v>LIMONES GONZALEZ KATIA DEL CARMEN</v>
          </cell>
        </row>
        <row r="1636">
          <cell r="C1636" t="str">
            <v>0800626434</v>
          </cell>
          <cell r="AT1636" t="str">
            <v>LIMONES GONZALEZ KATIA DEL CARMEN</v>
          </cell>
        </row>
        <row r="1637">
          <cell r="C1637" t="str">
            <v>0800626434</v>
          </cell>
          <cell r="AT1637" t="str">
            <v>LIMONES GONZALEZ KATIA DEL CARMEN</v>
          </cell>
        </row>
        <row r="1638">
          <cell r="C1638" t="str">
            <v>0800626434</v>
          </cell>
          <cell r="AT1638" t="str">
            <v>LIMONES GONZALEZ KATIA DEL CARMEN</v>
          </cell>
        </row>
        <row r="1639">
          <cell r="C1639" t="str">
            <v>0800626434</v>
          </cell>
          <cell r="AT1639" t="str">
            <v>LIMONES GONZALEZ KATIA DEL CARMEN</v>
          </cell>
        </row>
        <row r="1640">
          <cell r="C1640" t="str">
            <v>0800626434</v>
          </cell>
          <cell r="AT1640" t="str">
            <v>LIMONES GONZALEZ KATIA DEL CARMEN</v>
          </cell>
        </row>
        <row r="1641">
          <cell r="C1641" t="str">
            <v>0800626434</v>
          </cell>
          <cell r="AT1641" t="str">
            <v>LIMONES GONZALEZ KATIA DEL CARMEN</v>
          </cell>
        </row>
        <row r="1642">
          <cell r="C1642" t="str">
            <v>0800626434</v>
          </cell>
          <cell r="AT1642" t="str">
            <v>LIMONES GONZALEZ KATIA DEL CARMEN</v>
          </cell>
        </row>
        <row r="1643">
          <cell r="C1643" t="str">
            <v>0800626434</v>
          </cell>
          <cell r="AT1643" t="str">
            <v>LIMONES GONZALEZ KATIA DEL CARMEN</v>
          </cell>
        </row>
        <row r="1644">
          <cell r="C1644" t="str">
            <v>0802492744</v>
          </cell>
          <cell r="AT1644" t="str">
            <v>BAUTISTA VALENCIA BRENDA BERENICE</v>
          </cell>
        </row>
        <row r="1645">
          <cell r="C1645" t="str">
            <v>0802492744</v>
          </cell>
          <cell r="AT1645" t="str">
            <v>BAUTISTA VALENCIA BRENDA BERENICE</v>
          </cell>
        </row>
        <row r="1646">
          <cell r="C1646" t="str">
            <v>0802492744</v>
          </cell>
          <cell r="AT1646" t="str">
            <v>BAUTISTA VALENCIA BRENDA BERENICE</v>
          </cell>
        </row>
        <row r="1647">
          <cell r="C1647" t="str">
            <v>0802492744</v>
          </cell>
          <cell r="AT1647" t="str">
            <v>BAUTISTA VALENCIA BRENDA BERENICE</v>
          </cell>
        </row>
        <row r="1648">
          <cell r="C1648" t="str">
            <v>0802492744</v>
          </cell>
          <cell r="AT1648" t="str">
            <v>BAUTISTA VALENCIA BRENDA BERENICE</v>
          </cell>
        </row>
        <row r="1649">
          <cell r="C1649" t="str">
            <v>0802492744</v>
          </cell>
          <cell r="AT1649" t="str">
            <v>BAUTISTA VALENCIA BRENDA BERENICE</v>
          </cell>
        </row>
        <row r="1650">
          <cell r="C1650" t="str">
            <v>0802492744</v>
          </cell>
          <cell r="AT1650" t="str">
            <v>BAUTISTA VALENCIA BRENDA BERENICE</v>
          </cell>
        </row>
        <row r="1651">
          <cell r="C1651" t="str">
            <v>0802247734</v>
          </cell>
          <cell r="AT1651" t="str">
            <v>MARMOLEJO CUEVA MELBA CRISTINA</v>
          </cell>
        </row>
        <row r="1652">
          <cell r="C1652" t="str">
            <v>0802247734</v>
          </cell>
          <cell r="AT1652" t="str">
            <v>MARMOLEJO CUEVA MELBA CRISTINA</v>
          </cell>
        </row>
        <row r="1653">
          <cell r="C1653" t="str">
            <v>0802247734</v>
          </cell>
          <cell r="AT1653" t="str">
            <v>MARMOLEJO CUEVA MELBA CRISTINA</v>
          </cell>
        </row>
        <row r="1654">
          <cell r="C1654" t="str">
            <v>0802247734</v>
          </cell>
          <cell r="AT1654" t="str">
            <v>MARMOLEJO CUEVA MELBA CRISTINA</v>
          </cell>
        </row>
        <row r="1655">
          <cell r="C1655" t="str">
            <v>0802247734</v>
          </cell>
          <cell r="AT1655" t="str">
            <v>MARMOLEJO CUEVA MELBA CRISTINA</v>
          </cell>
        </row>
        <row r="1656">
          <cell r="C1656" t="str">
            <v>0802247734</v>
          </cell>
          <cell r="AT1656" t="str">
            <v>MARMOLEJO CUEVA MELBA CRISTINA</v>
          </cell>
        </row>
        <row r="1657">
          <cell r="C1657" t="str">
            <v>0802247734</v>
          </cell>
          <cell r="AT1657" t="str">
            <v>MARMOLEJO CUEVA MELBA CRISTINA</v>
          </cell>
        </row>
        <row r="1658">
          <cell r="C1658" t="str">
            <v>0802247734</v>
          </cell>
          <cell r="AT1658" t="str">
            <v>MARMOLEJO CUEVA MELBA CRISTINA</v>
          </cell>
        </row>
        <row r="1659">
          <cell r="C1659" t="str">
            <v>0802247734</v>
          </cell>
          <cell r="AT1659" t="str">
            <v>MARMOLEJO CUEVA MELBA CRISTINA</v>
          </cell>
        </row>
        <row r="1660">
          <cell r="C1660" t="str">
            <v>0802247734</v>
          </cell>
          <cell r="AT1660" t="str">
            <v>MARMOLEJO CUEVA MELBA CRISTINA</v>
          </cell>
        </row>
        <row r="1661">
          <cell r="C1661" t="str">
            <v>0802247734</v>
          </cell>
          <cell r="AT1661" t="str">
            <v>MARMOLEJO CUEVA MELBA CRISTINA</v>
          </cell>
        </row>
        <row r="1662">
          <cell r="C1662" t="str">
            <v>0802247734</v>
          </cell>
          <cell r="AT1662" t="str">
            <v>MARMOLEJO CUEVA MELBA CRISTINA</v>
          </cell>
        </row>
        <row r="1663">
          <cell r="C1663" t="str">
            <v>0802247734</v>
          </cell>
          <cell r="AT1663" t="str">
            <v>MARMOLEJO CUEVA MELBA CRISTINA</v>
          </cell>
        </row>
        <row r="1664">
          <cell r="C1664" t="str">
            <v>0802247734</v>
          </cell>
          <cell r="AT1664" t="str">
            <v>MARMOLEJO CUEVA MELBA CRISTINA</v>
          </cell>
        </row>
        <row r="1665">
          <cell r="C1665" t="str">
            <v>0802247734</v>
          </cell>
          <cell r="AT1665" t="str">
            <v>MARMOLEJO CUEVA MELBA CRISTINA</v>
          </cell>
        </row>
        <row r="1666">
          <cell r="C1666" t="str">
            <v>0802247734</v>
          </cell>
          <cell r="AT1666" t="str">
            <v>MARMOLEJO CUEVA MELBA CRISTINA</v>
          </cell>
        </row>
        <row r="1667">
          <cell r="C1667" t="str">
            <v>0802247734</v>
          </cell>
          <cell r="AT1667" t="str">
            <v>MARMOLEJO CUEVA MELBA CRISTINA</v>
          </cell>
        </row>
        <row r="1668">
          <cell r="C1668" t="str">
            <v>0802247734</v>
          </cell>
          <cell r="AT1668" t="str">
            <v>MARMOLEJO CUEVA MELBA CRISTINA</v>
          </cell>
        </row>
        <row r="1669">
          <cell r="C1669" t="str">
            <v>0802247734</v>
          </cell>
          <cell r="AT1669" t="str">
            <v>MARMOLEJO CUEVA MELBA CRISTINA</v>
          </cell>
        </row>
        <row r="1670">
          <cell r="C1670" t="str">
            <v>0802247734</v>
          </cell>
          <cell r="AT1670" t="str">
            <v>MARMOLEJO CUEVA MELBA CRISTINA</v>
          </cell>
        </row>
        <row r="1671">
          <cell r="C1671" t="str">
            <v>0802247734</v>
          </cell>
          <cell r="AT1671" t="str">
            <v>MARMOLEJO CUEVA MELBA CRISTINA</v>
          </cell>
        </row>
        <row r="1672">
          <cell r="C1672" t="str">
            <v>0802247734</v>
          </cell>
          <cell r="AT1672" t="str">
            <v>MARMOLEJO CUEVA MELBA CRISTINA</v>
          </cell>
        </row>
        <row r="1673">
          <cell r="C1673" t="str">
            <v>0802247734</v>
          </cell>
          <cell r="AT1673" t="str">
            <v>MARMOLEJO CUEVA MELBA CRISTINA</v>
          </cell>
        </row>
        <row r="1674">
          <cell r="C1674" t="str">
            <v>0802247734</v>
          </cell>
          <cell r="AT1674" t="str">
            <v>MARMOLEJO CUEVA MELBA CRISTINA</v>
          </cell>
        </row>
        <row r="1675">
          <cell r="C1675" t="str">
            <v>0802247734</v>
          </cell>
          <cell r="AT1675" t="str">
            <v>MARMOLEJO CUEVA MELBA CRISTINA</v>
          </cell>
        </row>
        <row r="1676">
          <cell r="C1676" t="str">
            <v>0802247734</v>
          </cell>
          <cell r="AT1676" t="str">
            <v>MARMOLEJO CUEVA MELBA CRISTINA</v>
          </cell>
        </row>
        <row r="1677">
          <cell r="C1677" t="str">
            <v>0802247734</v>
          </cell>
          <cell r="AT1677" t="str">
            <v>MARMOLEJO CUEVA MELBA CRISTINA</v>
          </cell>
        </row>
        <row r="1678">
          <cell r="C1678" t="str">
            <v>0802247734</v>
          </cell>
          <cell r="AT1678" t="str">
            <v>MARMOLEJO CUEVA MELBA CRISTINA</v>
          </cell>
        </row>
        <row r="1679">
          <cell r="C1679" t="str">
            <v>0802247734</v>
          </cell>
          <cell r="AT1679" t="str">
            <v>MARMOLEJO CUEVA MELBA CRISTINA</v>
          </cell>
        </row>
        <row r="1680">
          <cell r="C1680" t="str">
            <v>0802247734</v>
          </cell>
          <cell r="AT1680" t="str">
            <v>MARMOLEJO CUEVA MELBA CRISTINA</v>
          </cell>
        </row>
        <row r="1681">
          <cell r="C1681" t="str">
            <v>0802247734</v>
          </cell>
          <cell r="AT1681" t="str">
            <v>MARMOLEJO CUEVA MELBA CRISTINA</v>
          </cell>
        </row>
        <row r="1682">
          <cell r="C1682" t="str">
            <v>0802247734</v>
          </cell>
          <cell r="AT1682" t="str">
            <v>MARMOLEJO CUEVA MELBA CRISTINA</v>
          </cell>
        </row>
        <row r="1683">
          <cell r="C1683" t="str">
            <v>0802247734</v>
          </cell>
          <cell r="AT1683" t="str">
            <v>MARMOLEJO CUEVA MELBA CRISTINA</v>
          </cell>
        </row>
        <row r="1684">
          <cell r="C1684" t="str">
            <v>0802247734</v>
          </cell>
          <cell r="AT1684" t="str">
            <v>MARMOLEJO CUEVA MELBA CRISTINA</v>
          </cell>
        </row>
        <row r="1685">
          <cell r="C1685" t="str">
            <v>0802247734</v>
          </cell>
          <cell r="AT1685" t="str">
            <v>MARMOLEJO CUEVA MELBA CRISTINA</v>
          </cell>
        </row>
        <row r="1686">
          <cell r="C1686" t="str">
            <v>0802247734</v>
          </cell>
          <cell r="AT1686" t="str">
            <v>MARMOLEJO CUEVA MELBA CRISTINA</v>
          </cell>
        </row>
        <row r="1687">
          <cell r="C1687" t="str">
            <v>AAF231229</v>
          </cell>
          <cell r="AT1687" t="str">
            <v xml:space="preserve">SANCHEZ FUENTES SERGIO </v>
          </cell>
        </row>
        <row r="1688">
          <cell r="C1688" t="str">
            <v>0802190868</v>
          </cell>
          <cell r="AT1688" t="str">
            <v>ALENCASTRO GUERRERO NELSON JUNIOR</v>
          </cell>
        </row>
        <row r="1689">
          <cell r="C1689" t="str">
            <v>1752411924</v>
          </cell>
          <cell r="AT1689" t="str">
            <v xml:space="preserve">MATEOS MARCOS SONIA </v>
          </cell>
        </row>
        <row r="1690">
          <cell r="C1690" t="str">
            <v>1752411924</v>
          </cell>
          <cell r="AT1690" t="str">
            <v xml:space="preserve">MATEOS MARCOS SONIA </v>
          </cell>
        </row>
        <row r="1691">
          <cell r="C1691" t="str">
            <v>1752411924</v>
          </cell>
          <cell r="AT1691" t="str">
            <v xml:space="preserve">MATEOS MARCOS SONIA </v>
          </cell>
        </row>
        <row r="1692">
          <cell r="C1692" t="str">
            <v>1752411924</v>
          </cell>
          <cell r="AT1692" t="str">
            <v xml:space="preserve">MATEOS MARCOS SONIA </v>
          </cell>
        </row>
        <row r="1693">
          <cell r="C1693" t="str">
            <v>1752411924</v>
          </cell>
          <cell r="AT1693" t="str">
            <v xml:space="preserve">MATEOS MARCOS SONIA </v>
          </cell>
        </row>
        <row r="1694">
          <cell r="C1694" t="str">
            <v>1752411924</v>
          </cell>
          <cell r="AT1694" t="str">
            <v xml:space="preserve">MATEOS MARCOS SONIA </v>
          </cell>
        </row>
        <row r="1695">
          <cell r="C1695" t="str">
            <v>1752411924</v>
          </cell>
          <cell r="AT1695" t="str">
            <v xml:space="preserve">MATEOS MARCOS SONIA </v>
          </cell>
        </row>
        <row r="1696">
          <cell r="C1696" t="str">
            <v>1752411924</v>
          </cell>
          <cell r="AT1696" t="str">
            <v xml:space="preserve">MATEOS MARCOS SONIA </v>
          </cell>
        </row>
        <row r="1697">
          <cell r="C1697" t="str">
            <v>1752411924</v>
          </cell>
          <cell r="AT1697" t="str">
            <v xml:space="preserve">MATEOS MARCOS SONIA </v>
          </cell>
        </row>
        <row r="1698">
          <cell r="C1698" t="str">
            <v>1752411924</v>
          </cell>
          <cell r="AT1698" t="str">
            <v xml:space="preserve">MATEOS MARCOS SONIA </v>
          </cell>
        </row>
        <row r="1699">
          <cell r="C1699" t="str">
            <v>1752411924</v>
          </cell>
          <cell r="AT1699" t="str">
            <v xml:space="preserve">MATEOS MARCOS SONIA </v>
          </cell>
        </row>
        <row r="1700">
          <cell r="C1700" t="str">
            <v>1752411924</v>
          </cell>
          <cell r="AT1700" t="str">
            <v xml:space="preserve">MATEOS MARCOS SONIA </v>
          </cell>
        </row>
        <row r="1701">
          <cell r="C1701" t="str">
            <v>1752411924</v>
          </cell>
          <cell r="AT1701" t="str">
            <v xml:space="preserve">MATEOS MARCOS SONIA </v>
          </cell>
        </row>
        <row r="1702">
          <cell r="C1702" t="str">
            <v>1752411924</v>
          </cell>
          <cell r="AT1702" t="str">
            <v xml:space="preserve">MATEOS MARCOS SONIA </v>
          </cell>
        </row>
        <row r="1703">
          <cell r="C1703" t="str">
            <v>1752411924</v>
          </cell>
          <cell r="AT1703" t="str">
            <v xml:space="preserve">MATEOS MARCOS SONIA </v>
          </cell>
        </row>
        <row r="1704">
          <cell r="C1704" t="str">
            <v>1752411924</v>
          </cell>
          <cell r="AT1704" t="str">
            <v xml:space="preserve">MATEOS MARCOS SONIA </v>
          </cell>
        </row>
        <row r="1705">
          <cell r="C1705" t="str">
            <v>1752411924</v>
          </cell>
          <cell r="AT1705" t="str">
            <v xml:space="preserve">MATEOS MARCOS SONIA </v>
          </cell>
        </row>
        <row r="1706">
          <cell r="C1706" t="str">
            <v>1752411924</v>
          </cell>
          <cell r="AT1706" t="str">
            <v xml:space="preserve">MATEOS MARCOS SONIA </v>
          </cell>
        </row>
        <row r="1707">
          <cell r="C1707" t="str">
            <v>1752411924</v>
          </cell>
          <cell r="AT1707" t="str">
            <v xml:space="preserve">MATEOS MARCOS SONIA </v>
          </cell>
        </row>
        <row r="1708">
          <cell r="C1708" t="str">
            <v>1752411924</v>
          </cell>
          <cell r="AT1708" t="str">
            <v xml:space="preserve">MATEOS MARCOS SONIA </v>
          </cell>
        </row>
        <row r="1709">
          <cell r="C1709" t="str">
            <v>1752411924</v>
          </cell>
          <cell r="AT1709" t="str">
            <v xml:space="preserve">MATEOS MARCOS SONIA </v>
          </cell>
        </row>
        <row r="1710">
          <cell r="C1710" t="str">
            <v>1752411924</v>
          </cell>
          <cell r="AT1710" t="str">
            <v xml:space="preserve">MATEOS MARCOS SONIA </v>
          </cell>
        </row>
        <row r="1711">
          <cell r="C1711" t="str">
            <v>1752411924</v>
          </cell>
          <cell r="AT1711" t="str">
            <v xml:space="preserve">MATEOS MARCOS SONIA </v>
          </cell>
        </row>
        <row r="1712">
          <cell r="C1712" t="str">
            <v>1752411924</v>
          </cell>
          <cell r="AT1712" t="str">
            <v xml:space="preserve">MATEOS MARCOS SONIA </v>
          </cell>
        </row>
        <row r="1713">
          <cell r="C1713" t="str">
            <v>1752411924</v>
          </cell>
          <cell r="AT1713" t="str">
            <v xml:space="preserve">MATEOS MARCOS SONIA </v>
          </cell>
        </row>
        <row r="1714">
          <cell r="C1714" t="str">
            <v>1752411924</v>
          </cell>
          <cell r="AT1714" t="str">
            <v xml:space="preserve">MATEOS MARCOS SONIA </v>
          </cell>
        </row>
        <row r="1715">
          <cell r="C1715" t="str">
            <v>1752411924</v>
          </cell>
          <cell r="AT1715" t="str">
            <v xml:space="preserve">MATEOS MARCOS SONIA </v>
          </cell>
        </row>
        <row r="1716">
          <cell r="C1716" t="str">
            <v>1752411924</v>
          </cell>
          <cell r="AT1716" t="str">
            <v xml:space="preserve">MATEOS MARCOS SONIA </v>
          </cell>
        </row>
        <row r="1717">
          <cell r="C1717" t="str">
            <v>1752411924</v>
          </cell>
          <cell r="AT1717" t="str">
            <v xml:space="preserve">MATEOS MARCOS SONIA </v>
          </cell>
        </row>
        <row r="1718">
          <cell r="C1718" t="str">
            <v>1752411924</v>
          </cell>
          <cell r="AT1718" t="str">
            <v xml:space="preserve">MATEOS MARCOS SONIA </v>
          </cell>
        </row>
        <row r="1719">
          <cell r="C1719" t="str">
            <v>1752411924</v>
          </cell>
          <cell r="AT1719" t="str">
            <v xml:space="preserve">MATEOS MARCOS SONIA </v>
          </cell>
        </row>
        <row r="1720">
          <cell r="C1720" t="str">
            <v>1752411924</v>
          </cell>
          <cell r="AT1720" t="str">
            <v xml:space="preserve">MATEOS MARCOS SONIA </v>
          </cell>
        </row>
        <row r="1721">
          <cell r="C1721" t="str">
            <v>1752411924</v>
          </cell>
          <cell r="AT1721" t="str">
            <v xml:space="preserve">MATEOS MARCOS SONIA </v>
          </cell>
        </row>
        <row r="1722">
          <cell r="C1722" t="str">
            <v>1752411924</v>
          </cell>
          <cell r="AT1722" t="str">
            <v xml:space="preserve">MATEOS MARCOS SONIA </v>
          </cell>
        </row>
        <row r="1723">
          <cell r="C1723" t="str">
            <v>1752411924</v>
          </cell>
          <cell r="AT1723" t="str">
            <v xml:space="preserve">MATEOS MARCOS SONIA </v>
          </cell>
        </row>
        <row r="1724">
          <cell r="C1724" t="str">
            <v>1752411924</v>
          </cell>
          <cell r="AT1724" t="str">
            <v xml:space="preserve">MATEOS MARCOS SONIA </v>
          </cell>
        </row>
        <row r="1725">
          <cell r="C1725" t="str">
            <v>1752411924</v>
          </cell>
          <cell r="AT1725" t="str">
            <v xml:space="preserve">MATEOS MARCOS SONIA </v>
          </cell>
        </row>
        <row r="1726">
          <cell r="C1726" t="str">
            <v>1752411924</v>
          </cell>
          <cell r="AT1726" t="str">
            <v xml:space="preserve">MATEOS MARCOS SONIA </v>
          </cell>
        </row>
        <row r="1727">
          <cell r="C1727" t="str">
            <v>1752411924</v>
          </cell>
          <cell r="AT1727" t="str">
            <v xml:space="preserve">MATEOS MARCOS SONIA </v>
          </cell>
        </row>
        <row r="1728">
          <cell r="C1728" t="str">
            <v>1752411924</v>
          </cell>
          <cell r="AT1728" t="str">
            <v xml:space="preserve">MATEOS MARCOS SONIA </v>
          </cell>
        </row>
        <row r="1729">
          <cell r="C1729" t="str">
            <v>1752411924</v>
          </cell>
          <cell r="AT1729" t="str">
            <v xml:space="preserve">MATEOS MARCOS SONIA </v>
          </cell>
        </row>
        <row r="1730">
          <cell r="C1730" t="str">
            <v>1752411924</v>
          </cell>
          <cell r="AT1730" t="str">
            <v xml:space="preserve">MATEOS MARCOS SONIA </v>
          </cell>
        </row>
        <row r="1731">
          <cell r="C1731" t="str">
            <v>1752411924</v>
          </cell>
          <cell r="AT1731" t="str">
            <v xml:space="preserve">MATEOS MARCOS SONIA </v>
          </cell>
        </row>
        <row r="1732">
          <cell r="C1732" t="str">
            <v>1752411924</v>
          </cell>
          <cell r="AT1732" t="str">
            <v xml:space="preserve">MATEOS MARCOS SONIA </v>
          </cell>
        </row>
        <row r="1733">
          <cell r="C1733" t="str">
            <v>1752411924</v>
          </cell>
          <cell r="AT1733" t="str">
            <v xml:space="preserve">MATEOS MARCOS SONIA </v>
          </cell>
        </row>
        <row r="1734">
          <cell r="C1734" t="str">
            <v>1752411924</v>
          </cell>
          <cell r="AT1734" t="str">
            <v xml:space="preserve">MATEOS MARCOS SONIA </v>
          </cell>
        </row>
        <row r="1735">
          <cell r="C1735" t="str">
            <v>1752411924</v>
          </cell>
          <cell r="AT1735" t="str">
            <v xml:space="preserve">MATEOS MARCOS SONIA </v>
          </cell>
        </row>
        <row r="1736">
          <cell r="C1736" t="str">
            <v>1752411924</v>
          </cell>
          <cell r="AT1736" t="str">
            <v xml:space="preserve">MATEOS MARCOS SONIA </v>
          </cell>
        </row>
        <row r="1737">
          <cell r="C1737" t="str">
            <v>1752411924</v>
          </cell>
          <cell r="AT1737" t="str">
            <v xml:space="preserve">MATEOS MARCOS SONIA </v>
          </cell>
        </row>
        <row r="1738">
          <cell r="C1738" t="str">
            <v>1752411924</v>
          </cell>
          <cell r="AT1738" t="str">
            <v xml:space="preserve">MATEOS MARCOS SONIA </v>
          </cell>
        </row>
        <row r="1739">
          <cell r="C1739" t="str">
            <v>1752411924</v>
          </cell>
          <cell r="AT1739" t="str">
            <v xml:space="preserve">MATEOS MARCOS SONIA </v>
          </cell>
        </row>
        <row r="1740">
          <cell r="C1740" t="str">
            <v>1752411924</v>
          </cell>
          <cell r="AT1740" t="str">
            <v xml:space="preserve">MATEOS MARCOS SONIA </v>
          </cell>
        </row>
        <row r="1741">
          <cell r="C1741" t="str">
            <v>1752411924</v>
          </cell>
          <cell r="AT1741" t="str">
            <v xml:space="preserve">MATEOS MARCOS SONIA </v>
          </cell>
        </row>
        <row r="1742">
          <cell r="C1742" t="str">
            <v>1752411924</v>
          </cell>
          <cell r="AT1742" t="str">
            <v xml:space="preserve">MATEOS MARCOS SONIA </v>
          </cell>
        </row>
        <row r="1743">
          <cell r="C1743" t="str">
            <v>1752411924</v>
          </cell>
          <cell r="AT1743" t="str">
            <v xml:space="preserve">MATEOS MARCOS SONIA </v>
          </cell>
        </row>
        <row r="1744">
          <cell r="C1744" t="str">
            <v>1707757694</v>
          </cell>
          <cell r="AT1744" t="str">
            <v>ALMEIDA CLAVIJO WALTER EDUARDO</v>
          </cell>
        </row>
        <row r="1745">
          <cell r="C1745" t="str">
            <v>0801432998</v>
          </cell>
          <cell r="AT1745" t="str">
            <v>MENDOZA MACIAS CRISTINA ALEXANDRA</v>
          </cell>
        </row>
        <row r="1746">
          <cell r="C1746" t="str">
            <v>0801432998</v>
          </cell>
          <cell r="AT1746" t="str">
            <v>MENDOZA MACIAS CRISTINA ALEXANDRA</v>
          </cell>
        </row>
        <row r="1747">
          <cell r="C1747" t="str">
            <v>0801432998</v>
          </cell>
          <cell r="AT1747" t="str">
            <v>MENDOZA MACIAS CRISTINA ALEXANDRA</v>
          </cell>
        </row>
        <row r="1748">
          <cell r="C1748" t="str">
            <v>0801432998</v>
          </cell>
          <cell r="AT1748" t="str">
            <v>MENDOZA MACIAS CRISTINA ALEXANDRA</v>
          </cell>
        </row>
        <row r="1749">
          <cell r="C1749" t="str">
            <v>0801432998</v>
          </cell>
          <cell r="AT1749" t="str">
            <v>MENDOZA MACIAS CRISTINA ALEXANDRA</v>
          </cell>
        </row>
        <row r="1750">
          <cell r="C1750" t="str">
            <v>0801432998</v>
          </cell>
          <cell r="AT1750" t="str">
            <v>MENDOZA MACIAS CRISTINA ALEXANDRA</v>
          </cell>
        </row>
        <row r="1751">
          <cell r="C1751" t="str">
            <v>0801432998</v>
          </cell>
          <cell r="AT1751" t="str">
            <v>MENDOZA MACIAS CRISTINA ALEXANDRA</v>
          </cell>
        </row>
        <row r="1752">
          <cell r="C1752" t="str">
            <v>0801432998</v>
          </cell>
          <cell r="AT1752" t="str">
            <v>MENDOZA MACIAS CRISTINA ALEXANDRA</v>
          </cell>
        </row>
        <row r="1753">
          <cell r="C1753" t="str">
            <v>0801432998</v>
          </cell>
          <cell r="AT1753" t="str">
            <v>MENDOZA MACIAS CRISTINA ALEXANDRA</v>
          </cell>
        </row>
        <row r="1754">
          <cell r="C1754" t="str">
            <v>0801432998</v>
          </cell>
          <cell r="AT1754" t="str">
            <v>MENDOZA MACIAS CRISTINA ALEXANDRA</v>
          </cell>
        </row>
        <row r="1755">
          <cell r="C1755" t="str">
            <v>0801432998</v>
          </cell>
          <cell r="AT1755" t="str">
            <v>MENDOZA MACIAS CRISTINA ALEXANDRA</v>
          </cell>
        </row>
        <row r="1756">
          <cell r="C1756" t="str">
            <v>0801432998</v>
          </cell>
          <cell r="AT1756" t="str">
            <v>MENDOZA MACIAS CRISTINA ALEXANDRA</v>
          </cell>
        </row>
        <row r="1757">
          <cell r="C1757" t="str">
            <v>0801432998</v>
          </cell>
          <cell r="AT1757" t="str">
            <v>MENDOZA MACIAS CRISTINA ALEXANDRA</v>
          </cell>
        </row>
        <row r="1758">
          <cell r="C1758" t="str">
            <v>0801432998</v>
          </cell>
          <cell r="AT1758" t="str">
            <v>MENDOZA MACIAS CRISTINA ALEXANDRA</v>
          </cell>
        </row>
        <row r="1759">
          <cell r="C1759" t="str">
            <v>0801432998</v>
          </cell>
          <cell r="AT1759" t="str">
            <v>MENDOZA MACIAS CRISTINA ALEXANDRA</v>
          </cell>
        </row>
        <row r="1760">
          <cell r="C1760" t="str">
            <v>0801432998</v>
          </cell>
          <cell r="AT1760" t="str">
            <v>MENDOZA MACIAS CRISTINA ALEXANDRA</v>
          </cell>
        </row>
        <row r="1761">
          <cell r="C1761" t="str">
            <v>0801432998</v>
          </cell>
          <cell r="AT1761" t="str">
            <v>MENDOZA MACIAS CRISTINA ALEXANDRA</v>
          </cell>
        </row>
        <row r="1762">
          <cell r="C1762" t="str">
            <v>0802472969</v>
          </cell>
          <cell r="AT1762" t="str">
            <v>MILA CARVAJAL DIONICIO FRANCISCO</v>
          </cell>
        </row>
        <row r="1763">
          <cell r="C1763" t="str">
            <v>0802472969</v>
          </cell>
          <cell r="AT1763" t="str">
            <v>MILA CARVAJAL DIONICIO FRANCISCO</v>
          </cell>
        </row>
        <row r="1764">
          <cell r="C1764" t="str">
            <v>0802472969</v>
          </cell>
          <cell r="AT1764" t="str">
            <v>MILA CARVAJAL DIONICIO FRANCISCO</v>
          </cell>
        </row>
        <row r="1765">
          <cell r="C1765" t="str">
            <v>0802472969</v>
          </cell>
          <cell r="AT1765" t="str">
            <v>MILA CARVAJAL DIONICIO FRANCISCO</v>
          </cell>
        </row>
        <row r="1766">
          <cell r="C1766" t="str">
            <v>0802472969</v>
          </cell>
          <cell r="AT1766" t="str">
            <v>MILA CARVAJAL DIONICIO FRANCISCO</v>
          </cell>
        </row>
        <row r="1767">
          <cell r="C1767" t="str">
            <v>0802472969</v>
          </cell>
          <cell r="AT1767" t="str">
            <v>MILA CARVAJAL DIONICIO FRANCISCO</v>
          </cell>
        </row>
        <row r="1768">
          <cell r="C1768" t="str">
            <v>0802472969</v>
          </cell>
          <cell r="AT1768" t="str">
            <v>MILA CARVAJAL DIONICIO FRANCISCO</v>
          </cell>
        </row>
        <row r="1769">
          <cell r="C1769" t="str">
            <v>0802472969</v>
          </cell>
          <cell r="AT1769" t="str">
            <v>MILA CARVAJAL DIONICIO FRANCISCO</v>
          </cell>
        </row>
        <row r="1770">
          <cell r="C1770" t="str">
            <v>0802472969</v>
          </cell>
          <cell r="AT1770" t="str">
            <v>MILA CARVAJAL DIONICIO FRANCISCO</v>
          </cell>
        </row>
        <row r="1771">
          <cell r="C1771" t="str">
            <v>0802472969</v>
          </cell>
          <cell r="AT1771" t="str">
            <v>MILA CARVAJAL DIONICIO FRANCISCO</v>
          </cell>
        </row>
        <row r="1772">
          <cell r="C1772" t="str">
            <v>0802472969</v>
          </cell>
          <cell r="AT1772" t="str">
            <v>MILA CARVAJAL DIONICIO FRANCISCO</v>
          </cell>
        </row>
        <row r="1773">
          <cell r="C1773" t="str">
            <v>0802472969</v>
          </cell>
          <cell r="AT1773" t="str">
            <v>MILA CARVAJAL DIONICIO FRANCISCO</v>
          </cell>
        </row>
        <row r="1774">
          <cell r="C1774" t="str">
            <v>0802472969</v>
          </cell>
          <cell r="AT1774" t="str">
            <v>MILA CARVAJAL DIONICIO FRANCISCO</v>
          </cell>
        </row>
        <row r="1775">
          <cell r="C1775" t="str">
            <v>0802472969</v>
          </cell>
          <cell r="AT1775" t="str">
            <v>MILA CARVAJAL DIONICIO FRANCISCO</v>
          </cell>
        </row>
        <row r="1776">
          <cell r="C1776" t="str">
            <v>0802472969</v>
          </cell>
          <cell r="AT1776" t="str">
            <v>MILA CARVAJAL DIONICIO FRANCISCO</v>
          </cell>
        </row>
        <row r="1777">
          <cell r="C1777" t="str">
            <v>0804348290</v>
          </cell>
          <cell r="AT1777" t="str">
            <v xml:space="preserve">MONCAYO FIUSA ZORAIDA </v>
          </cell>
        </row>
        <row r="1778">
          <cell r="C1778" t="str">
            <v>0804348290</v>
          </cell>
          <cell r="AT1778" t="str">
            <v xml:space="preserve">MONCAYO FIUSA ZORAIDA </v>
          </cell>
        </row>
        <row r="1779">
          <cell r="C1779" t="str">
            <v>0804348290</v>
          </cell>
          <cell r="AT1779" t="str">
            <v xml:space="preserve">MONCAYO FIUSA ZORAIDA </v>
          </cell>
        </row>
        <row r="1780">
          <cell r="C1780" t="str">
            <v>0804348290</v>
          </cell>
          <cell r="AT1780" t="str">
            <v xml:space="preserve">MONCAYO FIUSA ZORAIDA </v>
          </cell>
        </row>
        <row r="1781">
          <cell r="C1781" t="str">
            <v>0804348290</v>
          </cell>
          <cell r="AT1781" t="str">
            <v xml:space="preserve">MONCAYO FIUSA ZORAIDA </v>
          </cell>
        </row>
        <row r="1782">
          <cell r="C1782" t="str">
            <v>0804348290</v>
          </cell>
          <cell r="AT1782" t="str">
            <v xml:space="preserve">MONCAYO FIUSA ZORAIDA </v>
          </cell>
        </row>
        <row r="1783">
          <cell r="C1783" t="str">
            <v>0804348290</v>
          </cell>
          <cell r="AT1783" t="str">
            <v xml:space="preserve">MONCAYO FIUSA ZORAIDA </v>
          </cell>
        </row>
        <row r="1784">
          <cell r="C1784" t="str">
            <v>0804348290</v>
          </cell>
          <cell r="AT1784" t="str">
            <v xml:space="preserve">MONCAYO FIUSA ZORAIDA </v>
          </cell>
        </row>
        <row r="1785">
          <cell r="C1785" t="str">
            <v>0804348290</v>
          </cell>
          <cell r="AT1785" t="str">
            <v xml:space="preserve">MONCAYO FIUSA ZORAIDA </v>
          </cell>
        </row>
        <row r="1786">
          <cell r="C1786" t="str">
            <v>0804348290</v>
          </cell>
          <cell r="AT1786" t="str">
            <v xml:space="preserve">MONCAYO FIUSA ZORAIDA </v>
          </cell>
        </row>
        <row r="1787">
          <cell r="C1787" t="str">
            <v>0804348290</v>
          </cell>
          <cell r="AT1787" t="str">
            <v xml:space="preserve">MONCAYO FIUSA ZORAIDA </v>
          </cell>
        </row>
        <row r="1788">
          <cell r="C1788" t="str">
            <v>0804348290</v>
          </cell>
          <cell r="AT1788" t="str">
            <v xml:space="preserve">MONCAYO FIUSA ZORAIDA </v>
          </cell>
        </row>
        <row r="1789">
          <cell r="C1789" t="str">
            <v>0804348290</v>
          </cell>
          <cell r="AT1789" t="str">
            <v xml:space="preserve">MONCAYO FIUSA ZORAIDA </v>
          </cell>
        </row>
        <row r="1790">
          <cell r="C1790" t="str">
            <v>0804348290</v>
          </cell>
          <cell r="AT1790" t="str">
            <v xml:space="preserve">MONCAYO FIUSA ZORAIDA </v>
          </cell>
        </row>
        <row r="1791">
          <cell r="C1791" t="str">
            <v>0804348290</v>
          </cell>
          <cell r="AT1791" t="str">
            <v xml:space="preserve">MONCAYO FIUSA ZORAIDA </v>
          </cell>
        </row>
        <row r="1792">
          <cell r="C1792" t="str">
            <v>0804348290</v>
          </cell>
          <cell r="AT1792" t="str">
            <v xml:space="preserve">MONCAYO FIUSA ZORAIDA </v>
          </cell>
        </row>
        <row r="1793">
          <cell r="C1793" t="str">
            <v>0804348290</v>
          </cell>
          <cell r="AT1793" t="str">
            <v xml:space="preserve">MONCAYO FIUSA ZORAIDA </v>
          </cell>
        </row>
        <row r="1794">
          <cell r="C1794" t="str">
            <v>0802284083</v>
          </cell>
          <cell r="AT1794" t="str">
            <v>MORA TORRES CHRISTIAN JAVIER</v>
          </cell>
        </row>
        <row r="1795">
          <cell r="C1795" t="str">
            <v>0802284083</v>
          </cell>
          <cell r="AT1795" t="str">
            <v>MORA TORRES CHRISTIAN JAVIER</v>
          </cell>
        </row>
        <row r="1796">
          <cell r="C1796" t="str">
            <v>0802284083</v>
          </cell>
          <cell r="AT1796" t="str">
            <v>MORA TORRES CHRISTIAN JAVIER</v>
          </cell>
        </row>
        <row r="1797">
          <cell r="C1797" t="str">
            <v>0802284083</v>
          </cell>
          <cell r="AT1797" t="str">
            <v>MORA TORRES CHRISTIAN JAVIER</v>
          </cell>
        </row>
        <row r="1798">
          <cell r="C1798" t="str">
            <v>0802284083</v>
          </cell>
          <cell r="AT1798" t="str">
            <v>MORA TORRES CHRISTIAN JAVIER</v>
          </cell>
        </row>
        <row r="1799">
          <cell r="C1799" t="str">
            <v>0802284083</v>
          </cell>
          <cell r="AT1799" t="str">
            <v>MORA TORRES CHRISTIAN JAVIER</v>
          </cell>
        </row>
        <row r="1800">
          <cell r="C1800" t="str">
            <v>0802284083</v>
          </cell>
          <cell r="AT1800" t="str">
            <v>MORA TORRES CHRISTIAN JAVIER</v>
          </cell>
        </row>
        <row r="1801">
          <cell r="C1801" t="str">
            <v>0802284083</v>
          </cell>
          <cell r="AT1801" t="str">
            <v>MORA TORRES CHRISTIAN JAVIER</v>
          </cell>
        </row>
        <row r="1802">
          <cell r="C1802" t="str">
            <v>0802284083</v>
          </cell>
          <cell r="AT1802" t="str">
            <v>MORA TORRES CHRISTIAN JAVIER</v>
          </cell>
        </row>
        <row r="1803">
          <cell r="C1803" t="str">
            <v>0802284083</v>
          </cell>
          <cell r="AT1803" t="str">
            <v>MORA TORRES CHRISTIAN JAVIER</v>
          </cell>
        </row>
        <row r="1804">
          <cell r="C1804" t="str">
            <v>0802284083</v>
          </cell>
          <cell r="AT1804" t="str">
            <v>MORA TORRES CHRISTIAN JAVIER</v>
          </cell>
        </row>
        <row r="1805">
          <cell r="C1805" t="str">
            <v>0802284083</v>
          </cell>
          <cell r="AT1805" t="str">
            <v>MORA TORRES CHRISTIAN JAVIER</v>
          </cell>
        </row>
        <row r="1806">
          <cell r="C1806" t="str">
            <v>0802284083</v>
          </cell>
          <cell r="AT1806" t="str">
            <v>MORA TORRES CHRISTIAN JAVIER</v>
          </cell>
        </row>
        <row r="1807">
          <cell r="C1807" t="str">
            <v>0802284083</v>
          </cell>
          <cell r="AT1807" t="str">
            <v>MORA TORRES CHRISTIAN JAVIER</v>
          </cell>
        </row>
        <row r="1808">
          <cell r="C1808" t="str">
            <v>0802284083</v>
          </cell>
          <cell r="AT1808" t="str">
            <v>MORA TORRES CHRISTIAN JAVIER</v>
          </cell>
        </row>
        <row r="1809">
          <cell r="C1809" t="str">
            <v>0802284083</v>
          </cell>
          <cell r="AT1809" t="str">
            <v>MORA TORRES CHRISTIAN JAVIER</v>
          </cell>
        </row>
        <row r="1810">
          <cell r="C1810" t="str">
            <v>0802284083</v>
          </cell>
          <cell r="AT1810" t="str">
            <v>MORA TORRES CHRISTIAN JAVIER</v>
          </cell>
        </row>
        <row r="1811">
          <cell r="C1811" t="str">
            <v>0802284083</v>
          </cell>
          <cell r="AT1811" t="str">
            <v>MORA TORRES CHRISTIAN JAVIER</v>
          </cell>
        </row>
        <row r="1812">
          <cell r="C1812" t="str">
            <v>0802284083</v>
          </cell>
          <cell r="AT1812" t="str">
            <v>MORA TORRES CHRISTIAN JAVIER</v>
          </cell>
        </row>
        <row r="1813">
          <cell r="C1813" t="str">
            <v>0802284083</v>
          </cell>
          <cell r="AT1813" t="str">
            <v>MORA TORRES CHRISTIAN JAVIER</v>
          </cell>
        </row>
        <row r="1814">
          <cell r="C1814" t="str">
            <v>0802490722</v>
          </cell>
          <cell r="AT1814" t="str">
            <v>NEVAREZ TOLEDO MANUEL ROGELIO</v>
          </cell>
        </row>
        <row r="1815">
          <cell r="C1815" t="str">
            <v>0802490722</v>
          </cell>
          <cell r="AT1815" t="str">
            <v>NEVAREZ TOLEDO MANUEL ROGELIO</v>
          </cell>
        </row>
        <row r="1816">
          <cell r="C1816" t="str">
            <v>0802490722</v>
          </cell>
          <cell r="AT1816" t="str">
            <v>NEVAREZ TOLEDO MANUEL ROGELIO</v>
          </cell>
        </row>
        <row r="1817">
          <cell r="C1817" t="str">
            <v>0802490722</v>
          </cell>
          <cell r="AT1817" t="str">
            <v>NEVAREZ TOLEDO MANUEL ROGELIO</v>
          </cell>
        </row>
        <row r="1818">
          <cell r="C1818" t="str">
            <v>0802490722</v>
          </cell>
          <cell r="AT1818" t="str">
            <v>NEVAREZ TOLEDO MANUEL ROGELIO</v>
          </cell>
        </row>
        <row r="1819">
          <cell r="C1819" t="str">
            <v>0802490722</v>
          </cell>
          <cell r="AT1819" t="str">
            <v>NEVAREZ TOLEDO MANUEL ROGELIO</v>
          </cell>
        </row>
        <row r="1820">
          <cell r="C1820" t="str">
            <v>0802490722</v>
          </cell>
          <cell r="AT1820" t="str">
            <v>NEVAREZ TOLEDO MANUEL ROGELIO</v>
          </cell>
        </row>
        <row r="1821">
          <cell r="C1821" t="str">
            <v>0802490722</v>
          </cell>
          <cell r="AT1821" t="str">
            <v>NEVAREZ TOLEDO MANUEL ROGELIO</v>
          </cell>
        </row>
        <row r="1822">
          <cell r="C1822" t="str">
            <v>0802490722</v>
          </cell>
          <cell r="AT1822" t="str">
            <v>NEVAREZ TOLEDO MANUEL ROGELIO</v>
          </cell>
        </row>
        <row r="1823">
          <cell r="C1823" t="str">
            <v>0802490722</v>
          </cell>
          <cell r="AT1823" t="str">
            <v>NEVAREZ TOLEDO MANUEL ROGELIO</v>
          </cell>
        </row>
        <row r="1824">
          <cell r="C1824" t="str">
            <v>0802490722</v>
          </cell>
          <cell r="AT1824" t="str">
            <v>NEVAREZ TOLEDO MANUEL ROGELIO</v>
          </cell>
        </row>
        <row r="1825">
          <cell r="C1825" t="str">
            <v>0802490722</v>
          </cell>
          <cell r="AT1825" t="str">
            <v>NEVAREZ TOLEDO MANUEL ROGELIO</v>
          </cell>
        </row>
        <row r="1826">
          <cell r="C1826" t="str">
            <v>0802490722</v>
          </cell>
          <cell r="AT1826" t="str">
            <v>NEVAREZ TOLEDO MANUEL ROGELIO</v>
          </cell>
        </row>
        <row r="1827">
          <cell r="C1827" t="str">
            <v>0802490722</v>
          </cell>
          <cell r="AT1827" t="str">
            <v>NEVAREZ TOLEDO MANUEL ROGELIO</v>
          </cell>
        </row>
        <row r="1828">
          <cell r="C1828" t="str">
            <v>0802490722</v>
          </cell>
          <cell r="AT1828" t="str">
            <v>NEVAREZ TOLEDO MANUEL ROGELIO</v>
          </cell>
        </row>
        <row r="1829">
          <cell r="C1829" t="str">
            <v>0802490722</v>
          </cell>
          <cell r="AT1829" t="str">
            <v>NEVAREZ TOLEDO MANUEL ROGELIO</v>
          </cell>
        </row>
        <row r="1830">
          <cell r="C1830" t="str">
            <v>0802490722</v>
          </cell>
          <cell r="AT1830" t="str">
            <v>NEVAREZ TOLEDO MANUEL ROGELIO</v>
          </cell>
        </row>
        <row r="1831">
          <cell r="C1831" t="str">
            <v>0802490722</v>
          </cell>
          <cell r="AT1831" t="str">
            <v>NEVAREZ TOLEDO MANUEL ROGELIO</v>
          </cell>
        </row>
        <row r="1832">
          <cell r="C1832" t="str">
            <v>0802490722</v>
          </cell>
          <cell r="AT1832" t="str">
            <v>NEVAREZ TOLEDO MANUEL ROGELIO</v>
          </cell>
        </row>
        <row r="1833">
          <cell r="C1833" t="str">
            <v>0802490722</v>
          </cell>
          <cell r="AT1833" t="str">
            <v>NEVAREZ TOLEDO MANUEL ROGELIO</v>
          </cell>
        </row>
        <row r="1834">
          <cell r="C1834" t="str">
            <v>0802490722</v>
          </cell>
          <cell r="AT1834" t="str">
            <v>NEVAREZ TOLEDO MANUEL ROGELIO</v>
          </cell>
        </row>
        <row r="1835">
          <cell r="C1835" t="str">
            <v>0802490722</v>
          </cell>
          <cell r="AT1835" t="str">
            <v>NEVAREZ TOLEDO MANUEL ROGELIO</v>
          </cell>
        </row>
        <row r="1836">
          <cell r="C1836" t="str">
            <v>0802490722</v>
          </cell>
          <cell r="AT1836" t="str">
            <v>NEVAREZ TOLEDO MANUEL ROGELIO</v>
          </cell>
        </row>
        <row r="1837">
          <cell r="C1837" t="str">
            <v>0802490722</v>
          </cell>
          <cell r="AT1837" t="str">
            <v>NEVAREZ TOLEDO MANUEL ROGELIO</v>
          </cell>
        </row>
        <row r="1838">
          <cell r="C1838" t="str">
            <v>0802490722</v>
          </cell>
          <cell r="AT1838" t="str">
            <v>NEVAREZ TOLEDO MANUEL ROGELIO</v>
          </cell>
        </row>
        <row r="1839">
          <cell r="C1839" t="str">
            <v>0802490722</v>
          </cell>
          <cell r="AT1839" t="str">
            <v>NEVAREZ TOLEDO MANUEL ROGELIO</v>
          </cell>
        </row>
        <row r="1840">
          <cell r="C1840" t="str">
            <v>0802490722</v>
          </cell>
          <cell r="AT1840" t="str">
            <v>NEVAREZ TOLEDO MANUEL ROGELIO</v>
          </cell>
        </row>
        <row r="1841">
          <cell r="C1841" t="str">
            <v>0802490722</v>
          </cell>
          <cell r="AT1841" t="str">
            <v>NEVAREZ TOLEDO MANUEL ROGELIO</v>
          </cell>
        </row>
        <row r="1842">
          <cell r="C1842" t="str">
            <v>0802490722</v>
          </cell>
          <cell r="AT1842" t="str">
            <v>NEVAREZ TOLEDO MANUEL ROGELIO</v>
          </cell>
        </row>
        <row r="1843">
          <cell r="C1843" t="str">
            <v>0802490722</v>
          </cell>
          <cell r="AT1843" t="str">
            <v>NEVAREZ TOLEDO MANUEL ROGELIO</v>
          </cell>
        </row>
        <row r="1844">
          <cell r="C1844" t="str">
            <v>0802490722</v>
          </cell>
          <cell r="AT1844" t="str">
            <v>NEVAREZ TOLEDO MANUEL ROGELIO</v>
          </cell>
        </row>
        <row r="1845">
          <cell r="C1845" t="str">
            <v>0802490722</v>
          </cell>
          <cell r="AT1845" t="str">
            <v>NEVAREZ TOLEDO MANUEL ROGELIO</v>
          </cell>
        </row>
        <row r="1846">
          <cell r="C1846" t="str">
            <v>0802490722</v>
          </cell>
          <cell r="AT1846" t="str">
            <v>NEVAREZ TOLEDO MANUEL ROGELIO</v>
          </cell>
        </row>
        <row r="1847">
          <cell r="C1847" t="str">
            <v>0802490722</v>
          </cell>
          <cell r="AT1847" t="str">
            <v>NEVAREZ TOLEDO MANUEL ROGELIO</v>
          </cell>
        </row>
        <row r="1848">
          <cell r="C1848" t="str">
            <v>0802490722</v>
          </cell>
          <cell r="AT1848" t="str">
            <v>NEVAREZ TOLEDO MANUEL ROGELIO</v>
          </cell>
        </row>
        <row r="1849">
          <cell r="C1849" t="str">
            <v>0802490722</v>
          </cell>
          <cell r="AT1849" t="str">
            <v>NEVAREZ TOLEDO MANUEL ROGELIO</v>
          </cell>
        </row>
        <row r="1850">
          <cell r="C1850" t="str">
            <v>0802490722</v>
          </cell>
          <cell r="AT1850" t="str">
            <v>NEVAREZ TOLEDO MANUEL ROGELIO</v>
          </cell>
        </row>
        <row r="1851">
          <cell r="C1851" t="str">
            <v>0802490722</v>
          </cell>
          <cell r="AT1851" t="str">
            <v>NEVAREZ TOLEDO MANUEL ROGELIO</v>
          </cell>
        </row>
        <row r="1852">
          <cell r="C1852" t="str">
            <v>0802490722</v>
          </cell>
          <cell r="AT1852" t="str">
            <v>NEVAREZ TOLEDO MANUEL ROGELIO</v>
          </cell>
        </row>
        <row r="1853">
          <cell r="C1853" t="str">
            <v>0802490722</v>
          </cell>
          <cell r="AT1853" t="str">
            <v>NEVAREZ TOLEDO MANUEL ROGELIO</v>
          </cell>
        </row>
        <row r="1854">
          <cell r="C1854" t="str">
            <v>0802490722</v>
          </cell>
          <cell r="AT1854" t="str">
            <v>NEVAREZ TOLEDO MANUEL ROGELIO</v>
          </cell>
        </row>
        <row r="1855">
          <cell r="C1855" t="str">
            <v>0802490722</v>
          </cell>
          <cell r="AT1855" t="str">
            <v>NEVAREZ TOLEDO MANUEL ROGELIO</v>
          </cell>
        </row>
        <row r="1856">
          <cell r="C1856" t="str">
            <v>0802490722</v>
          </cell>
          <cell r="AT1856" t="str">
            <v>NEVAREZ TOLEDO MANUEL ROGELIO</v>
          </cell>
        </row>
        <row r="1857">
          <cell r="C1857" t="str">
            <v>0802490722</v>
          </cell>
          <cell r="AT1857" t="str">
            <v>NEVAREZ TOLEDO MANUEL ROGELIO</v>
          </cell>
        </row>
        <row r="1858">
          <cell r="C1858" t="str">
            <v>0802490722</v>
          </cell>
          <cell r="AT1858" t="str">
            <v>NEVAREZ TOLEDO MANUEL ROGELIO</v>
          </cell>
        </row>
        <row r="1859">
          <cell r="C1859" t="str">
            <v>0802490722</v>
          </cell>
          <cell r="AT1859" t="str">
            <v>NEVAREZ TOLEDO MANUEL ROGELIO</v>
          </cell>
        </row>
        <row r="1860">
          <cell r="C1860" t="str">
            <v>0802490722</v>
          </cell>
          <cell r="AT1860" t="str">
            <v>NEVAREZ TOLEDO MANUEL ROGELIO</v>
          </cell>
        </row>
        <row r="1861">
          <cell r="C1861" t="str">
            <v>0802490722</v>
          </cell>
          <cell r="AT1861" t="str">
            <v>NEVAREZ TOLEDO MANUEL ROGELIO</v>
          </cell>
        </row>
        <row r="1862">
          <cell r="C1862" t="str">
            <v>0802490722</v>
          </cell>
          <cell r="AT1862" t="str">
            <v>NEVAREZ TOLEDO MANUEL ROGELIO</v>
          </cell>
        </row>
        <row r="1863">
          <cell r="C1863" t="str">
            <v>0802490722</v>
          </cell>
          <cell r="AT1863" t="str">
            <v>NEVAREZ TOLEDO MANUEL ROGELIO</v>
          </cell>
        </row>
        <row r="1864">
          <cell r="C1864" t="str">
            <v>0802490722</v>
          </cell>
          <cell r="AT1864" t="str">
            <v>NEVAREZ TOLEDO MANUEL ROGELIO</v>
          </cell>
        </row>
        <row r="1865">
          <cell r="C1865" t="str">
            <v>0802490722</v>
          </cell>
          <cell r="AT1865" t="str">
            <v>NEVAREZ TOLEDO MANUEL ROGELIO</v>
          </cell>
        </row>
        <row r="1866">
          <cell r="C1866" t="str">
            <v>0802490722</v>
          </cell>
          <cell r="AT1866" t="str">
            <v>NEVAREZ TOLEDO MANUEL ROGELIO</v>
          </cell>
        </row>
        <row r="1867">
          <cell r="C1867" t="str">
            <v>0802490722</v>
          </cell>
          <cell r="AT1867" t="str">
            <v>NEVAREZ TOLEDO MANUEL ROGELIO</v>
          </cell>
        </row>
        <row r="1868">
          <cell r="C1868" t="str">
            <v>0802490722</v>
          </cell>
          <cell r="AT1868" t="str">
            <v>NEVAREZ TOLEDO MANUEL ROGELIO</v>
          </cell>
        </row>
        <row r="1869">
          <cell r="C1869" t="str">
            <v>0802490722</v>
          </cell>
          <cell r="AT1869" t="str">
            <v>NEVAREZ TOLEDO MANUEL ROGELIO</v>
          </cell>
        </row>
        <row r="1870">
          <cell r="C1870" t="str">
            <v>0802490722</v>
          </cell>
          <cell r="AT1870" t="str">
            <v>NEVAREZ TOLEDO MANUEL ROGELIO</v>
          </cell>
        </row>
        <row r="1871">
          <cell r="C1871" t="str">
            <v>0802490722</v>
          </cell>
          <cell r="AT1871" t="str">
            <v>NEVAREZ TOLEDO MANUEL ROGELIO</v>
          </cell>
        </row>
        <row r="1872">
          <cell r="C1872" t="str">
            <v>0802490722</v>
          </cell>
          <cell r="AT1872" t="str">
            <v>NEVAREZ TOLEDO MANUEL ROGELIO</v>
          </cell>
        </row>
        <row r="1873">
          <cell r="C1873" t="str">
            <v>0802490722</v>
          </cell>
          <cell r="AT1873" t="str">
            <v>NEVAREZ TOLEDO MANUEL ROGELIO</v>
          </cell>
        </row>
        <row r="1874">
          <cell r="C1874" t="str">
            <v>0802490722</v>
          </cell>
          <cell r="AT1874" t="str">
            <v>NEVAREZ TOLEDO MANUEL ROGELIO</v>
          </cell>
        </row>
        <row r="1875">
          <cell r="C1875" t="str">
            <v>0802490722</v>
          </cell>
          <cell r="AT1875" t="str">
            <v>NEVAREZ TOLEDO MANUEL ROGELIO</v>
          </cell>
        </row>
        <row r="1876">
          <cell r="C1876" t="str">
            <v>0802490722</v>
          </cell>
          <cell r="AT1876" t="str">
            <v>NEVAREZ TOLEDO MANUEL ROGELIO</v>
          </cell>
        </row>
        <row r="1877">
          <cell r="C1877" t="str">
            <v>0802490722</v>
          </cell>
          <cell r="AT1877" t="str">
            <v>NEVAREZ TOLEDO MANUEL ROGELIO</v>
          </cell>
        </row>
        <row r="1878">
          <cell r="C1878" t="str">
            <v>0803141969</v>
          </cell>
          <cell r="AT1878" t="str">
            <v>ANDRADE SÁNCHEZ CARLA ALEJANDRA</v>
          </cell>
        </row>
        <row r="1879">
          <cell r="C1879" t="str">
            <v>1500680259</v>
          </cell>
          <cell r="AT1879" t="str">
            <v>LEMA ORTIZ JOHN JAIRO</v>
          </cell>
        </row>
        <row r="1880">
          <cell r="C1880" t="str">
            <v>0802119016</v>
          </cell>
          <cell r="AT1880" t="str">
            <v>PATIÑO ROSADO SUSANA GABRIELA</v>
          </cell>
        </row>
        <row r="1881">
          <cell r="C1881" t="str">
            <v>0802119016</v>
          </cell>
          <cell r="AT1881" t="str">
            <v>PATIÑO ROSADO SUSANA GABRIELA</v>
          </cell>
        </row>
        <row r="1882">
          <cell r="C1882" t="str">
            <v>0802119016</v>
          </cell>
          <cell r="AT1882" t="str">
            <v>PATIÑO ROSADO SUSANA GABRIELA</v>
          </cell>
        </row>
        <row r="1883">
          <cell r="C1883" t="str">
            <v>0802119016</v>
          </cell>
          <cell r="AT1883" t="str">
            <v>PATIÑO ROSADO SUSANA GABRIELA</v>
          </cell>
        </row>
        <row r="1884">
          <cell r="C1884" t="str">
            <v>0802119016</v>
          </cell>
          <cell r="AT1884" t="str">
            <v>PATIÑO ROSADO SUSANA GABRIELA</v>
          </cell>
        </row>
        <row r="1885">
          <cell r="C1885" t="str">
            <v>0802119016</v>
          </cell>
          <cell r="AT1885" t="str">
            <v>PATIÑO ROSADO SUSANA GABRIELA</v>
          </cell>
        </row>
        <row r="1886">
          <cell r="C1886" t="str">
            <v>0802119016</v>
          </cell>
          <cell r="AT1886" t="str">
            <v>PATIÑO ROSADO SUSANA GABRIELA</v>
          </cell>
        </row>
        <row r="1887">
          <cell r="C1887" t="str">
            <v>0802119016</v>
          </cell>
          <cell r="AT1887" t="str">
            <v>PATIÑO ROSADO SUSANA GABRIELA</v>
          </cell>
        </row>
        <row r="1888">
          <cell r="C1888" t="str">
            <v>0802119016</v>
          </cell>
          <cell r="AT1888" t="str">
            <v>PATIÑO ROSADO SUSANA GABRIELA</v>
          </cell>
        </row>
        <row r="1889">
          <cell r="C1889" t="str">
            <v>0802119016</v>
          </cell>
          <cell r="AT1889" t="str">
            <v>PATIÑO ROSADO SUSANA GABRIELA</v>
          </cell>
        </row>
        <row r="1890">
          <cell r="C1890" t="str">
            <v>0802119016</v>
          </cell>
          <cell r="AT1890" t="str">
            <v>PATIÑO ROSADO SUSANA GABRIELA</v>
          </cell>
        </row>
        <row r="1891">
          <cell r="C1891" t="str">
            <v>0802119016</v>
          </cell>
          <cell r="AT1891" t="str">
            <v>PATIÑO ROSADO SUSANA GABRIELA</v>
          </cell>
        </row>
        <row r="1892">
          <cell r="C1892" t="str">
            <v>0802119016</v>
          </cell>
          <cell r="AT1892" t="str">
            <v>PATIÑO ROSADO SUSANA GABRIELA</v>
          </cell>
        </row>
        <row r="1893">
          <cell r="C1893" t="str">
            <v>0802119016</v>
          </cell>
          <cell r="AT1893" t="str">
            <v>PATIÑO ROSADO SUSANA GABRIELA</v>
          </cell>
        </row>
        <row r="1894">
          <cell r="C1894" t="str">
            <v>0802119016</v>
          </cell>
          <cell r="AT1894" t="str">
            <v>PATIÑO ROSADO SUSANA GABRIELA</v>
          </cell>
        </row>
        <row r="1895">
          <cell r="C1895" t="str">
            <v>0802119016</v>
          </cell>
          <cell r="AT1895" t="str">
            <v>PATIÑO ROSADO SUSANA GABRIELA</v>
          </cell>
        </row>
        <row r="1896">
          <cell r="C1896" t="str">
            <v>0802119016</v>
          </cell>
          <cell r="AT1896" t="str">
            <v>PATIÑO ROSADO SUSANA GABRIELA</v>
          </cell>
        </row>
        <row r="1897">
          <cell r="C1897" t="str">
            <v>0802119016</v>
          </cell>
          <cell r="AT1897" t="str">
            <v>PATIÑO ROSADO SUSANA GABRIELA</v>
          </cell>
        </row>
        <row r="1898">
          <cell r="C1898" t="str">
            <v>0802119016</v>
          </cell>
          <cell r="AT1898" t="str">
            <v>PATIÑO ROSADO SUSANA GABRIELA</v>
          </cell>
        </row>
        <row r="1899">
          <cell r="C1899" t="str">
            <v>0802119016</v>
          </cell>
          <cell r="AT1899" t="str">
            <v>PATIÑO ROSADO SUSANA GABRIELA</v>
          </cell>
        </row>
        <row r="1900">
          <cell r="C1900" t="str">
            <v>0803036672</v>
          </cell>
          <cell r="AT1900" t="str">
            <v>PAZ MORAN VERONICA ALEXANDRA</v>
          </cell>
        </row>
        <row r="1901">
          <cell r="C1901" t="str">
            <v>0803036672</v>
          </cell>
          <cell r="AT1901" t="str">
            <v>PAZ MORAN VERONICA ALEXANDRA</v>
          </cell>
        </row>
        <row r="1902">
          <cell r="C1902" t="str">
            <v>0803036672</v>
          </cell>
          <cell r="AT1902" t="str">
            <v>PAZ MORAN VERONICA ALEXANDRA</v>
          </cell>
        </row>
        <row r="1903">
          <cell r="C1903" t="str">
            <v>0803036672</v>
          </cell>
          <cell r="AT1903" t="str">
            <v>PAZ MORAN VERONICA ALEXANDRA</v>
          </cell>
        </row>
        <row r="1904">
          <cell r="C1904" t="str">
            <v>0803036672</v>
          </cell>
          <cell r="AT1904" t="str">
            <v>PAZ MORAN VERONICA ALEXANDRA</v>
          </cell>
        </row>
        <row r="1905">
          <cell r="C1905" t="str">
            <v>0803036672</v>
          </cell>
          <cell r="AT1905" t="str">
            <v>PAZ MORAN VERONICA ALEXANDRA</v>
          </cell>
        </row>
        <row r="1906">
          <cell r="C1906" t="str">
            <v>0803036672</v>
          </cell>
          <cell r="AT1906" t="str">
            <v>PAZ MORAN VERONICA ALEXANDRA</v>
          </cell>
        </row>
        <row r="1907">
          <cell r="C1907" t="str">
            <v>0803716430</v>
          </cell>
          <cell r="AT1907" t="str">
            <v>LOPEZ ESTUPIÑÁN BORIS PAUL</v>
          </cell>
        </row>
        <row r="1908">
          <cell r="C1908" t="str">
            <v>0803782002</v>
          </cell>
          <cell r="AT1908" t="str">
            <v>MUÑOZ TOALA IRINA NATHALY</v>
          </cell>
        </row>
        <row r="1909">
          <cell r="C1909" t="str">
            <v>0801601790</v>
          </cell>
          <cell r="AT1909" t="str">
            <v>PERLAZA MUÑOZ DOLORES EULOFIA</v>
          </cell>
        </row>
        <row r="1910">
          <cell r="C1910" t="str">
            <v>0801601790</v>
          </cell>
          <cell r="AT1910" t="str">
            <v>PERLAZA MUÑOZ DOLORES EULOFIA</v>
          </cell>
        </row>
        <row r="1911">
          <cell r="C1911" t="str">
            <v>0801601790</v>
          </cell>
          <cell r="AT1911" t="str">
            <v>PERLAZA MUÑOZ DOLORES EULOFIA</v>
          </cell>
        </row>
        <row r="1912">
          <cell r="C1912" t="str">
            <v>0801601790</v>
          </cell>
          <cell r="AT1912" t="str">
            <v>PERLAZA MUÑOZ DOLORES EULOFIA</v>
          </cell>
        </row>
        <row r="1913">
          <cell r="C1913" t="str">
            <v>0801601790</v>
          </cell>
          <cell r="AT1913" t="str">
            <v>PERLAZA MUÑOZ DOLORES EULOFIA</v>
          </cell>
        </row>
        <row r="1914">
          <cell r="C1914" t="str">
            <v>0801601790</v>
          </cell>
          <cell r="AT1914" t="str">
            <v>PERLAZA MUÑOZ DOLORES EULOFIA</v>
          </cell>
        </row>
        <row r="1915">
          <cell r="C1915" t="str">
            <v>0801601790</v>
          </cell>
          <cell r="AT1915" t="str">
            <v>PERLAZA MUÑOZ DOLORES EULOFIA</v>
          </cell>
        </row>
        <row r="1916">
          <cell r="C1916" t="str">
            <v>0801601790</v>
          </cell>
          <cell r="AT1916" t="str">
            <v>PERLAZA MUÑOZ DOLORES EULOFIA</v>
          </cell>
        </row>
        <row r="1917">
          <cell r="C1917" t="str">
            <v>0801601790</v>
          </cell>
          <cell r="AT1917" t="str">
            <v>PERLAZA MUÑOZ DOLORES EULOFIA</v>
          </cell>
        </row>
        <row r="1918">
          <cell r="C1918" t="str">
            <v>0801601790</v>
          </cell>
          <cell r="AT1918" t="str">
            <v>PERLAZA MUÑOZ DOLORES EULOFIA</v>
          </cell>
        </row>
        <row r="1919">
          <cell r="C1919" t="str">
            <v>0801601790</v>
          </cell>
          <cell r="AT1919" t="str">
            <v>PERLAZA MUÑOZ DOLORES EULOFIA</v>
          </cell>
        </row>
        <row r="1920">
          <cell r="C1920" t="str">
            <v>0801601790</v>
          </cell>
          <cell r="AT1920" t="str">
            <v>PERLAZA MUÑOZ DOLORES EULOFIA</v>
          </cell>
        </row>
        <row r="1921">
          <cell r="C1921" t="str">
            <v>0801601790</v>
          </cell>
          <cell r="AT1921" t="str">
            <v>PERLAZA MUÑOZ DOLORES EULOFIA</v>
          </cell>
        </row>
        <row r="1922">
          <cell r="C1922" t="str">
            <v>0801601790</v>
          </cell>
          <cell r="AT1922" t="str">
            <v>PERLAZA MUÑOZ DOLORES EULOFIA</v>
          </cell>
        </row>
        <row r="1923">
          <cell r="C1923" t="str">
            <v>0801601790</v>
          </cell>
          <cell r="AT1923" t="str">
            <v>PERLAZA MUÑOZ DOLORES EULOFIA</v>
          </cell>
        </row>
        <row r="1924">
          <cell r="C1924" t="str">
            <v>0801601790</v>
          </cell>
          <cell r="AT1924" t="str">
            <v>PERLAZA MUÑOZ DOLORES EULOFIA</v>
          </cell>
        </row>
        <row r="1925">
          <cell r="C1925" t="str">
            <v>0801601790</v>
          </cell>
          <cell r="AT1925" t="str">
            <v>PERLAZA MUÑOZ DOLORES EULOFIA</v>
          </cell>
        </row>
        <row r="1926">
          <cell r="C1926" t="str">
            <v>0801601790</v>
          </cell>
          <cell r="AT1926" t="str">
            <v>PERLAZA MUÑOZ DOLORES EULOFIA</v>
          </cell>
        </row>
        <row r="1927">
          <cell r="C1927" t="str">
            <v>0801601790</v>
          </cell>
          <cell r="AT1927" t="str">
            <v>PERLAZA MUÑOZ DOLORES EULOFIA</v>
          </cell>
        </row>
        <row r="1928">
          <cell r="C1928" t="str">
            <v>0801601790</v>
          </cell>
          <cell r="AT1928" t="str">
            <v>PERLAZA MUÑOZ DOLORES EULOFIA</v>
          </cell>
        </row>
        <row r="1929">
          <cell r="C1929" t="str">
            <v>0801601790</v>
          </cell>
          <cell r="AT1929" t="str">
            <v>PERLAZA MUÑOZ DOLORES EULOFIA</v>
          </cell>
        </row>
        <row r="1930">
          <cell r="C1930" t="str">
            <v>0801601790</v>
          </cell>
          <cell r="AT1930" t="str">
            <v>PERLAZA MUÑOZ DOLORES EULOFIA</v>
          </cell>
        </row>
        <row r="1931">
          <cell r="C1931" t="str">
            <v>0801601790</v>
          </cell>
          <cell r="AT1931" t="str">
            <v>PERLAZA MUÑOZ DOLORES EULOFIA</v>
          </cell>
        </row>
        <row r="1932">
          <cell r="C1932" t="str">
            <v>0801601790</v>
          </cell>
          <cell r="AT1932" t="str">
            <v>PERLAZA MUÑOZ DOLORES EULOFIA</v>
          </cell>
        </row>
        <row r="1933">
          <cell r="C1933" t="str">
            <v>0801601790</v>
          </cell>
          <cell r="AT1933" t="str">
            <v>PERLAZA MUÑOZ DOLORES EULOFIA</v>
          </cell>
        </row>
        <row r="1934">
          <cell r="C1934" t="str">
            <v>0801601790</v>
          </cell>
          <cell r="AT1934" t="str">
            <v>PERLAZA MUÑOZ DOLORES EULOFIA</v>
          </cell>
        </row>
        <row r="1935">
          <cell r="C1935" t="str">
            <v>0801601790</v>
          </cell>
          <cell r="AT1935" t="str">
            <v>PERLAZA MUÑOZ DOLORES EULOFIA</v>
          </cell>
        </row>
        <row r="1936">
          <cell r="C1936" t="str">
            <v>0801601790</v>
          </cell>
          <cell r="AT1936" t="str">
            <v>PERLAZA MUÑOZ DOLORES EULOFIA</v>
          </cell>
        </row>
        <row r="1937">
          <cell r="C1937" t="str">
            <v>0801601790</v>
          </cell>
          <cell r="AT1937" t="str">
            <v>PERLAZA MUÑOZ DOLORES EULOFIA</v>
          </cell>
        </row>
        <row r="1938">
          <cell r="C1938" t="str">
            <v>0801601790</v>
          </cell>
          <cell r="AT1938" t="str">
            <v>PERLAZA MUÑOZ DOLORES EULOFIA</v>
          </cell>
        </row>
        <row r="1939">
          <cell r="C1939" t="str">
            <v>0801601790</v>
          </cell>
          <cell r="AT1939" t="str">
            <v>PERLAZA MUÑOZ DOLORES EULOFIA</v>
          </cell>
        </row>
        <row r="1940">
          <cell r="C1940" t="str">
            <v>0801601790</v>
          </cell>
          <cell r="AT1940" t="str">
            <v>PERLAZA MUÑOZ DOLORES EULOFIA</v>
          </cell>
        </row>
        <row r="1941">
          <cell r="C1941" t="str">
            <v>0801601790</v>
          </cell>
          <cell r="AT1941" t="str">
            <v>PERLAZA MUÑOZ DOLORES EULOFIA</v>
          </cell>
        </row>
        <row r="1942">
          <cell r="C1942" t="str">
            <v>0801601790</v>
          </cell>
          <cell r="AT1942" t="str">
            <v>PERLAZA MUÑOZ DOLORES EULOFIA</v>
          </cell>
        </row>
        <row r="1943">
          <cell r="C1943" t="str">
            <v>0801601790</v>
          </cell>
          <cell r="AT1943" t="str">
            <v>PERLAZA MUÑOZ DOLORES EULOFIA</v>
          </cell>
        </row>
        <row r="1944">
          <cell r="C1944" t="str">
            <v>0801601790</v>
          </cell>
          <cell r="AT1944" t="str">
            <v>PERLAZA MUÑOZ DOLORES EULOFIA</v>
          </cell>
        </row>
        <row r="1945">
          <cell r="C1945" t="str">
            <v>0801601790</v>
          </cell>
          <cell r="AT1945" t="str">
            <v>PERLAZA MUÑOZ DOLORES EULOFIA</v>
          </cell>
        </row>
        <row r="1946">
          <cell r="C1946" t="str">
            <v>0801601790</v>
          </cell>
          <cell r="AT1946" t="str">
            <v>PERLAZA MUÑOZ DOLORES EULOFIA</v>
          </cell>
        </row>
        <row r="1947">
          <cell r="C1947" t="str">
            <v>0801601790</v>
          </cell>
          <cell r="AT1947" t="str">
            <v>PERLAZA MUÑOZ DOLORES EULOFIA</v>
          </cell>
        </row>
        <row r="1948">
          <cell r="C1948" t="str">
            <v>0801601790</v>
          </cell>
          <cell r="AT1948" t="str">
            <v>PERLAZA MUÑOZ DOLORES EULOFIA</v>
          </cell>
        </row>
        <row r="1949">
          <cell r="C1949" t="str">
            <v>0801601790</v>
          </cell>
          <cell r="AT1949" t="str">
            <v>PERLAZA MUÑOZ DOLORES EULOFIA</v>
          </cell>
        </row>
        <row r="1950">
          <cell r="C1950" t="str">
            <v>0801601790</v>
          </cell>
          <cell r="AT1950" t="str">
            <v>PERLAZA MUÑOZ DOLORES EULOFIA</v>
          </cell>
        </row>
        <row r="1951">
          <cell r="C1951" t="str">
            <v>0801601790</v>
          </cell>
          <cell r="AT1951" t="str">
            <v>PERLAZA MUÑOZ DOLORES EULOFIA</v>
          </cell>
        </row>
        <row r="1952">
          <cell r="C1952" t="str">
            <v>0915138614</v>
          </cell>
          <cell r="AT1952" t="str">
            <v>PERLAZA RODRIGUEZ MARJORIE KATHERINE</v>
          </cell>
        </row>
        <row r="1953">
          <cell r="C1953" t="str">
            <v>0915138614</v>
          </cell>
          <cell r="AT1953" t="str">
            <v>PERLAZA RODRIGUEZ MARJORIE KATHERINE</v>
          </cell>
        </row>
        <row r="1954">
          <cell r="C1954" t="str">
            <v>0915138614</v>
          </cell>
          <cell r="AT1954" t="str">
            <v>PERLAZA RODRIGUEZ MARJORIE KATHERINE</v>
          </cell>
        </row>
        <row r="1955">
          <cell r="C1955" t="str">
            <v>0915138614</v>
          </cell>
          <cell r="AT1955" t="str">
            <v>PERLAZA RODRIGUEZ MARJORIE KATHERINE</v>
          </cell>
        </row>
        <row r="1956">
          <cell r="C1956" t="str">
            <v>0915138614</v>
          </cell>
          <cell r="AT1956" t="str">
            <v>PERLAZA RODRIGUEZ MARJORIE KATHERINE</v>
          </cell>
        </row>
        <row r="1957">
          <cell r="C1957" t="str">
            <v>0915138614</v>
          </cell>
          <cell r="AT1957" t="str">
            <v>PERLAZA RODRIGUEZ MARJORIE KATHERINE</v>
          </cell>
        </row>
        <row r="1958">
          <cell r="C1958" t="str">
            <v>0915138614</v>
          </cell>
          <cell r="AT1958" t="str">
            <v>PERLAZA RODRIGUEZ MARJORIE KATHERINE</v>
          </cell>
        </row>
        <row r="1959">
          <cell r="C1959" t="str">
            <v>0915138614</v>
          </cell>
          <cell r="AT1959" t="str">
            <v>PERLAZA RODRIGUEZ MARJORIE KATHERINE</v>
          </cell>
        </row>
        <row r="1960">
          <cell r="C1960" t="str">
            <v>0915138614</v>
          </cell>
          <cell r="AT1960" t="str">
            <v>PERLAZA RODRIGUEZ MARJORIE KATHERINE</v>
          </cell>
        </row>
        <row r="1961">
          <cell r="C1961" t="str">
            <v>0915138614</v>
          </cell>
          <cell r="AT1961" t="str">
            <v>PERLAZA RODRIGUEZ MARJORIE KATHERINE</v>
          </cell>
        </row>
        <row r="1962">
          <cell r="C1962" t="str">
            <v>0915138614</v>
          </cell>
          <cell r="AT1962" t="str">
            <v>PERLAZA RODRIGUEZ MARJORIE KATHERINE</v>
          </cell>
        </row>
        <row r="1963">
          <cell r="C1963" t="str">
            <v>0915138614</v>
          </cell>
          <cell r="AT1963" t="str">
            <v>PERLAZA RODRIGUEZ MARJORIE KATHERINE</v>
          </cell>
        </row>
        <row r="1964">
          <cell r="C1964" t="str">
            <v>0915138614</v>
          </cell>
          <cell r="AT1964" t="str">
            <v>PERLAZA RODRIGUEZ MARJORIE KATHERINE</v>
          </cell>
        </row>
        <row r="1965">
          <cell r="C1965" t="str">
            <v>0915138614</v>
          </cell>
          <cell r="AT1965" t="str">
            <v>PERLAZA RODRIGUEZ MARJORIE KATHERINE</v>
          </cell>
        </row>
        <row r="1966">
          <cell r="C1966" t="str">
            <v>0915138614</v>
          </cell>
          <cell r="AT1966" t="str">
            <v>PERLAZA RODRIGUEZ MARJORIE KATHERINE</v>
          </cell>
        </row>
        <row r="1967">
          <cell r="C1967" t="str">
            <v>0915138614</v>
          </cell>
          <cell r="AT1967" t="str">
            <v>PERLAZA RODRIGUEZ MARJORIE KATHERINE</v>
          </cell>
        </row>
        <row r="1968">
          <cell r="C1968" t="str">
            <v>0915138614</v>
          </cell>
          <cell r="AT1968" t="str">
            <v>PERLAZA RODRIGUEZ MARJORIE KATHERINE</v>
          </cell>
        </row>
        <row r="1969">
          <cell r="C1969" t="str">
            <v>0915138614</v>
          </cell>
          <cell r="AT1969" t="str">
            <v>PERLAZA RODRIGUEZ MARJORIE KATHERINE</v>
          </cell>
        </row>
        <row r="1970">
          <cell r="C1970" t="str">
            <v>0915138614</v>
          </cell>
          <cell r="AT1970" t="str">
            <v>PERLAZA RODRIGUEZ MARJORIE KATHERINE</v>
          </cell>
        </row>
        <row r="1971">
          <cell r="C1971" t="str">
            <v>0915138614</v>
          </cell>
          <cell r="AT1971" t="str">
            <v>PERLAZA RODRIGUEZ MARJORIE KATHERINE</v>
          </cell>
        </row>
        <row r="1972">
          <cell r="C1972" t="str">
            <v>0915138614</v>
          </cell>
          <cell r="AT1972" t="str">
            <v>PERLAZA RODRIGUEZ MARJORIE KATHERINE</v>
          </cell>
        </row>
        <row r="1973">
          <cell r="C1973" t="str">
            <v>0915138614</v>
          </cell>
          <cell r="AT1973" t="str">
            <v>PERLAZA RODRIGUEZ MARJORIE KATHERINE</v>
          </cell>
        </row>
        <row r="1974">
          <cell r="C1974" t="str">
            <v>0915138614</v>
          </cell>
          <cell r="AT1974" t="str">
            <v>PERLAZA RODRIGUEZ MARJORIE KATHERINE</v>
          </cell>
        </row>
        <row r="1975">
          <cell r="C1975" t="str">
            <v>0915138614</v>
          </cell>
          <cell r="AT1975" t="str">
            <v>PERLAZA RODRIGUEZ MARJORIE KATHERINE</v>
          </cell>
        </row>
        <row r="1976">
          <cell r="C1976" t="str">
            <v>0915138614</v>
          </cell>
          <cell r="AT1976" t="str">
            <v>PERLAZA RODRIGUEZ MARJORIE KATHERINE</v>
          </cell>
        </row>
        <row r="1977">
          <cell r="C1977" t="str">
            <v>0915138614</v>
          </cell>
          <cell r="AT1977" t="str">
            <v>PERLAZA RODRIGUEZ MARJORIE KATHERINE</v>
          </cell>
        </row>
        <row r="1978">
          <cell r="C1978" t="str">
            <v>0915138614</v>
          </cell>
          <cell r="AT1978" t="str">
            <v>PERLAZA RODRIGUEZ MARJORIE KATHERINE</v>
          </cell>
        </row>
        <row r="1979">
          <cell r="C1979" t="str">
            <v>0915138614</v>
          </cell>
          <cell r="AT1979" t="str">
            <v>PERLAZA RODRIGUEZ MARJORIE KATHERINE</v>
          </cell>
        </row>
        <row r="1980">
          <cell r="C1980" t="str">
            <v>0915138614</v>
          </cell>
          <cell r="AT1980" t="str">
            <v>PERLAZA RODRIGUEZ MARJORIE KATHERINE</v>
          </cell>
        </row>
        <row r="1981">
          <cell r="C1981" t="str">
            <v>0915138614</v>
          </cell>
          <cell r="AT1981" t="str">
            <v>PERLAZA RODRIGUEZ MARJORIE KATHERINE</v>
          </cell>
        </row>
        <row r="1982">
          <cell r="C1982" t="str">
            <v>0915138614</v>
          </cell>
          <cell r="AT1982" t="str">
            <v>PERLAZA RODRIGUEZ MARJORIE KATHERINE</v>
          </cell>
        </row>
        <row r="1983">
          <cell r="C1983" t="str">
            <v>0915138614</v>
          </cell>
          <cell r="AT1983" t="str">
            <v>PERLAZA RODRIGUEZ MARJORIE KATHERINE</v>
          </cell>
        </row>
        <row r="1984">
          <cell r="C1984" t="str">
            <v>0915138614</v>
          </cell>
          <cell r="AT1984" t="str">
            <v>PERLAZA RODRIGUEZ MARJORIE KATHERINE</v>
          </cell>
        </row>
        <row r="1985">
          <cell r="C1985" t="str">
            <v>0915138614</v>
          </cell>
          <cell r="AT1985" t="str">
            <v>PERLAZA RODRIGUEZ MARJORIE KATHERINE</v>
          </cell>
        </row>
        <row r="1986">
          <cell r="C1986" t="str">
            <v>0915138614</v>
          </cell>
          <cell r="AT1986" t="str">
            <v>PERLAZA RODRIGUEZ MARJORIE KATHERINE</v>
          </cell>
        </row>
        <row r="1987">
          <cell r="C1987" t="str">
            <v>0915138614</v>
          </cell>
          <cell r="AT1987" t="str">
            <v>PERLAZA RODRIGUEZ MARJORIE KATHERINE</v>
          </cell>
        </row>
        <row r="1988">
          <cell r="C1988" t="str">
            <v>0915138614</v>
          </cell>
          <cell r="AT1988" t="str">
            <v>PERLAZA RODRIGUEZ MARJORIE KATHERINE</v>
          </cell>
        </row>
        <row r="1989">
          <cell r="C1989" t="str">
            <v>0915138614</v>
          </cell>
          <cell r="AT1989" t="str">
            <v>PERLAZA RODRIGUEZ MARJORIE KATHERINE</v>
          </cell>
        </row>
        <row r="1990">
          <cell r="C1990" t="str">
            <v>0915138614</v>
          </cell>
          <cell r="AT1990" t="str">
            <v>PERLAZA RODRIGUEZ MARJORIE KATHERINE</v>
          </cell>
        </row>
        <row r="1991">
          <cell r="C1991" t="str">
            <v>0915138614</v>
          </cell>
          <cell r="AT1991" t="str">
            <v>PERLAZA RODRIGUEZ MARJORIE KATHERINE</v>
          </cell>
        </row>
        <row r="1992">
          <cell r="C1992" t="str">
            <v>0915138614</v>
          </cell>
          <cell r="AT1992" t="str">
            <v>PERLAZA RODRIGUEZ MARJORIE KATHERINE</v>
          </cell>
        </row>
        <row r="1993">
          <cell r="C1993" t="str">
            <v>0915138614</v>
          </cell>
          <cell r="AT1993" t="str">
            <v>PERLAZA RODRIGUEZ MARJORIE KATHERINE</v>
          </cell>
        </row>
        <row r="1994">
          <cell r="C1994" t="str">
            <v>0915138614</v>
          </cell>
          <cell r="AT1994" t="str">
            <v>PERLAZA RODRIGUEZ MARJORIE KATHERINE</v>
          </cell>
        </row>
        <row r="1995">
          <cell r="C1995" t="str">
            <v>0915138614</v>
          </cell>
          <cell r="AT1995" t="str">
            <v>PERLAZA RODRIGUEZ MARJORIE KATHERINE</v>
          </cell>
        </row>
        <row r="1996">
          <cell r="C1996" t="str">
            <v>0915138614</v>
          </cell>
          <cell r="AT1996" t="str">
            <v>PERLAZA RODRIGUEZ MARJORIE KATHERINE</v>
          </cell>
        </row>
        <row r="1997">
          <cell r="C1997" t="str">
            <v>0915138614</v>
          </cell>
          <cell r="AT1997" t="str">
            <v>PERLAZA RODRIGUEZ MARJORIE KATHERINE</v>
          </cell>
        </row>
        <row r="1998">
          <cell r="C1998" t="str">
            <v>0915138614</v>
          </cell>
          <cell r="AT1998" t="str">
            <v>PERLAZA RODRIGUEZ MARJORIE KATHERINE</v>
          </cell>
        </row>
        <row r="1999">
          <cell r="C1999" t="str">
            <v>0802616730</v>
          </cell>
          <cell r="AT1999" t="str">
            <v>PICO VALENCIA PABLO ANTONIO</v>
          </cell>
        </row>
        <row r="2000">
          <cell r="C2000" t="str">
            <v>0802616730</v>
          </cell>
          <cell r="AT2000" t="str">
            <v>PICO VALENCIA PABLO ANTONIO</v>
          </cell>
        </row>
        <row r="2001">
          <cell r="C2001" t="str">
            <v>0802616730</v>
          </cell>
          <cell r="AT2001" t="str">
            <v>PICO VALENCIA PABLO ANTONIO</v>
          </cell>
        </row>
        <row r="2002">
          <cell r="C2002" t="str">
            <v>0802616730</v>
          </cell>
          <cell r="AT2002" t="str">
            <v>PICO VALENCIA PABLO ANTONIO</v>
          </cell>
        </row>
        <row r="2003">
          <cell r="C2003" t="str">
            <v>0802616730</v>
          </cell>
          <cell r="AT2003" t="str">
            <v>PICO VALENCIA PABLO ANTONIO</v>
          </cell>
        </row>
        <row r="2004">
          <cell r="C2004" t="str">
            <v>0802616730</v>
          </cell>
          <cell r="AT2004" t="str">
            <v>PICO VALENCIA PABLO ANTONIO</v>
          </cell>
        </row>
        <row r="2005">
          <cell r="C2005" t="str">
            <v>0802616730</v>
          </cell>
          <cell r="AT2005" t="str">
            <v>PICO VALENCIA PABLO ANTONIO</v>
          </cell>
        </row>
        <row r="2006">
          <cell r="C2006" t="str">
            <v>0802616730</v>
          </cell>
          <cell r="AT2006" t="str">
            <v>PICO VALENCIA PABLO ANTONIO</v>
          </cell>
        </row>
        <row r="2007">
          <cell r="C2007" t="str">
            <v>0802616730</v>
          </cell>
          <cell r="AT2007" t="str">
            <v>PICO VALENCIA PABLO ANTONIO</v>
          </cell>
        </row>
        <row r="2008">
          <cell r="C2008" t="str">
            <v>0802616730</v>
          </cell>
          <cell r="AT2008" t="str">
            <v>PICO VALENCIA PABLO ANTONIO</v>
          </cell>
        </row>
        <row r="2009">
          <cell r="C2009" t="str">
            <v>0801905837</v>
          </cell>
          <cell r="AT2009" t="str">
            <v>POSLIGUA FLORES KLEBER ROLANDO</v>
          </cell>
        </row>
        <row r="2010">
          <cell r="C2010" t="str">
            <v>0801905837</v>
          </cell>
          <cell r="AT2010" t="str">
            <v>POSLIGUA FLORES KLEBER ROLANDO</v>
          </cell>
        </row>
        <row r="2011">
          <cell r="C2011" t="str">
            <v>0801905837</v>
          </cell>
          <cell r="AT2011" t="str">
            <v>POSLIGUA FLORES KLEBER ROLANDO</v>
          </cell>
        </row>
        <row r="2012">
          <cell r="C2012" t="str">
            <v>0801905837</v>
          </cell>
          <cell r="AT2012" t="str">
            <v>POSLIGUA FLORES KLEBER ROLANDO</v>
          </cell>
        </row>
        <row r="2013">
          <cell r="C2013" t="str">
            <v>0801905837</v>
          </cell>
          <cell r="AT2013" t="str">
            <v>POSLIGUA FLORES KLEBER ROLANDO</v>
          </cell>
        </row>
        <row r="2014">
          <cell r="C2014" t="str">
            <v>0801905837</v>
          </cell>
          <cell r="AT2014" t="str">
            <v>POSLIGUA FLORES KLEBER ROLANDO</v>
          </cell>
        </row>
        <row r="2015">
          <cell r="C2015" t="str">
            <v>0801905837</v>
          </cell>
          <cell r="AT2015" t="str">
            <v>POSLIGUA FLORES KLEBER ROLANDO</v>
          </cell>
        </row>
        <row r="2016">
          <cell r="C2016" t="str">
            <v>0801905837</v>
          </cell>
          <cell r="AT2016" t="str">
            <v>POSLIGUA FLORES KLEBER ROLANDO</v>
          </cell>
        </row>
        <row r="2017">
          <cell r="C2017" t="str">
            <v>0801905837</v>
          </cell>
          <cell r="AT2017" t="str">
            <v>POSLIGUA FLORES KLEBER ROLANDO</v>
          </cell>
        </row>
        <row r="2018">
          <cell r="C2018" t="str">
            <v>0801905837</v>
          </cell>
          <cell r="AT2018" t="str">
            <v>POSLIGUA FLORES KLEBER ROLANDO</v>
          </cell>
        </row>
        <row r="2019">
          <cell r="C2019" t="str">
            <v>0801905837</v>
          </cell>
          <cell r="AT2019" t="str">
            <v>POSLIGUA FLORES KLEBER ROLANDO</v>
          </cell>
        </row>
        <row r="2020">
          <cell r="C2020" t="str">
            <v>0801905837</v>
          </cell>
          <cell r="AT2020" t="str">
            <v>POSLIGUA FLORES KLEBER ROLANDO</v>
          </cell>
        </row>
        <row r="2021">
          <cell r="C2021" t="str">
            <v>0801905837</v>
          </cell>
          <cell r="AT2021" t="str">
            <v>POSLIGUA FLORES KLEBER ROLANDO</v>
          </cell>
        </row>
        <row r="2022">
          <cell r="C2022" t="str">
            <v>0801905837</v>
          </cell>
          <cell r="AT2022" t="str">
            <v>POSLIGUA FLORES KLEBER ROLANDO</v>
          </cell>
        </row>
        <row r="2023">
          <cell r="C2023" t="str">
            <v>0801905837</v>
          </cell>
          <cell r="AT2023" t="str">
            <v>POSLIGUA FLORES KLEBER ROLANDO</v>
          </cell>
        </row>
        <row r="2024">
          <cell r="C2024" t="str">
            <v>0801905837</v>
          </cell>
          <cell r="AT2024" t="str">
            <v>POSLIGUA FLORES KLEBER ROLANDO</v>
          </cell>
        </row>
        <row r="2025">
          <cell r="C2025" t="str">
            <v>0801905837</v>
          </cell>
          <cell r="AT2025" t="str">
            <v>POSLIGUA FLORES KLEBER ROLANDO</v>
          </cell>
        </row>
        <row r="2026">
          <cell r="C2026" t="str">
            <v>0801905837</v>
          </cell>
          <cell r="AT2026" t="str">
            <v>POSLIGUA FLORES KLEBER ROLANDO</v>
          </cell>
        </row>
        <row r="2027">
          <cell r="C2027" t="str">
            <v>0801905837</v>
          </cell>
          <cell r="AT2027" t="str">
            <v>POSLIGUA FLORES KLEBER ROLANDO</v>
          </cell>
        </row>
        <row r="2028">
          <cell r="C2028" t="str">
            <v>0801905837</v>
          </cell>
          <cell r="AT2028" t="str">
            <v>POSLIGUA FLORES KLEBER ROLANDO</v>
          </cell>
        </row>
        <row r="2029">
          <cell r="C2029" t="str">
            <v>0801905837</v>
          </cell>
          <cell r="AT2029" t="str">
            <v>POSLIGUA FLORES KLEBER ROLANDO</v>
          </cell>
        </row>
        <row r="2030">
          <cell r="C2030" t="str">
            <v>0801905837</v>
          </cell>
          <cell r="AT2030" t="str">
            <v>POSLIGUA FLORES KLEBER ROLANDO</v>
          </cell>
        </row>
        <row r="2031">
          <cell r="C2031" t="str">
            <v>0801905837</v>
          </cell>
          <cell r="AT2031" t="str">
            <v>POSLIGUA FLORES KLEBER ROLANDO</v>
          </cell>
        </row>
        <row r="2032">
          <cell r="C2032" t="str">
            <v>0801905837</v>
          </cell>
          <cell r="AT2032" t="str">
            <v>POSLIGUA FLORES KLEBER ROLANDO</v>
          </cell>
        </row>
        <row r="2033">
          <cell r="C2033" t="str">
            <v>0801905837</v>
          </cell>
          <cell r="AT2033" t="str">
            <v>POSLIGUA FLORES KLEBER ROLANDO</v>
          </cell>
        </row>
        <row r="2034">
          <cell r="C2034" t="str">
            <v>0801905837</v>
          </cell>
          <cell r="AT2034" t="str">
            <v>POSLIGUA FLORES KLEBER ROLANDO</v>
          </cell>
        </row>
        <row r="2035">
          <cell r="C2035" t="str">
            <v>0801905837</v>
          </cell>
          <cell r="AT2035" t="str">
            <v>POSLIGUA FLORES KLEBER ROLANDO</v>
          </cell>
        </row>
        <row r="2036">
          <cell r="C2036" t="str">
            <v>0801905837</v>
          </cell>
          <cell r="AT2036" t="str">
            <v>POSLIGUA FLORES KLEBER ROLANDO</v>
          </cell>
        </row>
        <row r="2037">
          <cell r="C2037" t="str">
            <v>0801905837</v>
          </cell>
          <cell r="AT2037" t="str">
            <v>POSLIGUA FLORES KLEBER ROLANDO</v>
          </cell>
        </row>
        <row r="2038">
          <cell r="C2038" t="str">
            <v>0801905837</v>
          </cell>
          <cell r="AT2038" t="str">
            <v>POSLIGUA FLORES KLEBER ROLANDO</v>
          </cell>
        </row>
        <row r="2039">
          <cell r="C2039" t="str">
            <v>0801905837</v>
          </cell>
          <cell r="AT2039" t="str">
            <v>POSLIGUA FLORES KLEBER ROLANDO</v>
          </cell>
        </row>
        <row r="2040">
          <cell r="C2040" t="str">
            <v>0801905837</v>
          </cell>
          <cell r="AT2040" t="str">
            <v>POSLIGUA FLORES KLEBER ROLANDO</v>
          </cell>
        </row>
        <row r="2041">
          <cell r="C2041" t="str">
            <v>0801905837</v>
          </cell>
          <cell r="AT2041" t="str">
            <v>POSLIGUA FLORES KLEBER ROLANDO</v>
          </cell>
        </row>
        <row r="2042">
          <cell r="C2042" t="str">
            <v>0801905837</v>
          </cell>
          <cell r="AT2042" t="str">
            <v>POSLIGUA FLORES KLEBER ROLANDO</v>
          </cell>
        </row>
        <row r="2043">
          <cell r="C2043" t="str">
            <v>0801905837</v>
          </cell>
          <cell r="AT2043" t="str">
            <v>POSLIGUA FLORES KLEBER ROLANDO</v>
          </cell>
        </row>
        <row r="2044">
          <cell r="C2044" t="str">
            <v>0801905837</v>
          </cell>
          <cell r="AT2044" t="str">
            <v>POSLIGUA FLORES KLEBER ROLANDO</v>
          </cell>
        </row>
        <row r="2045">
          <cell r="C2045" t="str">
            <v>0801905837</v>
          </cell>
          <cell r="AT2045" t="str">
            <v>POSLIGUA FLORES KLEBER ROLANDO</v>
          </cell>
        </row>
        <row r="2046">
          <cell r="C2046" t="str">
            <v>0801905837</v>
          </cell>
          <cell r="AT2046" t="str">
            <v>POSLIGUA FLORES KLEBER ROLANDO</v>
          </cell>
        </row>
        <row r="2047">
          <cell r="C2047" t="str">
            <v>0801905837</v>
          </cell>
          <cell r="AT2047" t="str">
            <v>POSLIGUA FLORES KLEBER ROLANDO</v>
          </cell>
        </row>
        <row r="2048">
          <cell r="C2048" t="str">
            <v>0801905837</v>
          </cell>
          <cell r="AT2048" t="str">
            <v>POSLIGUA FLORES KLEBER ROLANDO</v>
          </cell>
        </row>
        <row r="2049">
          <cell r="C2049" t="str">
            <v>0801905837</v>
          </cell>
          <cell r="AT2049" t="str">
            <v>POSLIGUA FLORES KLEBER ROLANDO</v>
          </cell>
        </row>
        <row r="2050">
          <cell r="C2050" t="str">
            <v>0801905837</v>
          </cell>
          <cell r="AT2050" t="str">
            <v>POSLIGUA FLORES KLEBER ROLANDO</v>
          </cell>
        </row>
        <row r="2051">
          <cell r="C2051" t="str">
            <v>0801905837</v>
          </cell>
          <cell r="AT2051" t="str">
            <v>POSLIGUA FLORES KLEBER ROLANDO</v>
          </cell>
        </row>
        <row r="2052">
          <cell r="C2052" t="str">
            <v>0801905837</v>
          </cell>
          <cell r="AT2052" t="str">
            <v>POSLIGUA FLORES KLEBER ROLANDO</v>
          </cell>
        </row>
        <row r="2053">
          <cell r="C2053" t="str">
            <v>0801905837</v>
          </cell>
          <cell r="AT2053" t="str">
            <v>POSLIGUA FLORES KLEBER ROLANDO</v>
          </cell>
        </row>
        <row r="2054">
          <cell r="C2054" t="str">
            <v>0801905837</v>
          </cell>
          <cell r="AT2054" t="str">
            <v>POSLIGUA FLORES KLEBER ROLANDO</v>
          </cell>
        </row>
        <row r="2055">
          <cell r="C2055" t="str">
            <v>0801905837</v>
          </cell>
          <cell r="AT2055" t="str">
            <v>POSLIGUA FLORES KLEBER ROLANDO</v>
          </cell>
        </row>
        <row r="2056">
          <cell r="C2056" t="str">
            <v>0801905837</v>
          </cell>
          <cell r="AT2056" t="str">
            <v>POSLIGUA FLORES KLEBER ROLANDO</v>
          </cell>
        </row>
        <row r="2057">
          <cell r="C2057" t="str">
            <v>0801905837</v>
          </cell>
          <cell r="AT2057" t="str">
            <v>POSLIGUA FLORES KLEBER ROLANDO</v>
          </cell>
        </row>
        <row r="2058">
          <cell r="C2058" t="str">
            <v>0801905837</v>
          </cell>
          <cell r="AT2058" t="str">
            <v>POSLIGUA FLORES KLEBER ROLANDO</v>
          </cell>
        </row>
        <row r="2059">
          <cell r="C2059" t="str">
            <v>0801905837</v>
          </cell>
          <cell r="AT2059" t="str">
            <v>POSLIGUA FLORES KLEBER ROLANDO</v>
          </cell>
        </row>
        <row r="2060">
          <cell r="C2060" t="str">
            <v>0801905837</v>
          </cell>
          <cell r="AT2060" t="str">
            <v>POSLIGUA FLORES KLEBER ROLANDO</v>
          </cell>
        </row>
        <row r="2061">
          <cell r="C2061" t="str">
            <v>0801905837</v>
          </cell>
          <cell r="AT2061" t="str">
            <v>POSLIGUA FLORES KLEBER ROLANDO</v>
          </cell>
        </row>
        <row r="2062">
          <cell r="C2062" t="str">
            <v>0801905837</v>
          </cell>
          <cell r="AT2062" t="str">
            <v>POSLIGUA FLORES KLEBER ROLANDO</v>
          </cell>
        </row>
        <row r="2063">
          <cell r="C2063" t="str">
            <v>0801905837</v>
          </cell>
          <cell r="AT2063" t="str">
            <v>POSLIGUA FLORES KLEBER ROLANDO</v>
          </cell>
        </row>
        <row r="2064">
          <cell r="C2064" t="str">
            <v>0801905837</v>
          </cell>
          <cell r="AT2064" t="str">
            <v>POSLIGUA FLORES KLEBER ROLANDO</v>
          </cell>
        </row>
        <row r="2065">
          <cell r="C2065" t="str">
            <v>0801905837</v>
          </cell>
          <cell r="AT2065" t="str">
            <v>POSLIGUA FLORES KLEBER ROLANDO</v>
          </cell>
        </row>
        <row r="2066">
          <cell r="C2066" t="str">
            <v>0801905837</v>
          </cell>
          <cell r="AT2066" t="str">
            <v>POSLIGUA FLORES KLEBER ROLANDO</v>
          </cell>
        </row>
        <row r="2067">
          <cell r="C2067" t="str">
            <v>0801905837</v>
          </cell>
          <cell r="AT2067" t="str">
            <v>POSLIGUA FLORES KLEBER ROLANDO</v>
          </cell>
        </row>
        <row r="2068">
          <cell r="C2068" t="str">
            <v>0801905837</v>
          </cell>
          <cell r="AT2068" t="str">
            <v>POSLIGUA FLORES KLEBER ROLANDO</v>
          </cell>
        </row>
        <row r="2069">
          <cell r="C2069" t="str">
            <v>0801905837</v>
          </cell>
          <cell r="AT2069" t="str">
            <v>POSLIGUA FLORES KLEBER ROLANDO</v>
          </cell>
        </row>
        <row r="2070">
          <cell r="C2070" t="str">
            <v>0801905837</v>
          </cell>
          <cell r="AT2070" t="str">
            <v>POSLIGUA FLORES KLEBER ROLANDO</v>
          </cell>
        </row>
        <row r="2071">
          <cell r="C2071" t="str">
            <v>0801905837</v>
          </cell>
          <cell r="AT2071" t="str">
            <v>POSLIGUA FLORES KLEBER ROLANDO</v>
          </cell>
        </row>
        <row r="2072">
          <cell r="C2072" t="str">
            <v>0801905837</v>
          </cell>
          <cell r="AT2072" t="str">
            <v>POSLIGUA FLORES KLEBER ROLANDO</v>
          </cell>
        </row>
        <row r="2073">
          <cell r="C2073" t="str">
            <v>0802361196</v>
          </cell>
          <cell r="AT2073" t="str">
            <v>POSLIGUA FLORES TANIA ELIZABETH</v>
          </cell>
        </row>
        <row r="2074">
          <cell r="C2074" t="str">
            <v>0802361196</v>
          </cell>
          <cell r="AT2074" t="str">
            <v>POSLIGUA FLORES TANIA ELIZABETH</v>
          </cell>
        </row>
        <row r="2075">
          <cell r="C2075" t="str">
            <v>0802361196</v>
          </cell>
          <cell r="AT2075" t="str">
            <v>POSLIGUA FLORES TANIA ELIZABETH</v>
          </cell>
        </row>
        <row r="2076">
          <cell r="C2076" t="str">
            <v>0802361196</v>
          </cell>
          <cell r="AT2076" t="str">
            <v>POSLIGUA FLORES TANIA ELIZABETH</v>
          </cell>
        </row>
        <row r="2077">
          <cell r="C2077" t="str">
            <v>0802361196</v>
          </cell>
          <cell r="AT2077" t="str">
            <v>POSLIGUA FLORES TANIA ELIZABETH</v>
          </cell>
        </row>
        <row r="2078">
          <cell r="C2078" t="str">
            <v>0802361196</v>
          </cell>
          <cell r="AT2078" t="str">
            <v>POSLIGUA FLORES TANIA ELIZABETH</v>
          </cell>
        </row>
        <row r="2079">
          <cell r="C2079" t="str">
            <v>0802361196</v>
          </cell>
          <cell r="AT2079" t="str">
            <v>POSLIGUA FLORES TANIA ELIZABETH</v>
          </cell>
        </row>
        <row r="2080">
          <cell r="C2080" t="str">
            <v>0802361196</v>
          </cell>
          <cell r="AT2080" t="str">
            <v>POSLIGUA FLORES TANIA ELIZABETH</v>
          </cell>
        </row>
        <row r="2081">
          <cell r="C2081" t="str">
            <v>0802361196</v>
          </cell>
          <cell r="AT2081" t="str">
            <v>POSLIGUA FLORES TANIA ELIZABETH</v>
          </cell>
        </row>
        <row r="2082">
          <cell r="C2082" t="str">
            <v>0802361196</v>
          </cell>
          <cell r="AT2082" t="str">
            <v>POSLIGUA FLORES TANIA ELIZABETH</v>
          </cell>
        </row>
        <row r="2083">
          <cell r="C2083" t="str">
            <v>0802361196</v>
          </cell>
          <cell r="AT2083" t="str">
            <v>POSLIGUA FLORES TANIA ELIZABETH</v>
          </cell>
        </row>
        <row r="2084">
          <cell r="C2084" t="str">
            <v>0802361196</v>
          </cell>
          <cell r="AT2084" t="str">
            <v>POSLIGUA FLORES TANIA ELIZABETH</v>
          </cell>
        </row>
        <row r="2085">
          <cell r="C2085" t="str">
            <v>0802361196</v>
          </cell>
          <cell r="AT2085" t="str">
            <v>POSLIGUA FLORES TANIA ELIZABETH</v>
          </cell>
        </row>
        <row r="2086">
          <cell r="C2086" t="str">
            <v>0802361196</v>
          </cell>
          <cell r="AT2086" t="str">
            <v>POSLIGUA FLORES TANIA ELIZABETH</v>
          </cell>
        </row>
        <row r="2087">
          <cell r="C2087" t="str">
            <v>0802361196</v>
          </cell>
          <cell r="AT2087" t="str">
            <v>POSLIGUA FLORES TANIA ELIZABETH</v>
          </cell>
        </row>
        <row r="2088">
          <cell r="C2088" t="str">
            <v>0802361196</v>
          </cell>
          <cell r="AT2088" t="str">
            <v>POSLIGUA FLORES TANIA ELIZABETH</v>
          </cell>
        </row>
        <row r="2089">
          <cell r="C2089" t="str">
            <v>0802361196</v>
          </cell>
          <cell r="AT2089" t="str">
            <v>POSLIGUA FLORES TANIA ELIZABETH</v>
          </cell>
        </row>
        <row r="2090">
          <cell r="C2090" t="str">
            <v>0801628207</v>
          </cell>
          <cell r="AT2090" t="str">
            <v>QUIÑONEZ KU VICTOR XAVIER</v>
          </cell>
        </row>
        <row r="2091">
          <cell r="C2091" t="str">
            <v>0801628207</v>
          </cell>
          <cell r="AT2091" t="str">
            <v>QUIÑONEZ KU VICTOR XAVIER</v>
          </cell>
        </row>
        <row r="2092">
          <cell r="C2092" t="str">
            <v>0801628207</v>
          </cell>
          <cell r="AT2092" t="str">
            <v>QUIÑONEZ KU VICTOR XAVIER</v>
          </cell>
        </row>
        <row r="2093">
          <cell r="C2093" t="str">
            <v>0801628207</v>
          </cell>
          <cell r="AT2093" t="str">
            <v>QUIÑONEZ KU VICTOR XAVIER</v>
          </cell>
        </row>
        <row r="2094">
          <cell r="C2094" t="str">
            <v>0801628207</v>
          </cell>
          <cell r="AT2094" t="str">
            <v>QUIÑONEZ KU VICTOR XAVIER</v>
          </cell>
        </row>
        <row r="2095">
          <cell r="C2095" t="str">
            <v>0801628207</v>
          </cell>
          <cell r="AT2095" t="str">
            <v>QUIÑONEZ KU VICTOR XAVIER</v>
          </cell>
        </row>
        <row r="2096">
          <cell r="C2096" t="str">
            <v>0801628207</v>
          </cell>
          <cell r="AT2096" t="str">
            <v>QUIÑONEZ KU VICTOR XAVIER</v>
          </cell>
        </row>
        <row r="2097">
          <cell r="C2097" t="str">
            <v>0801628207</v>
          </cell>
          <cell r="AT2097" t="str">
            <v>QUIÑONEZ KU VICTOR XAVIER</v>
          </cell>
        </row>
        <row r="2098">
          <cell r="C2098" t="str">
            <v>0801628207</v>
          </cell>
          <cell r="AT2098" t="str">
            <v>QUIÑONEZ KU VICTOR XAVIER</v>
          </cell>
        </row>
        <row r="2099">
          <cell r="C2099" t="str">
            <v>0801628207</v>
          </cell>
          <cell r="AT2099" t="str">
            <v>QUIÑONEZ KU VICTOR XAVIER</v>
          </cell>
        </row>
        <row r="2100">
          <cell r="C2100" t="str">
            <v>0801628207</v>
          </cell>
          <cell r="AT2100" t="str">
            <v>QUIÑONEZ KU VICTOR XAVIER</v>
          </cell>
        </row>
        <row r="2101">
          <cell r="C2101" t="str">
            <v>0801628207</v>
          </cell>
          <cell r="AT2101" t="str">
            <v>QUIÑONEZ KU VICTOR XAVIER</v>
          </cell>
        </row>
        <row r="2102">
          <cell r="C2102" t="str">
            <v>0801628207</v>
          </cell>
          <cell r="AT2102" t="str">
            <v>QUIÑONEZ KU VICTOR XAVIER</v>
          </cell>
        </row>
        <row r="2103">
          <cell r="C2103" t="str">
            <v>0801628207</v>
          </cell>
          <cell r="AT2103" t="str">
            <v>QUIÑONEZ KU VICTOR XAVIER</v>
          </cell>
        </row>
        <row r="2104">
          <cell r="C2104" t="str">
            <v>0801628207</v>
          </cell>
          <cell r="AT2104" t="str">
            <v>QUIÑONEZ KU VICTOR XAVIER</v>
          </cell>
        </row>
        <row r="2105">
          <cell r="C2105" t="str">
            <v>0801628207</v>
          </cell>
          <cell r="AT2105" t="str">
            <v>QUIÑONEZ KU VICTOR XAVIER</v>
          </cell>
        </row>
        <row r="2106">
          <cell r="C2106" t="str">
            <v>0801628207</v>
          </cell>
          <cell r="AT2106" t="str">
            <v>QUIÑONEZ KU VICTOR XAVIER</v>
          </cell>
        </row>
        <row r="2107">
          <cell r="C2107" t="str">
            <v>0801628207</v>
          </cell>
          <cell r="AT2107" t="str">
            <v>QUIÑONEZ KU VICTOR XAVIER</v>
          </cell>
        </row>
        <row r="2108">
          <cell r="C2108" t="str">
            <v>0801628207</v>
          </cell>
          <cell r="AT2108" t="str">
            <v>QUIÑONEZ KU VICTOR XAVIER</v>
          </cell>
        </row>
        <row r="2109">
          <cell r="C2109" t="str">
            <v>0801628207</v>
          </cell>
          <cell r="AT2109" t="str">
            <v>QUIÑONEZ KU VICTOR XAVIER</v>
          </cell>
        </row>
        <row r="2110">
          <cell r="C2110" t="str">
            <v>0801628207</v>
          </cell>
          <cell r="AT2110" t="str">
            <v>QUIÑONEZ KU VICTOR XAVIER</v>
          </cell>
        </row>
        <row r="2111">
          <cell r="C2111" t="str">
            <v>0801628207</v>
          </cell>
          <cell r="AT2111" t="str">
            <v>QUIÑONEZ KU VICTOR XAVIER</v>
          </cell>
        </row>
        <row r="2112">
          <cell r="C2112" t="str">
            <v>0801628207</v>
          </cell>
          <cell r="AT2112" t="str">
            <v>QUIÑONEZ KU VICTOR XAVIER</v>
          </cell>
        </row>
        <row r="2113">
          <cell r="C2113" t="str">
            <v>0801628207</v>
          </cell>
          <cell r="AT2113" t="str">
            <v>QUIÑONEZ KU VICTOR XAVIER</v>
          </cell>
        </row>
        <row r="2114">
          <cell r="C2114" t="str">
            <v>0801628207</v>
          </cell>
          <cell r="AT2114" t="str">
            <v>QUIÑONEZ KU VICTOR XAVIER</v>
          </cell>
        </row>
        <row r="2115">
          <cell r="C2115" t="str">
            <v>0801628207</v>
          </cell>
          <cell r="AT2115" t="str">
            <v>QUIÑONEZ KU VICTOR XAVIER</v>
          </cell>
        </row>
        <row r="2116">
          <cell r="C2116" t="str">
            <v>0801628207</v>
          </cell>
          <cell r="AT2116" t="str">
            <v>QUIÑONEZ KU VICTOR XAVIER</v>
          </cell>
        </row>
        <row r="2117">
          <cell r="C2117" t="str">
            <v>0801628207</v>
          </cell>
          <cell r="AT2117" t="str">
            <v>QUIÑONEZ KU VICTOR XAVIER</v>
          </cell>
        </row>
        <row r="2118">
          <cell r="C2118" t="str">
            <v>0801628207</v>
          </cell>
          <cell r="AT2118" t="str">
            <v>QUIÑONEZ KU VICTOR XAVIER</v>
          </cell>
        </row>
        <row r="2119">
          <cell r="C2119" t="str">
            <v>0801628207</v>
          </cell>
          <cell r="AT2119" t="str">
            <v>QUIÑONEZ KU VICTOR XAVIER</v>
          </cell>
        </row>
        <row r="2120">
          <cell r="C2120" t="str">
            <v>0801628207</v>
          </cell>
          <cell r="AT2120" t="str">
            <v>QUIÑONEZ KU VICTOR XAVIER</v>
          </cell>
        </row>
        <row r="2121">
          <cell r="C2121" t="str">
            <v>0801628207</v>
          </cell>
          <cell r="AT2121" t="str">
            <v>QUIÑONEZ KU VICTOR XAVIER</v>
          </cell>
        </row>
        <row r="2122">
          <cell r="C2122" t="str">
            <v>0801628207</v>
          </cell>
          <cell r="AT2122" t="str">
            <v>QUIÑONEZ KU VICTOR XAVIER</v>
          </cell>
        </row>
        <row r="2123">
          <cell r="C2123" t="str">
            <v>0801628207</v>
          </cell>
          <cell r="AT2123" t="str">
            <v>QUIÑONEZ KU VICTOR XAVIER</v>
          </cell>
        </row>
        <row r="2124">
          <cell r="C2124" t="str">
            <v>0801628207</v>
          </cell>
          <cell r="AT2124" t="str">
            <v>QUIÑONEZ KU VICTOR XAVIER</v>
          </cell>
        </row>
        <row r="2125">
          <cell r="C2125" t="str">
            <v>0801628207</v>
          </cell>
          <cell r="AT2125" t="str">
            <v>QUIÑONEZ KU VICTOR XAVIER</v>
          </cell>
        </row>
        <row r="2126">
          <cell r="C2126" t="str">
            <v>0801628207</v>
          </cell>
          <cell r="AT2126" t="str">
            <v>QUIÑONEZ KU VICTOR XAVIER</v>
          </cell>
        </row>
        <row r="2127">
          <cell r="C2127" t="str">
            <v>0801628207</v>
          </cell>
          <cell r="AT2127" t="str">
            <v>QUIÑONEZ KU VICTOR XAVIER</v>
          </cell>
        </row>
        <row r="2128">
          <cell r="C2128" t="str">
            <v>0802903898</v>
          </cell>
          <cell r="AT2128" t="str">
            <v>OLIVO TELLO KARLA MARÍA</v>
          </cell>
        </row>
        <row r="2129">
          <cell r="C2129" t="str">
            <v>0923131072</v>
          </cell>
          <cell r="AT2129" t="str">
            <v>ARMIJOS DE LA CRUZ BENIGNO ALFREDO</v>
          </cell>
        </row>
        <row r="2130">
          <cell r="C2130" t="str">
            <v>1721571709</v>
          </cell>
          <cell r="AT2130" t="str">
            <v>REBOLLEDO MONSALVE EDUARDO RODOLFO</v>
          </cell>
        </row>
        <row r="2131">
          <cell r="C2131" t="str">
            <v>1721571709</v>
          </cell>
          <cell r="AT2131" t="str">
            <v>REBOLLEDO MONSALVE EDUARDO RODOLFO</v>
          </cell>
        </row>
        <row r="2132">
          <cell r="C2132" t="str">
            <v>1721571709</v>
          </cell>
          <cell r="AT2132" t="str">
            <v>REBOLLEDO MONSALVE EDUARDO RODOLFO</v>
          </cell>
        </row>
        <row r="2133">
          <cell r="C2133" t="str">
            <v>1721571709</v>
          </cell>
          <cell r="AT2133" t="str">
            <v>REBOLLEDO MONSALVE EDUARDO RODOLFO</v>
          </cell>
        </row>
        <row r="2134">
          <cell r="C2134" t="str">
            <v>1721571709</v>
          </cell>
          <cell r="AT2134" t="str">
            <v>REBOLLEDO MONSALVE EDUARDO RODOLFO</v>
          </cell>
        </row>
        <row r="2135">
          <cell r="C2135" t="str">
            <v>1721571709</v>
          </cell>
          <cell r="AT2135" t="str">
            <v>REBOLLEDO MONSALVE EDUARDO RODOLFO</v>
          </cell>
        </row>
        <row r="2136">
          <cell r="C2136" t="str">
            <v>1710940196</v>
          </cell>
          <cell r="AT2136" t="str">
            <v>AROSTEGUI CAICEDO ALEXANDRA ELIZABETH</v>
          </cell>
        </row>
        <row r="2137">
          <cell r="C2137" t="str">
            <v>1709742637</v>
          </cell>
          <cell r="AT2137" t="str">
            <v>RESHETINA PLATONOVNA NATALIA BORISOVNA</v>
          </cell>
        </row>
        <row r="2138">
          <cell r="C2138" t="str">
            <v>1709742637</v>
          </cell>
          <cell r="AT2138" t="str">
            <v>RESHETINA PLATONOVNA NATALIA BORISOVNA</v>
          </cell>
        </row>
        <row r="2139">
          <cell r="C2139" t="str">
            <v>1709742637</v>
          </cell>
          <cell r="AT2139" t="str">
            <v>RESHETINA PLATONOVNA NATALIA BORISOVNA</v>
          </cell>
        </row>
        <row r="2140">
          <cell r="C2140" t="str">
            <v>1709742637</v>
          </cell>
          <cell r="AT2140" t="str">
            <v>RESHETINA PLATONOVNA NATALIA BORISOVNA</v>
          </cell>
        </row>
        <row r="2141">
          <cell r="C2141" t="str">
            <v>1709742637</v>
          </cell>
          <cell r="AT2141" t="str">
            <v>RESHETINA PLATONOVNA NATALIA BORISOVNA</v>
          </cell>
        </row>
        <row r="2142">
          <cell r="C2142" t="str">
            <v>1709742637</v>
          </cell>
          <cell r="AT2142" t="str">
            <v>RESHETINA PLATONOVNA NATALIA BORISOVNA</v>
          </cell>
        </row>
        <row r="2143">
          <cell r="C2143" t="str">
            <v>1709742637</v>
          </cell>
          <cell r="AT2143" t="str">
            <v>RESHETINA PLATONOVNA NATALIA BORISOVNA</v>
          </cell>
        </row>
        <row r="2144">
          <cell r="C2144" t="str">
            <v>1709742637</v>
          </cell>
          <cell r="AT2144" t="str">
            <v>RESHETINA PLATONOVNA NATALIA BORISOVNA</v>
          </cell>
        </row>
        <row r="2145">
          <cell r="C2145" t="str">
            <v>1709742637</v>
          </cell>
          <cell r="AT2145" t="str">
            <v>RESHETINA PLATONOVNA NATALIA BORISOVNA</v>
          </cell>
        </row>
        <row r="2146">
          <cell r="C2146" t="str">
            <v>1709742637</v>
          </cell>
          <cell r="AT2146" t="str">
            <v>RESHETINA PLATONOVNA NATALIA BORISOVNA</v>
          </cell>
        </row>
        <row r="2147">
          <cell r="C2147" t="str">
            <v>1709742637</v>
          </cell>
          <cell r="AT2147" t="str">
            <v>RESHETINA PLATONOVNA NATALIA BORISOVNA</v>
          </cell>
        </row>
        <row r="2148">
          <cell r="C2148" t="str">
            <v>1709742637</v>
          </cell>
          <cell r="AT2148" t="str">
            <v>RESHETINA PLATONOVNA NATALIA BORISOVNA</v>
          </cell>
        </row>
        <row r="2149">
          <cell r="C2149" t="str">
            <v>1709742637</v>
          </cell>
          <cell r="AT2149" t="str">
            <v>RESHETINA PLATONOVNA NATALIA BORISOVNA</v>
          </cell>
        </row>
        <row r="2150">
          <cell r="C2150" t="str">
            <v>1709742637</v>
          </cell>
          <cell r="AT2150" t="str">
            <v>RESHETINA PLATONOVNA NATALIA BORISOVNA</v>
          </cell>
        </row>
        <row r="2151">
          <cell r="C2151" t="str">
            <v>1709742637</v>
          </cell>
          <cell r="AT2151" t="str">
            <v>RESHETINA PLATONOVNA NATALIA BORISOVNA</v>
          </cell>
        </row>
        <row r="2152">
          <cell r="C2152" t="str">
            <v>1709742637</v>
          </cell>
          <cell r="AT2152" t="str">
            <v>RESHETINA PLATONOVNA NATALIA BORISOVNA</v>
          </cell>
        </row>
        <row r="2153">
          <cell r="C2153" t="str">
            <v>1709742637</v>
          </cell>
          <cell r="AT2153" t="str">
            <v>RESHETINA PLATONOVNA NATALIA BORISOVNA</v>
          </cell>
        </row>
        <row r="2154">
          <cell r="C2154" t="str">
            <v>1709742637</v>
          </cell>
          <cell r="AT2154" t="str">
            <v>RESHETINA PLATONOVNA NATALIA BORISOVNA</v>
          </cell>
        </row>
        <row r="2155">
          <cell r="C2155" t="str">
            <v>1709742637</v>
          </cell>
          <cell r="AT2155" t="str">
            <v>RESHETINA PLATONOVNA NATALIA BORISOVNA</v>
          </cell>
        </row>
        <row r="2156">
          <cell r="C2156" t="str">
            <v>1709742637</v>
          </cell>
          <cell r="AT2156" t="str">
            <v>RESHETINA PLATONOVNA NATALIA BORISOVNA</v>
          </cell>
        </row>
        <row r="2157">
          <cell r="C2157" t="str">
            <v>1709742637</v>
          </cell>
          <cell r="AT2157" t="str">
            <v>RESHETINA PLATONOVNA NATALIA BORISOVNA</v>
          </cell>
        </row>
        <row r="2158">
          <cell r="C2158" t="str">
            <v>1709742637</v>
          </cell>
          <cell r="AT2158" t="str">
            <v>RESHETINA PLATONOVNA NATALIA BORISOVNA</v>
          </cell>
        </row>
        <row r="2159">
          <cell r="C2159" t="str">
            <v>1709742637</v>
          </cell>
          <cell r="AT2159" t="str">
            <v>RESHETINA PLATONOVNA NATALIA BORISOVNA</v>
          </cell>
        </row>
        <row r="2160">
          <cell r="C2160" t="str">
            <v>1709742637</v>
          </cell>
          <cell r="AT2160" t="str">
            <v>RESHETINA PLATONOVNA NATALIA BORISOVNA</v>
          </cell>
        </row>
        <row r="2161">
          <cell r="C2161" t="str">
            <v>1709742637</v>
          </cell>
          <cell r="AT2161" t="str">
            <v>RESHETINA PLATONOVNA NATALIA BORISOVNA</v>
          </cell>
        </row>
        <row r="2162">
          <cell r="C2162" t="str">
            <v>1709742637</v>
          </cell>
          <cell r="AT2162" t="str">
            <v>RESHETINA PLATONOVNA NATALIA BORISOVNA</v>
          </cell>
        </row>
        <row r="2163">
          <cell r="C2163" t="str">
            <v>1709742637</v>
          </cell>
          <cell r="AT2163" t="str">
            <v>RESHETINA PLATONOVNA NATALIA BORISOVNA</v>
          </cell>
        </row>
        <row r="2164">
          <cell r="C2164" t="str">
            <v>1709742637</v>
          </cell>
          <cell r="AT2164" t="str">
            <v>RESHETINA PLATONOVNA NATALIA BORISOVNA</v>
          </cell>
        </row>
        <row r="2165">
          <cell r="C2165" t="str">
            <v>1709742637</v>
          </cell>
          <cell r="AT2165" t="str">
            <v>RESHETINA PLATONOVNA NATALIA BORISOVNA</v>
          </cell>
        </row>
        <row r="2166">
          <cell r="C2166" t="str">
            <v>1709742637</v>
          </cell>
          <cell r="AT2166" t="str">
            <v>RESHETINA PLATONOVNA NATALIA BORISOVNA</v>
          </cell>
        </row>
        <row r="2167">
          <cell r="C2167" t="str">
            <v>0801683863</v>
          </cell>
          <cell r="AT2167" t="str">
            <v>ARROYO MERCADO EDWIN RAÚL</v>
          </cell>
        </row>
        <row r="2168">
          <cell r="C2168" t="str">
            <v>0801466277</v>
          </cell>
          <cell r="AT2168" t="str">
            <v>REALPE VIVAS KETTY MARLENE</v>
          </cell>
        </row>
        <row r="2169">
          <cell r="C2169" t="str">
            <v>0803204882</v>
          </cell>
          <cell r="AT2169" t="str">
            <v>BALLESTEROS TORRES FRANCISCO ANDRÉS</v>
          </cell>
        </row>
        <row r="2170">
          <cell r="C2170" t="str">
            <v>0801925900</v>
          </cell>
          <cell r="AT2170" t="str">
            <v>MEDINA TAMBACO JEAN PAÚL</v>
          </cell>
        </row>
        <row r="2171">
          <cell r="C2171" t="str">
            <v>0801634304</v>
          </cell>
          <cell r="AT2171" t="str">
            <v>RODRIGUEZ MAFLA TONY WILMAR</v>
          </cell>
        </row>
        <row r="2172">
          <cell r="C2172" t="str">
            <v>0801634304</v>
          </cell>
          <cell r="AT2172" t="str">
            <v>RODRIGUEZ MAFLA TONY WILMAR</v>
          </cell>
        </row>
        <row r="2173">
          <cell r="C2173" t="str">
            <v>0801634304</v>
          </cell>
          <cell r="AT2173" t="str">
            <v>RODRIGUEZ MAFLA TONY WILMAR</v>
          </cell>
        </row>
        <row r="2174">
          <cell r="C2174" t="str">
            <v>0801634304</v>
          </cell>
          <cell r="AT2174" t="str">
            <v>RODRIGUEZ MAFLA TONY WILMAR</v>
          </cell>
        </row>
        <row r="2175">
          <cell r="C2175" t="str">
            <v>0801634304</v>
          </cell>
          <cell r="AT2175" t="str">
            <v>RODRIGUEZ MAFLA TONY WILMAR</v>
          </cell>
        </row>
        <row r="2176">
          <cell r="C2176" t="str">
            <v>0801634304</v>
          </cell>
          <cell r="AT2176" t="str">
            <v>RODRIGUEZ MAFLA TONY WILMAR</v>
          </cell>
        </row>
        <row r="2177">
          <cell r="C2177" t="str">
            <v>0801634304</v>
          </cell>
          <cell r="AT2177" t="str">
            <v>RODRIGUEZ MAFLA TONY WILMAR</v>
          </cell>
        </row>
        <row r="2178">
          <cell r="C2178" t="str">
            <v>0801634304</v>
          </cell>
          <cell r="AT2178" t="str">
            <v>RODRIGUEZ MAFLA TONY WILMAR</v>
          </cell>
        </row>
        <row r="2179">
          <cell r="C2179" t="str">
            <v>0801634304</v>
          </cell>
          <cell r="AT2179" t="str">
            <v>RODRIGUEZ MAFLA TONY WILMAR</v>
          </cell>
        </row>
        <row r="2180">
          <cell r="C2180" t="str">
            <v>0801634304</v>
          </cell>
          <cell r="AT2180" t="str">
            <v>RODRIGUEZ MAFLA TONY WILMAR</v>
          </cell>
        </row>
        <row r="2181">
          <cell r="C2181" t="str">
            <v>0801634304</v>
          </cell>
          <cell r="AT2181" t="str">
            <v>RODRIGUEZ MAFLA TONY WILMAR</v>
          </cell>
        </row>
        <row r="2182">
          <cell r="C2182" t="str">
            <v>0801634304</v>
          </cell>
          <cell r="AT2182" t="str">
            <v>RODRIGUEZ MAFLA TONY WILMAR</v>
          </cell>
        </row>
        <row r="2183">
          <cell r="C2183" t="str">
            <v>0801634304</v>
          </cell>
          <cell r="AT2183" t="str">
            <v>RODRIGUEZ MAFLA TONY WILMAR</v>
          </cell>
        </row>
        <row r="2184">
          <cell r="C2184" t="str">
            <v>0801634304</v>
          </cell>
          <cell r="AT2184" t="str">
            <v>RODRIGUEZ MAFLA TONY WILMAR</v>
          </cell>
        </row>
        <row r="2185">
          <cell r="C2185" t="str">
            <v>0801634304</v>
          </cell>
          <cell r="AT2185" t="str">
            <v>RODRIGUEZ MAFLA TONY WILMAR</v>
          </cell>
        </row>
        <row r="2186">
          <cell r="C2186" t="str">
            <v>0801634304</v>
          </cell>
          <cell r="AT2186" t="str">
            <v>RODRIGUEZ MAFLA TONY WILMAR</v>
          </cell>
        </row>
        <row r="2187">
          <cell r="C2187" t="str">
            <v>0801634304</v>
          </cell>
          <cell r="AT2187" t="str">
            <v>RODRIGUEZ MAFLA TONY WILMAR</v>
          </cell>
        </row>
        <row r="2188">
          <cell r="C2188" t="str">
            <v>0801634304</v>
          </cell>
          <cell r="AT2188" t="str">
            <v>RODRIGUEZ MAFLA TONY WILMAR</v>
          </cell>
        </row>
        <row r="2189">
          <cell r="C2189" t="str">
            <v>0801634304</v>
          </cell>
          <cell r="AT2189" t="str">
            <v>RODRIGUEZ MAFLA TONY WILMAR</v>
          </cell>
        </row>
        <row r="2190">
          <cell r="C2190" t="str">
            <v>0801634304</v>
          </cell>
          <cell r="AT2190" t="str">
            <v>RODRIGUEZ MAFLA TONY WILMAR</v>
          </cell>
        </row>
        <row r="2191">
          <cell r="C2191" t="str">
            <v>0801634304</v>
          </cell>
          <cell r="AT2191" t="str">
            <v>RODRIGUEZ MAFLA TONY WILMAR</v>
          </cell>
        </row>
        <row r="2192">
          <cell r="C2192" t="str">
            <v>0801634304</v>
          </cell>
          <cell r="AT2192" t="str">
            <v>RODRIGUEZ MAFLA TONY WILMAR</v>
          </cell>
        </row>
        <row r="2193">
          <cell r="C2193" t="str">
            <v>0801634304</v>
          </cell>
          <cell r="AT2193" t="str">
            <v>RODRIGUEZ MAFLA TONY WILMAR</v>
          </cell>
        </row>
        <row r="2194">
          <cell r="C2194" t="str">
            <v>0801634304</v>
          </cell>
          <cell r="AT2194" t="str">
            <v>RODRIGUEZ MAFLA TONY WILMAR</v>
          </cell>
        </row>
        <row r="2195">
          <cell r="C2195" t="str">
            <v>0801634304</v>
          </cell>
          <cell r="AT2195" t="str">
            <v>RODRIGUEZ MAFLA TONY WILMAR</v>
          </cell>
        </row>
        <row r="2196">
          <cell r="C2196" t="str">
            <v>0801634304</v>
          </cell>
          <cell r="AT2196" t="str">
            <v>RODRIGUEZ MAFLA TONY WILMAR</v>
          </cell>
        </row>
        <row r="2197">
          <cell r="C2197" t="str">
            <v>0801634304</v>
          </cell>
          <cell r="AT2197" t="str">
            <v>RODRIGUEZ MAFLA TONY WILMAR</v>
          </cell>
        </row>
        <row r="2198">
          <cell r="C2198" t="str">
            <v>0802931329</v>
          </cell>
          <cell r="AT2198" t="str">
            <v>ROMERO NAZARENO JOSE LUIS</v>
          </cell>
        </row>
        <row r="2199">
          <cell r="C2199" t="str">
            <v>0802931329</v>
          </cell>
          <cell r="AT2199" t="str">
            <v>ROMERO NAZARENO JOSE LUIS</v>
          </cell>
        </row>
        <row r="2200">
          <cell r="C2200" t="str">
            <v>0802931329</v>
          </cell>
          <cell r="AT2200" t="str">
            <v>ROMERO NAZARENO JOSE LUIS</v>
          </cell>
        </row>
        <row r="2201">
          <cell r="C2201" t="str">
            <v>0802931329</v>
          </cell>
          <cell r="AT2201" t="str">
            <v>ROMERO NAZARENO JOSE LUIS</v>
          </cell>
        </row>
        <row r="2202">
          <cell r="C2202" t="str">
            <v>0802931329</v>
          </cell>
          <cell r="AT2202" t="str">
            <v>ROMERO NAZARENO JOSE LUIS</v>
          </cell>
        </row>
        <row r="2203">
          <cell r="C2203" t="str">
            <v>0802931329</v>
          </cell>
          <cell r="AT2203" t="str">
            <v>ROMERO NAZARENO JOSE LUIS</v>
          </cell>
        </row>
        <row r="2204">
          <cell r="C2204" t="str">
            <v>0802931329</v>
          </cell>
          <cell r="AT2204" t="str">
            <v>ROMERO NAZARENO JOSE LUIS</v>
          </cell>
        </row>
        <row r="2205">
          <cell r="C2205" t="str">
            <v>0802931329</v>
          </cell>
          <cell r="AT2205" t="str">
            <v>ROMERO NAZARENO JOSE LUIS</v>
          </cell>
        </row>
        <row r="2206">
          <cell r="C2206" t="str">
            <v>0802931329</v>
          </cell>
          <cell r="AT2206" t="str">
            <v>ROMERO NAZARENO JOSE LUIS</v>
          </cell>
        </row>
        <row r="2207">
          <cell r="C2207" t="str">
            <v>0802931329</v>
          </cell>
          <cell r="AT2207" t="str">
            <v>ROMERO NAZARENO JOSE LUIS</v>
          </cell>
        </row>
        <row r="2208">
          <cell r="C2208" t="str">
            <v>0802931329</v>
          </cell>
          <cell r="AT2208" t="str">
            <v>ROMERO NAZARENO JOSE LUIS</v>
          </cell>
        </row>
        <row r="2209">
          <cell r="C2209" t="str">
            <v>0802931329</v>
          </cell>
          <cell r="AT2209" t="str">
            <v>ROMERO NAZARENO JOSE LUIS</v>
          </cell>
        </row>
        <row r="2210">
          <cell r="C2210" t="str">
            <v>0802931329</v>
          </cell>
          <cell r="AT2210" t="str">
            <v>ROMERO NAZARENO JOSE LUIS</v>
          </cell>
        </row>
        <row r="2211">
          <cell r="C2211" t="str">
            <v>0802931329</v>
          </cell>
          <cell r="AT2211" t="str">
            <v>ROMERO NAZARENO JOSE LUIS</v>
          </cell>
        </row>
        <row r="2212">
          <cell r="C2212" t="str">
            <v>0802931329</v>
          </cell>
          <cell r="AT2212" t="str">
            <v>ROMERO NAZARENO JOSE LUIS</v>
          </cell>
        </row>
        <row r="2213">
          <cell r="C2213" t="str">
            <v>0802931329</v>
          </cell>
          <cell r="AT2213" t="str">
            <v>ROMERO NAZARENO JOSE LUIS</v>
          </cell>
        </row>
        <row r="2214">
          <cell r="C2214" t="str">
            <v>0802931329</v>
          </cell>
          <cell r="AT2214" t="str">
            <v>ROMERO NAZARENO JOSE LUIS</v>
          </cell>
        </row>
        <row r="2215">
          <cell r="C2215" t="str">
            <v>0802931329</v>
          </cell>
          <cell r="AT2215" t="str">
            <v>ROMERO NAZARENO JOSE LUIS</v>
          </cell>
        </row>
        <row r="2216">
          <cell r="C2216" t="str">
            <v>0802931329</v>
          </cell>
          <cell r="AT2216" t="str">
            <v>ROMERO NAZARENO JOSE LUIS</v>
          </cell>
        </row>
        <row r="2217">
          <cell r="C2217" t="str">
            <v>0802931329</v>
          </cell>
          <cell r="AT2217" t="str">
            <v>ROMERO NAZARENO JOSE LUIS</v>
          </cell>
        </row>
        <row r="2218">
          <cell r="C2218" t="str">
            <v>0802931329</v>
          </cell>
          <cell r="AT2218" t="str">
            <v>ROMERO NAZARENO JOSE LUIS</v>
          </cell>
        </row>
        <row r="2219">
          <cell r="C2219" t="str">
            <v>0802931329</v>
          </cell>
          <cell r="AT2219" t="str">
            <v>ROMERO NAZARENO JOSE LUIS</v>
          </cell>
        </row>
        <row r="2220">
          <cell r="C2220" t="str">
            <v>0802931329</v>
          </cell>
          <cell r="AT2220" t="str">
            <v>ROMERO NAZARENO JOSE LUIS</v>
          </cell>
        </row>
        <row r="2221">
          <cell r="C2221" t="str">
            <v>0802931329</v>
          </cell>
          <cell r="AT2221" t="str">
            <v>ROMERO NAZARENO JOSE LUIS</v>
          </cell>
        </row>
        <row r="2222">
          <cell r="C2222" t="str">
            <v>0802931329</v>
          </cell>
          <cell r="AT2222" t="str">
            <v>ROMERO NAZARENO JOSE LUIS</v>
          </cell>
        </row>
        <row r="2223">
          <cell r="C2223" t="str">
            <v>0802931329</v>
          </cell>
          <cell r="AT2223" t="str">
            <v>ROMERO NAZARENO JOSE LUIS</v>
          </cell>
        </row>
        <row r="2224">
          <cell r="C2224" t="str">
            <v>0802931329</v>
          </cell>
          <cell r="AT2224" t="str">
            <v>ROMERO NAZARENO JOSE LUIS</v>
          </cell>
        </row>
        <row r="2225">
          <cell r="C2225" t="str">
            <v>0802931329</v>
          </cell>
          <cell r="AT2225" t="str">
            <v>ROMERO NAZARENO JOSE LUIS</v>
          </cell>
        </row>
        <row r="2226">
          <cell r="C2226" t="str">
            <v>0802931329</v>
          </cell>
          <cell r="AT2226" t="str">
            <v>ROMERO NAZARENO JOSE LUIS</v>
          </cell>
        </row>
        <row r="2227">
          <cell r="C2227" t="str">
            <v>0802931329</v>
          </cell>
          <cell r="AT2227" t="str">
            <v>ROMERO NAZARENO JOSE LUIS</v>
          </cell>
        </row>
        <row r="2228">
          <cell r="C2228" t="str">
            <v>0802931329</v>
          </cell>
          <cell r="AT2228" t="str">
            <v>ROMERO NAZARENO JOSE LUIS</v>
          </cell>
        </row>
        <row r="2229">
          <cell r="C2229" t="str">
            <v>0802931329</v>
          </cell>
          <cell r="AT2229" t="str">
            <v>ROMERO NAZARENO JOSE LUIS</v>
          </cell>
        </row>
        <row r="2230">
          <cell r="C2230" t="str">
            <v>0802931329</v>
          </cell>
          <cell r="AT2230" t="str">
            <v>ROMERO NAZARENO JOSE LUIS</v>
          </cell>
        </row>
        <row r="2231">
          <cell r="C2231" t="str">
            <v>0802931329</v>
          </cell>
          <cell r="AT2231" t="str">
            <v>ROMERO NAZARENO JOSE LUIS</v>
          </cell>
        </row>
        <row r="2232">
          <cell r="C2232" t="str">
            <v>0802931329</v>
          </cell>
          <cell r="AT2232" t="str">
            <v>ROMERO NAZARENO JOSE LUIS</v>
          </cell>
        </row>
        <row r="2233">
          <cell r="C2233" t="str">
            <v>0802931329</v>
          </cell>
          <cell r="AT2233" t="str">
            <v>ROMERO NAZARENO JOSE LUIS</v>
          </cell>
        </row>
        <row r="2234">
          <cell r="C2234" t="str">
            <v>0801772278</v>
          </cell>
          <cell r="AT2234" t="str">
            <v>SALAZAR DONOSO ELIAS HUMBERTO</v>
          </cell>
        </row>
        <row r="2235">
          <cell r="C2235" t="str">
            <v>0801772278</v>
          </cell>
          <cell r="AT2235" t="str">
            <v>SALAZAR DONOSO ELIAS HUMBERTO</v>
          </cell>
        </row>
        <row r="2236">
          <cell r="C2236" t="str">
            <v>0801772278</v>
          </cell>
          <cell r="AT2236" t="str">
            <v>SALAZAR DONOSO ELIAS HUMBERTO</v>
          </cell>
        </row>
        <row r="2237">
          <cell r="C2237" t="str">
            <v>0801772278</v>
          </cell>
          <cell r="AT2237" t="str">
            <v>SALAZAR DONOSO ELIAS HUMBERTO</v>
          </cell>
        </row>
        <row r="2238">
          <cell r="C2238" t="str">
            <v>0801772278</v>
          </cell>
          <cell r="AT2238" t="str">
            <v>SALAZAR DONOSO ELIAS HUMBERTO</v>
          </cell>
        </row>
        <row r="2239">
          <cell r="C2239" t="str">
            <v>0801772278</v>
          </cell>
          <cell r="AT2239" t="str">
            <v>SALAZAR DONOSO ELIAS HUMBERTO</v>
          </cell>
        </row>
        <row r="2240">
          <cell r="C2240" t="str">
            <v>0801772278</v>
          </cell>
          <cell r="AT2240" t="str">
            <v>SALAZAR DONOSO ELIAS HUMBERTO</v>
          </cell>
        </row>
        <row r="2241">
          <cell r="C2241" t="str">
            <v>0801772278</v>
          </cell>
          <cell r="AT2241" t="str">
            <v>SALAZAR DONOSO ELIAS HUMBERTO</v>
          </cell>
        </row>
        <row r="2242">
          <cell r="C2242" t="str">
            <v>0801772278</v>
          </cell>
          <cell r="AT2242" t="str">
            <v>SALAZAR DONOSO ELIAS HUMBERTO</v>
          </cell>
        </row>
        <row r="2243">
          <cell r="C2243" t="str">
            <v>0801772278</v>
          </cell>
          <cell r="AT2243" t="str">
            <v>SALAZAR DONOSO ELIAS HUMBERTO</v>
          </cell>
        </row>
        <row r="2244">
          <cell r="C2244" t="str">
            <v>0801772278</v>
          </cell>
          <cell r="AT2244" t="str">
            <v>SALAZAR DONOSO ELIAS HUMBERTO</v>
          </cell>
        </row>
        <row r="2245">
          <cell r="C2245" t="str">
            <v>0801772278</v>
          </cell>
          <cell r="AT2245" t="str">
            <v>SALAZAR DONOSO ELIAS HUMBERTO</v>
          </cell>
        </row>
        <row r="2246">
          <cell r="C2246" t="str">
            <v>0801772278</v>
          </cell>
          <cell r="AT2246" t="str">
            <v>SALAZAR DONOSO ELIAS HUMBERTO</v>
          </cell>
        </row>
        <row r="2247">
          <cell r="C2247" t="str">
            <v>0801772278</v>
          </cell>
          <cell r="AT2247" t="str">
            <v>SALAZAR DONOSO ELIAS HUMBERTO</v>
          </cell>
        </row>
        <row r="2248">
          <cell r="C2248" t="str">
            <v>0801772278</v>
          </cell>
          <cell r="AT2248" t="str">
            <v>SALAZAR DONOSO ELIAS HUMBERTO</v>
          </cell>
        </row>
        <row r="2249">
          <cell r="C2249" t="str">
            <v>0801998014</v>
          </cell>
          <cell r="AT2249" t="str">
            <v>SALAZAR DONOSO MARCO VINICIO</v>
          </cell>
        </row>
        <row r="2250">
          <cell r="C2250" t="str">
            <v>0801998014</v>
          </cell>
          <cell r="AT2250" t="str">
            <v>SALAZAR DONOSO MARCO VINICIO</v>
          </cell>
        </row>
        <row r="2251">
          <cell r="C2251" t="str">
            <v>0801998014</v>
          </cell>
          <cell r="AT2251" t="str">
            <v>SALAZAR DONOSO MARCO VINICIO</v>
          </cell>
        </row>
        <row r="2252">
          <cell r="C2252" t="str">
            <v>0801998014</v>
          </cell>
          <cell r="AT2252" t="str">
            <v>SALAZAR DONOSO MARCO VINICIO</v>
          </cell>
        </row>
        <row r="2253">
          <cell r="C2253" t="str">
            <v>0801998014</v>
          </cell>
          <cell r="AT2253" t="str">
            <v>SALAZAR DONOSO MARCO VINICIO</v>
          </cell>
        </row>
        <row r="2254">
          <cell r="C2254" t="str">
            <v>0801998014</v>
          </cell>
          <cell r="AT2254" t="str">
            <v>SALAZAR DONOSO MARCO VINICIO</v>
          </cell>
        </row>
        <row r="2255">
          <cell r="C2255" t="str">
            <v>0801998014</v>
          </cell>
          <cell r="AT2255" t="str">
            <v>SALAZAR DONOSO MARCO VINICIO</v>
          </cell>
        </row>
        <row r="2256">
          <cell r="C2256" t="str">
            <v>0801998014</v>
          </cell>
          <cell r="AT2256" t="str">
            <v>SALAZAR DONOSO MARCO VINICIO</v>
          </cell>
        </row>
        <row r="2257">
          <cell r="C2257" t="str">
            <v>0801998014</v>
          </cell>
          <cell r="AT2257" t="str">
            <v>SALAZAR DONOSO MARCO VINICIO</v>
          </cell>
        </row>
        <row r="2258">
          <cell r="C2258" t="str">
            <v>0801998014</v>
          </cell>
          <cell r="AT2258" t="str">
            <v>SALAZAR DONOSO MARCO VINICIO</v>
          </cell>
        </row>
        <row r="2259">
          <cell r="C2259" t="str">
            <v>0801998014</v>
          </cell>
          <cell r="AT2259" t="str">
            <v>SALAZAR DONOSO MARCO VINICIO</v>
          </cell>
        </row>
        <row r="2260">
          <cell r="C2260" t="str">
            <v>0801998014</v>
          </cell>
          <cell r="AT2260" t="str">
            <v>SALAZAR DONOSO MARCO VINICIO</v>
          </cell>
        </row>
        <row r="2261">
          <cell r="C2261" t="str">
            <v>0801998014</v>
          </cell>
          <cell r="AT2261" t="str">
            <v>SALAZAR DONOSO MARCO VINICIO</v>
          </cell>
        </row>
        <row r="2262">
          <cell r="C2262" t="str">
            <v>0801998014</v>
          </cell>
          <cell r="AT2262" t="str">
            <v>SALAZAR DONOSO MARCO VINICIO</v>
          </cell>
        </row>
        <row r="2263">
          <cell r="C2263" t="str">
            <v>0801998014</v>
          </cell>
          <cell r="AT2263" t="str">
            <v>SALAZAR DONOSO MARCO VINICIO</v>
          </cell>
        </row>
        <row r="2264">
          <cell r="C2264" t="str">
            <v>0801998014</v>
          </cell>
          <cell r="AT2264" t="str">
            <v>SALAZAR DONOSO MARCO VINICIO</v>
          </cell>
        </row>
        <row r="2265">
          <cell r="C2265" t="str">
            <v>0801713298</v>
          </cell>
          <cell r="AT2265" t="str">
            <v>SAMANIEGO GARCIA ROSA PAOLA</v>
          </cell>
        </row>
        <row r="2266">
          <cell r="C2266" t="str">
            <v>0801713298</v>
          </cell>
          <cell r="AT2266" t="str">
            <v>SAMANIEGO GARCIA ROSA PAOLA</v>
          </cell>
        </row>
        <row r="2267">
          <cell r="C2267" t="str">
            <v>0801713298</v>
          </cell>
          <cell r="AT2267" t="str">
            <v>SAMANIEGO GARCIA ROSA PAOLA</v>
          </cell>
        </row>
        <row r="2268">
          <cell r="C2268" t="str">
            <v>0801713298</v>
          </cell>
          <cell r="AT2268" t="str">
            <v>SAMANIEGO GARCIA ROSA PAOLA</v>
          </cell>
        </row>
        <row r="2269">
          <cell r="C2269" t="str">
            <v>0801713298</v>
          </cell>
          <cell r="AT2269" t="str">
            <v>SAMANIEGO GARCIA ROSA PAOLA</v>
          </cell>
        </row>
        <row r="2270">
          <cell r="C2270" t="str">
            <v>0801713298</v>
          </cell>
          <cell r="AT2270" t="str">
            <v>SAMANIEGO GARCIA ROSA PAOLA</v>
          </cell>
        </row>
        <row r="2271">
          <cell r="C2271" t="str">
            <v>0801713298</v>
          </cell>
          <cell r="AT2271" t="str">
            <v>SAMANIEGO GARCIA ROSA PAOLA</v>
          </cell>
        </row>
        <row r="2272">
          <cell r="C2272" t="str">
            <v>0801713298</v>
          </cell>
          <cell r="AT2272" t="str">
            <v>SAMANIEGO GARCIA ROSA PAOLA</v>
          </cell>
        </row>
        <row r="2273">
          <cell r="C2273" t="str">
            <v>0801713298</v>
          </cell>
          <cell r="AT2273" t="str">
            <v>SAMANIEGO GARCIA ROSA PAOLA</v>
          </cell>
        </row>
        <row r="2274">
          <cell r="C2274" t="str">
            <v>0801713298</v>
          </cell>
          <cell r="AT2274" t="str">
            <v>SAMANIEGO GARCIA ROSA PAOLA</v>
          </cell>
        </row>
        <row r="2275">
          <cell r="C2275" t="str">
            <v>0801713298</v>
          </cell>
          <cell r="AT2275" t="str">
            <v>SAMANIEGO GARCIA ROSA PAOLA</v>
          </cell>
        </row>
        <row r="2276">
          <cell r="C2276" t="str">
            <v>0803152495</v>
          </cell>
          <cell r="AT2276" t="str">
            <v>ORTEGA ANTE DANIELA ANDREA</v>
          </cell>
        </row>
        <row r="2277">
          <cell r="C2277" t="str">
            <v>0803043751</v>
          </cell>
          <cell r="AT2277" t="str">
            <v>CABALLERO MOREIRA JAIRON ADRIAN</v>
          </cell>
        </row>
        <row r="2278">
          <cell r="C2278" t="str">
            <v>0801853904</v>
          </cell>
          <cell r="AT2278" t="str">
            <v>SOLIS MURILLO MARIA DE LOURDES</v>
          </cell>
        </row>
        <row r="2279">
          <cell r="C2279" t="str">
            <v>0801853904</v>
          </cell>
          <cell r="AT2279" t="str">
            <v>SOLIS MURILLO MARIA DE LOURDES</v>
          </cell>
        </row>
        <row r="2280">
          <cell r="C2280" t="str">
            <v>0801853904</v>
          </cell>
          <cell r="AT2280" t="str">
            <v>SOLIS MURILLO MARIA DE LOURDES</v>
          </cell>
        </row>
        <row r="2281">
          <cell r="C2281" t="str">
            <v>0801853904</v>
          </cell>
          <cell r="AT2281" t="str">
            <v>SOLIS MURILLO MARIA DE LOURDES</v>
          </cell>
        </row>
        <row r="2282">
          <cell r="C2282" t="str">
            <v>0801853904</v>
          </cell>
          <cell r="AT2282" t="str">
            <v>SOLIS MURILLO MARIA DE LOURDES</v>
          </cell>
        </row>
        <row r="2283">
          <cell r="C2283" t="str">
            <v>0801853904</v>
          </cell>
          <cell r="AT2283" t="str">
            <v>SOLIS MURILLO MARIA DE LOURDES</v>
          </cell>
        </row>
        <row r="2284">
          <cell r="C2284" t="str">
            <v>0801853904</v>
          </cell>
          <cell r="AT2284" t="str">
            <v>SOLIS MURILLO MARIA DE LOURDES</v>
          </cell>
        </row>
        <row r="2285">
          <cell r="C2285" t="str">
            <v>0801853904</v>
          </cell>
          <cell r="AT2285" t="str">
            <v>SOLIS MURILLO MARIA DE LOURDES</v>
          </cell>
        </row>
        <row r="2286">
          <cell r="C2286" t="str">
            <v>0801853904</v>
          </cell>
          <cell r="AT2286" t="str">
            <v>SOLIS MURILLO MARIA DE LOURDES</v>
          </cell>
        </row>
        <row r="2287">
          <cell r="C2287" t="str">
            <v>0801853904</v>
          </cell>
          <cell r="AT2287" t="str">
            <v>SOLIS MURILLO MARIA DE LOURDES</v>
          </cell>
        </row>
        <row r="2288">
          <cell r="C2288" t="str">
            <v>0801853904</v>
          </cell>
          <cell r="AT2288" t="str">
            <v>SOLIS MURILLO MARIA DE LOURDES</v>
          </cell>
        </row>
        <row r="2289">
          <cell r="C2289" t="str">
            <v>0801853904</v>
          </cell>
          <cell r="AT2289" t="str">
            <v>SOLIS MURILLO MARIA DE LOURDES</v>
          </cell>
        </row>
        <row r="2290">
          <cell r="C2290" t="str">
            <v>0801853904</v>
          </cell>
          <cell r="AT2290" t="str">
            <v>SOLIS MURILLO MARIA DE LOURDES</v>
          </cell>
        </row>
        <row r="2291">
          <cell r="C2291" t="str">
            <v>0801853904</v>
          </cell>
          <cell r="AT2291" t="str">
            <v>SOLIS MURILLO MARIA DE LOURDES</v>
          </cell>
        </row>
        <row r="2292">
          <cell r="C2292" t="str">
            <v>0801853904</v>
          </cell>
          <cell r="AT2292" t="str">
            <v>SOLIS MURILLO MARIA DE LOURDES</v>
          </cell>
        </row>
        <row r="2293">
          <cell r="C2293" t="str">
            <v>0801853904</v>
          </cell>
          <cell r="AT2293" t="str">
            <v>SOLIS MURILLO MARIA DE LOURDES</v>
          </cell>
        </row>
        <row r="2294">
          <cell r="C2294" t="str">
            <v>0801853904</v>
          </cell>
          <cell r="AT2294" t="str">
            <v>SOLIS MURILLO MARIA DE LOURDES</v>
          </cell>
        </row>
        <row r="2295">
          <cell r="C2295" t="str">
            <v>0801853904</v>
          </cell>
          <cell r="AT2295" t="str">
            <v>SOLIS MURILLO MARIA DE LOURDES</v>
          </cell>
        </row>
        <row r="2296">
          <cell r="C2296" t="str">
            <v>0801853904</v>
          </cell>
          <cell r="AT2296" t="str">
            <v>SOLIS MURILLO MARIA DE LOURDES</v>
          </cell>
        </row>
        <row r="2297">
          <cell r="C2297" t="str">
            <v>0801853904</v>
          </cell>
          <cell r="AT2297" t="str">
            <v>SOLIS MURILLO MARIA DE LOURDES</v>
          </cell>
        </row>
        <row r="2298">
          <cell r="C2298" t="str">
            <v>0801853904</v>
          </cell>
          <cell r="AT2298" t="str">
            <v>SOLIS MURILLO MARIA DE LOURDES</v>
          </cell>
        </row>
        <row r="2299">
          <cell r="C2299" t="str">
            <v>0801853904</v>
          </cell>
          <cell r="AT2299" t="str">
            <v>SOLIS MURILLO MARIA DE LOURDES</v>
          </cell>
        </row>
        <row r="2300">
          <cell r="C2300" t="str">
            <v>0801853904</v>
          </cell>
          <cell r="AT2300" t="str">
            <v>SOLIS MURILLO MARIA DE LOURDES</v>
          </cell>
        </row>
        <row r="2301">
          <cell r="C2301" t="str">
            <v>0801853904</v>
          </cell>
          <cell r="AT2301" t="str">
            <v>SOLIS MURILLO MARIA DE LOURDES</v>
          </cell>
        </row>
        <row r="2302">
          <cell r="C2302" t="str">
            <v>0801853904</v>
          </cell>
          <cell r="AT2302" t="str">
            <v>SOLIS MURILLO MARIA DE LOURDES</v>
          </cell>
        </row>
        <row r="2303">
          <cell r="C2303" t="str">
            <v>0801853904</v>
          </cell>
          <cell r="AT2303" t="str">
            <v>SOLIS MURILLO MARIA DE LOURDES</v>
          </cell>
        </row>
        <row r="2304">
          <cell r="C2304" t="str">
            <v>0801853904</v>
          </cell>
          <cell r="AT2304" t="str">
            <v>SOLIS MURILLO MARIA DE LOURDES</v>
          </cell>
        </row>
        <row r="2305">
          <cell r="C2305" t="str">
            <v>0801853904</v>
          </cell>
          <cell r="AT2305" t="str">
            <v>SOLIS MURILLO MARIA DE LOURDES</v>
          </cell>
        </row>
        <row r="2306">
          <cell r="C2306" t="str">
            <v>0801853904</v>
          </cell>
          <cell r="AT2306" t="str">
            <v>SOLIS MURILLO MARIA DE LOURDES</v>
          </cell>
        </row>
        <row r="2307">
          <cell r="C2307" t="str">
            <v>0801853904</v>
          </cell>
          <cell r="AT2307" t="str">
            <v>SOLIS MURILLO MARIA DE LOURDES</v>
          </cell>
        </row>
        <row r="2308">
          <cell r="C2308" t="str">
            <v>0801853904</v>
          </cell>
          <cell r="AT2308" t="str">
            <v>SOLIS MURILLO MARIA DE LOURDES</v>
          </cell>
        </row>
        <row r="2309">
          <cell r="C2309" t="str">
            <v>0801853904</v>
          </cell>
          <cell r="AT2309" t="str">
            <v>SOLIS MURILLO MARIA DE LOURDES</v>
          </cell>
        </row>
        <row r="2310">
          <cell r="C2310" t="str">
            <v>0801853904</v>
          </cell>
          <cell r="AT2310" t="str">
            <v>SOLIS MURILLO MARIA DE LOURDES</v>
          </cell>
        </row>
        <row r="2311">
          <cell r="C2311" t="str">
            <v>0801853904</v>
          </cell>
          <cell r="AT2311" t="str">
            <v>SOLIS MURILLO MARIA DE LOURDES</v>
          </cell>
        </row>
        <row r="2312">
          <cell r="C2312" t="str">
            <v>0801853904</v>
          </cell>
          <cell r="AT2312" t="str">
            <v>SOLIS MURILLO MARIA DE LOURDES</v>
          </cell>
        </row>
        <row r="2313">
          <cell r="C2313" t="str">
            <v>0801853904</v>
          </cell>
          <cell r="AT2313" t="str">
            <v>SOLIS MURILLO MARIA DE LOURDES</v>
          </cell>
        </row>
        <row r="2314">
          <cell r="C2314" t="str">
            <v>0801853904</v>
          </cell>
          <cell r="AT2314" t="str">
            <v>SOLIS MURILLO MARIA DE LOURDES</v>
          </cell>
        </row>
        <row r="2315">
          <cell r="C2315" t="str">
            <v>0801853904</v>
          </cell>
          <cell r="AT2315" t="str">
            <v>SOLIS MURILLO MARIA DE LOURDES</v>
          </cell>
        </row>
        <row r="2316">
          <cell r="C2316" t="str">
            <v>0801853904</v>
          </cell>
          <cell r="AT2316" t="str">
            <v>SOLIS MURILLO MARIA DE LOURDES</v>
          </cell>
        </row>
        <row r="2317">
          <cell r="C2317" t="str">
            <v>0801853904</v>
          </cell>
          <cell r="AT2317" t="str">
            <v>SOLIS MURILLO MARIA DE LOURDES</v>
          </cell>
        </row>
        <row r="2318">
          <cell r="C2318" t="str">
            <v>0801853904</v>
          </cell>
          <cell r="AT2318" t="str">
            <v>SOLIS MURILLO MARIA DE LOURDES</v>
          </cell>
        </row>
        <row r="2319">
          <cell r="C2319" t="str">
            <v>0801853904</v>
          </cell>
          <cell r="AT2319" t="str">
            <v>SOLIS MURILLO MARIA DE LOURDES</v>
          </cell>
        </row>
        <row r="2320">
          <cell r="C2320" t="str">
            <v>0801853904</v>
          </cell>
          <cell r="AT2320" t="str">
            <v>SOLIS MURILLO MARIA DE LOURDES</v>
          </cell>
        </row>
        <row r="2321">
          <cell r="C2321" t="str">
            <v>0801853904</v>
          </cell>
          <cell r="AT2321" t="str">
            <v>SOLIS MURILLO MARIA DE LOURDES</v>
          </cell>
        </row>
        <row r="2322">
          <cell r="C2322" t="str">
            <v>0801853904</v>
          </cell>
          <cell r="AT2322" t="str">
            <v>SOLIS MURILLO MARIA DE LOURDES</v>
          </cell>
        </row>
        <row r="2323">
          <cell r="C2323" t="str">
            <v>0801853904</v>
          </cell>
          <cell r="AT2323" t="str">
            <v>SOLIS MURILLO MARIA DE LOURDES</v>
          </cell>
        </row>
        <row r="2324">
          <cell r="C2324" t="str">
            <v>0801853904</v>
          </cell>
          <cell r="AT2324" t="str">
            <v>SOLIS MURILLO MARIA DE LOURDES</v>
          </cell>
        </row>
        <row r="2325">
          <cell r="C2325" t="str">
            <v>0801853904</v>
          </cell>
          <cell r="AT2325" t="str">
            <v>SOLIS MURILLO MARIA DE LOURDES</v>
          </cell>
        </row>
        <row r="2326">
          <cell r="C2326" t="str">
            <v>0801853904</v>
          </cell>
          <cell r="AT2326" t="str">
            <v>SOLIS MURILLO MARIA DE LOURDES</v>
          </cell>
        </row>
        <row r="2327">
          <cell r="C2327" t="str">
            <v>0801853904</v>
          </cell>
          <cell r="AT2327" t="str">
            <v>SOLIS MURILLO MARIA DE LOURDES</v>
          </cell>
        </row>
        <row r="2328">
          <cell r="C2328" t="str">
            <v>0801853904</v>
          </cell>
          <cell r="AT2328" t="str">
            <v>SOLIS MURILLO MARIA DE LOURDES</v>
          </cell>
        </row>
        <row r="2329">
          <cell r="C2329" t="str">
            <v>0801853904</v>
          </cell>
          <cell r="AT2329" t="str">
            <v>SOLIS MURILLO MARIA DE LOURDES</v>
          </cell>
        </row>
        <row r="2330">
          <cell r="C2330" t="str">
            <v>0801853904</v>
          </cell>
          <cell r="AT2330" t="str">
            <v>SOLIS MURILLO MARIA DE LOURDES</v>
          </cell>
        </row>
        <row r="2331">
          <cell r="C2331" t="str">
            <v>0800850299</v>
          </cell>
          <cell r="AT2331" t="str">
            <v>TENORIO GONZABAY RODRIGO DAVID</v>
          </cell>
        </row>
        <row r="2332">
          <cell r="C2332" t="str">
            <v>0800850299</v>
          </cell>
          <cell r="AT2332" t="str">
            <v>TENORIO GONZABAY RODRIGO DAVID</v>
          </cell>
        </row>
        <row r="2333">
          <cell r="C2333" t="str">
            <v>0800850299</v>
          </cell>
          <cell r="AT2333" t="str">
            <v>TENORIO GONZABAY RODRIGO DAVID</v>
          </cell>
        </row>
        <row r="2334">
          <cell r="C2334" t="str">
            <v>0800850299</v>
          </cell>
          <cell r="AT2334" t="str">
            <v>TENORIO GONZABAY RODRIGO DAVID</v>
          </cell>
        </row>
        <row r="2335">
          <cell r="C2335" t="str">
            <v>0800850299</v>
          </cell>
          <cell r="AT2335" t="str">
            <v>TENORIO GONZABAY RODRIGO DAVID</v>
          </cell>
        </row>
        <row r="2336">
          <cell r="C2336" t="str">
            <v>0800850299</v>
          </cell>
          <cell r="AT2336" t="str">
            <v>TENORIO GONZABAY RODRIGO DAVID</v>
          </cell>
        </row>
        <row r="2337">
          <cell r="C2337" t="str">
            <v>0800850299</v>
          </cell>
          <cell r="AT2337" t="str">
            <v>TENORIO GONZABAY RODRIGO DAVID</v>
          </cell>
        </row>
        <row r="2338">
          <cell r="C2338" t="str">
            <v>0800850299</v>
          </cell>
          <cell r="AT2338" t="str">
            <v>TENORIO GONZABAY RODRIGO DAVID</v>
          </cell>
        </row>
        <row r="2339">
          <cell r="C2339" t="str">
            <v>0800626913</v>
          </cell>
          <cell r="AT2339" t="str">
            <v>TOLEDO GUTIERREZ MURAT LORENA</v>
          </cell>
        </row>
        <row r="2340">
          <cell r="C2340" t="str">
            <v>0800626913</v>
          </cell>
          <cell r="AT2340" t="str">
            <v>TOLEDO GUTIERREZ MURAT LORENA</v>
          </cell>
        </row>
        <row r="2341">
          <cell r="C2341" t="str">
            <v>0800626913</v>
          </cell>
          <cell r="AT2341" t="str">
            <v>TOLEDO GUTIERREZ MURAT LORENA</v>
          </cell>
        </row>
        <row r="2342">
          <cell r="C2342" t="str">
            <v>0800626913</v>
          </cell>
          <cell r="AT2342" t="str">
            <v>TOLEDO GUTIERREZ MURAT LORENA</v>
          </cell>
        </row>
        <row r="2343">
          <cell r="C2343" t="str">
            <v>0800626913</v>
          </cell>
          <cell r="AT2343" t="str">
            <v>TOLEDO GUTIERREZ MURAT LORENA</v>
          </cell>
        </row>
        <row r="2344">
          <cell r="C2344" t="str">
            <v>0800626913</v>
          </cell>
          <cell r="AT2344" t="str">
            <v>TOLEDO GUTIERREZ MURAT LORENA</v>
          </cell>
        </row>
        <row r="2345">
          <cell r="C2345" t="str">
            <v>0800626913</v>
          </cell>
          <cell r="AT2345" t="str">
            <v>TOLEDO GUTIERREZ MURAT LORENA</v>
          </cell>
        </row>
        <row r="2346">
          <cell r="C2346" t="str">
            <v>0800626913</v>
          </cell>
          <cell r="AT2346" t="str">
            <v>TOLEDO GUTIERREZ MURAT LORENA</v>
          </cell>
        </row>
        <row r="2347">
          <cell r="C2347" t="str">
            <v>0800626913</v>
          </cell>
          <cell r="AT2347" t="str">
            <v>TOLEDO GUTIERREZ MURAT LORENA</v>
          </cell>
        </row>
        <row r="2348">
          <cell r="C2348" t="str">
            <v>0800626913</v>
          </cell>
          <cell r="AT2348" t="str">
            <v>TOLEDO GUTIERREZ MURAT LORENA</v>
          </cell>
        </row>
        <row r="2349">
          <cell r="C2349" t="str">
            <v>0800626913</v>
          </cell>
          <cell r="AT2349" t="str">
            <v>TOLEDO GUTIERREZ MURAT LORENA</v>
          </cell>
        </row>
        <row r="2350">
          <cell r="C2350" t="str">
            <v>0800626913</v>
          </cell>
          <cell r="AT2350" t="str">
            <v>TOLEDO GUTIERREZ MURAT LORENA</v>
          </cell>
        </row>
        <row r="2351">
          <cell r="C2351" t="str">
            <v>0800626913</v>
          </cell>
          <cell r="AT2351" t="str">
            <v>TOLEDO GUTIERREZ MURAT LORENA</v>
          </cell>
        </row>
        <row r="2352">
          <cell r="C2352" t="str">
            <v>0800626913</v>
          </cell>
          <cell r="AT2352" t="str">
            <v>TOLEDO GUTIERREZ MURAT LORENA</v>
          </cell>
        </row>
        <row r="2353">
          <cell r="C2353" t="str">
            <v>0800626913</v>
          </cell>
          <cell r="AT2353" t="str">
            <v>TOLEDO GUTIERREZ MURAT LORENA</v>
          </cell>
        </row>
        <row r="2354">
          <cell r="C2354" t="str">
            <v>0800626913</v>
          </cell>
          <cell r="AT2354" t="str">
            <v>TOLEDO GUTIERREZ MURAT LORENA</v>
          </cell>
        </row>
        <row r="2355">
          <cell r="C2355" t="str">
            <v>0800626913</v>
          </cell>
          <cell r="AT2355" t="str">
            <v>TOLEDO GUTIERREZ MURAT LORENA</v>
          </cell>
        </row>
        <row r="2356">
          <cell r="C2356" t="str">
            <v>0800626913</v>
          </cell>
          <cell r="AT2356" t="str">
            <v>TOLEDO GUTIERREZ MURAT LORENA</v>
          </cell>
        </row>
        <row r="2357">
          <cell r="C2357" t="str">
            <v>0800626913</v>
          </cell>
          <cell r="AT2357" t="str">
            <v>TOLEDO GUTIERREZ MURAT LORENA</v>
          </cell>
        </row>
        <row r="2358">
          <cell r="C2358" t="str">
            <v>0800626913</v>
          </cell>
          <cell r="AT2358" t="str">
            <v>TOLEDO GUTIERREZ MURAT LORENA</v>
          </cell>
        </row>
        <row r="2359">
          <cell r="C2359" t="str">
            <v>0800626913</v>
          </cell>
          <cell r="AT2359" t="str">
            <v>TOLEDO GUTIERREZ MURAT LORENA</v>
          </cell>
        </row>
        <row r="2360">
          <cell r="C2360" t="str">
            <v>0800626913</v>
          </cell>
          <cell r="AT2360" t="str">
            <v>TOLEDO GUTIERREZ MURAT LORENA</v>
          </cell>
        </row>
        <row r="2361">
          <cell r="C2361" t="str">
            <v>0800626913</v>
          </cell>
          <cell r="AT2361" t="str">
            <v>TOLEDO GUTIERREZ MURAT LORENA</v>
          </cell>
        </row>
        <row r="2362">
          <cell r="C2362" t="str">
            <v>0800626913</v>
          </cell>
          <cell r="AT2362" t="str">
            <v>TOLEDO GUTIERREZ MURAT LORENA</v>
          </cell>
        </row>
        <row r="2363">
          <cell r="C2363" t="str">
            <v>0800626913</v>
          </cell>
          <cell r="AT2363" t="str">
            <v>TOLEDO GUTIERREZ MURAT LORENA</v>
          </cell>
        </row>
        <row r="2364">
          <cell r="C2364" t="str">
            <v>0800626913</v>
          </cell>
          <cell r="AT2364" t="str">
            <v>TOLEDO GUTIERREZ MURAT LORENA</v>
          </cell>
        </row>
        <row r="2365">
          <cell r="C2365" t="str">
            <v>0800626913</v>
          </cell>
          <cell r="AT2365" t="str">
            <v>TOLEDO GUTIERREZ MURAT LORENA</v>
          </cell>
        </row>
        <row r="2366">
          <cell r="C2366" t="str">
            <v>0800626913</v>
          </cell>
          <cell r="AT2366" t="str">
            <v>TOLEDO GUTIERREZ MURAT LORENA</v>
          </cell>
        </row>
        <row r="2367">
          <cell r="C2367" t="str">
            <v>0800626913</v>
          </cell>
          <cell r="AT2367" t="str">
            <v>TOLEDO GUTIERREZ MURAT LORENA</v>
          </cell>
        </row>
        <row r="2368">
          <cell r="C2368" t="str">
            <v>0800626913</v>
          </cell>
          <cell r="AT2368" t="str">
            <v>TOLEDO GUTIERREZ MURAT LORENA</v>
          </cell>
        </row>
        <row r="2369">
          <cell r="C2369" t="str">
            <v>0800626913</v>
          </cell>
          <cell r="AT2369" t="str">
            <v>TOLEDO GUTIERREZ MURAT LORENA</v>
          </cell>
        </row>
        <row r="2370">
          <cell r="C2370" t="str">
            <v>0800626913</v>
          </cell>
          <cell r="AT2370" t="str">
            <v>TOLEDO GUTIERREZ MURAT LORENA</v>
          </cell>
        </row>
        <row r="2371">
          <cell r="C2371" t="str">
            <v>0800626913</v>
          </cell>
          <cell r="AT2371" t="str">
            <v>TOLEDO GUTIERREZ MURAT LORENA</v>
          </cell>
        </row>
        <row r="2372">
          <cell r="C2372" t="str">
            <v>0800626913</v>
          </cell>
          <cell r="AT2372" t="str">
            <v>TOLEDO GUTIERREZ MURAT LORENA</v>
          </cell>
        </row>
        <row r="2373">
          <cell r="C2373" t="str">
            <v>0800626913</v>
          </cell>
          <cell r="AT2373" t="str">
            <v>TOLEDO GUTIERREZ MURAT LORENA</v>
          </cell>
        </row>
        <row r="2374">
          <cell r="C2374" t="str">
            <v>0800626913</v>
          </cell>
          <cell r="AT2374" t="str">
            <v>TOLEDO GUTIERREZ MURAT LORENA</v>
          </cell>
        </row>
        <row r="2375">
          <cell r="C2375" t="str">
            <v>0800626913</v>
          </cell>
          <cell r="AT2375" t="str">
            <v>TOLEDO GUTIERREZ MURAT LORENA</v>
          </cell>
        </row>
        <row r="2376">
          <cell r="C2376" t="str">
            <v>0800626913</v>
          </cell>
          <cell r="AT2376" t="str">
            <v>TOLEDO GUTIERREZ MURAT LORENA</v>
          </cell>
        </row>
        <row r="2377">
          <cell r="C2377" t="str">
            <v>0800626913</v>
          </cell>
          <cell r="AT2377" t="str">
            <v>TOLEDO GUTIERREZ MURAT LORENA</v>
          </cell>
        </row>
        <row r="2378">
          <cell r="C2378" t="str">
            <v>0800626913</v>
          </cell>
          <cell r="AT2378" t="str">
            <v>TOLEDO GUTIERREZ MURAT LORENA</v>
          </cell>
        </row>
        <row r="2379">
          <cell r="C2379" t="str">
            <v>0800626913</v>
          </cell>
          <cell r="AT2379" t="str">
            <v>TOLEDO GUTIERREZ MURAT LORENA</v>
          </cell>
        </row>
        <row r="2380">
          <cell r="C2380" t="str">
            <v>0800626913</v>
          </cell>
          <cell r="AT2380" t="str">
            <v>TOLEDO GUTIERREZ MURAT LORENA</v>
          </cell>
        </row>
        <row r="2381">
          <cell r="C2381" t="str">
            <v>0800626913</v>
          </cell>
          <cell r="AT2381" t="str">
            <v>TOLEDO GUTIERREZ MURAT LORENA</v>
          </cell>
        </row>
        <row r="2382">
          <cell r="C2382" t="str">
            <v>0800626913</v>
          </cell>
          <cell r="AT2382" t="str">
            <v>TOLEDO GUTIERREZ MURAT LORENA</v>
          </cell>
        </row>
        <row r="2383">
          <cell r="C2383" t="str">
            <v>0800626913</v>
          </cell>
          <cell r="AT2383" t="str">
            <v>TOLEDO GUTIERREZ MURAT LORENA</v>
          </cell>
        </row>
        <row r="2384">
          <cell r="C2384" t="str">
            <v>0800626913</v>
          </cell>
          <cell r="AT2384" t="str">
            <v>TOLEDO GUTIERREZ MURAT LORENA</v>
          </cell>
        </row>
        <row r="2385">
          <cell r="C2385" t="str">
            <v>0800626913</v>
          </cell>
          <cell r="AT2385" t="str">
            <v>TOLEDO GUTIERREZ MURAT LORENA</v>
          </cell>
        </row>
        <row r="2386">
          <cell r="C2386" t="str">
            <v>0800626913</v>
          </cell>
          <cell r="AT2386" t="str">
            <v>TOLEDO GUTIERREZ MURAT LORENA</v>
          </cell>
        </row>
        <row r="2387">
          <cell r="C2387" t="str">
            <v>0800626913</v>
          </cell>
          <cell r="AT2387" t="str">
            <v>TOLEDO GUTIERREZ MURAT LORENA</v>
          </cell>
        </row>
        <row r="2388">
          <cell r="C2388" t="str">
            <v>0800626913</v>
          </cell>
          <cell r="AT2388" t="str">
            <v>TOLEDO GUTIERREZ MURAT LORENA</v>
          </cell>
        </row>
        <row r="2389">
          <cell r="C2389" t="str">
            <v>0800626913</v>
          </cell>
          <cell r="AT2389" t="str">
            <v>TOLEDO GUTIERREZ MURAT LORENA</v>
          </cell>
        </row>
        <row r="2390">
          <cell r="C2390" t="str">
            <v>0800626913</v>
          </cell>
          <cell r="AT2390" t="str">
            <v>TOLEDO GUTIERREZ MURAT LORENA</v>
          </cell>
        </row>
        <row r="2391">
          <cell r="C2391" t="str">
            <v>0800626913</v>
          </cell>
          <cell r="AT2391" t="str">
            <v>TOLEDO GUTIERREZ MURAT LORENA</v>
          </cell>
        </row>
        <row r="2392">
          <cell r="C2392" t="str">
            <v>0800626913</v>
          </cell>
          <cell r="AT2392" t="str">
            <v>TOLEDO GUTIERREZ MURAT LORENA</v>
          </cell>
        </row>
        <row r="2393">
          <cell r="C2393" t="str">
            <v>0800626913</v>
          </cell>
          <cell r="AT2393" t="str">
            <v>TOLEDO GUTIERREZ MURAT LORENA</v>
          </cell>
        </row>
        <row r="2394">
          <cell r="C2394" t="str">
            <v>0800626913</v>
          </cell>
          <cell r="AT2394" t="str">
            <v>TOLEDO GUTIERREZ MURAT LORENA</v>
          </cell>
        </row>
        <row r="2395">
          <cell r="C2395" t="str">
            <v>0800626913</v>
          </cell>
          <cell r="AT2395" t="str">
            <v>TOLEDO GUTIERREZ MURAT LORENA</v>
          </cell>
        </row>
        <row r="2396">
          <cell r="C2396" t="str">
            <v>0801981432</v>
          </cell>
          <cell r="AT2396" t="str">
            <v>CAICEDO BAGÜI ALBIN ALFREDO</v>
          </cell>
        </row>
        <row r="2397">
          <cell r="C2397" t="str">
            <v>0801415126</v>
          </cell>
          <cell r="AT2397" t="str">
            <v>TORRES RODRIGUEZ MARIA TERESA</v>
          </cell>
        </row>
        <row r="2398">
          <cell r="C2398" t="str">
            <v>0801415126</v>
          </cell>
          <cell r="AT2398" t="str">
            <v>TORRES RODRIGUEZ MARIA TERESA</v>
          </cell>
        </row>
        <row r="2399">
          <cell r="C2399" t="str">
            <v>0801415126</v>
          </cell>
          <cell r="AT2399" t="str">
            <v>TORRES RODRIGUEZ MARIA TERESA</v>
          </cell>
        </row>
        <row r="2400">
          <cell r="C2400" t="str">
            <v>0801415126</v>
          </cell>
          <cell r="AT2400" t="str">
            <v>TORRES RODRIGUEZ MARIA TERESA</v>
          </cell>
        </row>
        <row r="2401">
          <cell r="C2401" t="str">
            <v>0801415126</v>
          </cell>
          <cell r="AT2401" t="str">
            <v>TORRES RODRIGUEZ MARIA TERESA</v>
          </cell>
        </row>
        <row r="2402">
          <cell r="C2402" t="str">
            <v>0801415126</v>
          </cell>
          <cell r="AT2402" t="str">
            <v>TORRES RODRIGUEZ MARIA TERESA</v>
          </cell>
        </row>
        <row r="2403">
          <cell r="C2403" t="str">
            <v>0801415126</v>
          </cell>
          <cell r="AT2403" t="str">
            <v>TORRES RODRIGUEZ MARIA TERESA</v>
          </cell>
        </row>
        <row r="2404">
          <cell r="C2404" t="str">
            <v>0801415126</v>
          </cell>
          <cell r="AT2404" t="str">
            <v>TORRES RODRIGUEZ MARIA TERESA</v>
          </cell>
        </row>
        <row r="2405">
          <cell r="C2405" t="str">
            <v>0801415126</v>
          </cell>
          <cell r="AT2405" t="str">
            <v>TORRES RODRIGUEZ MARIA TERESA</v>
          </cell>
        </row>
        <row r="2406">
          <cell r="C2406" t="str">
            <v>0801415126</v>
          </cell>
          <cell r="AT2406" t="str">
            <v>TORRES RODRIGUEZ MARIA TERESA</v>
          </cell>
        </row>
        <row r="2407">
          <cell r="C2407" t="str">
            <v>0801415126</v>
          </cell>
          <cell r="AT2407" t="str">
            <v>TORRES RODRIGUEZ MARIA TERESA</v>
          </cell>
        </row>
        <row r="2408">
          <cell r="C2408" t="str">
            <v>0801415126</v>
          </cell>
          <cell r="AT2408" t="str">
            <v>TORRES RODRIGUEZ MARIA TERESA</v>
          </cell>
        </row>
        <row r="2409">
          <cell r="C2409" t="str">
            <v>0801415126</v>
          </cell>
          <cell r="AT2409" t="str">
            <v>TORRES RODRIGUEZ MARIA TERESA</v>
          </cell>
        </row>
        <row r="2410">
          <cell r="C2410" t="str">
            <v>0801415126</v>
          </cell>
          <cell r="AT2410" t="str">
            <v>TORRES RODRIGUEZ MARIA TERESA</v>
          </cell>
        </row>
        <row r="2411">
          <cell r="C2411" t="str">
            <v>0801415126</v>
          </cell>
          <cell r="AT2411" t="str">
            <v>TORRES RODRIGUEZ MARIA TERESA</v>
          </cell>
        </row>
        <row r="2412">
          <cell r="C2412" t="str">
            <v>0801415126</v>
          </cell>
          <cell r="AT2412" t="str">
            <v>TORRES RODRIGUEZ MARIA TERESA</v>
          </cell>
        </row>
        <row r="2413">
          <cell r="C2413" t="str">
            <v>0801415126</v>
          </cell>
          <cell r="AT2413" t="str">
            <v>TORRES RODRIGUEZ MARIA TERESA</v>
          </cell>
        </row>
        <row r="2414">
          <cell r="C2414" t="str">
            <v>0801415126</v>
          </cell>
          <cell r="AT2414" t="str">
            <v>TORRES RODRIGUEZ MARIA TERESA</v>
          </cell>
        </row>
        <row r="2415">
          <cell r="C2415" t="str">
            <v>0801415126</v>
          </cell>
          <cell r="AT2415" t="str">
            <v>TORRES RODRIGUEZ MARIA TERESA</v>
          </cell>
        </row>
        <row r="2416">
          <cell r="C2416" t="str">
            <v>0801415126</v>
          </cell>
          <cell r="AT2416" t="str">
            <v>TORRES RODRIGUEZ MARIA TERESA</v>
          </cell>
        </row>
        <row r="2417">
          <cell r="C2417" t="str">
            <v>0801415126</v>
          </cell>
          <cell r="AT2417" t="str">
            <v>TORRES RODRIGUEZ MARIA TERESA</v>
          </cell>
        </row>
        <row r="2418">
          <cell r="C2418" t="str">
            <v>0801415126</v>
          </cell>
          <cell r="AT2418" t="str">
            <v>TORRES RODRIGUEZ MARIA TERESA</v>
          </cell>
        </row>
        <row r="2419">
          <cell r="C2419" t="str">
            <v>0801415126</v>
          </cell>
          <cell r="AT2419" t="str">
            <v>TORRES RODRIGUEZ MARIA TERESA</v>
          </cell>
        </row>
        <row r="2420">
          <cell r="C2420" t="str">
            <v>0801415126</v>
          </cell>
          <cell r="AT2420" t="str">
            <v>TORRES RODRIGUEZ MARIA TERESA</v>
          </cell>
        </row>
        <row r="2421">
          <cell r="C2421" t="str">
            <v>0801415126</v>
          </cell>
          <cell r="AT2421" t="str">
            <v>TORRES RODRIGUEZ MARIA TERESA</v>
          </cell>
        </row>
        <row r="2422">
          <cell r="C2422" t="str">
            <v>0801415126</v>
          </cell>
          <cell r="AT2422" t="str">
            <v>TORRES RODRIGUEZ MARIA TERESA</v>
          </cell>
        </row>
        <row r="2423">
          <cell r="C2423" t="str">
            <v>0801415126</v>
          </cell>
          <cell r="AT2423" t="str">
            <v>TORRES RODRIGUEZ MARIA TERESA</v>
          </cell>
        </row>
        <row r="2424">
          <cell r="C2424" t="str">
            <v>1707135107</v>
          </cell>
          <cell r="AT2424" t="str">
            <v>CAÑAS JACOME RICARDO RUBEN</v>
          </cell>
        </row>
        <row r="2425">
          <cell r="C2425" t="str">
            <v>0802464032</v>
          </cell>
          <cell r="AT2425" t="str">
            <v>VASQUEZ COISME LADYS DIANA</v>
          </cell>
        </row>
        <row r="2426">
          <cell r="C2426" t="str">
            <v>0802464032</v>
          </cell>
          <cell r="AT2426" t="str">
            <v>VASQUEZ COISME LADYS DIANA</v>
          </cell>
        </row>
        <row r="2427">
          <cell r="C2427" t="str">
            <v>0802464032</v>
          </cell>
          <cell r="AT2427" t="str">
            <v>VASQUEZ COISME LADYS DIANA</v>
          </cell>
        </row>
        <row r="2428">
          <cell r="C2428" t="str">
            <v>0802464032</v>
          </cell>
          <cell r="AT2428" t="str">
            <v>VASQUEZ COISME LADYS DIANA</v>
          </cell>
        </row>
        <row r="2429">
          <cell r="C2429" t="str">
            <v>0802464032</v>
          </cell>
          <cell r="AT2429" t="str">
            <v>VASQUEZ COISME LADYS DIANA</v>
          </cell>
        </row>
        <row r="2430">
          <cell r="C2430" t="str">
            <v>0802464032</v>
          </cell>
          <cell r="AT2430" t="str">
            <v>VASQUEZ COISME LADYS DIANA</v>
          </cell>
        </row>
        <row r="2431">
          <cell r="C2431" t="str">
            <v>0802464032</v>
          </cell>
          <cell r="AT2431" t="str">
            <v>VASQUEZ COISME LADYS DIANA</v>
          </cell>
        </row>
        <row r="2432">
          <cell r="C2432" t="str">
            <v>0802464032</v>
          </cell>
          <cell r="AT2432" t="str">
            <v>VASQUEZ COISME LADYS DIANA</v>
          </cell>
        </row>
        <row r="2433">
          <cell r="C2433" t="str">
            <v>0802464032</v>
          </cell>
          <cell r="AT2433" t="str">
            <v>VASQUEZ COISME LADYS DIANA</v>
          </cell>
        </row>
        <row r="2434">
          <cell r="C2434" t="str">
            <v>0802464032</v>
          </cell>
          <cell r="AT2434" t="str">
            <v>VASQUEZ COISME LADYS DIANA</v>
          </cell>
        </row>
        <row r="2435">
          <cell r="C2435" t="str">
            <v>0802464032</v>
          </cell>
          <cell r="AT2435" t="str">
            <v>VASQUEZ COISME LADYS DIANA</v>
          </cell>
        </row>
        <row r="2436">
          <cell r="C2436" t="str">
            <v>0802464032</v>
          </cell>
          <cell r="AT2436" t="str">
            <v>VASQUEZ COISME LADYS DIANA</v>
          </cell>
        </row>
        <row r="2437">
          <cell r="C2437" t="str">
            <v>0802464032</v>
          </cell>
          <cell r="AT2437" t="str">
            <v>VASQUEZ COISME LADYS DIANA</v>
          </cell>
        </row>
        <row r="2438">
          <cell r="C2438" t="str">
            <v>0802464032</v>
          </cell>
          <cell r="AT2438" t="str">
            <v>VASQUEZ COISME LADYS DIANA</v>
          </cell>
        </row>
        <row r="2439">
          <cell r="C2439" t="str">
            <v>0802464032</v>
          </cell>
          <cell r="AT2439" t="str">
            <v>VASQUEZ COISME LADYS DIANA</v>
          </cell>
        </row>
        <row r="2440">
          <cell r="C2440" t="str">
            <v>0802464032</v>
          </cell>
          <cell r="AT2440" t="str">
            <v>VASQUEZ COISME LADYS DIANA</v>
          </cell>
        </row>
        <row r="2441">
          <cell r="C2441" t="str">
            <v>0802464032</v>
          </cell>
          <cell r="AT2441" t="str">
            <v>VASQUEZ COISME LADYS DIANA</v>
          </cell>
        </row>
        <row r="2442">
          <cell r="C2442" t="str">
            <v>0802464032</v>
          </cell>
          <cell r="AT2442" t="str">
            <v>VASQUEZ COISME LADYS DIANA</v>
          </cell>
        </row>
        <row r="2443">
          <cell r="C2443" t="str">
            <v>0802464032</v>
          </cell>
          <cell r="AT2443" t="str">
            <v>VASQUEZ COISME LADYS DIANA</v>
          </cell>
        </row>
        <row r="2444">
          <cell r="C2444" t="str">
            <v>0802464032</v>
          </cell>
          <cell r="AT2444" t="str">
            <v>VASQUEZ COISME LADYS DIANA</v>
          </cell>
        </row>
        <row r="2445">
          <cell r="C2445" t="str">
            <v>0802464032</v>
          </cell>
          <cell r="AT2445" t="str">
            <v>VASQUEZ COISME LADYS DIANA</v>
          </cell>
        </row>
        <row r="2446">
          <cell r="C2446" t="str">
            <v>0802464032</v>
          </cell>
          <cell r="AT2446" t="str">
            <v>VASQUEZ COISME LADYS DIANA</v>
          </cell>
        </row>
        <row r="2447">
          <cell r="C2447" t="str">
            <v>0801574864</v>
          </cell>
          <cell r="AT2447" t="str">
            <v>VELASCO ANGULO CECILIA ESTHER</v>
          </cell>
        </row>
        <row r="2448">
          <cell r="C2448" t="str">
            <v>0801574864</v>
          </cell>
          <cell r="AT2448" t="str">
            <v>VELASCO ANGULO CECILIA ESTHER</v>
          </cell>
        </row>
        <row r="2449">
          <cell r="C2449" t="str">
            <v>0801574864</v>
          </cell>
          <cell r="AT2449" t="str">
            <v>VELASCO ANGULO CECILIA ESTHER</v>
          </cell>
        </row>
        <row r="2450">
          <cell r="C2450" t="str">
            <v>0801574864</v>
          </cell>
          <cell r="AT2450" t="str">
            <v>VELASCO ANGULO CECILIA ESTHER</v>
          </cell>
        </row>
        <row r="2451">
          <cell r="C2451" t="str">
            <v>0801574864</v>
          </cell>
          <cell r="AT2451" t="str">
            <v>VELASCO ANGULO CECILIA ESTHER</v>
          </cell>
        </row>
        <row r="2452">
          <cell r="C2452" t="str">
            <v>0801574864</v>
          </cell>
          <cell r="AT2452" t="str">
            <v>VELASCO ANGULO CECILIA ESTHER</v>
          </cell>
        </row>
        <row r="2453">
          <cell r="C2453" t="str">
            <v>0801574864</v>
          </cell>
          <cell r="AT2453" t="str">
            <v>VELASCO ANGULO CECILIA ESTHER</v>
          </cell>
        </row>
        <row r="2454">
          <cell r="C2454" t="str">
            <v>0801574864</v>
          </cell>
          <cell r="AT2454" t="str">
            <v>VELASCO ANGULO CECILIA ESTHER</v>
          </cell>
        </row>
        <row r="2455">
          <cell r="C2455" t="str">
            <v>0801574864</v>
          </cell>
          <cell r="AT2455" t="str">
            <v>VELASCO ANGULO CECILIA ESTHER</v>
          </cell>
        </row>
        <row r="2456">
          <cell r="C2456" t="str">
            <v>0801574864</v>
          </cell>
          <cell r="AT2456" t="str">
            <v>VELASCO ANGULO CECILIA ESTHER</v>
          </cell>
        </row>
        <row r="2457">
          <cell r="C2457" t="str">
            <v>0801574864</v>
          </cell>
          <cell r="AT2457" t="str">
            <v>VELASCO ANGULO CECILIA ESTHER</v>
          </cell>
        </row>
        <row r="2458">
          <cell r="C2458" t="str">
            <v>0801574864</v>
          </cell>
          <cell r="AT2458" t="str">
            <v>VELASCO ANGULO CECILIA ESTHER</v>
          </cell>
        </row>
        <row r="2459">
          <cell r="C2459" t="str">
            <v>0801574864</v>
          </cell>
          <cell r="AT2459" t="str">
            <v>VELASCO ANGULO CECILIA ESTHER</v>
          </cell>
        </row>
        <row r="2460">
          <cell r="C2460" t="str">
            <v>0801574864</v>
          </cell>
          <cell r="AT2460" t="str">
            <v>VELASCO ANGULO CECILIA ESTHER</v>
          </cell>
        </row>
        <row r="2461">
          <cell r="C2461" t="str">
            <v>0801574864</v>
          </cell>
          <cell r="AT2461" t="str">
            <v>VELASCO ANGULO CECILIA ESTHER</v>
          </cell>
        </row>
        <row r="2462">
          <cell r="C2462" t="str">
            <v>0800894586</v>
          </cell>
          <cell r="AT2462" t="str">
            <v>VERA PINARGOTE SINAY CELESTE</v>
          </cell>
        </row>
        <row r="2463">
          <cell r="C2463" t="str">
            <v>0800894586</v>
          </cell>
          <cell r="AT2463" t="str">
            <v>VERA PINARGOTE SINAY CELESTE</v>
          </cell>
        </row>
        <row r="2464">
          <cell r="C2464" t="str">
            <v>0800894586</v>
          </cell>
          <cell r="AT2464" t="str">
            <v>VERA PINARGOTE SINAY CELESTE</v>
          </cell>
        </row>
        <row r="2465">
          <cell r="C2465" t="str">
            <v>0800894586</v>
          </cell>
          <cell r="AT2465" t="str">
            <v>VERA PINARGOTE SINAY CELESTE</v>
          </cell>
        </row>
        <row r="2466">
          <cell r="C2466" t="str">
            <v>0800894586</v>
          </cell>
          <cell r="AT2466" t="str">
            <v>VERA PINARGOTE SINAY CELESTE</v>
          </cell>
        </row>
        <row r="2467">
          <cell r="C2467" t="str">
            <v>0800894586</v>
          </cell>
          <cell r="AT2467" t="str">
            <v>VERA PINARGOTE SINAY CELESTE</v>
          </cell>
        </row>
        <row r="2468">
          <cell r="C2468" t="str">
            <v>0800894586</v>
          </cell>
          <cell r="AT2468" t="str">
            <v>VERA PINARGOTE SINAY CELESTE</v>
          </cell>
        </row>
        <row r="2469">
          <cell r="C2469" t="str">
            <v>0800894586</v>
          </cell>
          <cell r="AT2469" t="str">
            <v>VERA PINARGOTE SINAY CELESTE</v>
          </cell>
        </row>
        <row r="2470">
          <cell r="C2470" t="str">
            <v>0800894586</v>
          </cell>
          <cell r="AT2470" t="str">
            <v>VERA PINARGOTE SINAY CELESTE</v>
          </cell>
        </row>
        <row r="2471">
          <cell r="C2471" t="str">
            <v>0800894586</v>
          </cell>
          <cell r="AT2471" t="str">
            <v>VERA PINARGOTE SINAY CELESTE</v>
          </cell>
        </row>
        <row r="2472">
          <cell r="C2472" t="str">
            <v>0800894586</v>
          </cell>
          <cell r="AT2472" t="str">
            <v>VERA PINARGOTE SINAY CELESTE</v>
          </cell>
        </row>
        <row r="2473">
          <cell r="C2473" t="str">
            <v>0800894586</v>
          </cell>
          <cell r="AT2473" t="str">
            <v>VERA PINARGOTE SINAY CELESTE</v>
          </cell>
        </row>
        <row r="2474">
          <cell r="C2474" t="str">
            <v>0800894586</v>
          </cell>
          <cell r="AT2474" t="str">
            <v>VERA PINARGOTE SINAY CELESTE</v>
          </cell>
        </row>
        <row r="2475">
          <cell r="C2475" t="str">
            <v>0800894586</v>
          </cell>
          <cell r="AT2475" t="str">
            <v>VERA PINARGOTE SINAY CELESTE</v>
          </cell>
        </row>
        <row r="2476">
          <cell r="C2476" t="str">
            <v>0800894586</v>
          </cell>
          <cell r="AT2476" t="str">
            <v>VERA PINARGOTE SINAY CELESTE</v>
          </cell>
        </row>
        <row r="2477">
          <cell r="C2477" t="str">
            <v>0800894586</v>
          </cell>
          <cell r="AT2477" t="str">
            <v>VERA PINARGOTE SINAY CELESTE</v>
          </cell>
        </row>
        <row r="2478">
          <cell r="C2478" t="str">
            <v>0800894586</v>
          </cell>
          <cell r="AT2478" t="str">
            <v>VERA PINARGOTE SINAY CELESTE</v>
          </cell>
        </row>
        <row r="2479">
          <cell r="C2479" t="str">
            <v>0800894586</v>
          </cell>
          <cell r="AT2479" t="str">
            <v>VERA PINARGOTE SINAY CELESTE</v>
          </cell>
        </row>
        <row r="2480">
          <cell r="C2480" t="str">
            <v>0800894586</v>
          </cell>
          <cell r="AT2480" t="str">
            <v>VERA PINARGOTE SINAY CELESTE</v>
          </cell>
        </row>
        <row r="2481">
          <cell r="C2481" t="str">
            <v>0800894586</v>
          </cell>
          <cell r="AT2481" t="str">
            <v>VERA PINARGOTE SINAY CELESTE</v>
          </cell>
        </row>
        <row r="2482">
          <cell r="C2482" t="str">
            <v>0800894586</v>
          </cell>
          <cell r="AT2482" t="str">
            <v>VERA PINARGOTE SINAY CELESTE</v>
          </cell>
        </row>
        <row r="2483">
          <cell r="C2483" t="str">
            <v>0800894586</v>
          </cell>
          <cell r="AT2483" t="str">
            <v>VERA PINARGOTE SINAY CELESTE</v>
          </cell>
        </row>
        <row r="2484">
          <cell r="C2484" t="str">
            <v>0800894586</v>
          </cell>
          <cell r="AT2484" t="str">
            <v>VERA PINARGOTE SINAY CELESTE</v>
          </cell>
        </row>
        <row r="2485">
          <cell r="C2485" t="str">
            <v>0800894586</v>
          </cell>
          <cell r="AT2485" t="str">
            <v>VERA PINARGOTE SINAY CELESTE</v>
          </cell>
        </row>
        <row r="2486">
          <cell r="C2486" t="str">
            <v>0800894586</v>
          </cell>
          <cell r="AT2486" t="str">
            <v>VERA PINARGOTE SINAY CELESTE</v>
          </cell>
        </row>
        <row r="2487">
          <cell r="C2487" t="str">
            <v>0800894586</v>
          </cell>
          <cell r="AT2487" t="str">
            <v>VERA PINARGOTE SINAY CELESTE</v>
          </cell>
        </row>
        <row r="2488">
          <cell r="C2488" t="str">
            <v>0800894586</v>
          </cell>
          <cell r="AT2488" t="str">
            <v>VERA PINARGOTE SINAY CELESTE</v>
          </cell>
        </row>
        <row r="2489">
          <cell r="C2489" t="str">
            <v>0800894586</v>
          </cell>
          <cell r="AT2489" t="str">
            <v>VERA PINARGOTE SINAY CELESTE</v>
          </cell>
        </row>
        <row r="2490">
          <cell r="C2490" t="str">
            <v>0800894586</v>
          </cell>
          <cell r="AT2490" t="str">
            <v>VERA PINARGOTE SINAY CELESTE</v>
          </cell>
        </row>
        <row r="2491">
          <cell r="C2491" t="str">
            <v>0800894586</v>
          </cell>
          <cell r="AT2491" t="str">
            <v>VERA PINARGOTE SINAY CELESTE</v>
          </cell>
        </row>
        <row r="2492">
          <cell r="C2492" t="str">
            <v>0800894586</v>
          </cell>
          <cell r="AT2492" t="str">
            <v>VERA PINARGOTE SINAY CELESTE</v>
          </cell>
        </row>
        <row r="2493">
          <cell r="C2493" t="str">
            <v>0800894586</v>
          </cell>
          <cell r="AT2493" t="str">
            <v>VERA PINARGOTE SINAY CELESTE</v>
          </cell>
        </row>
        <row r="2494">
          <cell r="C2494" t="str">
            <v>0800894586</v>
          </cell>
          <cell r="AT2494" t="str">
            <v>VERA PINARGOTE SINAY CELESTE</v>
          </cell>
        </row>
        <row r="2495">
          <cell r="C2495" t="str">
            <v>0800894586</v>
          </cell>
          <cell r="AT2495" t="str">
            <v>VERA PINARGOTE SINAY CELESTE</v>
          </cell>
        </row>
        <row r="2496">
          <cell r="C2496" t="str">
            <v>0800894586</v>
          </cell>
          <cell r="AT2496" t="str">
            <v>VERA PINARGOTE SINAY CELESTE</v>
          </cell>
        </row>
        <row r="2497">
          <cell r="C2497" t="str">
            <v>0800894586</v>
          </cell>
          <cell r="AT2497" t="str">
            <v>VERA PINARGOTE SINAY CELESTE</v>
          </cell>
        </row>
        <row r="2498">
          <cell r="C2498" t="str">
            <v>0800894586</v>
          </cell>
          <cell r="AT2498" t="str">
            <v>VERA PINARGOTE SINAY CELESTE</v>
          </cell>
        </row>
        <row r="2499">
          <cell r="C2499" t="str">
            <v>0800894586</v>
          </cell>
          <cell r="AT2499" t="str">
            <v>VERA PINARGOTE SINAY CELESTE</v>
          </cell>
        </row>
        <row r="2500">
          <cell r="C2500" t="str">
            <v>0800894586</v>
          </cell>
          <cell r="AT2500" t="str">
            <v>VERA PINARGOTE SINAY CELESTE</v>
          </cell>
        </row>
        <row r="2501">
          <cell r="C2501" t="str">
            <v>0800894586</v>
          </cell>
          <cell r="AT2501" t="str">
            <v>VERA PINARGOTE SINAY CELESTE</v>
          </cell>
        </row>
        <row r="2502">
          <cell r="C2502" t="str">
            <v>0800894586</v>
          </cell>
          <cell r="AT2502" t="str">
            <v>VERA PINARGOTE SINAY CELESTE</v>
          </cell>
        </row>
        <row r="2503">
          <cell r="C2503" t="str">
            <v>0800894586</v>
          </cell>
          <cell r="AT2503" t="str">
            <v>VERA PINARGOTE SINAY CELESTE</v>
          </cell>
        </row>
        <row r="2504">
          <cell r="C2504" t="str">
            <v>0800894586</v>
          </cell>
          <cell r="AT2504" t="str">
            <v>VERA PINARGOTE SINAY CELESTE</v>
          </cell>
        </row>
        <row r="2505">
          <cell r="C2505" t="str">
            <v>0800894586</v>
          </cell>
          <cell r="AT2505" t="str">
            <v>VERA PINARGOTE SINAY CELESTE</v>
          </cell>
        </row>
        <row r="2506">
          <cell r="C2506" t="str">
            <v>0800894586</v>
          </cell>
          <cell r="AT2506" t="str">
            <v>VERA PINARGOTE SINAY CELESTE</v>
          </cell>
        </row>
        <row r="2507">
          <cell r="C2507" t="str">
            <v>0800894586</v>
          </cell>
          <cell r="AT2507" t="str">
            <v>VERA PINARGOTE SINAY CELESTE</v>
          </cell>
        </row>
        <row r="2508">
          <cell r="C2508" t="str">
            <v>0800894586</v>
          </cell>
          <cell r="AT2508" t="str">
            <v>VERA PINARGOTE SINAY CELESTE</v>
          </cell>
        </row>
        <row r="2509">
          <cell r="C2509" t="str">
            <v>0800894586</v>
          </cell>
          <cell r="AT2509" t="str">
            <v>VERA PINARGOTE SINAY CELESTE</v>
          </cell>
        </row>
        <row r="2510">
          <cell r="C2510" t="str">
            <v>0800894586</v>
          </cell>
          <cell r="AT2510" t="str">
            <v>VERA PINARGOTE SINAY CELESTE</v>
          </cell>
        </row>
        <row r="2511">
          <cell r="C2511" t="str">
            <v>0800894586</v>
          </cell>
          <cell r="AT2511" t="str">
            <v>VERA PINARGOTE SINAY CELESTE</v>
          </cell>
        </row>
        <row r="2512">
          <cell r="C2512" t="str">
            <v>0800894586</v>
          </cell>
          <cell r="AT2512" t="str">
            <v>VERA PINARGOTE SINAY CELESTE</v>
          </cell>
        </row>
        <row r="2513">
          <cell r="C2513" t="str">
            <v>0800894586</v>
          </cell>
          <cell r="AT2513" t="str">
            <v>VERA PINARGOTE SINAY CELESTE</v>
          </cell>
        </row>
        <row r="2514">
          <cell r="C2514" t="str">
            <v>0800894586</v>
          </cell>
          <cell r="AT2514" t="str">
            <v>VERA PINARGOTE SINAY CELESTE</v>
          </cell>
        </row>
        <row r="2515">
          <cell r="C2515" t="str">
            <v>0800894586</v>
          </cell>
          <cell r="AT2515" t="str">
            <v>VERA PINARGOTE SINAY CELESTE</v>
          </cell>
        </row>
        <row r="2516">
          <cell r="C2516" t="str">
            <v>0800894586</v>
          </cell>
          <cell r="AT2516" t="str">
            <v>VERA PINARGOTE SINAY CELESTE</v>
          </cell>
        </row>
        <row r="2517">
          <cell r="C2517" t="str">
            <v>1306246065</v>
          </cell>
          <cell r="AT2517" t="str">
            <v>VERA TORTORELLA KLEBER LEONARDO</v>
          </cell>
        </row>
        <row r="2518">
          <cell r="C2518" t="str">
            <v>1306246065</v>
          </cell>
          <cell r="AT2518" t="str">
            <v>VERA TORTORELLA KLEBER LEONARDO</v>
          </cell>
        </row>
        <row r="2519">
          <cell r="C2519" t="str">
            <v>1306246065</v>
          </cell>
          <cell r="AT2519" t="str">
            <v>VERA TORTORELLA KLEBER LEONARDO</v>
          </cell>
        </row>
        <row r="2520">
          <cell r="C2520" t="str">
            <v>1306246065</v>
          </cell>
          <cell r="AT2520" t="str">
            <v>VERA TORTORELLA KLEBER LEONARDO</v>
          </cell>
        </row>
        <row r="2521">
          <cell r="C2521" t="str">
            <v>1306246065</v>
          </cell>
          <cell r="AT2521" t="str">
            <v>VERA TORTORELLA KLEBER LEONARDO</v>
          </cell>
        </row>
        <row r="2522">
          <cell r="C2522" t="str">
            <v>1306246065</v>
          </cell>
          <cell r="AT2522" t="str">
            <v>VERA TORTORELLA KLEBER LEONARDO</v>
          </cell>
        </row>
        <row r="2523">
          <cell r="C2523" t="str">
            <v>1306246065</v>
          </cell>
          <cell r="AT2523" t="str">
            <v>VERA TORTORELLA KLEBER LEONARDO</v>
          </cell>
        </row>
        <row r="2524">
          <cell r="C2524" t="str">
            <v>1306246065</v>
          </cell>
          <cell r="AT2524" t="str">
            <v>VERA TORTORELLA KLEBER LEONARDO</v>
          </cell>
        </row>
        <row r="2525">
          <cell r="C2525" t="str">
            <v>1306246065</v>
          </cell>
          <cell r="AT2525" t="str">
            <v>VERA TORTORELLA KLEBER LEONARDO</v>
          </cell>
        </row>
        <row r="2526">
          <cell r="C2526" t="str">
            <v>1306246065</v>
          </cell>
          <cell r="AT2526" t="str">
            <v>VERA TORTORELLA KLEBER LEONARDO</v>
          </cell>
        </row>
        <row r="2527">
          <cell r="C2527" t="str">
            <v>1306246065</v>
          </cell>
          <cell r="AT2527" t="str">
            <v>VERA TORTORELLA KLEBER LEONARDO</v>
          </cell>
        </row>
        <row r="2528">
          <cell r="C2528" t="str">
            <v>1306246065</v>
          </cell>
          <cell r="AT2528" t="str">
            <v>VERA TORTORELLA KLEBER LEONARDO</v>
          </cell>
        </row>
        <row r="2529">
          <cell r="C2529" t="str">
            <v>1306246065</v>
          </cell>
          <cell r="AT2529" t="str">
            <v>VERA TORTORELLA KLEBER LEONARDO</v>
          </cell>
        </row>
        <row r="2530">
          <cell r="C2530" t="str">
            <v>1306246065</v>
          </cell>
          <cell r="AT2530" t="str">
            <v>VERA TORTORELLA KLEBER LEONARDO</v>
          </cell>
        </row>
        <row r="2531">
          <cell r="C2531" t="str">
            <v>1306246065</v>
          </cell>
          <cell r="AT2531" t="str">
            <v>VERA TORTORELLA KLEBER LEONARDO</v>
          </cell>
        </row>
        <row r="2532">
          <cell r="C2532" t="str">
            <v>1306246065</v>
          </cell>
          <cell r="AT2532" t="str">
            <v>VERA TORTORELLA KLEBER LEONARDO</v>
          </cell>
        </row>
        <row r="2533">
          <cell r="C2533" t="str">
            <v>1306246065</v>
          </cell>
          <cell r="AT2533" t="str">
            <v>VERA TORTORELLA KLEBER LEONARDO</v>
          </cell>
        </row>
        <row r="2534">
          <cell r="C2534" t="str">
            <v>1306246065</v>
          </cell>
          <cell r="AT2534" t="str">
            <v>VERA TORTORELLA KLEBER LEONARDO</v>
          </cell>
        </row>
        <row r="2535">
          <cell r="C2535" t="str">
            <v>1306246065</v>
          </cell>
          <cell r="AT2535" t="str">
            <v>VERA TORTORELLA KLEBER LEONARDO</v>
          </cell>
        </row>
        <row r="2536">
          <cell r="C2536" t="str">
            <v>1306246065</v>
          </cell>
          <cell r="AT2536" t="str">
            <v>VERA TORTORELLA KLEBER LEONARDO</v>
          </cell>
        </row>
        <row r="2537">
          <cell r="C2537" t="str">
            <v>1306246065</v>
          </cell>
          <cell r="AT2537" t="str">
            <v>VERA TORTORELLA KLEBER LEONARDO</v>
          </cell>
        </row>
        <row r="2538">
          <cell r="C2538" t="str">
            <v>1306246065</v>
          </cell>
          <cell r="AT2538" t="str">
            <v>VERA TORTORELLA KLEBER LEONARDO</v>
          </cell>
        </row>
        <row r="2539">
          <cell r="C2539" t="str">
            <v>1306246065</v>
          </cell>
          <cell r="AT2539" t="str">
            <v>VERA TORTORELLA KLEBER LEONARDO</v>
          </cell>
        </row>
        <row r="2540">
          <cell r="C2540" t="str">
            <v>1306246065</v>
          </cell>
          <cell r="AT2540" t="str">
            <v>VERA TORTORELLA KLEBER LEONARDO</v>
          </cell>
        </row>
        <row r="2541">
          <cell r="C2541" t="str">
            <v>1306246065</v>
          </cell>
          <cell r="AT2541" t="str">
            <v>VERA TORTORELLA KLEBER LEONARDO</v>
          </cell>
        </row>
        <row r="2542">
          <cell r="C2542" t="str">
            <v>1306246065</v>
          </cell>
          <cell r="AT2542" t="str">
            <v>VERA TORTORELLA KLEBER LEONARDO</v>
          </cell>
        </row>
        <row r="2543">
          <cell r="C2543" t="str">
            <v>1306246065</v>
          </cell>
          <cell r="AT2543" t="str">
            <v>VERA TORTORELLA KLEBER LEONARDO</v>
          </cell>
        </row>
        <row r="2544">
          <cell r="C2544" t="str">
            <v>1306246065</v>
          </cell>
          <cell r="AT2544" t="str">
            <v>VERA TORTORELLA KLEBER LEONARDO</v>
          </cell>
        </row>
        <row r="2545">
          <cell r="C2545" t="str">
            <v>1306246065</v>
          </cell>
          <cell r="AT2545" t="str">
            <v>VERA TORTORELLA KLEBER LEONARDO</v>
          </cell>
        </row>
        <row r="2546">
          <cell r="C2546" t="str">
            <v>1306246065</v>
          </cell>
          <cell r="AT2546" t="str">
            <v>VERA TORTORELLA KLEBER LEONARDO</v>
          </cell>
        </row>
        <row r="2547">
          <cell r="C2547" t="str">
            <v>1306246065</v>
          </cell>
          <cell r="AT2547" t="str">
            <v>VERA TORTORELLA KLEBER LEONARDO</v>
          </cell>
        </row>
        <row r="2548">
          <cell r="C2548" t="str">
            <v>1306246065</v>
          </cell>
          <cell r="AT2548" t="str">
            <v>VERA TORTORELLA KLEBER LEONARDO</v>
          </cell>
        </row>
        <row r="2549">
          <cell r="C2549" t="str">
            <v>1306246065</v>
          </cell>
          <cell r="AT2549" t="str">
            <v>VERA TORTORELLA KLEBER LEONARDO</v>
          </cell>
        </row>
        <row r="2550">
          <cell r="C2550" t="str">
            <v>1306246065</v>
          </cell>
          <cell r="AT2550" t="str">
            <v>VERA TORTORELLA KLEBER LEONARDO</v>
          </cell>
        </row>
        <row r="2551">
          <cell r="C2551" t="str">
            <v>1306246065</v>
          </cell>
          <cell r="AT2551" t="str">
            <v>VERA TORTORELLA KLEBER LEONARDO</v>
          </cell>
        </row>
        <row r="2552">
          <cell r="C2552" t="str">
            <v>1306246065</v>
          </cell>
          <cell r="AT2552" t="str">
            <v>VERA TORTORELLA KLEBER LEONARDO</v>
          </cell>
        </row>
        <row r="2553">
          <cell r="C2553" t="str">
            <v>1306246065</v>
          </cell>
          <cell r="AT2553" t="str">
            <v>VERA TORTORELLA KLEBER LEONARDO</v>
          </cell>
        </row>
        <row r="2554">
          <cell r="C2554" t="str">
            <v>1306246065</v>
          </cell>
          <cell r="AT2554" t="str">
            <v>VERA TORTORELLA KLEBER LEONARDO</v>
          </cell>
        </row>
        <row r="2555">
          <cell r="C2555" t="str">
            <v>1306246065</v>
          </cell>
          <cell r="AT2555" t="str">
            <v>VERA TORTORELLA KLEBER LEONARDO</v>
          </cell>
        </row>
        <row r="2556">
          <cell r="C2556" t="str">
            <v>1306246065</v>
          </cell>
          <cell r="AT2556" t="str">
            <v>VERA TORTORELLA KLEBER LEONARDO</v>
          </cell>
        </row>
        <row r="2557">
          <cell r="C2557" t="str">
            <v>0801738709</v>
          </cell>
          <cell r="AT2557" t="str">
            <v>VERGARA TORRES JOSE LUIS</v>
          </cell>
        </row>
        <row r="2558">
          <cell r="C2558" t="str">
            <v>0801738709</v>
          </cell>
          <cell r="AT2558" t="str">
            <v>VERGARA TORRES JOSE LUIS</v>
          </cell>
        </row>
        <row r="2559">
          <cell r="C2559" t="str">
            <v>0801738709</v>
          </cell>
          <cell r="AT2559" t="str">
            <v>VERGARA TORRES JOSE LUIS</v>
          </cell>
        </row>
        <row r="2560">
          <cell r="C2560" t="str">
            <v>0801738709</v>
          </cell>
          <cell r="AT2560" t="str">
            <v>VERGARA TORRES JOSE LUIS</v>
          </cell>
        </row>
        <row r="2561">
          <cell r="C2561" t="str">
            <v>0801738709</v>
          </cell>
          <cell r="AT2561" t="str">
            <v>VERGARA TORRES JOSE LUIS</v>
          </cell>
        </row>
        <row r="2562">
          <cell r="C2562" t="str">
            <v>0801738709</v>
          </cell>
          <cell r="AT2562" t="str">
            <v>VERGARA TORRES JOSE LUIS</v>
          </cell>
        </row>
        <row r="2563">
          <cell r="C2563" t="str">
            <v>0801738709</v>
          </cell>
          <cell r="AT2563" t="str">
            <v>VERGARA TORRES JOSE LUIS</v>
          </cell>
        </row>
        <row r="2564">
          <cell r="C2564" t="str">
            <v>0801738709</v>
          </cell>
          <cell r="AT2564" t="str">
            <v>VERGARA TORRES JOSE LUIS</v>
          </cell>
        </row>
        <row r="2565">
          <cell r="C2565" t="str">
            <v>0801738709</v>
          </cell>
          <cell r="AT2565" t="str">
            <v>VERGARA TORRES JOSE LUIS</v>
          </cell>
        </row>
        <row r="2566">
          <cell r="C2566" t="str">
            <v>0801738709</v>
          </cell>
          <cell r="AT2566" t="str">
            <v>VERGARA TORRES JOSE LUIS</v>
          </cell>
        </row>
        <row r="2567">
          <cell r="C2567" t="str">
            <v>0801738709</v>
          </cell>
          <cell r="AT2567" t="str">
            <v>VERGARA TORRES JOSE LUIS</v>
          </cell>
        </row>
        <row r="2568">
          <cell r="C2568" t="str">
            <v>0801738709</v>
          </cell>
          <cell r="AT2568" t="str">
            <v>VERGARA TORRES JOSE LUIS</v>
          </cell>
        </row>
        <row r="2569">
          <cell r="C2569" t="str">
            <v>0801738709</v>
          </cell>
          <cell r="AT2569" t="str">
            <v>VERGARA TORRES JOSE LUIS</v>
          </cell>
        </row>
        <row r="2570">
          <cell r="C2570" t="str">
            <v>0801738709</v>
          </cell>
          <cell r="AT2570" t="str">
            <v>VERGARA TORRES JOSE LUIS</v>
          </cell>
        </row>
        <row r="2571">
          <cell r="C2571" t="str">
            <v>0801738709</v>
          </cell>
          <cell r="AT2571" t="str">
            <v>VERGARA TORRES JOSE LUIS</v>
          </cell>
        </row>
        <row r="2572">
          <cell r="C2572" t="str">
            <v>0801738709</v>
          </cell>
          <cell r="AT2572" t="str">
            <v>VERGARA TORRES JOSE LUIS</v>
          </cell>
        </row>
        <row r="2573">
          <cell r="C2573" t="str">
            <v>0801738709</v>
          </cell>
          <cell r="AT2573" t="str">
            <v>VERGARA TORRES JOSE LUIS</v>
          </cell>
        </row>
        <row r="2574">
          <cell r="C2574" t="str">
            <v>0801738709</v>
          </cell>
          <cell r="AT2574" t="str">
            <v>VERGARA TORRES JOSE LUIS</v>
          </cell>
        </row>
        <row r="2575">
          <cell r="C2575" t="str">
            <v>0801738709</v>
          </cell>
          <cell r="AT2575" t="str">
            <v>VERGARA TORRES JOSE LUIS</v>
          </cell>
        </row>
        <row r="2576">
          <cell r="C2576" t="str">
            <v>0801738709</v>
          </cell>
          <cell r="AT2576" t="str">
            <v>VERGARA TORRES JOSE LUIS</v>
          </cell>
        </row>
        <row r="2577">
          <cell r="C2577" t="str">
            <v>0801738709</v>
          </cell>
          <cell r="AT2577" t="str">
            <v>VERGARA TORRES JOSE LUIS</v>
          </cell>
        </row>
        <row r="2578">
          <cell r="C2578" t="str">
            <v>0801738709</v>
          </cell>
          <cell r="AT2578" t="str">
            <v>VERGARA TORRES JOSE LUIS</v>
          </cell>
        </row>
        <row r="2579">
          <cell r="C2579" t="str">
            <v>0801738709</v>
          </cell>
          <cell r="AT2579" t="str">
            <v>VERGARA TORRES JOSE LUIS</v>
          </cell>
        </row>
        <row r="2580">
          <cell r="C2580" t="str">
            <v>0801738709</v>
          </cell>
          <cell r="AT2580" t="str">
            <v>VERGARA TORRES JOSE LUIS</v>
          </cell>
        </row>
        <row r="2581">
          <cell r="C2581" t="str">
            <v>0801738709</v>
          </cell>
          <cell r="AT2581" t="str">
            <v>VERGARA TORRES JOSE LUIS</v>
          </cell>
        </row>
        <row r="2582">
          <cell r="C2582" t="str">
            <v>0801738709</v>
          </cell>
          <cell r="AT2582" t="str">
            <v>VERGARA TORRES JOSE LUIS</v>
          </cell>
        </row>
        <row r="2583">
          <cell r="C2583" t="str">
            <v>0801738709</v>
          </cell>
          <cell r="AT2583" t="str">
            <v>VERGARA TORRES JOSE LUIS</v>
          </cell>
        </row>
        <row r="2584">
          <cell r="C2584" t="str">
            <v>0801738709</v>
          </cell>
          <cell r="AT2584" t="str">
            <v>VERGARA TORRES JOSE LUIS</v>
          </cell>
        </row>
        <row r="2585">
          <cell r="C2585" t="str">
            <v>0801738709</v>
          </cell>
          <cell r="AT2585" t="str">
            <v>VERGARA TORRES JOSE LUIS</v>
          </cell>
        </row>
        <row r="2586">
          <cell r="C2586" t="str">
            <v>0801738709</v>
          </cell>
          <cell r="AT2586" t="str">
            <v>VERGARA TORRES JOSE LUIS</v>
          </cell>
        </row>
        <row r="2587">
          <cell r="C2587" t="str">
            <v>0801738709</v>
          </cell>
          <cell r="AT2587" t="str">
            <v>VERGARA TORRES JOSE LUIS</v>
          </cell>
        </row>
        <row r="2588">
          <cell r="C2588" t="str">
            <v>0801738709</v>
          </cell>
          <cell r="AT2588" t="str">
            <v>VERGARA TORRES JOSE LUIS</v>
          </cell>
        </row>
        <row r="2589">
          <cell r="C2589" t="str">
            <v>0801738709</v>
          </cell>
          <cell r="AT2589" t="str">
            <v>VERGARA TORRES JOSE LUIS</v>
          </cell>
        </row>
        <row r="2590">
          <cell r="C2590" t="str">
            <v>0801738709</v>
          </cell>
          <cell r="AT2590" t="str">
            <v>VERGARA TORRES JOSE LUIS</v>
          </cell>
        </row>
        <row r="2591">
          <cell r="C2591" t="str">
            <v>0801738709</v>
          </cell>
          <cell r="AT2591" t="str">
            <v>VERGARA TORRES JOSE LUIS</v>
          </cell>
        </row>
        <row r="2592">
          <cell r="C2592" t="str">
            <v>0801738709</v>
          </cell>
          <cell r="AT2592" t="str">
            <v>VERGARA TORRES JOSE LUIS</v>
          </cell>
        </row>
        <row r="2593">
          <cell r="C2593" t="str">
            <v>0801738709</v>
          </cell>
          <cell r="AT2593" t="str">
            <v>VERGARA TORRES JOSE LUIS</v>
          </cell>
        </row>
        <row r="2594">
          <cell r="C2594" t="str">
            <v>0803129360</v>
          </cell>
          <cell r="AT2594" t="str">
            <v>VERNAZA QUIÑONEZ LUCIA MARGARITA</v>
          </cell>
        </row>
        <row r="2595">
          <cell r="C2595" t="str">
            <v>0803129360</v>
          </cell>
          <cell r="AT2595" t="str">
            <v>VERNAZA QUIÑONEZ LUCIA MARGARITA</v>
          </cell>
        </row>
        <row r="2596">
          <cell r="C2596" t="str">
            <v>0803129360</v>
          </cell>
          <cell r="AT2596" t="str">
            <v>VERNAZA QUIÑONEZ LUCIA MARGARITA</v>
          </cell>
        </row>
        <row r="2597">
          <cell r="C2597" t="str">
            <v>0803129360</v>
          </cell>
          <cell r="AT2597" t="str">
            <v>VERNAZA QUIÑONEZ LUCIA MARGARITA</v>
          </cell>
        </row>
        <row r="2598">
          <cell r="C2598" t="str">
            <v>0803129360</v>
          </cell>
          <cell r="AT2598" t="str">
            <v>VERNAZA QUIÑONEZ LUCIA MARGARITA</v>
          </cell>
        </row>
        <row r="2599">
          <cell r="C2599" t="str">
            <v>0803129360</v>
          </cell>
          <cell r="AT2599" t="str">
            <v>VERNAZA QUIÑONEZ LUCIA MARGARITA</v>
          </cell>
        </row>
        <row r="2600">
          <cell r="C2600" t="str">
            <v>0803129360</v>
          </cell>
          <cell r="AT2600" t="str">
            <v>VERNAZA QUIÑONEZ LUCIA MARGARITA</v>
          </cell>
        </row>
        <row r="2601">
          <cell r="C2601" t="str">
            <v>0803129360</v>
          </cell>
          <cell r="AT2601" t="str">
            <v>VERNAZA QUIÑONEZ LUCIA MARGARITA</v>
          </cell>
        </row>
        <row r="2602">
          <cell r="C2602" t="str">
            <v>0803129360</v>
          </cell>
          <cell r="AT2602" t="str">
            <v>VERNAZA QUIÑONEZ LUCIA MARGARITA</v>
          </cell>
        </row>
        <row r="2603">
          <cell r="C2603" t="str">
            <v>0803129360</v>
          </cell>
          <cell r="AT2603" t="str">
            <v>VERNAZA QUIÑONEZ LUCIA MARGARITA</v>
          </cell>
        </row>
        <row r="2604">
          <cell r="C2604" t="str">
            <v>0803129360</v>
          </cell>
          <cell r="AT2604" t="str">
            <v>VERNAZA QUIÑONEZ LUCIA MARGARITA</v>
          </cell>
        </row>
        <row r="2605">
          <cell r="C2605" t="str">
            <v>0803129360</v>
          </cell>
          <cell r="AT2605" t="str">
            <v>VERNAZA QUIÑONEZ LUCIA MARGARITA</v>
          </cell>
        </row>
        <row r="2606">
          <cell r="C2606" t="str">
            <v>0803129360</v>
          </cell>
          <cell r="AT2606" t="str">
            <v>VERNAZA QUIÑONEZ LUCIA MARGARITA</v>
          </cell>
        </row>
        <row r="2607">
          <cell r="C2607" t="str">
            <v>0803129360</v>
          </cell>
          <cell r="AT2607" t="str">
            <v>VERNAZA QUIÑONEZ LUCIA MARGARITA</v>
          </cell>
        </row>
        <row r="2608">
          <cell r="C2608" t="str">
            <v>0803129360</v>
          </cell>
          <cell r="AT2608" t="str">
            <v>VERNAZA QUIÑONEZ LUCIA MARGARITA</v>
          </cell>
        </row>
        <row r="2609">
          <cell r="C2609" t="str">
            <v>0803129360</v>
          </cell>
          <cell r="AT2609" t="str">
            <v>VERNAZA QUIÑONEZ LUCIA MARGARITA</v>
          </cell>
        </row>
        <row r="2610">
          <cell r="C2610" t="str">
            <v>0803129360</v>
          </cell>
          <cell r="AT2610" t="str">
            <v>VERNAZA QUIÑONEZ LUCIA MARGARITA</v>
          </cell>
        </row>
        <row r="2611">
          <cell r="C2611" t="str">
            <v>0803129360</v>
          </cell>
          <cell r="AT2611" t="str">
            <v>VERNAZA QUIÑONEZ LUCIA MARGARITA</v>
          </cell>
        </row>
        <row r="2612">
          <cell r="C2612" t="str">
            <v>0803129360</v>
          </cell>
          <cell r="AT2612" t="str">
            <v>VERNAZA QUIÑONEZ LUCIA MARGARITA</v>
          </cell>
        </row>
        <row r="2613">
          <cell r="C2613" t="str">
            <v>0803129360</v>
          </cell>
          <cell r="AT2613" t="str">
            <v>VERNAZA QUIÑONEZ LUCIA MARGARITA</v>
          </cell>
        </row>
        <row r="2614">
          <cell r="C2614" t="str">
            <v>0803129360</v>
          </cell>
          <cell r="AT2614" t="str">
            <v>VERNAZA QUIÑONEZ LUCIA MARGARITA</v>
          </cell>
        </row>
        <row r="2615">
          <cell r="C2615" t="str">
            <v>0803129360</v>
          </cell>
          <cell r="AT2615" t="str">
            <v>VERNAZA QUIÑONEZ LUCIA MARGARITA</v>
          </cell>
        </row>
        <row r="2616">
          <cell r="C2616" t="str">
            <v>0803129360</v>
          </cell>
          <cell r="AT2616" t="str">
            <v>VERNAZA QUIÑONEZ LUCIA MARGARITA</v>
          </cell>
        </row>
        <row r="2617">
          <cell r="C2617" t="str">
            <v>0803129360</v>
          </cell>
          <cell r="AT2617" t="str">
            <v>VERNAZA QUIÑONEZ LUCIA MARGARITA</v>
          </cell>
        </row>
        <row r="2618">
          <cell r="C2618" t="str">
            <v>0803129360</v>
          </cell>
          <cell r="AT2618" t="str">
            <v>VERNAZA QUIÑONEZ LUCIA MARGARITA</v>
          </cell>
        </row>
        <row r="2619">
          <cell r="C2619" t="str">
            <v>0803129360</v>
          </cell>
          <cell r="AT2619" t="str">
            <v>VERNAZA QUIÑONEZ LUCIA MARGARITA</v>
          </cell>
        </row>
        <row r="2620">
          <cell r="C2620" t="str">
            <v>0801187089</v>
          </cell>
          <cell r="AT2620" t="str">
            <v>VILA MAFFARE MARILYN MARIVEL</v>
          </cell>
        </row>
        <row r="2621">
          <cell r="C2621" t="str">
            <v>0801187089</v>
          </cell>
          <cell r="AT2621" t="str">
            <v>VILA MAFFARE MARILYN MARIVEL</v>
          </cell>
        </row>
        <row r="2622">
          <cell r="C2622" t="str">
            <v>0801187089</v>
          </cell>
          <cell r="AT2622" t="str">
            <v>VILA MAFFARE MARILYN MARIVEL</v>
          </cell>
        </row>
        <row r="2623">
          <cell r="C2623" t="str">
            <v>0801187089</v>
          </cell>
          <cell r="AT2623" t="str">
            <v>VILA MAFFARE MARILYN MARIVEL</v>
          </cell>
        </row>
        <row r="2624">
          <cell r="C2624" t="str">
            <v>0801187089</v>
          </cell>
          <cell r="AT2624" t="str">
            <v>VILA MAFFARE MARILYN MARIVEL</v>
          </cell>
        </row>
        <row r="2625">
          <cell r="C2625" t="str">
            <v>0801187089</v>
          </cell>
          <cell r="AT2625" t="str">
            <v>VILA MAFFARE MARILYN MARIVEL</v>
          </cell>
        </row>
        <row r="2626">
          <cell r="C2626" t="str">
            <v>0801187089</v>
          </cell>
          <cell r="AT2626" t="str">
            <v>VILA MAFFARE MARILYN MARIVEL</v>
          </cell>
        </row>
        <row r="2627">
          <cell r="C2627" t="str">
            <v>0801187089</v>
          </cell>
          <cell r="AT2627" t="str">
            <v>VILA MAFFARE MARILYN MARIVEL</v>
          </cell>
        </row>
        <row r="2628">
          <cell r="C2628" t="str">
            <v>0801187089</v>
          </cell>
          <cell r="AT2628" t="str">
            <v>VILA MAFFARE MARILYN MARIVEL</v>
          </cell>
        </row>
        <row r="2629">
          <cell r="C2629" t="str">
            <v>0801187089</v>
          </cell>
          <cell r="AT2629" t="str">
            <v>VILA MAFFARE MARILYN MARIVEL</v>
          </cell>
        </row>
        <row r="2630">
          <cell r="C2630" t="str">
            <v>0801187089</v>
          </cell>
          <cell r="AT2630" t="str">
            <v>VILA MAFFARE MARILYN MARIVEL</v>
          </cell>
        </row>
        <row r="2631">
          <cell r="C2631" t="str">
            <v>0801187089</v>
          </cell>
          <cell r="AT2631" t="str">
            <v>VILA MAFFARE MARILYN MARIVEL</v>
          </cell>
        </row>
        <row r="2632">
          <cell r="C2632" t="str">
            <v>0801187089</v>
          </cell>
          <cell r="AT2632" t="str">
            <v>VILA MAFFARE MARILYN MARIVEL</v>
          </cell>
        </row>
        <row r="2633">
          <cell r="C2633" t="str">
            <v>0801187089</v>
          </cell>
          <cell r="AT2633" t="str">
            <v>VILA MAFFARE MARILYN MARIVEL</v>
          </cell>
        </row>
        <row r="2634">
          <cell r="C2634" t="str">
            <v>0801187089</v>
          </cell>
          <cell r="AT2634" t="str">
            <v>VILA MAFFARE MARILYN MARIVEL</v>
          </cell>
        </row>
        <row r="2635">
          <cell r="C2635" t="str">
            <v>0801187089</v>
          </cell>
          <cell r="AT2635" t="str">
            <v>VILA MAFFARE MARILYN MARIVEL</v>
          </cell>
        </row>
        <row r="2636">
          <cell r="C2636" t="str">
            <v>0801187089</v>
          </cell>
          <cell r="AT2636" t="str">
            <v>VILA MAFFARE MARILYN MARIVEL</v>
          </cell>
        </row>
        <row r="2637">
          <cell r="C2637" t="str">
            <v>0801187089</v>
          </cell>
          <cell r="AT2637" t="str">
            <v>VILA MAFFARE MARILYN MARIVEL</v>
          </cell>
        </row>
        <row r="2638">
          <cell r="C2638" t="str">
            <v>AAC9576537</v>
          </cell>
          <cell r="AT2638" t="str">
            <v xml:space="preserve">CARBAJO VASCO DOMINGO </v>
          </cell>
        </row>
        <row r="2639">
          <cell r="C2639" t="str">
            <v>1710469964</v>
          </cell>
          <cell r="AT2639" t="str">
            <v>YANEZ ORTIZ VERONICA DEL CARMEN</v>
          </cell>
        </row>
        <row r="2640">
          <cell r="C2640" t="str">
            <v>1710469964</v>
          </cell>
          <cell r="AT2640" t="str">
            <v>YANEZ ORTIZ VERONICA DEL CARMEN</v>
          </cell>
        </row>
        <row r="2641">
          <cell r="C2641" t="str">
            <v>1710469964</v>
          </cell>
          <cell r="AT2641" t="str">
            <v>YANEZ ORTIZ VERONICA DEL CARMEN</v>
          </cell>
        </row>
        <row r="2642">
          <cell r="C2642" t="str">
            <v>1710469964</v>
          </cell>
          <cell r="AT2642" t="str">
            <v>YANEZ ORTIZ VERONICA DEL CARMEN</v>
          </cell>
        </row>
        <row r="2643">
          <cell r="C2643" t="str">
            <v>1710469964</v>
          </cell>
          <cell r="AT2643" t="str">
            <v>YANEZ ORTIZ VERONICA DEL CARMEN</v>
          </cell>
        </row>
        <row r="2644">
          <cell r="C2644" t="str">
            <v>1710469964</v>
          </cell>
          <cell r="AT2644" t="str">
            <v>YANEZ ORTIZ VERONICA DEL CARMEN</v>
          </cell>
        </row>
        <row r="2645">
          <cell r="C2645" t="str">
            <v>1710469964</v>
          </cell>
          <cell r="AT2645" t="str">
            <v>YANEZ ORTIZ VERONICA DEL CARMEN</v>
          </cell>
        </row>
        <row r="2646">
          <cell r="C2646" t="str">
            <v>1710469964</v>
          </cell>
          <cell r="AT2646" t="str">
            <v>YANEZ ORTIZ VERONICA DEL CARMEN</v>
          </cell>
        </row>
        <row r="2647">
          <cell r="C2647" t="str">
            <v>1710469964</v>
          </cell>
          <cell r="AT2647" t="str">
            <v>YANEZ ORTIZ VERONICA DEL CARMEN</v>
          </cell>
        </row>
        <row r="2648">
          <cell r="C2648" t="str">
            <v>1710469964</v>
          </cell>
          <cell r="AT2648" t="str">
            <v>YANEZ ORTIZ VERONICA DEL CARMEN</v>
          </cell>
        </row>
        <row r="2649">
          <cell r="C2649" t="str">
            <v>1710469964</v>
          </cell>
          <cell r="AT2649" t="str">
            <v>YANEZ ORTIZ VERONICA DEL CARMEN</v>
          </cell>
        </row>
        <row r="2650">
          <cell r="C2650" t="str">
            <v>1710469964</v>
          </cell>
          <cell r="AT2650" t="str">
            <v>YANEZ ORTIZ VERONICA DEL CARMEN</v>
          </cell>
        </row>
        <row r="2651">
          <cell r="C2651" t="str">
            <v>1710469964</v>
          </cell>
          <cell r="AT2651" t="str">
            <v>YANEZ ORTIZ VERONICA DEL CARMEN</v>
          </cell>
        </row>
        <row r="2652">
          <cell r="C2652" t="str">
            <v>1710469964</v>
          </cell>
          <cell r="AT2652" t="str">
            <v>YANEZ ORTIZ VERONICA DEL CARMEN</v>
          </cell>
        </row>
        <row r="2653">
          <cell r="C2653" t="str">
            <v>1710469964</v>
          </cell>
          <cell r="AT2653" t="str">
            <v>YANEZ ORTIZ VERONICA DEL CARMEN</v>
          </cell>
        </row>
        <row r="2654">
          <cell r="C2654" t="str">
            <v>1710469964</v>
          </cell>
          <cell r="AT2654" t="str">
            <v>YANEZ ORTIZ VERONICA DEL CARMEN</v>
          </cell>
        </row>
        <row r="2655">
          <cell r="C2655" t="str">
            <v>1710469964</v>
          </cell>
          <cell r="AT2655" t="str">
            <v>YANEZ ORTIZ VERONICA DEL CARMEN</v>
          </cell>
        </row>
        <row r="2656">
          <cell r="C2656" t="str">
            <v>1710469964</v>
          </cell>
          <cell r="AT2656" t="str">
            <v>YANEZ ORTIZ VERONICA DEL CARMEN</v>
          </cell>
        </row>
        <row r="2657">
          <cell r="C2657" t="str">
            <v>1710469964</v>
          </cell>
          <cell r="AT2657" t="str">
            <v>YANEZ ORTIZ VERONICA DEL CARMEN</v>
          </cell>
        </row>
        <row r="2658">
          <cell r="C2658" t="str">
            <v>1710469964</v>
          </cell>
          <cell r="AT2658" t="str">
            <v>YANEZ ORTIZ VERONICA DEL CARMEN</v>
          </cell>
        </row>
        <row r="2659">
          <cell r="C2659" t="str">
            <v>1710469964</v>
          </cell>
          <cell r="AT2659" t="str">
            <v>YANEZ ORTIZ VERONICA DEL CARMEN</v>
          </cell>
        </row>
        <row r="2660">
          <cell r="C2660" t="str">
            <v>1710469964</v>
          </cell>
          <cell r="AT2660" t="str">
            <v>YANEZ ORTIZ VERONICA DEL CARMEN</v>
          </cell>
        </row>
        <row r="2661">
          <cell r="C2661" t="str">
            <v>1710469964</v>
          </cell>
          <cell r="AT2661" t="str">
            <v>YANEZ ORTIZ VERONICA DEL CARMEN</v>
          </cell>
        </row>
        <row r="2662">
          <cell r="C2662" t="str">
            <v>1710469964</v>
          </cell>
          <cell r="AT2662" t="str">
            <v>YANEZ ORTIZ VERONICA DEL CARMEN</v>
          </cell>
        </row>
        <row r="2663">
          <cell r="C2663" t="str">
            <v>1710469964</v>
          </cell>
          <cell r="AT2663" t="str">
            <v>YANEZ ORTIZ VERONICA DEL CARMEN</v>
          </cell>
        </row>
        <row r="2664">
          <cell r="C2664" t="str">
            <v>1710469964</v>
          </cell>
          <cell r="AT2664" t="str">
            <v>YANEZ ORTIZ VERONICA DEL CARMEN</v>
          </cell>
        </row>
        <row r="2665">
          <cell r="C2665" t="str">
            <v>1710469964</v>
          </cell>
          <cell r="AT2665" t="str">
            <v>YANEZ ORTIZ VERONICA DEL CARMEN</v>
          </cell>
        </row>
        <row r="2666">
          <cell r="C2666" t="str">
            <v>1710469964</v>
          </cell>
          <cell r="AT2666" t="str">
            <v>YANEZ ORTIZ VERONICA DEL CARMEN</v>
          </cell>
        </row>
        <row r="2667">
          <cell r="C2667" t="str">
            <v>0801752296</v>
          </cell>
          <cell r="AT2667" t="str">
            <v>ZAMBRANO ARAUJO GENOVA ELISA</v>
          </cell>
        </row>
        <row r="2668">
          <cell r="C2668" t="str">
            <v>0801752296</v>
          </cell>
          <cell r="AT2668" t="str">
            <v>ZAMBRANO ARAUJO GENOVA ELISA</v>
          </cell>
        </row>
        <row r="2669">
          <cell r="C2669" t="str">
            <v>0801752296</v>
          </cell>
          <cell r="AT2669" t="str">
            <v>ZAMBRANO ARAUJO GENOVA ELISA</v>
          </cell>
        </row>
        <row r="2670">
          <cell r="C2670" t="str">
            <v>0801752296</v>
          </cell>
          <cell r="AT2670" t="str">
            <v>ZAMBRANO ARAUJO GENOVA ELISA</v>
          </cell>
        </row>
        <row r="2671">
          <cell r="C2671" t="str">
            <v>0801752296</v>
          </cell>
          <cell r="AT2671" t="str">
            <v>ZAMBRANO ARAUJO GENOVA ELISA</v>
          </cell>
        </row>
        <row r="2672">
          <cell r="C2672" t="str">
            <v>0801752296</v>
          </cell>
          <cell r="AT2672" t="str">
            <v>ZAMBRANO ARAUJO GENOVA ELISA</v>
          </cell>
        </row>
        <row r="2673">
          <cell r="C2673" t="str">
            <v>0801752296</v>
          </cell>
          <cell r="AT2673" t="str">
            <v>ZAMBRANO ARAUJO GENOVA ELISA</v>
          </cell>
        </row>
        <row r="2674">
          <cell r="C2674" t="str">
            <v>0801752296</v>
          </cell>
          <cell r="AT2674" t="str">
            <v>ZAMBRANO ARAUJO GENOVA ELISA</v>
          </cell>
        </row>
        <row r="2675">
          <cell r="C2675" t="str">
            <v>0801752296</v>
          </cell>
          <cell r="AT2675" t="str">
            <v>ZAMBRANO ARAUJO GENOVA ELISA</v>
          </cell>
        </row>
        <row r="2676">
          <cell r="C2676" t="str">
            <v>0801752296</v>
          </cell>
          <cell r="AT2676" t="str">
            <v>ZAMBRANO ARAUJO GENOVA ELISA</v>
          </cell>
        </row>
        <row r="2677">
          <cell r="C2677" t="str">
            <v>0801752296</v>
          </cell>
          <cell r="AT2677" t="str">
            <v>ZAMBRANO ARAUJO GENOVA ELISA</v>
          </cell>
        </row>
        <row r="2678">
          <cell r="C2678" t="str">
            <v>0801752296</v>
          </cell>
          <cell r="AT2678" t="str">
            <v>ZAMBRANO ARAUJO GENOVA ELISA</v>
          </cell>
        </row>
        <row r="2679">
          <cell r="C2679" t="str">
            <v>0801752296</v>
          </cell>
          <cell r="AT2679" t="str">
            <v>ZAMBRANO ARAUJO GENOVA ELISA</v>
          </cell>
        </row>
        <row r="2680">
          <cell r="C2680" t="str">
            <v>0801752296</v>
          </cell>
          <cell r="AT2680" t="str">
            <v>ZAMBRANO ARAUJO GENOVA ELISA</v>
          </cell>
        </row>
        <row r="2681">
          <cell r="C2681" t="str">
            <v>0801752296</v>
          </cell>
          <cell r="AT2681" t="str">
            <v>ZAMBRANO ARAUJO GENOVA ELISA</v>
          </cell>
        </row>
        <row r="2682">
          <cell r="C2682" t="str">
            <v>0801752296</v>
          </cell>
          <cell r="AT2682" t="str">
            <v>ZAMBRANO ARAUJO GENOVA ELISA</v>
          </cell>
        </row>
        <row r="2683">
          <cell r="C2683" t="str">
            <v>0801752296</v>
          </cell>
          <cell r="AT2683" t="str">
            <v>ZAMBRANO ARAUJO GENOVA ELISA</v>
          </cell>
        </row>
        <row r="2684">
          <cell r="C2684" t="str">
            <v>0801752296</v>
          </cell>
          <cell r="AT2684" t="str">
            <v>ZAMBRANO ARAUJO GENOVA ELISA</v>
          </cell>
        </row>
        <row r="2685">
          <cell r="C2685" t="str">
            <v>0801752296</v>
          </cell>
          <cell r="AT2685" t="str">
            <v>ZAMBRANO ARAUJO GENOVA ELISA</v>
          </cell>
        </row>
        <row r="2686">
          <cell r="C2686" t="str">
            <v>0801752296</v>
          </cell>
          <cell r="AT2686" t="str">
            <v>ZAMBRANO ARAUJO GENOVA ELISA</v>
          </cell>
        </row>
        <row r="2687">
          <cell r="C2687" t="str">
            <v>0801752296</v>
          </cell>
          <cell r="AT2687" t="str">
            <v>ZAMBRANO ARAUJO GENOVA ELISA</v>
          </cell>
        </row>
        <row r="2688">
          <cell r="C2688" t="str">
            <v>0801752296</v>
          </cell>
          <cell r="AT2688" t="str">
            <v>ZAMBRANO ARAUJO GENOVA ELISA</v>
          </cell>
        </row>
        <row r="2689">
          <cell r="C2689" t="str">
            <v>0801752296</v>
          </cell>
          <cell r="AT2689" t="str">
            <v>ZAMBRANO ARAUJO GENOVA ELISA</v>
          </cell>
        </row>
        <row r="2690">
          <cell r="C2690" t="str">
            <v>0801752296</v>
          </cell>
          <cell r="AT2690" t="str">
            <v>ZAMBRANO ARAUJO GENOVA ELISA</v>
          </cell>
        </row>
        <row r="2691">
          <cell r="C2691" t="str">
            <v>0801752296</v>
          </cell>
          <cell r="AT2691" t="str">
            <v>ZAMBRANO ARAUJO GENOVA ELISA</v>
          </cell>
        </row>
        <row r="2692">
          <cell r="C2692" t="str">
            <v>0801752296</v>
          </cell>
          <cell r="AT2692" t="str">
            <v>ZAMBRANO ARAUJO GENOVA ELISA</v>
          </cell>
        </row>
        <row r="2693">
          <cell r="C2693" t="str">
            <v>0801752296</v>
          </cell>
          <cell r="AT2693" t="str">
            <v>ZAMBRANO ARAUJO GENOVA ELISA</v>
          </cell>
        </row>
        <row r="2694">
          <cell r="C2694" t="str">
            <v>0801752296</v>
          </cell>
          <cell r="AT2694" t="str">
            <v>ZAMBRANO ARAUJO GENOVA ELISA</v>
          </cell>
        </row>
        <row r="2695">
          <cell r="C2695" t="str">
            <v>0801752296</v>
          </cell>
          <cell r="AT2695" t="str">
            <v>ZAMBRANO ARAUJO GENOVA ELISA</v>
          </cell>
        </row>
        <row r="2696">
          <cell r="C2696" t="str">
            <v>0801752296</v>
          </cell>
          <cell r="AT2696" t="str">
            <v>ZAMBRANO ARAUJO GENOVA ELISA</v>
          </cell>
        </row>
        <row r="2697">
          <cell r="C2697" t="str">
            <v>0801752296</v>
          </cell>
          <cell r="AT2697" t="str">
            <v>ZAMBRANO ARAUJO GENOVA ELISA</v>
          </cell>
        </row>
        <row r="2698">
          <cell r="C2698" t="str">
            <v>0801752296</v>
          </cell>
          <cell r="AT2698" t="str">
            <v>ZAMBRANO ARAUJO GENOVA ELISA</v>
          </cell>
        </row>
        <row r="2699">
          <cell r="C2699" t="str">
            <v>0801752296</v>
          </cell>
          <cell r="AT2699" t="str">
            <v>ZAMBRANO ARAUJO GENOVA ELISA</v>
          </cell>
        </row>
        <row r="2700">
          <cell r="C2700" t="str">
            <v>0801752296</v>
          </cell>
          <cell r="AT2700" t="str">
            <v>ZAMBRANO ARAUJO GENOVA ELISA</v>
          </cell>
        </row>
        <row r="2701">
          <cell r="C2701" t="str">
            <v>0801752296</v>
          </cell>
          <cell r="AT2701" t="str">
            <v>ZAMBRANO ARAUJO GENOVA ELISA</v>
          </cell>
        </row>
        <row r="2702">
          <cell r="C2702" t="str">
            <v>0801752296</v>
          </cell>
          <cell r="AT2702" t="str">
            <v>ZAMBRANO ARAUJO GENOVA ELISA</v>
          </cell>
        </row>
        <row r="2703">
          <cell r="C2703" t="str">
            <v>0801752296</v>
          </cell>
          <cell r="AT2703" t="str">
            <v>ZAMBRANO ARAUJO GENOVA ELISA</v>
          </cell>
        </row>
        <row r="2704">
          <cell r="C2704" t="str">
            <v>0801752296</v>
          </cell>
          <cell r="AT2704" t="str">
            <v>ZAMBRANO ARAUJO GENOVA ELISA</v>
          </cell>
        </row>
        <row r="2705">
          <cell r="C2705" t="str">
            <v>0801752296</v>
          </cell>
          <cell r="AT2705" t="str">
            <v>ZAMBRANO ARAUJO GENOVA ELISA</v>
          </cell>
        </row>
        <row r="2706">
          <cell r="C2706" t="str">
            <v>0801752296</v>
          </cell>
          <cell r="AT2706" t="str">
            <v>ZAMBRANO ARAUJO GENOVA ELISA</v>
          </cell>
        </row>
        <row r="2707">
          <cell r="C2707" t="str">
            <v>0801752296</v>
          </cell>
          <cell r="AT2707" t="str">
            <v>ZAMBRANO ARAUJO GENOVA ELISA</v>
          </cell>
        </row>
        <row r="2708">
          <cell r="C2708" t="str">
            <v>0801752296</v>
          </cell>
          <cell r="AT2708" t="str">
            <v>ZAMBRANO ARAUJO GENOVA ELISA</v>
          </cell>
        </row>
        <row r="2709">
          <cell r="C2709" t="str">
            <v>0801752296</v>
          </cell>
          <cell r="AT2709" t="str">
            <v>ZAMBRANO ARAUJO GENOVA ELISA</v>
          </cell>
        </row>
        <row r="2710">
          <cell r="C2710" t="str">
            <v>0801752296</v>
          </cell>
          <cell r="AT2710" t="str">
            <v>ZAMBRANO ARAUJO GENOVA ELISA</v>
          </cell>
        </row>
        <row r="2711">
          <cell r="C2711" t="str">
            <v>0801752296</v>
          </cell>
          <cell r="AT2711" t="str">
            <v>ZAMBRANO ARAUJO GENOVA ELISA</v>
          </cell>
        </row>
        <row r="2712">
          <cell r="C2712" t="str">
            <v>0801752296</v>
          </cell>
          <cell r="AT2712" t="str">
            <v>ZAMBRANO ARAUJO GENOVA ELISA</v>
          </cell>
        </row>
        <row r="2713">
          <cell r="C2713" t="str">
            <v>0801752296</v>
          </cell>
          <cell r="AT2713" t="str">
            <v>ZAMBRANO ARAUJO GENOVA ELISA</v>
          </cell>
        </row>
        <row r="2714">
          <cell r="C2714" t="str">
            <v>0801752296</v>
          </cell>
          <cell r="AT2714" t="str">
            <v>ZAMBRANO ARAUJO GENOVA ELISA</v>
          </cell>
        </row>
        <row r="2715">
          <cell r="C2715" t="str">
            <v>0801752296</v>
          </cell>
          <cell r="AT2715" t="str">
            <v>ZAMBRANO ARAUJO GENOVA ELISA</v>
          </cell>
        </row>
        <row r="2716">
          <cell r="C2716" t="str">
            <v>0801752296</v>
          </cell>
          <cell r="AT2716" t="str">
            <v>ZAMBRANO ARAUJO GENOVA ELISA</v>
          </cell>
        </row>
        <row r="2717">
          <cell r="C2717" t="str">
            <v>0801752296</v>
          </cell>
          <cell r="AT2717" t="str">
            <v>ZAMBRANO ARAUJO GENOVA ELISA</v>
          </cell>
        </row>
        <row r="2718">
          <cell r="C2718" t="str">
            <v>0801752296</v>
          </cell>
          <cell r="AT2718" t="str">
            <v>ZAMBRANO ARAUJO GENOVA ELISA</v>
          </cell>
        </row>
        <row r="2719">
          <cell r="C2719" t="str">
            <v>0801752296</v>
          </cell>
          <cell r="AT2719" t="str">
            <v>ZAMBRANO ARAUJO GENOVA ELISA</v>
          </cell>
        </row>
        <row r="2720">
          <cell r="C2720" t="str">
            <v>0801752296</v>
          </cell>
          <cell r="AT2720" t="str">
            <v>ZAMBRANO ARAUJO GENOVA ELISA</v>
          </cell>
        </row>
        <row r="2721">
          <cell r="C2721" t="str">
            <v>0801752296</v>
          </cell>
          <cell r="AT2721" t="str">
            <v>ZAMBRANO ARAUJO GENOVA ELISA</v>
          </cell>
        </row>
        <row r="2722">
          <cell r="C2722" t="str">
            <v>1711671089</v>
          </cell>
          <cell r="AT2722" t="str">
            <v>CARRANZA TORRES ALBERTO RAÚL</v>
          </cell>
        </row>
        <row r="2723">
          <cell r="C2723" t="str">
            <v>0802825471</v>
          </cell>
          <cell r="AT2723" t="str">
            <v>CARRILLO QUINTERO ANA CRISTINA</v>
          </cell>
        </row>
        <row r="2724">
          <cell r="C2724" t="str">
            <v>0801539396</v>
          </cell>
          <cell r="AT2724" t="str">
            <v>BARROS GRUEZO GALO THOMAS</v>
          </cell>
        </row>
        <row r="2725">
          <cell r="C2725" t="str">
            <v>0801539396</v>
          </cell>
          <cell r="AT2725" t="str">
            <v>BARROS GRUEZO GALO THOMAS</v>
          </cell>
        </row>
        <row r="2726">
          <cell r="C2726" t="str">
            <v>0801539396</v>
          </cell>
          <cell r="AT2726" t="str">
            <v>BARROS GRUEZO GALO THOMAS</v>
          </cell>
        </row>
        <row r="2727">
          <cell r="C2727" t="str">
            <v>0801539396</v>
          </cell>
          <cell r="AT2727" t="str">
            <v>BARROS GRUEZO GALO THOMAS</v>
          </cell>
        </row>
        <row r="2728">
          <cell r="C2728" t="str">
            <v>0801539396</v>
          </cell>
          <cell r="AT2728" t="str">
            <v>BARROS GRUEZO GALO THOMAS</v>
          </cell>
        </row>
        <row r="2729">
          <cell r="C2729" t="str">
            <v>0801539396</v>
          </cell>
          <cell r="AT2729" t="str">
            <v>BARROS GRUEZO GALO THOMAS</v>
          </cell>
        </row>
        <row r="2730">
          <cell r="C2730" t="str">
            <v>0801539396</v>
          </cell>
          <cell r="AT2730" t="str">
            <v>BARROS GRUEZO GALO THOMAS</v>
          </cell>
        </row>
        <row r="2731">
          <cell r="C2731" t="str">
            <v>0801539396</v>
          </cell>
          <cell r="AT2731" t="str">
            <v>BARROS GRUEZO GALO THOMAS</v>
          </cell>
        </row>
        <row r="2732">
          <cell r="C2732" t="str">
            <v>0801539396</v>
          </cell>
          <cell r="AT2732" t="str">
            <v>BARROS GRUEZO GALO THOMAS</v>
          </cell>
        </row>
        <row r="2733">
          <cell r="C2733" t="str">
            <v>0801539396</v>
          </cell>
          <cell r="AT2733" t="str">
            <v>BARROS GRUEZO GALO THOMAS</v>
          </cell>
        </row>
        <row r="2734">
          <cell r="C2734" t="str">
            <v>0801539396</v>
          </cell>
          <cell r="AT2734" t="str">
            <v>BARROS GRUEZO GALO THOMAS</v>
          </cell>
        </row>
        <row r="2735">
          <cell r="C2735" t="str">
            <v>0801539396</v>
          </cell>
          <cell r="AT2735" t="str">
            <v>BARROS GRUEZO GALO THOMAS</v>
          </cell>
        </row>
        <row r="2736">
          <cell r="C2736" t="str">
            <v>0801539396</v>
          </cell>
          <cell r="AT2736" t="str">
            <v>BARROS GRUEZO GALO THOMAS</v>
          </cell>
        </row>
        <row r="2737">
          <cell r="C2737" t="str">
            <v>0801539396</v>
          </cell>
          <cell r="AT2737" t="str">
            <v>BARROS GRUEZO GALO THOMAS</v>
          </cell>
        </row>
        <row r="2738">
          <cell r="C2738" t="str">
            <v>0801539396</v>
          </cell>
          <cell r="AT2738" t="str">
            <v>BARROS GRUEZO GALO THOMAS</v>
          </cell>
        </row>
        <row r="2739">
          <cell r="C2739" t="str">
            <v>0801539396</v>
          </cell>
          <cell r="AT2739" t="str">
            <v>BARROS GRUEZO GALO THOMAS</v>
          </cell>
        </row>
        <row r="2740">
          <cell r="C2740" t="str">
            <v>0801539396</v>
          </cell>
          <cell r="AT2740" t="str">
            <v>BARROS GRUEZO GALO THOMAS</v>
          </cell>
        </row>
        <row r="2741">
          <cell r="C2741" t="str">
            <v>0801539396</v>
          </cell>
          <cell r="AT2741" t="str">
            <v>BARROS GRUEZO GALO THOMAS</v>
          </cell>
        </row>
        <row r="2742">
          <cell r="C2742" t="str">
            <v>0801539396</v>
          </cell>
          <cell r="AT2742" t="str">
            <v>BARROS GRUEZO GALO THOMAS</v>
          </cell>
        </row>
        <row r="2743">
          <cell r="C2743" t="str">
            <v>0801539396</v>
          </cell>
          <cell r="AT2743" t="str">
            <v>BARROS GRUEZO GALO THOMAS</v>
          </cell>
        </row>
        <row r="2744">
          <cell r="C2744" t="str">
            <v>0800851024</v>
          </cell>
          <cell r="AT2744" t="str">
            <v>CARVACHE FRANCO ZULLY BETTY</v>
          </cell>
        </row>
        <row r="2745">
          <cell r="C2745" t="str">
            <v>1302921018</v>
          </cell>
          <cell r="AT2745" t="str">
            <v>CEVALLOS ARTEAGA RAMON MARCOS</v>
          </cell>
        </row>
        <row r="2746">
          <cell r="C2746" t="str">
            <v>0800638306</v>
          </cell>
          <cell r="AT2746" t="str">
            <v>CHICHANDE MORA MIRNA MONSERRATE</v>
          </cell>
        </row>
        <row r="2747">
          <cell r="C2747" t="str">
            <v>0800638306</v>
          </cell>
          <cell r="AT2747" t="str">
            <v>CHICHANDE MORA MIRNA MONSERRATE</v>
          </cell>
        </row>
        <row r="2748">
          <cell r="C2748" t="str">
            <v>1714331525</v>
          </cell>
          <cell r="AT2748" t="str">
            <v>CORDOVA PAREDES MAURICIO JAVIER</v>
          </cell>
        </row>
        <row r="2749">
          <cell r="C2749" t="str">
            <v>1722416565</v>
          </cell>
          <cell r="AT2749" t="str">
            <v>DIAZ CEVALLOS ANA CRISTINA</v>
          </cell>
        </row>
        <row r="2750">
          <cell r="C2750" t="str">
            <v>0802198556</v>
          </cell>
          <cell r="AT2750" t="str">
            <v>CEVALLOS ESTUPIÑAN MARIA PAOLA</v>
          </cell>
        </row>
        <row r="2751">
          <cell r="C2751" t="str">
            <v>0802198556</v>
          </cell>
          <cell r="AT2751" t="str">
            <v>CEVALLOS ESTUPIÑAN MARIA PAOLA</v>
          </cell>
        </row>
        <row r="2752">
          <cell r="C2752" t="str">
            <v>0802198556</v>
          </cell>
          <cell r="AT2752" t="str">
            <v>CEVALLOS ESTUPIÑAN MARIA PAOLA</v>
          </cell>
        </row>
        <row r="2753">
          <cell r="C2753" t="str">
            <v>0802198556</v>
          </cell>
          <cell r="AT2753" t="str">
            <v>CEVALLOS ESTUPIÑAN MARIA PAOLA</v>
          </cell>
        </row>
        <row r="2754">
          <cell r="C2754" t="str">
            <v>0802198556</v>
          </cell>
          <cell r="AT2754" t="str">
            <v>CEVALLOS ESTUPIÑAN MARIA PAOLA</v>
          </cell>
        </row>
        <row r="2755">
          <cell r="C2755" t="str">
            <v>0802198556</v>
          </cell>
          <cell r="AT2755" t="str">
            <v>CEVALLOS ESTUPIÑAN MARIA PAOLA</v>
          </cell>
        </row>
        <row r="2756">
          <cell r="C2756" t="str">
            <v>0802198556</v>
          </cell>
          <cell r="AT2756" t="str">
            <v>CEVALLOS ESTUPIÑAN MARIA PAOLA</v>
          </cell>
        </row>
        <row r="2757">
          <cell r="C2757" t="str">
            <v>0802198556</v>
          </cell>
          <cell r="AT2757" t="str">
            <v>CEVALLOS ESTUPIÑAN MARIA PAOLA</v>
          </cell>
        </row>
        <row r="2758">
          <cell r="C2758" t="str">
            <v>0802198556</v>
          </cell>
          <cell r="AT2758" t="str">
            <v>CEVALLOS ESTUPIÑAN MARIA PAOLA</v>
          </cell>
        </row>
        <row r="2759">
          <cell r="C2759" t="str">
            <v>0802198556</v>
          </cell>
          <cell r="AT2759" t="str">
            <v>CEVALLOS ESTUPIÑAN MARIA PAOLA</v>
          </cell>
        </row>
        <row r="2760">
          <cell r="C2760" t="str">
            <v>0802198556</v>
          </cell>
          <cell r="AT2760" t="str">
            <v>CEVALLOS ESTUPIÑAN MARIA PAOLA</v>
          </cell>
        </row>
        <row r="2761">
          <cell r="C2761" t="str">
            <v>0802198556</v>
          </cell>
          <cell r="AT2761" t="str">
            <v>CEVALLOS ESTUPIÑAN MARIA PAOLA</v>
          </cell>
        </row>
        <row r="2762">
          <cell r="C2762" t="str">
            <v>0802198556</v>
          </cell>
          <cell r="AT2762" t="str">
            <v>CEVALLOS ESTUPIÑAN MARIA PAOLA</v>
          </cell>
        </row>
        <row r="2763">
          <cell r="C2763" t="str">
            <v>0802198556</v>
          </cell>
          <cell r="AT2763" t="str">
            <v>CEVALLOS ESTUPIÑAN MARIA PAOLA</v>
          </cell>
        </row>
        <row r="2764">
          <cell r="C2764" t="str">
            <v>0802198556</v>
          </cell>
          <cell r="AT2764" t="str">
            <v>CEVALLOS ESTUPIÑAN MARIA PAOLA</v>
          </cell>
        </row>
        <row r="2765">
          <cell r="C2765" t="str">
            <v>0802198556</v>
          </cell>
          <cell r="AT2765" t="str">
            <v>CEVALLOS ESTUPIÑAN MARIA PAOLA</v>
          </cell>
        </row>
        <row r="2766">
          <cell r="C2766" t="str">
            <v>0802198556</v>
          </cell>
          <cell r="AT2766" t="str">
            <v>CEVALLOS ESTUPIÑAN MARIA PAOLA</v>
          </cell>
        </row>
        <row r="2767">
          <cell r="C2767" t="str">
            <v>0802198556</v>
          </cell>
          <cell r="AT2767" t="str">
            <v>CEVALLOS ESTUPIÑAN MARIA PAOLA</v>
          </cell>
        </row>
        <row r="2768">
          <cell r="C2768" t="str">
            <v>0802198556</v>
          </cell>
          <cell r="AT2768" t="str">
            <v>CEVALLOS ESTUPIÑAN MARIA PAOLA</v>
          </cell>
        </row>
        <row r="2769">
          <cell r="C2769" t="str">
            <v>0601901028</v>
          </cell>
          <cell r="AT2769" t="str">
            <v>ESTRADA HEREDIA LUIS PATRICIO</v>
          </cell>
        </row>
        <row r="2770">
          <cell r="C2770" t="str">
            <v>0601901028</v>
          </cell>
          <cell r="AT2770" t="str">
            <v>ESTRADA HEREDIA LUIS PATRICIO</v>
          </cell>
        </row>
        <row r="2771">
          <cell r="C2771" t="str">
            <v>4113249</v>
          </cell>
          <cell r="AT2771" t="str">
            <v xml:space="preserve">GARCIA BRITO GUSTAVO </v>
          </cell>
        </row>
        <row r="2772">
          <cell r="C2772" t="str">
            <v>0801514019</v>
          </cell>
          <cell r="AT2772" t="str">
            <v>GRIJALVA QUIÑONEZ PATRICIA ALEXANDRA</v>
          </cell>
        </row>
        <row r="2773">
          <cell r="C2773" t="str">
            <v>1751562461</v>
          </cell>
          <cell r="AT2773" t="str">
            <v xml:space="preserve">FORONDA ROJO AINIZE </v>
          </cell>
        </row>
        <row r="2774">
          <cell r="C2774" t="str">
            <v>1751562461</v>
          </cell>
          <cell r="AT2774" t="str">
            <v xml:space="preserve">FORONDA ROJO AINIZE </v>
          </cell>
        </row>
        <row r="2775">
          <cell r="C2775" t="str">
            <v>1751562461</v>
          </cell>
          <cell r="AT2775" t="str">
            <v xml:space="preserve">FORONDA ROJO AINIZE </v>
          </cell>
        </row>
        <row r="2776">
          <cell r="C2776" t="str">
            <v>1751562461</v>
          </cell>
          <cell r="AT2776" t="str">
            <v xml:space="preserve">FORONDA ROJO AINIZE </v>
          </cell>
        </row>
        <row r="2777">
          <cell r="C2777" t="str">
            <v>1751562461</v>
          </cell>
          <cell r="AT2777" t="str">
            <v xml:space="preserve">FORONDA ROJO AINIZE </v>
          </cell>
        </row>
        <row r="2778">
          <cell r="C2778" t="str">
            <v>1751562461</v>
          </cell>
          <cell r="AT2778" t="str">
            <v xml:space="preserve">FORONDA ROJO AINIZE </v>
          </cell>
        </row>
        <row r="2779">
          <cell r="C2779" t="str">
            <v>1751562461</v>
          </cell>
          <cell r="AT2779" t="str">
            <v xml:space="preserve">FORONDA ROJO AINIZE </v>
          </cell>
        </row>
        <row r="2780">
          <cell r="C2780" t="str">
            <v>1751562461</v>
          </cell>
          <cell r="AT2780" t="str">
            <v xml:space="preserve">FORONDA ROJO AINIZE </v>
          </cell>
        </row>
        <row r="2781">
          <cell r="C2781" t="str">
            <v>1751562461</v>
          </cell>
          <cell r="AT2781" t="str">
            <v xml:space="preserve">FORONDA ROJO AINIZE </v>
          </cell>
        </row>
        <row r="2782">
          <cell r="C2782" t="str">
            <v>1751562461</v>
          </cell>
          <cell r="AT2782" t="str">
            <v xml:space="preserve">FORONDA ROJO AINIZE </v>
          </cell>
        </row>
        <row r="2783">
          <cell r="C2783" t="str">
            <v>1751562461</v>
          </cell>
          <cell r="AT2783" t="str">
            <v xml:space="preserve">FORONDA ROJO AINIZE </v>
          </cell>
        </row>
        <row r="2784">
          <cell r="C2784" t="str">
            <v>1751562461</v>
          </cell>
          <cell r="AT2784" t="str">
            <v xml:space="preserve">FORONDA ROJO AINIZE </v>
          </cell>
        </row>
        <row r="2785">
          <cell r="C2785" t="str">
            <v>1751562461</v>
          </cell>
          <cell r="AT2785" t="str">
            <v xml:space="preserve">FORONDA ROJO AINIZE </v>
          </cell>
        </row>
        <row r="2786">
          <cell r="C2786" t="str">
            <v>1751562461</v>
          </cell>
          <cell r="AT2786" t="str">
            <v xml:space="preserve">FORONDA ROJO AINIZE </v>
          </cell>
        </row>
        <row r="2787">
          <cell r="C2787" t="str">
            <v>1751562461</v>
          </cell>
          <cell r="AT2787" t="str">
            <v xml:space="preserve">FORONDA ROJO AINIZE </v>
          </cell>
        </row>
        <row r="2788">
          <cell r="C2788" t="str">
            <v>1751562461</v>
          </cell>
          <cell r="AT2788" t="str">
            <v xml:space="preserve">FORONDA ROJO AINIZE </v>
          </cell>
        </row>
        <row r="2789">
          <cell r="C2789" t="str">
            <v>0803459197</v>
          </cell>
          <cell r="AT2789" t="str">
            <v>MONTES MOLINA MABEL CECILIA</v>
          </cell>
        </row>
        <row r="2790">
          <cell r="C2790" t="str">
            <v>0802997049</v>
          </cell>
          <cell r="AT2790" t="str">
            <v>VELIZ CORDOVA ANA CRISTINA</v>
          </cell>
        </row>
        <row r="2791">
          <cell r="C2791" t="str">
            <v>1202418552</v>
          </cell>
          <cell r="AT2791" t="str">
            <v>HERNANDEZ DIAZ EURIDICE MAGALY</v>
          </cell>
        </row>
        <row r="2792">
          <cell r="C2792" t="str">
            <v>0803195809</v>
          </cell>
          <cell r="AT2792" t="str">
            <v>LUNA CUERO KARLA XIMENA</v>
          </cell>
        </row>
        <row r="2793">
          <cell r="C2793" t="str">
            <v>0801328733</v>
          </cell>
          <cell r="AT2793" t="str">
            <v>HERNANDEZ PAZMIÑO CÉSAR ERNESTO</v>
          </cell>
        </row>
        <row r="2794">
          <cell r="C2794" t="str">
            <v>0801966748</v>
          </cell>
          <cell r="AT2794" t="str">
            <v xml:space="preserve">VIZCAINO ORDOÑEZ LAURA DEL ROCIO </v>
          </cell>
        </row>
        <row r="2795">
          <cell r="C2795" t="str">
            <v>1804654406</v>
          </cell>
          <cell r="AT2795" t="str">
            <v>OÑA RODRIGUEZ JEANNETH ALEXANDRA</v>
          </cell>
        </row>
        <row r="2796">
          <cell r="C2796" t="str">
            <v>0802896613</v>
          </cell>
          <cell r="AT2796" t="str">
            <v>REASCO BAUTISTA HENRRY GERMAN</v>
          </cell>
        </row>
        <row r="2797">
          <cell r="C2797" t="str">
            <v>0800973885</v>
          </cell>
          <cell r="AT2797" t="str">
            <v>PLAZA DIAZ MARIA FERNANDA</v>
          </cell>
        </row>
        <row r="2798">
          <cell r="C2798" t="str">
            <v>0800973885</v>
          </cell>
          <cell r="AT2798" t="str">
            <v>PLAZA DIAZ MARIA FERNANDA</v>
          </cell>
        </row>
        <row r="2799">
          <cell r="C2799" t="str">
            <v>0800973885</v>
          </cell>
          <cell r="AT2799" t="str">
            <v>PLAZA DIAZ MARIA FERNANDA</v>
          </cell>
        </row>
        <row r="2800">
          <cell r="C2800" t="str">
            <v>0800973885</v>
          </cell>
          <cell r="AT2800" t="str">
            <v>PLAZA DIAZ MARIA FERNANDA</v>
          </cell>
        </row>
        <row r="2801">
          <cell r="C2801" t="str">
            <v>0800973885</v>
          </cell>
          <cell r="AT2801" t="str">
            <v>PLAZA DIAZ MARIA FERNANDA</v>
          </cell>
        </row>
        <row r="2802">
          <cell r="C2802" t="str">
            <v>0800973885</v>
          </cell>
          <cell r="AT2802" t="str">
            <v>PLAZA DIAZ MARIA FERNANDA</v>
          </cell>
        </row>
        <row r="2803">
          <cell r="C2803" t="str">
            <v>0800973885</v>
          </cell>
          <cell r="AT2803" t="str">
            <v>PLAZA DIAZ MARIA FERNANDA</v>
          </cell>
        </row>
        <row r="2804">
          <cell r="C2804" t="str">
            <v>0800973885</v>
          </cell>
          <cell r="AT2804" t="str">
            <v>PLAZA DIAZ MARIA FERNANDA</v>
          </cell>
        </row>
        <row r="2805">
          <cell r="C2805" t="str">
            <v>0800973885</v>
          </cell>
          <cell r="AT2805" t="str">
            <v>PLAZA DIAZ MARIA FERNANDA</v>
          </cell>
        </row>
        <row r="2806">
          <cell r="C2806" t="str">
            <v>0800973885</v>
          </cell>
          <cell r="AT2806" t="str">
            <v>PLAZA DIAZ MARIA FERNANDA</v>
          </cell>
        </row>
        <row r="2807">
          <cell r="C2807" t="str">
            <v>0800973885</v>
          </cell>
          <cell r="AT2807" t="str">
            <v>PLAZA DIAZ MARIA FERNANDA</v>
          </cell>
        </row>
        <row r="2808">
          <cell r="C2808" t="str">
            <v>0800973885</v>
          </cell>
          <cell r="AT2808" t="str">
            <v>PLAZA DIAZ MARIA FERNANDA</v>
          </cell>
        </row>
        <row r="2809">
          <cell r="C2809" t="str">
            <v>0800973885</v>
          </cell>
          <cell r="AT2809" t="str">
            <v>PLAZA DIAZ MARIA FERNANDA</v>
          </cell>
        </row>
        <row r="2810">
          <cell r="C2810" t="str">
            <v>0800973885</v>
          </cell>
          <cell r="AT2810" t="str">
            <v>PLAZA DIAZ MARIA FERNANDA</v>
          </cell>
        </row>
        <row r="2811">
          <cell r="C2811" t="str">
            <v>0801134032</v>
          </cell>
          <cell r="AT2811" t="str">
            <v>QUIÑONEZ CASTILLO RHUT YANET</v>
          </cell>
        </row>
        <row r="2812">
          <cell r="C2812" t="str">
            <v>0801134032</v>
          </cell>
          <cell r="AT2812" t="str">
            <v>QUIÑONEZ CASTILLO RHUT YANET</v>
          </cell>
        </row>
        <row r="2813">
          <cell r="C2813" t="str">
            <v>0801134032</v>
          </cell>
          <cell r="AT2813" t="str">
            <v>QUIÑONEZ CASTILLO RHUT YANET</v>
          </cell>
        </row>
        <row r="2814">
          <cell r="C2814" t="str">
            <v>0801134032</v>
          </cell>
          <cell r="AT2814" t="str">
            <v>QUIÑONEZ CASTILLO RHUT YANET</v>
          </cell>
        </row>
        <row r="2815">
          <cell r="C2815" t="str">
            <v>0801134032</v>
          </cell>
          <cell r="AT2815" t="str">
            <v>QUIÑONEZ CASTILLO RHUT YANET</v>
          </cell>
        </row>
        <row r="2816">
          <cell r="C2816" t="str">
            <v>0801134032</v>
          </cell>
          <cell r="AT2816" t="str">
            <v>QUIÑONEZ CASTILLO RHUT YANET</v>
          </cell>
        </row>
        <row r="2817">
          <cell r="C2817" t="str">
            <v>0801134032</v>
          </cell>
          <cell r="AT2817" t="str">
            <v>QUIÑONEZ CASTILLO RHUT YANET</v>
          </cell>
        </row>
        <row r="2818">
          <cell r="C2818" t="str">
            <v>0801134032</v>
          </cell>
          <cell r="AT2818" t="str">
            <v>QUIÑONEZ CASTILLO RHUT YANET</v>
          </cell>
        </row>
        <row r="2819">
          <cell r="C2819" t="str">
            <v>0801134032</v>
          </cell>
          <cell r="AT2819" t="str">
            <v>QUIÑONEZ CASTILLO RHUT YANET</v>
          </cell>
        </row>
        <row r="2820">
          <cell r="C2820" t="str">
            <v>0801134032</v>
          </cell>
          <cell r="AT2820" t="str">
            <v>QUIÑONEZ CASTILLO RHUT YANET</v>
          </cell>
        </row>
        <row r="2821">
          <cell r="C2821" t="str">
            <v>0801134032</v>
          </cell>
          <cell r="AT2821" t="str">
            <v>QUIÑONEZ CASTILLO RHUT YANET</v>
          </cell>
        </row>
        <row r="2822">
          <cell r="C2822" t="str">
            <v>0801134032</v>
          </cell>
          <cell r="AT2822" t="str">
            <v>QUIÑONEZ CASTILLO RHUT YANET</v>
          </cell>
        </row>
        <row r="2823">
          <cell r="C2823" t="str">
            <v>0801134032</v>
          </cell>
          <cell r="AT2823" t="str">
            <v>QUIÑONEZ CASTILLO RHUT YANET</v>
          </cell>
        </row>
        <row r="2824">
          <cell r="C2824" t="str">
            <v>0801134032</v>
          </cell>
          <cell r="AT2824" t="str">
            <v>QUIÑONEZ CASTILLO RHUT YANET</v>
          </cell>
        </row>
        <row r="2825">
          <cell r="C2825" t="str">
            <v>0801134032</v>
          </cell>
          <cell r="AT2825" t="str">
            <v>QUIÑONEZ CASTILLO RHUT YANET</v>
          </cell>
        </row>
        <row r="2826">
          <cell r="C2826" t="str">
            <v>0801134032</v>
          </cell>
          <cell r="AT2826" t="str">
            <v>QUIÑONEZ CASTILLO RHUT YANET</v>
          </cell>
        </row>
        <row r="2827">
          <cell r="C2827" t="str">
            <v>0801134032</v>
          </cell>
          <cell r="AT2827" t="str">
            <v>QUIÑONEZ CASTILLO RHUT YANET</v>
          </cell>
        </row>
        <row r="2828">
          <cell r="C2828" t="str">
            <v>0801134032</v>
          </cell>
          <cell r="AT2828" t="str">
            <v>QUIÑONEZ CASTILLO RHUT YANET</v>
          </cell>
        </row>
        <row r="2829">
          <cell r="C2829" t="str">
            <v>0801134032</v>
          </cell>
          <cell r="AT2829" t="str">
            <v>QUIÑONEZ CASTILLO RHUT YANET</v>
          </cell>
        </row>
        <row r="2830">
          <cell r="C2830" t="str">
            <v>0801134032</v>
          </cell>
          <cell r="AT2830" t="str">
            <v>QUIÑONEZ CASTILLO RHUT YANET</v>
          </cell>
        </row>
        <row r="2831">
          <cell r="C2831" t="str">
            <v>0801134032</v>
          </cell>
          <cell r="AT2831" t="str">
            <v>QUIÑONEZ CASTILLO RHUT YANET</v>
          </cell>
        </row>
        <row r="2832">
          <cell r="C2832" t="str">
            <v>0801134032</v>
          </cell>
          <cell r="AT2832" t="str">
            <v>QUIÑONEZ CASTILLO RHUT YANET</v>
          </cell>
        </row>
        <row r="2833">
          <cell r="C2833" t="str">
            <v>0801134032</v>
          </cell>
          <cell r="AT2833" t="str">
            <v>QUIÑONEZ CASTILLO RHUT YANET</v>
          </cell>
        </row>
        <row r="2834">
          <cell r="C2834" t="str">
            <v>0801134032</v>
          </cell>
          <cell r="AT2834" t="str">
            <v>QUIÑONEZ CASTILLO RHUT YANET</v>
          </cell>
        </row>
        <row r="2835">
          <cell r="C2835" t="str">
            <v>0801134032</v>
          </cell>
          <cell r="AT2835" t="str">
            <v>QUIÑONEZ CASTILLO RHUT YANET</v>
          </cell>
        </row>
        <row r="2836">
          <cell r="C2836" t="str">
            <v>0801134032</v>
          </cell>
          <cell r="AT2836" t="str">
            <v>QUIÑONEZ CASTILLO RHUT YANET</v>
          </cell>
        </row>
        <row r="2837">
          <cell r="C2837" t="str">
            <v>0801134032</v>
          </cell>
          <cell r="AT2837" t="str">
            <v>QUIÑONEZ CASTILLO RHUT YANET</v>
          </cell>
        </row>
        <row r="2838">
          <cell r="C2838" t="str">
            <v>0801134032</v>
          </cell>
          <cell r="AT2838" t="str">
            <v>QUIÑONEZ CASTILLO RHUT YANET</v>
          </cell>
        </row>
        <row r="2839">
          <cell r="C2839" t="str">
            <v>0801134032</v>
          </cell>
          <cell r="AT2839" t="str">
            <v>QUIÑONEZ CASTILLO RHUT YANET</v>
          </cell>
        </row>
        <row r="2840">
          <cell r="C2840" t="str">
            <v>0801134032</v>
          </cell>
          <cell r="AT2840" t="str">
            <v>QUIÑONEZ CASTILLO RHUT YANET</v>
          </cell>
        </row>
        <row r="2841">
          <cell r="C2841" t="str">
            <v>0801134032</v>
          </cell>
          <cell r="AT2841" t="str">
            <v>QUIÑONEZ CASTILLO RHUT YANET</v>
          </cell>
        </row>
        <row r="2842">
          <cell r="C2842" t="str">
            <v>0801134032</v>
          </cell>
          <cell r="AT2842" t="str">
            <v>QUIÑONEZ CASTILLO RHUT YANET</v>
          </cell>
        </row>
        <row r="2843">
          <cell r="C2843" t="str">
            <v>0802423889</v>
          </cell>
          <cell r="AT2843" t="str">
            <v>JIMENEZ BOSQUEZ DIEGO ARMANDO</v>
          </cell>
        </row>
        <row r="2844">
          <cell r="C2844" t="str">
            <v>0802423889</v>
          </cell>
          <cell r="AT2844" t="str">
            <v>JIMENEZ BOSQUEZ DIEGO ARMANDO</v>
          </cell>
        </row>
        <row r="2845">
          <cell r="C2845" t="str">
            <v>0801826546</v>
          </cell>
          <cell r="AT2845" t="str">
            <v>MEDINA GODOY KATHYA BOLIVIA</v>
          </cell>
        </row>
        <row r="2846">
          <cell r="C2846" t="str">
            <v>1706456306</v>
          </cell>
          <cell r="AT2846" t="str">
            <v>MERINO MERIZALDE LUIS ANTONIO</v>
          </cell>
        </row>
        <row r="2847">
          <cell r="C2847" t="str">
            <v>1755930375</v>
          </cell>
          <cell r="AT2847" t="str">
            <v xml:space="preserve">RAMIREZ LOZADA HAYDEE </v>
          </cell>
        </row>
        <row r="2848">
          <cell r="C2848" t="str">
            <v>1755930375</v>
          </cell>
          <cell r="AT2848" t="str">
            <v xml:space="preserve">RAMIREZ LOZADA HAYDEE </v>
          </cell>
        </row>
        <row r="2849">
          <cell r="C2849" t="str">
            <v>1755930375</v>
          </cell>
          <cell r="AT2849" t="str">
            <v xml:space="preserve">RAMIREZ LOZADA HAYDEE </v>
          </cell>
        </row>
        <row r="2850">
          <cell r="C2850" t="str">
            <v>1755930375</v>
          </cell>
          <cell r="AT2850" t="str">
            <v xml:space="preserve">RAMIREZ LOZADA HAYDEE </v>
          </cell>
        </row>
        <row r="2851">
          <cell r="C2851" t="str">
            <v>1755930375</v>
          </cell>
          <cell r="AT2851" t="str">
            <v xml:space="preserve">RAMIREZ LOZADA HAYDEE </v>
          </cell>
        </row>
        <row r="2852">
          <cell r="C2852" t="str">
            <v>1755930375</v>
          </cell>
          <cell r="AT2852" t="str">
            <v xml:space="preserve">RAMIREZ LOZADA HAYDEE </v>
          </cell>
        </row>
        <row r="2853">
          <cell r="C2853" t="str">
            <v>1755930375</v>
          </cell>
          <cell r="AT2853" t="str">
            <v xml:space="preserve">RAMIREZ LOZADA HAYDEE </v>
          </cell>
        </row>
        <row r="2854">
          <cell r="C2854" t="str">
            <v>1755930375</v>
          </cell>
          <cell r="AT2854" t="str">
            <v xml:space="preserve">RAMIREZ LOZADA HAYDEE </v>
          </cell>
        </row>
        <row r="2855">
          <cell r="C2855" t="str">
            <v>1755930375</v>
          </cell>
          <cell r="AT2855" t="str">
            <v xml:space="preserve">RAMIREZ LOZADA HAYDEE </v>
          </cell>
        </row>
        <row r="2856">
          <cell r="C2856" t="str">
            <v>1755930375</v>
          </cell>
          <cell r="AT2856" t="str">
            <v xml:space="preserve">RAMIREZ LOZADA HAYDEE </v>
          </cell>
        </row>
        <row r="2857">
          <cell r="C2857" t="str">
            <v>1755930375</v>
          </cell>
          <cell r="AT2857" t="str">
            <v xml:space="preserve">RAMIREZ LOZADA HAYDEE </v>
          </cell>
        </row>
        <row r="2858">
          <cell r="C2858" t="str">
            <v>1755930375</v>
          </cell>
          <cell r="AT2858" t="str">
            <v xml:space="preserve">RAMIREZ LOZADA HAYDEE </v>
          </cell>
        </row>
        <row r="2859">
          <cell r="C2859" t="str">
            <v>1755930375</v>
          </cell>
          <cell r="AT2859" t="str">
            <v xml:space="preserve">RAMIREZ LOZADA HAYDEE </v>
          </cell>
        </row>
        <row r="2860">
          <cell r="C2860" t="str">
            <v>1755930375</v>
          </cell>
          <cell r="AT2860" t="str">
            <v xml:space="preserve">RAMIREZ LOZADA HAYDEE </v>
          </cell>
        </row>
        <row r="2861">
          <cell r="C2861" t="str">
            <v>1755930375</v>
          </cell>
          <cell r="AT2861" t="str">
            <v xml:space="preserve">RAMIREZ LOZADA HAYDEE </v>
          </cell>
        </row>
        <row r="2862">
          <cell r="C2862" t="str">
            <v>1755930375</v>
          </cell>
          <cell r="AT2862" t="str">
            <v xml:space="preserve">RAMIREZ LOZADA HAYDEE </v>
          </cell>
        </row>
        <row r="2863">
          <cell r="C2863" t="str">
            <v>1755930375</v>
          </cell>
          <cell r="AT2863" t="str">
            <v xml:space="preserve">RAMIREZ LOZADA HAYDEE </v>
          </cell>
        </row>
        <row r="2864">
          <cell r="C2864" t="str">
            <v>1755930375</v>
          </cell>
          <cell r="AT2864" t="str">
            <v xml:space="preserve">RAMIREZ LOZADA HAYDEE </v>
          </cell>
        </row>
        <row r="2865">
          <cell r="C2865" t="str">
            <v>1755930375</v>
          </cell>
          <cell r="AT2865" t="str">
            <v xml:space="preserve">RAMIREZ LOZADA HAYDEE </v>
          </cell>
        </row>
        <row r="2866">
          <cell r="C2866" t="str">
            <v>1755930375</v>
          </cell>
          <cell r="AT2866" t="str">
            <v xml:space="preserve">RAMIREZ LOZADA HAYDEE </v>
          </cell>
        </row>
        <row r="2867">
          <cell r="C2867" t="str">
            <v>1755930375</v>
          </cell>
          <cell r="AT2867" t="str">
            <v xml:space="preserve">RAMIREZ LOZADA HAYDEE </v>
          </cell>
        </row>
        <row r="2868">
          <cell r="C2868" t="str">
            <v>1755930375</v>
          </cell>
          <cell r="AT2868" t="str">
            <v xml:space="preserve">RAMIREZ LOZADA HAYDEE </v>
          </cell>
        </row>
        <row r="2869">
          <cell r="C2869" t="str">
            <v>1755930375</v>
          </cell>
          <cell r="AT2869" t="str">
            <v xml:space="preserve">RAMIREZ LOZADA HAYDEE </v>
          </cell>
        </row>
        <row r="2870">
          <cell r="C2870" t="str">
            <v>1755930375</v>
          </cell>
          <cell r="AT2870" t="str">
            <v xml:space="preserve">RAMIREZ LOZADA HAYDEE </v>
          </cell>
        </row>
        <row r="2871">
          <cell r="C2871" t="str">
            <v>1755930375</v>
          </cell>
          <cell r="AT2871" t="str">
            <v xml:space="preserve">RAMIREZ LOZADA HAYDEE </v>
          </cell>
        </row>
        <row r="2872">
          <cell r="C2872" t="str">
            <v>1755930375</v>
          </cell>
          <cell r="AT2872" t="str">
            <v xml:space="preserve">RAMIREZ LOZADA HAYDEE </v>
          </cell>
        </row>
        <row r="2873">
          <cell r="C2873" t="str">
            <v>1755930375</v>
          </cell>
          <cell r="AT2873" t="str">
            <v xml:space="preserve">RAMIREZ LOZADA HAYDEE </v>
          </cell>
        </row>
        <row r="2874">
          <cell r="C2874" t="str">
            <v>1755930375</v>
          </cell>
          <cell r="AT2874" t="str">
            <v xml:space="preserve">RAMIREZ LOZADA HAYDEE </v>
          </cell>
        </row>
        <row r="2875">
          <cell r="C2875" t="str">
            <v>1755930375</v>
          </cell>
          <cell r="AT2875" t="str">
            <v xml:space="preserve">RAMIREZ LOZADA HAYDEE </v>
          </cell>
        </row>
        <row r="2876">
          <cell r="C2876" t="str">
            <v>1755930375</v>
          </cell>
          <cell r="AT2876" t="str">
            <v xml:space="preserve">RAMIREZ LOZADA HAYDEE </v>
          </cell>
        </row>
        <row r="2877">
          <cell r="C2877" t="str">
            <v>1755930375</v>
          </cell>
          <cell r="AT2877" t="str">
            <v xml:space="preserve">RAMIREZ LOZADA HAYDEE </v>
          </cell>
        </row>
        <row r="2878">
          <cell r="C2878" t="str">
            <v>1755930375</v>
          </cell>
          <cell r="AT2878" t="str">
            <v xml:space="preserve">RAMIREZ LOZADA HAYDEE </v>
          </cell>
        </row>
        <row r="2879">
          <cell r="C2879" t="str">
            <v>1755930375</v>
          </cell>
          <cell r="AT2879" t="str">
            <v xml:space="preserve">RAMIREZ LOZADA HAYDEE </v>
          </cell>
        </row>
        <row r="2880">
          <cell r="C2880" t="str">
            <v>1755930375</v>
          </cell>
          <cell r="AT2880" t="str">
            <v xml:space="preserve">RAMIREZ LOZADA HAYDEE </v>
          </cell>
        </row>
        <row r="2881">
          <cell r="C2881" t="str">
            <v>1755930375</v>
          </cell>
          <cell r="AT2881" t="str">
            <v xml:space="preserve">RAMIREZ LOZADA HAYDEE </v>
          </cell>
        </row>
        <row r="2882">
          <cell r="C2882" t="str">
            <v>1755930375</v>
          </cell>
          <cell r="AT2882" t="str">
            <v xml:space="preserve">RAMIREZ LOZADA HAYDEE </v>
          </cell>
        </row>
        <row r="2883">
          <cell r="C2883" t="str">
            <v>1755930375</v>
          </cell>
          <cell r="AT2883" t="str">
            <v xml:space="preserve">RAMIREZ LOZADA HAYDEE </v>
          </cell>
        </row>
        <row r="2884">
          <cell r="C2884" t="str">
            <v>1755930375</v>
          </cell>
          <cell r="AT2884" t="str">
            <v xml:space="preserve">RAMIREZ LOZADA HAYDEE </v>
          </cell>
        </row>
        <row r="2885">
          <cell r="C2885" t="str">
            <v>1755930375</v>
          </cell>
          <cell r="AT2885" t="str">
            <v xml:space="preserve">RAMIREZ LOZADA HAYDEE </v>
          </cell>
        </row>
        <row r="2886">
          <cell r="C2886" t="str">
            <v>1755930375</v>
          </cell>
          <cell r="AT2886" t="str">
            <v xml:space="preserve">RAMIREZ LOZADA HAYDEE </v>
          </cell>
        </row>
        <row r="2887">
          <cell r="C2887" t="str">
            <v>1755930375</v>
          </cell>
          <cell r="AT2887" t="str">
            <v xml:space="preserve">RAMIREZ LOZADA HAYDEE </v>
          </cell>
        </row>
        <row r="2888">
          <cell r="C2888" t="str">
            <v>1755930375</v>
          </cell>
          <cell r="AT2888" t="str">
            <v xml:space="preserve">RAMIREZ LOZADA HAYDEE </v>
          </cell>
        </row>
        <row r="2889">
          <cell r="C2889" t="str">
            <v>1755930375</v>
          </cell>
          <cell r="AT2889" t="str">
            <v xml:space="preserve">RAMIREZ LOZADA HAYDEE </v>
          </cell>
        </row>
        <row r="2890">
          <cell r="C2890" t="str">
            <v>1755930375</v>
          </cell>
          <cell r="AT2890" t="str">
            <v xml:space="preserve">RAMIREZ LOZADA HAYDEE </v>
          </cell>
        </row>
        <row r="2891">
          <cell r="C2891" t="str">
            <v>1755930375</v>
          </cell>
          <cell r="AT2891" t="str">
            <v xml:space="preserve">RAMIREZ LOZADA HAYDEE </v>
          </cell>
        </row>
        <row r="2892">
          <cell r="C2892" t="str">
            <v>1755930375</v>
          </cell>
          <cell r="AT2892" t="str">
            <v xml:space="preserve">RAMIREZ LOZADA HAYDEE </v>
          </cell>
        </row>
        <row r="2893">
          <cell r="C2893" t="str">
            <v>1755930375</v>
          </cell>
          <cell r="AT2893" t="str">
            <v xml:space="preserve">RAMIREZ LOZADA HAYDEE </v>
          </cell>
        </row>
        <row r="2894">
          <cell r="C2894" t="str">
            <v>1755930375</v>
          </cell>
          <cell r="AT2894" t="str">
            <v xml:space="preserve">RAMIREZ LOZADA HAYDEE </v>
          </cell>
        </row>
        <row r="2895">
          <cell r="C2895" t="str">
            <v>1755930375</v>
          </cell>
          <cell r="AT2895" t="str">
            <v xml:space="preserve">RAMIREZ LOZADA HAYDEE </v>
          </cell>
        </row>
        <row r="2896">
          <cell r="C2896" t="str">
            <v>1755930375</v>
          </cell>
          <cell r="AT2896" t="str">
            <v xml:space="preserve">RAMIREZ LOZADA HAYDEE </v>
          </cell>
        </row>
        <row r="2897">
          <cell r="C2897" t="str">
            <v>1755930375</v>
          </cell>
          <cell r="AT2897" t="str">
            <v xml:space="preserve">RAMIREZ LOZADA HAYDEE </v>
          </cell>
        </row>
        <row r="2898">
          <cell r="C2898" t="str">
            <v>1755930375</v>
          </cell>
          <cell r="AT2898" t="str">
            <v xml:space="preserve">RAMIREZ LOZADA HAYDEE </v>
          </cell>
        </row>
        <row r="2899">
          <cell r="C2899" t="str">
            <v>1755930375</v>
          </cell>
          <cell r="AT2899" t="str">
            <v xml:space="preserve">RAMIREZ LOZADA HAYDEE </v>
          </cell>
        </row>
        <row r="2900">
          <cell r="C2900" t="str">
            <v>1755930375</v>
          </cell>
          <cell r="AT2900" t="str">
            <v xml:space="preserve">RAMIREZ LOZADA HAYDEE </v>
          </cell>
        </row>
        <row r="2901">
          <cell r="C2901" t="str">
            <v>1755930375</v>
          </cell>
          <cell r="AT2901" t="str">
            <v xml:space="preserve">RAMIREZ LOZADA HAYDEE </v>
          </cell>
        </row>
        <row r="2902">
          <cell r="C2902" t="str">
            <v>1755930375</v>
          </cell>
          <cell r="AT2902" t="str">
            <v xml:space="preserve">RAMIREZ LOZADA HAYDEE </v>
          </cell>
        </row>
        <row r="2903">
          <cell r="C2903" t="str">
            <v>1755930375</v>
          </cell>
          <cell r="AT2903" t="str">
            <v xml:space="preserve">RAMIREZ LOZADA HAYDEE </v>
          </cell>
        </row>
        <row r="2904">
          <cell r="C2904" t="str">
            <v>1755930375</v>
          </cell>
          <cell r="AT2904" t="str">
            <v xml:space="preserve">RAMIREZ LOZADA HAYDEE </v>
          </cell>
        </row>
        <row r="2905">
          <cell r="C2905" t="str">
            <v>1755930375</v>
          </cell>
          <cell r="AT2905" t="str">
            <v xml:space="preserve">RAMIREZ LOZADA HAYDEE </v>
          </cell>
        </row>
        <row r="2906">
          <cell r="C2906" t="str">
            <v>1755930375</v>
          </cell>
          <cell r="AT2906" t="str">
            <v xml:space="preserve">RAMIREZ LOZADA HAYDEE </v>
          </cell>
        </row>
        <row r="2907">
          <cell r="C2907" t="str">
            <v>1001591955</v>
          </cell>
          <cell r="AT2907" t="str">
            <v>MINA MINDA ALICIA DOLORES</v>
          </cell>
        </row>
        <row r="2908">
          <cell r="C2908" t="str">
            <v>0800309288</v>
          </cell>
          <cell r="AT2908" t="str">
            <v>MOSQUERA TORRES WALTER CLEMENTE</v>
          </cell>
        </row>
        <row r="2909">
          <cell r="C2909" t="str">
            <v>0603230269</v>
          </cell>
          <cell r="AT2909" t="str">
            <v>PUENTE HOLGUIN WASHINGTON DAVID</v>
          </cell>
        </row>
        <row r="2910">
          <cell r="C2910" t="str">
            <v>0603230269</v>
          </cell>
          <cell r="AT2910" t="str">
            <v>PUENTE HOLGUIN WASHINGTON DAVID</v>
          </cell>
        </row>
        <row r="2911">
          <cell r="C2911" t="str">
            <v>0603230269</v>
          </cell>
          <cell r="AT2911" t="str">
            <v>PUENTE HOLGUIN WASHINGTON DAVID</v>
          </cell>
        </row>
        <row r="2912">
          <cell r="C2912" t="str">
            <v>0603230269</v>
          </cell>
          <cell r="AT2912" t="str">
            <v>PUENTE HOLGUIN WASHINGTON DAVID</v>
          </cell>
        </row>
        <row r="2913">
          <cell r="C2913" t="str">
            <v>0603230269</v>
          </cell>
          <cell r="AT2913" t="str">
            <v>PUENTE HOLGUIN WASHINGTON DAVID</v>
          </cell>
        </row>
        <row r="2914">
          <cell r="C2914" t="str">
            <v>0603230269</v>
          </cell>
          <cell r="AT2914" t="str">
            <v>PUENTE HOLGUIN WASHINGTON DAVID</v>
          </cell>
        </row>
        <row r="2915">
          <cell r="C2915" t="str">
            <v>0603230269</v>
          </cell>
          <cell r="AT2915" t="str">
            <v>PUENTE HOLGUIN WASHINGTON DAVID</v>
          </cell>
        </row>
        <row r="2916">
          <cell r="C2916" t="str">
            <v>0603230269</v>
          </cell>
          <cell r="AT2916" t="str">
            <v>PUENTE HOLGUIN WASHINGTON DAVID</v>
          </cell>
        </row>
        <row r="2917">
          <cell r="C2917" t="str">
            <v>0603230269</v>
          </cell>
          <cell r="AT2917" t="str">
            <v>PUENTE HOLGUIN WASHINGTON DAVID</v>
          </cell>
        </row>
        <row r="2918">
          <cell r="C2918" t="str">
            <v>0919728246</v>
          </cell>
          <cell r="AT2918" t="str">
            <v>PATIÑO ALCIVAR MARÍA ISABEL</v>
          </cell>
        </row>
        <row r="2919">
          <cell r="C2919" t="str">
            <v>0959881327</v>
          </cell>
          <cell r="AT2919" t="str">
            <v>PEREZ PEREZ YENICEY ROSA</v>
          </cell>
        </row>
        <row r="2920">
          <cell r="C2920" t="str">
            <v>0918037037</v>
          </cell>
          <cell r="AT2920" t="str">
            <v>ALMEIDA CAMPOS KARLA ESTEFANIA</v>
          </cell>
        </row>
        <row r="2921">
          <cell r="C2921" t="str">
            <v>0918037037</v>
          </cell>
          <cell r="AT2921" t="str">
            <v>ALMEIDA CAMPOS KARLA ESTEFANIA</v>
          </cell>
        </row>
        <row r="2922">
          <cell r="C2922" t="str">
            <v>0918037037</v>
          </cell>
          <cell r="AT2922" t="str">
            <v>ALMEIDA CAMPOS KARLA ESTEFANIA</v>
          </cell>
        </row>
        <row r="2923">
          <cell r="C2923" t="str">
            <v>0918037037</v>
          </cell>
          <cell r="AT2923" t="str">
            <v>ALMEIDA CAMPOS KARLA ESTEFANIA</v>
          </cell>
        </row>
        <row r="2924">
          <cell r="C2924" t="str">
            <v>0918037037</v>
          </cell>
          <cell r="AT2924" t="str">
            <v>ALMEIDA CAMPOS KARLA ESTEFANIA</v>
          </cell>
        </row>
        <row r="2925">
          <cell r="C2925" t="str">
            <v>0918037037</v>
          </cell>
          <cell r="AT2925" t="str">
            <v>ALMEIDA CAMPOS KARLA ESTEFANIA</v>
          </cell>
        </row>
        <row r="2926">
          <cell r="C2926" t="str">
            <v>0918037037</v>
          </cell>
          <cell r="AT2926" t="str">
            <v>ALMEIDA CAMPOS KARLA ESTEFANIA</v>
          </cell>
        </row>
        <row r="2927">
          <cell r="C2927" t="str">
            <v>0918037037</v>
          </cell>
          <cell r="AT2927" t="str">
            <v>ALMEIDA CAMPOS KARLA ESTEFANIA</v>
          </cell>
        </row>
        <row r="2928">
          <cell r="C2928" t="str">
            <v>0918037037</v>
          </cell>
          <cell r="AT2928" t="str">
            <v>ALMEIDA CAMPOS KARLA ESTEFANIA</v>
          </cell>
        </row>
        <row r="2929">
          <cell r="C2929" t="str">
            <v>0918037037</v>
          </cell>
          <cell r="AT2929" t="str">
            <v>ALMEIDA CAMPOS KARLA ESTEFANIA</v>
          </cell>
        </row>
        <row r="2930">
          <cell r="C2930" t="str">
            <v>0918037037</v>
          </cell>
          <cell r="AT2930" t="str">
            <v>ALMEIDA CAMPOS KARLA ESTEFANIA</v>
          </cell>
        </row>
        <row r="2931">
          <cell r="C2931" t="str">
            <v>0918037037</v>
          </cell>
          <cell r="AT2931" t="str">
            <v>ALMEIDA CAMPOS KARLA ESTEFANIA</v>
          </cell>
        </row>
        <row r="2932">
          <cell r="C2932" t="str">
            <v>0918037037</v>
          </cell>
          <cell r="AT2932" t="str">
            <v>ALMEIDA CAMPOS KARLA ESTEFANIA</v>
          </cell>
        </row>
        <row r="2933">
          <cell r="C2933" t="str">
            <v>0802946533</v>
          </cell>
          <cell r="AT2933" t="str">
            <v>KLINGER BENNETT ROSA GABRIELA</v>
          </cell>
        </row>
        <row r="2934">
          <cell r="C2934" t="str">
            <v>0802946533</v>
          </cell>
          <cell r="AT2934" t="str">
            <v>KLINGER BENNETT ROSA GABRIELA</v>
          </cell>
        </row>
        <row r="2935">
          <cell r="C2935" t="str">
            <v>0802946533</v>
          </cell>
          <cell r="AT2935" t="str">
            <v>KLINGER BENNETT ROSA GABRIELA</v>
          </cell>
        </row>
        <row r="2936">
          <cell r="C2936" t="str">
            <v>0802946533</v>
          </cell>
          <cell r="AT2936" t="str">
            <v>KLINGER BENNETT ROSA GABRIELA</v>
          </cell>
        </row>
        <row r="2937">
          <cell r="C2937" t="str">
            <v>0802946533</v>
          </cell>
          <cell r="AT2937" t="str">
            <v>KLINGER BENNETT ROSA GABRIELA</v>
          </cell>
        </row>
        <row r="2938">
          <cell r="C2938" t="str">
            <v>0802946533</v>
          </cell>
          <cell r="AT2938" t="str">
            <v>KLINGER BENNETT ROSA GABRIELA</v>
          </cell>
        </row>
        <row r="2939">
          <cell r="C2939" t="str">
            <v>0802946533</v>
          </cell>
          <cell r="AT2939" t="str">
            <v>KLINGER BENNETT ROSA GABRIELA</v>
          </cell>
        </row>
        <row r="2940">
          <cell r="C2940" t="str">
            <v>0802946533</v>
          </cell>
          <cell r="AT2940" t="str">
            <v>KLINGER BENNETT ROSA GABRIELA</v>
          </cell>
        </row>
        <row r="2941">
          <cell r="C2941" t="str">
            <v>0802946533</v>
          </cell>
          <cell r="AT2941" t="str">
            <v>KLINGER BENNETT ROSA GABRIELA</v>
          </cell>
        </row>
        <row r="2942">
          <cell r="C2942" t="str">
            <v>0802946533</v>
          </cell>
          <cell r="AT2942" t="str">
            <v>KLINGER BENNETT ROSA GABRIELA</v>
          </cell>
        </row>
        <row r="2943">
          <cell r="C2943" t="str">
            <v>0802946533</v>
          </cell>
          <cell r="AT2943" t="str">
            <v>KLINGER BENNETT ROSA GABRIELA</v>
          </cell>
        </row>
        <row r="2944">
          <cell r="C2944" t="str">
            <v>0801642414</v>
          </cell>
          <cell r="AT2944" t="str">
            <v>MONTES MONTAÑO MARIO MARLON</v>
          </cell>
        </row>
        <row r="2945">
          <cell r="C2945" t="str">
            <v>0801642414</v>
          </cell>
          <cell r="AT2945" t="str">
            <v>MONTES MONTAÑO MARIO MARLON</v>
          </cell>
        </row>
        <row r="2946">
          <cell r="C2946" t="str">
            <v>0801642414</v>
          </cell>
          <cell r="AT2946" t="str">
            <v>MONTES MONTAÑO MARIO MARLON</v>
          </cell>
        </row>
        <row r="2947">
          <cell r="C2947" t="str">
            <v>0801642414</v>
          </cell>
          <cell r="AT2947" t="str">
            <v>MONTES MONTAÑO MARIO MARLON</v>
          </cell>
        </row>
        <row r="2948">
          <cell r="C2948" t="str">
            <v>0801642414</v>
          </cell>
          <cell r="AT2948" t="str">
            <v>MONTES MONTAÑO MARIO MARLON</v>
          </cell>
        </row>
        <row r="2949">
          <cell r="C2949" t="str">
            <v>0801642414</v>
          </cell>
          <cell r="AT2949" t="str">
            <v>MONTES MONTAÑO MARIO MARLON</v>
          </cell>
        </row>
        <row r="2950">
          <cell r="C2950" t="str">
            <v>0801642414</v>
          </cell>
          <cell r="AT2950" t="str">
            <v>MONTES MONTAÑO MARIO MARLON</v>
          </cell>
        </row>
        <row r="2951">
          <cell r="C2951" t="str">
            <v>0801642414</v>
          </cell>
          <cell r="AT2951" t="str">
            <v>MONTES MONTAÑO MARIO MARLON</v>
          </cell>
        </row>
        <row r="2952">
          <cell r="C2952" t="str">
            <v>0801892340</v>
          </cell>
          <cell r="AT2952" t="str">
            <v>MEDINA MARIDUEÑA XIOMARA ELIZABETH</v>
          </cell>
        </row>
        <row r="2953">
          <cell r="C2953" t="str">
            <v>1717178824</v>
          </cell>
          <cell r="AT2953" t="str">
            <v>VERA MORAN FREDDY PAUL</v>
          </cell>
        </row>
        <row r="2954">
          <cell r="C2954" t="str">
            <v>1717178824</v>
          </cell>
          <cell r="AT2954" t="str">
            <v>VERA MORAN FREDDY PAUL</v>
          </cell>
        </row>
        <row r="2955">
          <cell r="C2955" t="str">
            <v>1717178824</v>
          </cell>
          <cell r="AT2955" t="str">
            <v>VERA MORAN FREDDY PAUL</v>
          </cell>
        </row>
        <row r="2956">
          <cell r="C2956" t="str">
            <v>1717178824</v>
          </cell>
          <cell r="AT2956" t="str">
            <v>VERA MORAN FREDDY PAUL</v>
          </cell>
        </row>
        <row r="2957">
          <cell r="C2957" t="str">
            <v>1717178824</v>
          </cell>
          <cell r="AT2957" t="str">
            <v>VERA MORAN FREDDY PAUL</v>
          </cell>
        </row>
        <row r="2958">
          <cell r="C2958" t="str">
            <v>1717178824</v>
          </cell>
          <cell r="AT2958" t="str">
            <v>VERA MORAN FREDDY PAUL</v>
          </cell>
        </row>
        <row r="2959">
          <cell r="C2959" t="str">
            <v>1717178824</v>
          </cell>
          <cell r="AT2959" t="str">
            <v>VERA MORAN FREDDY PAUL</v>
          </cell>
        </row>
        <row r="2960">
          <cell r="C2960" t="str">
            <v>1717178824</v>
          </cell>
          <cell r="AT2960" t="str">
            <v>VERA MORAN FREDDY PAUL</v>
          </cell>
        </row>
        <row r="2961">
          <cell r="C2961" t="str">
            <v>1717178824</v>
          </cell>
          <cell r="AT2961" t="str">
            <v>VERA MORAN FREDDY PAUL</v>
          </cell>
        </row>
        <row r="2962">
          <cell r="C2962" t="str">
            <v>1717178824</v>
          </cell>
          <cell r="AT2962" t="str">
            <v>VERA MORAN FREDDY PAUL</v>
          </cell>
        </row>
        <row r="2963">
          <cell r="C2963" t="str">
            <v>0801869744</v>
          </cell>
          <cell r="AT2963" t="str">
            <v>SAMANIEGO ANGULO GINA NARCISA</v>
          </cell>
        </row>
        <row r="2964">
          <cell r="C2964" t="str">
            <v>0801399353</v>
          </cell>
          <cell r="AT2964" t="str">
            <v>SÁNCHEZ BARROS MERCEDES VIVIANA</v>
          </cell>
        </row>
        <row r="2965">
          <cell r="C2965" t="str">
            <v>0801736968</v>
          </cell>
          <cell r="AT2965" t="str">
            <v>TORRES MONTALVO MARCIA CAROLINA</v>
          </cell>
        </row>
        <row r="2966">
          <cell r="C2966" t="str">
            <v>1709531097</v>
          </cell>
          <cell r="AT2966" t="str">
            <v>VALLEJO TEJADA PABLO ALBERTO</v>
          </cell>
        </row>
        <row r="2967">
          <cell r="C2967" t="str">
            <v>1313320838</v>
          </cell>
          <cell r="AT2967" t="str">
            <v>HOLGUIN ALVARADO GLORIA KARINA</v>
          </cell>
        </row>
        <row r="2968">
          <cell r="C2968" t="str">
            <v>1313320838</v>
          </cell>
          <cell r="AT2968" t="str">
            <v>HOLGUIN ALVARADO GLORIA KARINA</v>
          </cell>
        </row>
        <row r="2969">
          <cell r="C2969" t="str">
            <v>1313320838</v>
          </cell>
          <cell r="AT2969" t="str">
            <v>HOLGUIN ALVARADO GLORIA KARINA</v>
          </cell>
        </row>
        <row r="2970">
          <cell r="C2970" t="str">
            <v>1313320838</v>
          </cell>
          <cell r="AT2970" t="str">
            <v>HOLGUIN ALVARADO GLORIA KARINA</v>
          </cell>
        </row>
        <row r="2971">
          <cell r="C2971" t="str">
            <v>1313320838</v>
          </cell>
          <cell r="AT2971" t="str">
            <v>HOLGUIN ALVARADO GLORIA KARINA</v>
          </cell>
        </row>
        <row r="2972">
          <cell r="C2972" t="str">
            <v>1313320838</v>
          </cell>
          <cell r="AT2972" t="str">
            <v>HOLGUIN ALVARADO GLORIA KARINA</v>
          </cell>
        </row>
        <row r="2973">
          <cell r="C2973" t="str">
            <v>1718706987</v>
          </cell>
          <cell r="AT2973" t="str">
            <v>WILSON  YEILLY YISSELLE</v>
          </cell>
        </row>
        <row r="2974">
          <cell r="C2974" t="str">
            <v>1759508847</v>
          </cell>
          <cell r="AT2974" t="str">
            <v>WELLS  SEAN MCMILLAN</v>
          </cell>
        </row>
        <row r="2975">
          <cell r="C2975" t="str">
            <v>0920696861</v>
          </cell>
          <cell r="AT2975" t="str">
            <v>URGILES VICUÑA JOHNNY HERNAN</v>
          </cell>
        </row>
        <row r="2976">
          <cell r="C2976" t="str">
            <v>0800839177</v>
          </cell>
          <cell r="AT2976" t="str">
            <v>MARINES BATALLA BONA PATRICIA</v>
          </cell>
        </row>
        <row r="2977">
          <cell r="C2977" t="str">
            <v>0800839177</v>
          </cell>
          <cell r="AT2977" t="str">
            <v>MARINES BATALLA BONA PATRICIA</v>
          </cell>
        </row>
        <row r="2978">
          <cell r="C2978" t="str">
            <v>0800839177</v>
          </cell>
          <cell r="AT2978" t="str">
            <v>MARINES BATALLA BONA PATRICIA</v>
          </cell>
        </row>
        <row r="2979">
          <cell r="C2979" t="str">
            <v>0800839177</v>
          </cell>
          <cell r="AT2979" t="str">
            <v>MARINES BATALLA BONA PATRICIA</v>
          </cell>
        </row>
        <row r="2980">
          <cell r="C2980" t="str">
            <v>0800839177</v>
          </cell>
          <cell r="AT2980" t="str">
            <v>MARINES BATALLA BONA PATRICIA</v>
          </cell>
        </row>
        <row r="2981">
          <cell r="C2981" t="str">
            <v>0801762345</v>
          </cell>
          <cell r="AT2981" t="str">
            <v>RIVERA BONE CARLOS ALEJANDRO</v>
          </cell>
        </row>
        <row r="2982">
          <cell r="C2982" t="str">
            <v>0801762345</v>
          </cell>
          <cell r="AT2982" t="str">
            <v>RIVERA BONE CARLOS ALEJANDRO</v>
          </cell>
        </row>
        <row r="2983">
          <cell r="C2983" t="str">
            <v>0801762345</v>
          </cell>
          <cell r="AT2983" t="str">
            <v>RIVERA BONE CARLOS ALEJANDRO</v>
          </cell>
        </row>
        <row r="2984">
          <cell r="C2984" t="str">
            <v>0801762345</v>
          </cell>
          <cell r="AT2984" t="str">
            <v>RIVERA BONE CARLOS ALEJANDRO</v>
          </cell>
        </row>
        <row r="2985">
          <cell r="C2985" t="str">
            <v>1710531722</v>
          </cell>
          <cell r="AT2985" t="str">
            <v>SANDOVAL SANDOVAL JUAN MARCO</v>
          </cell>
        </row>
        <row r="2986">
          <cell r="C2986" t="str">
            <v>0801696204</v>
          </cell>
          <cell r="AT2986" t="str">
            <v>ZAMBRANO MARCILLO ENA FABRIZIA</v>
          </cell>
        </row>
        <row r="2987">
          <cell r="C2987" t="str">
            <v>0906374178</v>
          </cell>
          <cell r="AT2987" t="str">
            <v xml:space="preserve">ILLESCAS ALVAREZ CARLOS </v>
          </cell>
        </row>
        <row r="2988">
          <cell r="C2988" t="str">
            <v>1310554793</v>
          </cell>
          <cell r="AT2988" t="str">
            <v>SIERRA CEVALLOS PRISCILA HAYDEE</v>
          </cell>
        </row>
        <row r="2989">
          <cell r="C2989" t="str">
            <v>0803011055</v>
          </cell>
          <cell r="AT2989" t="str">
            <v>CEDEÑO TENORIO JONATHAN OSWALDO</v>
          </cell>
        </row>
        <row r="2990">
          <cell r="C2990" t="str">
            <v>1756488555</v>
          </cell>
          <cell r="AT2990" t="str">
            <v>TAPIA DELGADO ISABEL DEL PILAR</v>
          </cell>
        </row>
        <row r="2991">
          <cell r="C2991" t="str">
            <v>1756488555</v>
          </cell>
          <cell r="AT2991" t="str">
            <v>TAPIA DELGADO ISABEL DEL PILAR</v>
          </cell>
        </row>
        <row r="2992">
          <cell r="C2992" t="str">
            <v>1756488555</v>
          </cell>
          <cell r="AT2992" t="str">
            <v>TAPIA DELGADO ISABEL DEL PILAR</v>
          </cell>
        </row>
        <row r="2993">
          <cell r="C2993" t="str">
            <v>1756488555</v>
          </cell>
          <cell r="AT2993" t="str">
            <v>TAPIA DELGADO ISABEL DEL PILAR</v>
          </cell>
        </row>
        <row r="2994">
          <cell r="C2994" t="str">
            <v>1756488555</v>
          </cell>
          <cell r="AT2994" t="str">
            <v>TAPIA DELGADO ISABEL DEL PILAR</v>
          </cell>
        </row>
        <row r="2995">
          <cell r="C2995" t="str">
            <v>1756488555</v>
          </cell>
          <cell r="AT2995" t="str">
            <v>TAPIA DELGADO ISABEL DEL PILAR</v>
          </cell>
        </row>
        <row r="2996">
          <cell r="C2996" t="str">
            <v>1756488555</v>
          </cell>
          <cell r="AT2996" t="str">
            <v>TAPIA DELGADO ISABEL DEL PILAR</v>
          </cell>
        </row>
        <row r="2997">
          <cell r="C2997" t="str">
            <v>1756488555</v>
          </cell>
          <cell r="AT2997" t="str">
            <v>TAPIA DELGADO ISABEL DEL PILAR</v>
          </cell>
        </row>
        <row r="2998">
          <cell r="C2998" t="str">
            <v>1756488555</v>
          </cell>
          <cell r="AT2998" t="str">
            <v>TAPIA DELGADO ISABEL DEL PILAR</v>
          </cell>
        </row>
        <row r="2999">
          <cell r="C2999" t="str">
            <v>1756488555</v>
          </cell>
          <cell r="AT2999" t="str">
            <v>TAPIA DELGADO ISABEL DEL PILAR</v>
          </cell>
        </row>
        <row r="3000">
          <cell r="C3000" t="str">
            <v>1756488555</v>
          </cell>
          <cell r="AT3000" t="str">
            <v>TAPIA DELGADO ISABEL DEL PILAR</v>
          </cell>
        </row>
        <row r="3001">
          <cell r="C3001" t="str">
            <v>1756488555</v>
          </cell>
          <cell r="AT3001" t="str">
            <v>TAPIA DELGADO ISABEL DEL PILAR</v>
          </cell>
        </row>
        <row r="3002">
          <cell r="C3002" t="str">
            <v>1756488555</v>
          </cell>
          <cell r="AT3002" t="str">
            <v>TAPIA DELGADO ISABEL DEL PILAR</v>
          </cell>
        </row>
        <row r="3003">
          <cell r="C3003" t="str">
            <v>1756488555</v>
          </cell>
          <cell r="AT3003" t="str">
            <v>TAPIA DELGADO ISABEL DEL PILAR</v>
          </cell>
        </row>
        <row r="3004">
          <cell r="C3004" t="str">
            <v>1756488555</v>
          </cell>
          <cell r="AT3004" t="str">
            <v>TAPIA DELGADO ISABEL DEL PILAR</v>
          </cell>
        </row>
        <row r="3005">
          <cell r="C3005" t="str">
            <v>1756488555</v>
          </cell>
          <cell r="AT3005" t="str">
            <v>TAPIA DELGADO ISABEL DEL PILAR</v>
          </cell>
        </row>
        <row r="3006">
          <cell r="C3006" t="str">
            <v>1756488555</v>
          </cell>
          <cell r="AT3006" t="str">
            <v>TAPIA DELGADO ISABEL DEL PILAR</v>
          </cell>
        </row>
        <row r="3007">
          <cell r="C3007" t="str">
            <v>1756488555</v>
          </cell>
          <cell r="AT3007" t="str">
            <v>TAPIA DELGADO ISABEL DEL PILAR</v>
          </cell>
        </row>
        <row r="3008">
          <cell r="C3008" t="str">
            <v>0803044387</v>
          </cell>
          <cell r="AT3008" t="str">
            <v>PANCHANO RODRIGUEZ MARÍA GABRIELA</v>
          </cell>
        </row>
        <row r="3009">
          <cell r="C3009" t="str">
            <v>0803027929</v>
          </cell>
          <cell r="AT3009" t="str">
            <v>VILELA ESPAÑA OTTO FABRICIO</v>
          </cell>
        </row>
        <row r="3010">
          <cell r="C3010" t="str">
            <v>0802066829</v>
          </cell>
          <cell r="AT3010" t="str">
            <v>ROMERO SOLÍS OLGA ALICIA</v>
          </cell>
        </row>
        <row r="3011">
          <cell r="C3011" t="str">
            <v>0801577297</v>
          </cell>
          <cell r="AT3011" t="str">
            <v>BAUTISTA COTERA JAVIER GEOVANNY</v>
          </cell>
        </row>
        <row r="3012">
          <cell r="C3012" t="str">
            <v>0801577297</v>
          </cell>
          <cell r="AT3012" t="str">
            <v>BAUTISTA COTERA JAVIER GEOVANNY</v>
          </cell>
        </row>
        <row r="3013">
          <cell r="C3013" t="str">
            <v>0801577297</v>
          </cell>
          <cell r="AT3013" t="str">
            <v>BAUTISTA COTERA JAVIER GEOVANNY</v>
          </cell>
        </row>
        <row r="3014">
          <cell r="C3014" t="str">
            <v>0801577297</v>
          </cell>
          <cell r="AT3014" t="str">
            <v>BAUTISTA COTERA JAVIER GEOVANNY</v>
          </cell>
        </row>
        <row r="3015">
          <cell r="C3015" t="str">
            <v>0801577297</v>
          </cell>
          <cell r="AT3015" t="str">
            <v>BAUTISTA COTERA JAVIER GEOVANNY</v>
          </cell>
        </row>
        <row r="3016">
          <cell r="C3016" t="str">
            <v>0801577297</v>
          </cell>
          <cell r="AT3016" t="str">
            <v>BAUTISTA COTERA JAVIER GEOVANNY</v>
          </cell>
        </row>
        <row r="3017">
          <cell r="C3017" t="str">
            <v>0801577297</v>
          </cell>
          <cell r="AT3017" t="str">
            <v>BAUTISTA COTERA JAVIER GEOVANNY</v>
          </cell>
        </row>
        <row r="3018">
          <cell r="C3018" t="str">
            <v>0801577297</v>
          </cell>
          <cell r="AT3018" t="str">
            <v>BAUTISTA COTERA JAVIER GEOVANNY</v>
          </cell>
        </row>
        <row r="3019">
          <cell r="C3019" t="str">
            <v>0801577297</v>
          </cell>
          <cell r="AT3019" t="str">
            <v>BAUTISTA COTERA JAVIER GEOVANNY</v>
          </cell>
        </row>
        <row r="3020">
          <cell r="C3020" t="str">
            <v>0801577297</v>
          </cell>
          <cell r="AT3020" t="str">
            <v>BAUTISTA COTERA JAVIER GEOVANNY</v>
          </cell>
        </row>
        <row r="3021">
          <cell r="C3021" t="str">
            <v>0802800755</v>
          </cell>
          <cell r="AT3021" t="str">
            <v>TOALA MAZO DENISE MABEL</v>
          </cell>
        </row>
        <row r="3022">
          <cell r="C3022" t="str">
            <v>0802800755</v>
          </cell>
          <cell r="AT3022" t="str">
            <v>TOALA MAZO DENISE MABEL</v>
          </cell>
        </row>
        <row r="3023">
          <cell r="C3023" t="str">
            <v>1310092430</v>
          </cell>
          <cell r="AT3023" t="str">
            <v>MENDOZA SOLORZANO CARLOS ARTURO</v>
          </cell>
        </row>
        <row r="3024">
          <cell r="C3024" t="str">
            <v>0800686495</v>
          </cell>
          <cell r="AT3024" t="str">
            <v>DIAZ SANCHEZ CARLOS FERNANDO</v>
          </cell>
        </row>
        <row r="3025">
          <cell r="C3025" t="str">
            <v>0800686495</v>
          </cell>
          <cell r="AT3025" t="str">
            <v>DIAZ SANCHEZ CARLOS FERNANDO</v>
          </cell>
        </row>
        <row r="3026">
          <cell r="C3026" t="str">
            <v>0800686495</v>
          </cell>
          <cell r="AT3026" t="str">
            <v>DIAZ SANCHEZ CARLOS FERNANDO</v>
          </cell>
        </row>
        <row r="3027">
          <cell r="C3027" t="str">
            <v>0800686495</v>
          </cell>
          <cell r="AT3027" t="str">
            <v>DIAZ SANCHEZ CARLOS FERNANDO</v>
          </cell>
        </row>
        <row r="3028">
          <cell r="C3028" t="str">
            <v>0800686495</v>
          </cell>
          <cell r="AT3028" t="str">
            <v>DIAZ SANCHEZ CARLOS FERNANDO</v>
          </cell>
        </row>
        <row r="3029">
          <cell r="C3029" t="str">
            <v>0800686495</v>
          </cell>
          <cell r="AT3029" t="str">
            <v>DIAZ SANCHEZ CARLOS FERNANDO</v>
          </cell>
        </row>
        <row r="3030">
          <cell r="C3030" t="str">
            <v>0800686495</v>
          </cell>
          <cell r="AT3030" t="str">
            <v>DIAZ SANCHEZ CARLOS FERNANDO</v>
          </cell>
        </row>
        <row r="3031">
          <cell r="C3031" t="str">
            <v>0800686495</v>
          </cell>
          <cell r="AT3031" t="str">
            <v>DIAZ SANCHEZ CARLOS FERNANDO</v>
          </cell>
        </row>
        <row r="3032">
          <cell r="C3032" t="str">
            <v>0800686495</v>
          </cell>
          <cell r="AT3032" t="str">
            <v>DIAZ SANCHEZ CARLOS FERNANDO</v>
          </cell>
        </row>
        <row r="3033">
          <cell r="C3033" t="str">
            <v>0800686495</v>
          </cell>
          <cell r="AT3033" t="str">
            <v>DIAZ SANCHEZ CARLOS FERNANDO</v>
          </cell>
        </row>
        <row r="3034">
          <cell r="C3034" t="str">
            <v>0800686495</v>
          </cell>
          <cell r="AT3034" t="str">
            <v>DIAZ SANCHEZ CARLOS FERNANDO</v>
          </cell>
        </row>
        <row r="3035">
          <cell r="C3035" t="str">
            <v>0800686495</v>
          </cell>
          <cell r="AT3035" t="str">
            <v>DIAZ SANCHEZ CARLOS FERNANDO</v>
          </cell>
        </row>
        <row r="3036">
          <cell r="C3036" t="str">
            <v>0800686495</v>
          </cell>
          <cell r="AT3036" t="str">
            <v>DIAZ SANCHEZ CARLOS FERNANDO</v>
          </cell>
        </row>
        <row r="3037">
          <cell r="C3037" t="str">
            <v>0800686495</v>
          </cell>
          <cell r="AT3037" t="str">
            <v>DIAZ SANCHEZ CARLOS FERNANDO</v>
          </cell>
        </row>
        <row r="3038">
          <cell r="C3038" t="str">
            <v>0800686495</v>
          </cell>
          <cell r="AT3038" t="str">
            <v>DIAZ SANCHEZ CARLOS FERNANDO</v>
          </cell>
        </row>
        <row r="3039">
          <cell r="C3039" t="str">
            <v>0800686495</v>
          </cell>
          <cell r="AT3039" t="str">
            <v>DIAZ SANCHEZ CARLOS FERNANDO</v>
          </cell>
        </row>
        <row r="3040">
          <cell r="C3040" t="str">
            <v>0800686495</v>
          </cell>
          <cell r="AT3040" t="str">
            <v>DIAZ SANCHEZ CARLOS FERNANDO</v>
          </cell>
        </row>
        <row r="3041">
          <cell r="C3041" t="str">
            <v>0800686495</v>
          </cell>
          <cell r="AT3041" t="str">
            <v>DIAZ SANCHEZ CARLOS FERNANDO</v>
          </cell>
        </row>
        <row r="3042">
          <cell r="C3042" t="str">
            <v>0800686495</v>
          </cell>
          <cell r="AT3042" t="str">
            <v>DIAZ SANCHEZ CARLOS FERNANDO</v>
          </cell>
        </row>
        <row r="3043">
          <cell r="C3043" t="str">
            <v>0800686495</v>
          </cell>
          <cell r="AT3043" t="str">
            <v>DIAZ SANCHEZ CARLOS FERNANDO</v>
          </cell>
        </row>
        <row r="3044">
          <cell r="C3044" t="str">
            <v>0800686495</v>
          </cell>
          <cell r="AT3044" t="str">
            <v>DIAZ SANCHEZ CARLOS FERNANDO</v>
          </cell>
        </row>
        <row r="3045">
          <cell r="C3045" t="str">
            <v>0800686495</v>
          </cell>
          <cell r="AT3045" t="str">
            <v>DIAZ SANCHEZ CARLOS FERNANDO</v>
          </cell>
        </row>
        <row r="3046">
          <cell r="C3046" t="str">
            <v>0800686495</v>
          </cell>
          <cell r="AT3046" t="str">
            <v>DIAZ SANCHEZ CARLOS FERNANDO</v>
          </cell>
        </row>
        <row r="3047">
          <cell r="C3047" t="str">
            <v>0800686495</v>
          </cell>
          <cell r="AT3047" t="str">
            <v>DIAZ SANCHEZ CARLOS FERNANDO</v>
          </cell>
        </row>
        <row r="3048">
          <cell r="C3048" t="str">
            <v>0800686495</v>
          </cell>
          <cell r="AT3048" t="str">
            <v>DIAZ SANCHEZ CARLOS FERNANDO</v>
          </cell>
        </row>
        <row r="3049">
          <cell r="C3049" t="str">
            <v>0800686495</v>
          </cell>
          <cell r="AT3049" t="str">
            <v>DIAZ SANCHEZ CARLOS FERNANDO</v>
          </cell>
        </row>
        <row r="3050">
          <cell r="C3050" t="str">
            <v>0800686495</v>
          </cell>
          <cell r="AT3050" t="str">
            <v>DIAZ SANCHEZ CARLOS FERNANDO</v>
          </cell>
        </row>
        <row r="3051">
          <cell r="C3051" t="str">
            <v>0800686495</v>
          </cell>
          <cell r="AT3051" t="str">
            <v>DIAZ SANCHEZ CARLOS FERNANDO</v>
          </cell>
        </row>
        <row r="3052">
          <cell r="C3052" t="str">
            <v>0800686495</v>
          </cell>
          <cell r="AT3052" t="str">
            <v>DIAZ SANCHEZ CARLOS FERNANDO</v>
          </cell>
        </row>
        <row r="3053">
          <cell r="C3053" t="str">
            <v>0800686495</v>
          </cell>
          <cell r="AT3053" t="str">
            <v>DIAZ SANCHEZ CARLOS FERNANDO</v>
          </cell>
        </row>
        <row r="3054">
          <cell r="C3054" t="str">
            <v>0800686495</v>
          </cell>
          <cell r="AT3054" t="str">
            <v>DIAZ SANCHEZ CARLOS FERNANDO</v>
          </cell>
        </row>
        <row r="3055">
          <cell r="C3055" t="str">
            <v>0800686495</v>
          </cell>
          <cell r="AT3055" t="str">
            <v>DIAZ SANCHEZ CARLOS FERNANDO</v>
          </cell>
        </row>
        <row r="3056">
          <cell r="C3056" t="str">
            <v>0800686495</v>
          </cell>
          <cell r="AT3056" t="str">
            <v>DIAZ SANCHEZ CARLOS FERNANDO</v>
          </cell>
        </row>
        <row r="3057">
          <cell r="C3057" t="str">
            <v>0800686495</v>
          </cell>
          <cell r="AT3057" t="str">
            <v>DIAZ SANCHEZ CARLOS FERNANDO</v>
          </cell>
        </row>
        <row r="3058">
          <cell r="C3058" t="str">
            <v>0800686495</v>
          </cell>
          <cell r="AT3058" t="str">
            <v>DIAZ SANCHEZ CARLOS FERNANDO</v>
          </cell>
        </row>
        <row r="3059">
          <cell r="C3059" t="str">
            <v>0800686495</v>
          </cell>
          <cell r="AT3059" t="str">
            <v>DIAZ SANCHEZ CARLOS FERNANDO</v>
          </cell>
        </row>
        <row r="3060">
          <cell r="C3060" t="str">
            <v>0800686495</v>
          </cell>
          <cell r="AT3060" t="str">
            <v>DIAZ SANCHEZ CARLOS FERNANDO</v>
          </cell>
        </row>
        <row r="3061">
          <cell r="C3061" t="str">
            <v>0800686495</v>
          </cell>
          <cell r="AT3061" t="str">
            <v>DIAZ SANCHEZ CARLOS FERNANDO</v>
          </cell>
        </row>
        <row r="3062">
          <cell r="C3062" t="str">
            <v>0800686495</v>
          </cell>
          <cell r="AT3062" t="str">
            <v>DIAZ SANCHEZ CARLOS FERNANDO</v>
          </cell>
        </row>
        <row r="3063">
          <cell r="C3063" t="str">
            <v>0800686495</v>
          </cell>
          <cell r="AT3063" t="str">
            <v>DIAZ SANCHEZ CARLOS FERNANDO</v>
          </cell>
        </row>
        <row r="3064">
          <cell r="C3064" t="str">
            <v>0800686495</v>
          </cell>
          <cell r="AT3064" t="str">
            <v>DIAZ SANCHEZ CARLOS FERNANDO</v>
          </cell>
        </row>
        <row r="3065">
          <cell r="C3065" t="str">
            <v>0800686495</v>
          </cell>
          <cell r="AT3065" t="str">
            <v>DIAZ SANCHEZ CARLOS FERNANDO</v>
          </cell>
        </row>
        <row r="3066">
          <cell r="C3066" t="str">
            <v>1803733318</v>
          </cell>
          <cell r="AT3066" t="str">
            <v>PEREZ LABORDE ELENA JOHANNA</v>
          </cell>
        </row>
        <row r="3067">
          <cell r="C3067" t="str">
            <v>1803733318</v>
          </cell>
          <cell r="AT3067" t="str">
            <v>PEREZ LABORDE ELENA JOHANNA</v>
          </cell>
        </row>
        <row r="3068">
          <cell r="C3068" t="str">
            <v>1803733318</v>
          </cell>
          <cell r="AT3068" t="str">
            <v>PEREZ LABORDE ELENA JOHANNA</v>
          </cell>
        </row>
        <row r="3069">
          <cell r="C3069" t="str">
            <v>0501389217</v>
          </cell>
          <cell r="AT3069" t="str">
            <v>RAMIREZ NARANJO ROSA ELVIRA</v>
          </cell>
        </row>
        <row r="3070">
          <cell r="C3070" t="str">
            <v>0501389217</v>
          </cell>
          <cell r="AT3070" t="str">
            <v>RAMIREZ NARANJO ROSA ELVIRA</v>
          </cell>
        </row>
        <row r="3071">
          <cell r="C3071" t="str">
            <v>0501389217</v>
          </cell>
          <cell r="AT3071" t="str">
            <v>RAMIREZ NARANJO ROSA ELVIRA</v>
          </cell>
        </row>
        <row r="3072">
          <cell r="C3072" t="str">
            <v>0501389217</v>
          </cell>
          <cell r="AT3072" t="str">
            <v>RAMIREZ NARANJO ROSA ELVIRA</v>
          </cell>
        </row>
        <row r="3073">
          <cell r="C3073" t="str">
            <v>0501389217</v>
          </cell>
          <cell r="AT3073" t="str">
            <v>RAMIREZ NARANJO ROSA ELVIRA</v>
          </cell>
        </row>
        <row r="3074">
          <cell r="C3074" t="str">
            <v>0501389217</v>
          </cell>
          <cell r="AT3074" t="str">
            <v>RAMIREZ NARANJO ROSA ELVIRA</v>
          </cell>
        </row>
        <row r="3075">
          <cell r="C3075" t="str">
            <v>0501389217</v>
          </cell>
          <cell r="AT3075" t="str">
            <v>RAMIREZ NARANJO ROSA ELVIRA</v>
          </cell>
        </row>
        <row r="3076">
          <cell r="C3076" t="str">
            <v>0501389217</v>
          </cell>
          <cell r="AT3076" t="str">
            <v>RAMIREZ NARANJO ROSA ELVIRA</v>
          </cell>
        </row>
        <row r="3077">
          <cell r="C3077" t="str">
            <v>0501389217</v>
          </cell>
          <cell r="AT3077" t="str">
            <v>RAMIREZ NARANJO ROSA ELVIRA</v>
          </cell>
        </row>
        <row r="3078">
          <cell r="C3078" t="str">
            <v>0501389217</v>
          </cell>
          <cell r="AT3078" t="str">
            <v>RAMIREZ NARANJO ROSA ELVIRA</v>
          </cell>
        </row>
        <row r="3079">
          <cell r="C3079" t="str">
            <v>0501389217</v>
          </cell>
          <cell r="AT3079" t="str">
            <v>RAMIREZ NARANJO ROSA ELVIRA</v>
          </cell>
        </row>
        <row r="3080">
          <cell r="C3080" t="str">
            <v>0501389217</v>
          </cell>
          <cell r="AT3080" t="str">
            <v>RAMIREZ NARANJO ROSA ELVIRA</v>
          </cell>
        </row>
        <row r="3081">
          <cell r="C3081" t="str">
            <v>0501389217</v>
          </cell>
          <cell r="AT3081" t="str">
            <v>RAMIREZ NARANJO ROSA ELVIRA</v>
          </cell>
        </row>
        <row r="3082">
          <cell r="C3082" t="str">
            <v>0501389217</v>
          </cell>
          <cell r="AT3082" t="str">
            <v>RAMIREZ NARANJO ROSA ELVIRA</v>
          </cell>
        </row>
        <row r="3083">
          <cell r="C3083" t="str">
            <v>0802662726</v>
          </cell>
          <cell r="AT3083" t="str">
            <v xml:space="preserve">QUIÑONEZ PERLAZA GUADALUPE </v>
          </cell>
        </row>
        <row r="3084">
          <cell r="C3084" t="str">
            <v>0802662726</v>
          </cell>
          <cell r="AT3084" t="str">
            <v xml:space="preserve">QUIÑONEZ PERLAZA GUADALUPE </v>
          </cell>
        </row>
        <row r="3085">
          <cell r="C3085" t="str">
            <v>0802662726</v>
          </cell>
          <cell r="AT3085" t="str">
            <v xml:space="preserve">QUIÑONEZ PERLAZA GUADALUPE </v>
          </cell>
        </row>
        <row r="3086">
          <cell r="C3086" t="str">
            <v>0802662726</v>
          </cell>
          <cell r="AT3086" t="str">
            <v xml:space="preserve">QUIÑONEZ PERLAZA GUADALUPE </v>
          </cell>
        </row>
        <row r="3087">
          <cell r="C3087" t="str">
            <v>0804315661</v>
          </cell>
          <cell r="AT3087" t="str">
            <v>REYES ARBOLEDA PAULETT STEFANÍA</v>
          </cell>
        </row>
        <row r="3088">
          <cell r="C3088" t="str">
            <v>0804315661</v>
          </cell>
          <cell r="AT3088" t="str">
            <v>REYES ARBOLEDA PAULETT STEFANÍA</v>
          </cell>
        </row>
        <row r="3089">
          <cell r="C3089" t="str">
            <v>0804315661</v>
          </cell>
          <cell r="AT3089" t="str">
            <v>REYES ARBOLEDA PAULETT STEFANÍA</v>
          </cell>
        </row>
        <row r="3090">
          <cell r="C3090" t="str">
            <v>0800436495</v>
          </cell>
          <cell r="AT3090" t="str">
            <v xml:space="preserve">ANCHUNDIA ORTIZ ANGEL </v>
          </cell>
        </row>
        <row r="3091">
          <cell r="C3091" t="str">
            <v>0800436495</v>
          </cell>
          <cell r="AT3091" t="str">
            <v xml:space="preserve">ANCHUNDIA ORTIZ ANGEL </v>
          </cell>
        </row>
        <row r="3092">
          <cell r="C3092" t="str">
            <v>0800436495</v>
          </cell>
          <cell r="AT3092" t="str">
            <v xml:space="preserve">ANCHUNDIA ORTIZ ANGEL </v>
          </cell>
        </row>
        <row r="3093">
          <cell r="C3093" t="str">
            <v>0800436495</v>
          </cell>
          <cell r="AT3093" t="str">
            <v xml:space="preserve">ANCHUNDIA ORTIZ ANGEL </v>
          </cell>
        </row>
        <row r="3094">
          <cell r="C3094" t="str">
            <v>0800436495</v>
          </cell>
          <cell r="AT3094" t="str">
            <v xml:space="preserve">ANCHUNDIA ORTIZ ANGEL </v>
          </cell>
        </row>
        <row r="3095">
          <cell r="C3095" t="str">
            <v>0800436495</v>
          </cell>
          <cell r="AT3095" t="str">
            <v xml:space="preserve">ANCHUNDIA ORTIZ ANGEL </v>
          </cell>
        </row>
        <row r="3096">
          <cell r="C3096" t="str">
            <v>0800436495</v>
          </cell>
          <cell r="AT3096" t="str">
            <v xml:space="preserve">ANCHUNDIA ORTIZ ANGEL </v>
          </cell>
        </row>
        <row r="3097">
          <cell r="C3097" t="str">
            <v>0800436495</v>
          </cell>
          <cell r="AT3097" t="str">
            <v xml:space="preserve">ANCHUNDIA ORTIZ ANGEL </v>
          </cell>
        </row>
        <row r="3098">
          <cell r="C3098" t="str">
            <v>0800436495</v>
          </cell>
          <cell r="AT3098" t="str">
            <v xml:space="preserve">ANCHUNDIA ORTIZ ANGEL </v>
          </cell>
        </row>
        <row r="3099">
          <cell r="C3099" t="str">
            <v>0800436495</v>
          </cell>
          <cell r="AT3099" t="str">
            <v xml:space="preserve">ANCHUNDIA ORTIZ ANGEL </v>
          </cell>
        </row>
        <row r="3100">
          <cell r="C3100" t="str">
            <v>0800436495</v>
          </cell>
          <cell r="AT3100" t="str">
            <v xml:space="preserve">ANCHUNDIA ORTIZ ANGEL </v>
          </cell>
        </row>
        <row r="3101">
          <cell r="C3101" t="str">
            <v>0804450112</v>
          </cell>
          <cell r="AT3101" t="str">
            <v>GOMEZ MENDOZA MARÍA JOSÉ</v>
          </cell>
        </row>
        <row r="3102">
          <cell r="C3102" t="str">
            <v>0804450112</v>
          </cell>
          <cell r="AT3102" t="str">
            <v>GOMEZ MENDOZA MARÍA JOSÉ</v>
          </cell>
        </row>
        <row r="3103">
          <cell r="C3103" t="str">
            <v>0802321364</v>
          </cell>
          <cell r="AT3103" t="str">
            <v>MINA BONE ELIS MARIUXI</v>
          </cell>
        </row>
        <row r="3104">
          <cell r="C3104" t="str">
            <v>0803216035</v>
          </cell>
          <cell r="AT3104" t="str">
            <v>MORENO CEDEÑO GABRIELA ELIZABETH</v>
          </cell>
        </row>
        <row r="3105">
          <cell r="C3105" t="str">
            <v>0803216035</v>
          </cell>
          <cell r="AT3105" t="str">
            <v>MORENO CEDEÑO GABRIELA ELIZABETH</v>
          </cell>
        </row>
        <row r="3106">
          <cell r="C3106" t="str">
            <v>0803216035</v>
          </cell>
          <cell r="AT3106" t="str">
            <v>MORENO CEDEÑO GABRIELA ELIZABETH</v>
          </cell>
        </row>
        <row r="3107">
          <cell r="C3107" t="str">
            <v>0803216035</v>
          </cell>
          <cell r="AT3107" t="str">
            <v>MORENO CEDEÑO GABRIELA ELIZABETH</v>
          </cell>
        </row>
        <row r="3108">
          <cell r="C3108" t="str">
            <v>0803216035</v>
          </cell>
          <cell r="AT3108" t="str">
            <v>MORENO CEDEÑO GABRIELA ELIZABETH</v>
          </cell>
        </row>
        <row r="3109">
          <cell r="C3109" t="str">
            <v>0803216035</v>
          </cell>
          <cell r="AT3109" t="str">
            <v>MORENO CEDEÑO GABRIELA ELIZABETH</v>
          </cell>
        </row>
        <row r="3110">
          <cell r="C3110" t="str">
            <v>0803216035</v>
          </cell>
          <cell r="AT3110" t="str">
            <v>MORENO CEDEÑO GABRIELA ELIZABETH</v>
          </cell>
        </row>
        <row r="3111">
          <cell r="C3111" t="str">
            <v>0803216035</v>
          </cell>
          <cell r="AT3111" t="str">
            <v>MORENO CEDEÑO GABRIELA ELIZABETH</v>
          </cell>
        </row>
        <row r="3112">
          <cell r="C3112" t="str">
            <v>0803216035</v>
          </cell>
          <cell r="AT3112" t="str">
            <v>MORENO CEDEÑO GABRIELA ELIZABETH</v>
          </cell>
        </row>
        <row r="3113">
          <cell r="C3113" t="str">
            <v>0803216035</v>
          </cell>
          <cell r="AT3113" t="str">
            <v>MORENO CEDEÑO GABRIELA ELIZABETH</v>
          </cell>
        </row>
        <row r="3114">
          <cell r="C3114" t="str">
            <v>0803216035</v>
          </cell>
          <cell r="AT3114" t="str">
            <v>MORENO CEDEÑO GABRIELA ELIZABETH</v>
          </cell>
        </row>
        <row r="3115">
          <cell r="C3115" t="str">
            <v>0803216035</v>
          </cell>
          <cell r="AT3115" t="str">
            <v>MORENO CEDEÑO GABRIELA ELIZABETH</v>
          </cell>
        </row>
        <row r="3116">
          <cell r="C3116" t="str">
            <v>0803216035</v>
          </cell>
          <cell r="AT3116" t="str">
            <v>MORENO CEDEÑO GABRIELA ELIZABETH</v>
          </cell>
        </row>
        <row r="3117">
          <cell r="C3117" t="str">
            <v>1802172203</v>
          </cell>
          <cell r="AT3117" t="str">
            <v>NEVAREZ MONCAYO JUAN CARLOS</v>
          </cell>
        </row>
        <row r="3118">
          <cell r="C3118" t="str">
            <v>0105998181</v>
          </cell>
          <cell r="AT3118" t="str">
            <v>SINCHI SINCHI HUGO FERNANDO</v>
          </cell>
        </row>
        <row r="3119">
          <cell r="C3119" t="str">
            <v>0105998181</v>
          </cell>
          <cell r="AT3119" t="str">
            <v>SINCHI SINCHI HUGO FERNANDO</v>
          </cell>
        </row>
        <row r="3120">
          <cell r="C3120" t="str">
            <v>0105998181</v>
          </cell>
          <cell r="AT3120" t="str">
            <v>SINCHI SINCHI HUGO FERNANDO</v>
          </cell>
        </row>
        <row r="3121">
          <cell r="C3121" t="str">
            <v>0105998181</v>
          </cell>
          <cell r="AT3121" t="str">
            <v>SINCHI SINCHI HUGO FERNANDO</v>
          </cell>
        </row>
        <row r="3122">
          <cell r="C3122" t="str">
            <v>0105998181</v>
          </cell>
          <cell r="AT3122" t="str">
            <v>SINCHI SINCHI HUGO FERNANDO</v>
          </cell>
        </row>
        <row r="3123">
          <cell r="C3123" t="str">
            <v>K0445539</v>
          </cell>
          <cell r="AT3123" t="str">
            <v xml:space="preserve">WOLDEHAWARIAT KIDANEMARIAM GHEBREZGHIABIHER </v>
          </cell>
        </row>
        <row r="3124">
          <cell r="C3124" t="str">
            <v>1306985472</v>
          </cell>
          <cell r="AT3124" t="str">
            <v>VALENZUELA MOLINA MARIA LUISA</v>
          </cell>
        </row>
        <row r="3125">
          <cell r="C3125" t="str">
            <v>1306985472</v>
          </cell>
          <cell r="AT3125" t="str">
            <v>VALENZUELA MOLINA MARIA LUISA</v>
          </cell>
        </row>
        <row r="3126">
          <cell r="C3126" t="str">
            <v>1306985472</v>
          </cell>
          <cell r="AT3126" t="str">
            <v>VALENZUELA MOLINA MARIA LUISA</v>
          </cell>
        </row>
        <row r="3127">
          <cell r="C3127" t="str">
            <v>1306985472</v>
          </cell>
          <cell r="AT3127" t="str">
            <v>VALENZUELA MOLINA MARIA LUISA</v>
          </cell>
        </row>
        <row r="3128">
          <cell r="C3128" t="str">
            <v>1306985472</v>
          </cell>
          <cell r="AT3128" t="str">
            <v>VALENZUELA MOLINA MARIA LUISA</v>
          </cell>
        </row>
        <row r="3129">
          <cell r="C3129" t="str">
            <v>1306985472</v>
          </cell>
          <cell r="AT3129" t="str">
            <v>VALENZUELA MOLINA MARIA LUISA</v>
          </cell>
        </row>
        <row r="3130">
          <cell r="C3130" t="str">
            <v>1306985472</v>
          </cell>
          <cell r="AT3130" t="str">
            <v>VALENZUELA MOLINA MARIA LUISA</v>
          </cell>
        </row>
        <row r="3131">
          <cell r="C3131" t="str">
            <v>1306985472</v>
          </cell>
          <cell r="AT3131" t="str">
            <v>VALENZUELA MOLINA MARIA LUISA</v>
          </cell>
        </row>
        <row r="3132">
          <cell r="C3132" t="str">
            <v>1306985472</v>
          </cell>
          <cell r="AT3132" t="str">
            <v>VALENZUELA MOLINA MARIA LUISA</v>
          </cell>
        </row>
        <row r="3133">
          <cell r="C3133" t="str">
            <v>1306985472</v>
          </cell>
          <cell r="AT3133" t="str">
            <v>VALENZUELA MOLINA MARIA LUISA</v>
          </cell>
        </row>
        <row r="3134">
          <cell r="C3134" t="str">
            <v>1306985472</v>
          </cell>
          <cell r="AT3134" t="str">
            <v>VALENZUELA MOLINA MARIA LUISA</v>
          </cell>
        </row>
        <row r="3135">
          <cell r="C3135" t="str">
            <v>1306985472</v>
          </cell>
          <cell r="AT3135" t="str">
            <v>VALENZUELA MOLINA MARIA LUISA</v>
          </cell>
        </row>
        <row r="3136">
          <cell r="C3136" t="str">
            <v>1306985472</v>
          </cell>
          <cell r="AT3136" t="str">
            <v>VALENZUELA MOLINA MARIA LUISA</v>
          </cell>
        </row>
        <row r="3137">
          <cell r="C3137" t="str">
            <v>1306985472</v>
          </cell>
          <cell r="AT3137" t="str">
            <v>VALENZUELA MOLINA MARIA LUISA</v>
          </cell>
        </row>
        <row r="3138">
          <cell r="C3138" t="str">
            <v>1306985472</v>
          </cell>
          <cell r="AT3138" t="str">
            <v>VALENZUELA MOLINA MARIA LUISA</v>
          </cell>
        </row>
        <row r="3139">
          <cell r="C3139" t="str">
            <v>1306985472</v>
          </cell>
          <cell r="AT3139" t="str">
            <v>VALENZUELA MOLINA MARIA LUISA</v>
          </cell>
        </row>
        <row r="3140">
          <cell r="C3140" t="str">
            <v>1306985472</v>
          </cell>
          <cell r="AT3140" t="str">
            <v>VALENZUELA MOLINA MARIA LUISA</v>
          </cell>
        </row>
        <row r="3141">
          <cell r="C3141" t="str">
            <v>1306985472</v>
          </cell>
          <cell r="AT3141" t="str">
            <v>VALENZUELA MOLINA MARIA LUISA</v>
          </cell>
        </row>
        <row r="3142">
          <cell r="C3142" t="str">
            <v>1306985472</v>
          </cell>
          <cell r="AT3142" t="str">
            <v>VALENZUELA MOLINA MARIA LUISA</v>
          </cell>
        </row>
        <row r="3143">
          <cell r="C3143" t="str">
            <v>1306985472</v>
          </cell>
          <cell r="AT3143" t="str">
            <v>VALENZUELA MOLINA MARIA LUISA</v>
          </cell>
        </row>
        <row r="3144">
          <cell r="C3144" t="str">
            <v>1306985472</v>
          </cell>
          <cell r="AT3144" t="str">
            <v>VALENZUELA MOLINA MARIA LUISA</v>
          </cell>
        </row>
        <row r="3145">
          <cell r="C3145" t="str">
            <v>1306985472</v>
          </cell>
          <cell r="AT3145" t="str">
            <v>VALENZUELA MOLINA MARIA LUISA</v>
          </cell>
        </row>
        <row r="3146">
          <cell r="C3146" t="str">
            <v>1306985472</v>
          </cell>
          <cell r="AT3146" t="str">
            <v>VALENZUELA MOLINA MARIA LUISA</v>
          </cell>
        </row>
        <row r="3147">
          <cell r="C3147" t="str">
            <v>1306985472</v>
          </cell>
          <cell r="AT3147" t="str">
            <v>VALENZUELA MOLINA MARIA LUISA</v>
          </cell>
        </row>
        <row r="3148">
          <cell r="C3148" t="str">
            <v>1306985472</v>
          </cell>
          <cell r="AT3148" t="str">
            <v>VALENZUELA MOLINA MARIA LUISA</v>
          </cell>
        </row>
        <row r="3149">
          <cell r="C3149" t="str">
            <v>1306985472</v>
          </cell>
          <cell r="AT3149" t="str">
            <v>VALENZUELA MOLINA MARIA LUISA</v>
          </cell>
        </row>
        <row r="3150">
          <cell r="C3150" t="str">
            <v>1306985472</v>
          </cell>
          <cell r="AT3150" t="str">
            <v>VALENZUELA MOLINA MARIA LUISA</v>
          </cell>
        </row>
        <row r="3151">
          <cell r="C3151" t="str">
            <v>1306985472</v>
          </cell>
          <cell r="AT3151" t="str">
            <v>VALENZUELA MOLINA MARIA LUISA</v>
          </cell>
        </row>
        <row r="3152">
          <cell r="C3152" t="str">
            <v>1306985472</v>
          </cell>
          <cell r="AT3152" t="str">
            <v>VALENZUELA MOLINA MARIA LUISA</v>
          </cell>
        </row>
        <row r="3153">
          <cell r="C3153" t="str">
            <v>1306985472</v>
          </cell>
          <cell r="AT3153" t="str">
            <v>VALENZUELA MOLINA MARIA LUISA</v>
          </cell>
        </row>
        <row r="3154">
          <cell r="C3154" t="str">
            <v>1306985472</v>
          </cell>
          <cell r="AT3154" t="str">
            <v>VALENZUELA MOLINA MARIA LUISA</v>
          </cell>
        </row>
        <row r="3155">
          <cell r="C3155" t="str">
            <v>1306985472</v>
          </cell>
          <cell r="AT3155" t="str">
            <v>VALENZUELA MOLINA MARIA LUISA</v>
          </cell>
        </row>
        <row r="3156">
          <cell r="C3156" t="str">
            <v>1306985472</v>
          </cell>
          <cell r="AT3156" t="str">
            <v>VALENZUELA MOLINA MARIA LUISA</v>
          </cell>
        </row>
        <row r="3157">
          <cell r="C3157" t="str">
            <v>1306985472</v>
          </cell>
          <cell r="AT3157" t="str">
            <v>VALENZUELA MOLINA MARIA LUISA</v>
          </cell>
        </row>
        <row r="3158">
          <cell r="C3158" t="str">
            <v>1306985472</v>
          </cell>
          <cell r="AT3158" t="str">
            <v>VALENZUELA MOLINA MARIA LUISA</v>
          </cell>
        </row>
        <row r="3159">
          <cell r="C3159" t="str">
            <v>1306985472</v>
          </cell>
          <cell r="AT3159" t="str">
            <v>VALENZUELA MOLINA MARIA LUISA</v>
          </cell>
        </row>
        <row r="3160">
          <cell r="C3160" t="str">
            <v>1306985472</v>
          </cell>
          <cell r="AT3160" t="str">
            <v>VALENZUELA MOLINA MARIA LUISA</v>
          </cell>
        </row>
        <row r="3161">
          <cell r="C3161" t="str">
            <v>1306985472</v>
          </cell>
          <cell r="AT3161" t="str">
            <v>VALENZUELA MOLINA MARIA LUISA</v>
          </cell>
        </row>
        <row r="3162">
          <cell r="C3162" t="str">
            <v>1306985472</v>
          </cell>
          <cell r="AT3162" t="str">
            <v>VALENZUELA MOLINA MARIA LUISA</v>
          </cell>
        </row>
        <row r="3163">
          <cell r="C3163" t="str">
            <v>1306985472</v>
          </cell>
          <cell r="AT3163" t="str">
            <v>VALENZUELA MOLINA MARIA LUISA</v>
          </cell>
        </row>
        <row r="3164">
          <cell r="C3164" t="str">
            <v>1306985472</v>
          </cell>
          <cell r="AT3164" t="str">
            <v>VALENZUELA MOLINA MARIA LUISA</v>
          </cell>
        </row>
        <row r="3165">
          <cell r="C3165" t="str">
            <v>1306985472</v>
          </cell>
          <cell r="AT3165" t="str">
            <v>VALENZUELA MOLINA MARIA LUISA</v>
          </cell>
        </row>
        <row r="3166">
          <cell r="C3166" t="str">
            <v>1306985472</v>
          </cell>
          <cell r="AT3166" t="str">
            <v>VALENZUELA MOLINA MARIA LUISA</v>
          </cell>
        </row>
        <row r="3167">
          <cell r="C3167" t="str">
            <v>1306985472</v>
          </cell>
          <cell r="AT3167" t="str">
            <v>VALENZUELA MOLINA MARIA LUISA</v>
          </cell>
        </row>
        <row r="3168">
          <cell r="C3168" t="str">
            <v>1306985472</v>
          </cell>
          <cell r="AT3168" t="str">
            <v>VALENZUELA MOLINA MARIA LUISA</v>
          </cell>
        </row>
        <row r="3169">
          <cell r="C3169" t="str">
            <v>1715451330</v>
          </cell>
          <cell r="AT3169" t="str">
            <v>CHINCHERO VILLACIS HECTOR FERNANDO</v>
          </cell>
        </row>
        <row r="3170">
          <cell r="C3170" t="str">
            <v>0804415495</v>
          </cell>
          <cell r="AT3170" t="str">
            <v>MARIDUEÑA CRESPO FABIANA YARITZA</v>
          </cell>
        </row>
        <row r="3171">
          <cell r="C3171" t="str">
            <v>0804415495</v>
          </cell>
          <cell r="AT3171" t="str">
            <v>MARIDUEÑA CRESPO FABIANA YARITZA</v>
          </cell>
        </row>
        <row r="3172">
          <cell r="C3172" t="str">
            <v>0804415495</v>
          </cell>
          <cell r="AT3172" t="str">
            <v>MARIDUEÑA CRESPO FABIANA YARITZA</v>
          </cell>
        </row>
        <row r="3173">
          <cell r="C3173" t="str">
            <v>0804415495</v>
          </cell>
          <cell r="AT3173" t="str">
            <v>MARIDUEÑA CRESPO FABIANA YARITZA</v>
          </cell>
        </row>
        <row r="3174">
          <cell r="C3174" t="str">
            <v>0804415495</v>
          </cell>
          <cell r="AT3174" t="str">
            <v>MARIDUEÑA CRESPO FABIANA YARITZA</v>
          </cell>
        </row>
        <row r="3175">
          <cell r="C3175" t="str">
            <v>1100634771</v>
          </cell>
          <cell r="AT3175" t="str">
            <v xml:space="preserve">AYALA BERMEO VICENTE </v>
          </cell>
        </row>
        <row r="3176">
          <cell r="C3176" t="str">
            <v>1723236491</v>
          </cell>
          <cell r="AT3176" t="str">
            <v>MENDEZ GARCES ERIK FERNANDO</v>
          </cell>
        </row>
        <row r="3177">
          <cell r="C3177" t="str">
            <v>1717910507</v>
          </cell>
          <cell r="AT3177" t="str">
            <v>TASIGUANO POZO CRISTIAN ANDRES</v>
          </cell>
        </row>
        <row r="3178">
          <cell r="C3178" t="str">
            <v>0503131807</v>
          </cell>
          <cell r="AT3178" t="str">
            <v>JACOME CARRERA JUAN PABLO</v>
          </cell>
        </row>
        <row r="3179">
          <cell r="C3179" t="str">
            <v>0922338553</v>
          </cell>
          <cell r="AT3179" t="str">
            <v>VARGAS CONTRERAS WALTER ALBERTO</v>
          </cell>
        </row>
        <row r="3180">
          <cell r="C3180" t="str">
            <v>1714731203</v>
          </cell>
          <cell r="AT3180" t="str">
            <v>ROMERO MEJIA LUIS GEOVANNY</v>
          </cell>
        </row>
        <row r="3181">
          <cell r="C3181" t="str">
            <v>0910772458</v>
          </cell>
          <cell r="AT3181" t="str">
            <v>DAVALOS BARZOLA CINDY GRACE</v>
          </cell>
        </row>
        <row r="3182">
          <cell r="C3182" t="str">
            <v>1310201585</v>
          </cell>
          <cell r="AT3182" t="str">
            <v>ZAMBRANO GARCIA CECILIO ALBERTO</v>
          </cell>
        </row>
        <row r="3183">
          <cell r="C3183" t="str">
            <v>0801596511</v>
          </cell>
          <cell r="AT3183" t="str">
            <v>MUÑOZ ANGULO MARIELA MARICI</v>
          </cell>
        </row>
        <row r="3184">
          <cell r="C3184" t="str">
            <v>0802099713</v>
          </cell>
          <cell r="AT3184" t="str">
            <v xml:space="preserve">RAMIREZ RUBIRA ELIO </v>
          </cell>
        </row>
        <row r="3185">
          <cell r="C3185" t="str">
            <v>0802099713</v>
          </cell>
          <cell r="AT3185" t="str">
            <v xml:space="preserve">RAMIREZ RUBIRA ELIO </v>
          </cell>
        </row>
        <row r="3186">
          <cell r="C3186" t="str">
            <v>0802099713</v>
          </cell>
          <cell r="AT3186" t="str">
            <v xml:space="preserve">RAMIREZ RUBIRA ELIO </v>
          </cell>
        </row>
        <row r="3187">
          <cell r="C3187" t="str">
            <v>0802099713</v>
          </cell>
          <cell r="AT3187" t="str">
            <v xml:space="preserve">RAMIREZ RUBIRA ELIO </v>
          </cell>
        </row>
        <row r="3188">
          <cell r="C3188" t="str">
            <v>0802099713</v>
          </cell>
          <cell r="AT3188" t="str">
            <v xml:space="preserve">RAMIREZ RUBIRA ELIO </v>
          </cell>
        </row>
        <row r="3189">
          <cell r="C3189" t="str">
            <v>0802099713</v>
          </cell>
          <cell r="AT3189" t="str">
            <v xml:space="preserve">RAMIREZ RUBIRA ELIO </v>
          </cell>
        </row>
        <row r="3190">
          <cell r="C3190" t="str">
            <v>0802099713</v>
          </cell>
          <cell r="AT3190" t="str">
            <v xml:space="preserve">RAMIREZ RUBIRA ELIO </v>
          </cell>
        </row>
        <row r="3191">
          <cell r="C3191" t="str">
            <v>0802099713</v>
          </cell>
          <cell r="AT3191" t="str">
            <v xml:space="preserve">RAMIREZ RUBIRA ELIO </v>
          </cell>
        </row>
        <row r="3192">
          <cell r="C3192" t="str">
            <v>0802099713</v>
          </cell>
          <cell r="AT3192" t="str">
            <v xml:space="preserve">RAMIREZ RUBIRA ELIO </v>
          </cell>
        </row>
        <row r="3193">
          <cell r="C3193" t="str">
            <v>0802099713</v>
          </cell>
          <cell r="AT3193" t="str">
            <v xml:space="preserve">RAMIREZ RUBIRA ELIO </v>
          </cell>
        </row>
        <row r="3194">
          <cell r="C3194" t="str">
            <v>0802099713</v>
          </cell>
          <cell r="AT3194" t="str">
            <v xml:space="preserve">RAMIREZ RUBIRA ELIO </v>
          </cell>
        </row>
        <row r="3195">
          <cell r="C3195" t="str">
            <v>0802099713</v>
          </cell>
          <cell r="AT3195" t="str">
            <v xml:space="preserve">RAMIREZ RUBIRA ELIO </v>
          </cell>
        </row>
        <row r="3196">
          <cell r="C3196" t="str">
            <v>0802099713</v>
          </cell>
          <cell r="AT3196" t="str">
            <v xml:space="preserve">RAMIREZ RUBIRA ELIO </v>
          </cell>
        </row>
        <row r="3197">
          <cell r="C3197" t="str">
            <v>0802099713</v>
          </cell>
          <cell r="AT3197" t="str">
            <v xml:space="preserve">RAMIREZ RUBIRA ELIO </v>
          </cell>
        </row>
        <row r="3198">
          <cell r="C3198" t="str">
            <v>0802099713</v>
          </cell>
          <cell r="AT3198" t="str">
            <v xml:space="preserve">RAMIREZ RUBIRA ELIO </v>
          </cell>
        </row>
        <row r="3199">
          <cell r="C3199" t="str">
            <v>0802099713</v>
          </cell>
          <cell r="AT3199" t="str">
            <v xml:space="preserve">RAMIREZ RUBIRA ELIO </v>
          </cell>
        </row>
        <row r="3200">
          <cell r="C3200" t="str">
            <v>0802099713</v>
          </cell>
          <cell r="AT3200" t="str">
            <v xml:space="preserve">RAMIREZ RUBIRA ELIO </v>
          </cell>
        </row>
        <row r="3201">
          <cell r="C3201" t="str">
            <v>0802099713</v>
          </cell>
          <cell r="AT3201" t="str">
            <v xml:space="preserve">RAMIREZ RUBIRA ELIO </v>
          </cell>
        </row>
        <row r="3202">
          <cell r="C3202" t="str">
            <v>0802099713</v>
          </cell>
          <cell r="AT3202" t="str">
            <v xml:space="preserve">RAMIREZ RUBIRA ELIO </v>
          </cell>
        </row>
        <row r="3203">
          <cell r="C3203" t="str">
            <v>0802099713</v>
          </cell>
          <cell r="AT3203" t="str">
            <v xml:space="preserve">RAMIREZ RUBIRA ELIO </v>
          </cell>
        </row>
        <row r="3204">
          <cell r="C3204" t="str">
            <v>0802099713</v>
          </cell>
          <cell r="AT3204" t="str">
            <v xml:space="preserve">RAMIREZ RUBIRA ELIO </v>
          </cell>
        </row>
        <row r="3205">
          <cell r="C3205" t="str">
            <v>0802099713</v>
          </cell>
          <cell r="AT3205" t="str">
            <v xml:space="preserve">RAMIREZ RUBIRA ELIO </v>
          </cell>
        </row>
        <row r="3206">
          <cell r="C3206" t="str">
            <v>0802099713</v>
          </cell>
          <cell r="AT3206" t="str">
            <v xml:space="preserve">RAMIREZ RUBIRA ELIO </v>
          </cell>
        </row>
        <row r="3207">
          <cell r="C3207" t="str">
            <v>0802099713</v>
          </cell>
          <cell r="AT3207" t="str">
            <v xml:space="preserve">RAMIREZ RUBIRA ELIO </v>
          </cell>
        </row>
        <row r="3208">
          <cell r="C3208" t="str">
            <v>0802099713</v>
          </cell>
          <cell r="AT3208" t="str">
            <v xml:space="preserve">RAMIREZ RUBIRA ELIO </v>
          </cell>
        </row>
        <row r="3209">
          <cell r="C3209" t="str">
            <v>0802099713</v>
          </cell>
          <cell r="AT3209" t="str">
            <v xml:space="preserve">RAMIREZ RUBIRA ELIO </v>
          </cell>
        </row>
        <row r="3210">
          <cell r="C3210" t="str">
            <v>0802099713</v>
          </cell>
          <cell r="AT3210" t="str">
            <v xml:space="preserve">RAMIREZ RUBIRA ELIO </v>
          </cell>
        </row>
        <row r="3211">
          <cell r="C3211" t="str">
            <v>0802099713</v>
          </cell>
          <cell r="AT3211" t="str">
            <v xml:space="preserve">RAMIREZ RUBIRA ELIO </v>
          </cell>
        </row>
        <row r="3212">
          <cell r="C3212" t="str">
            <v>0802099713</v>
          </cell>
          <cell r="AT3212" t="str">
            <v xml:space="preserve">RAMIREZ RUBIRA ELIO </v>
          </cell>
        </row>
        <row r="3213">
          <cell r="C3213" t="str">
            <v>0802099713</v>
          </cell>
          <cell r="AT3213" t="str">
            <v xml:space="preserve">RAMIREZ RUBIRA ELIO </v>
          </cell>
        </row>
        <row r="3214">
          <cell r="C3214" t="str">
            <v>0802099713</v>
          </cell>
          <cell r="AT3214" t="str">
            <v xml:space="preserve">RAMIREZ RUBIRA ELIO </v>
          </cell>
        </row>
        <row r="3215">
          <cell r="C3215" t="str">
            <v>0802099713</v>
          </cell>
          <cell r="AT3215" t="str">
            <v xml:space="preserve">RAMIREZ RUBIRA ELIO </v>
          </cell>
        </row>
        <row r="3216">
          <cell r="C3216" t="str">
            <v>0802099713</v>
          </cell>
          <cell r="AT3216" t="str">
            <v xml:space="preserve">RAMIREZ RUBIRA ELIO </v>
          </cell>
        </row>
        <row r="3217">
          <cell r="C3217" t="str">
            <v>0802099713</v>
          </cell>
          <cell r="AT3217" t="str">
            <v xml:space="preserve">RAMIREZ RUBIRA ELIO </v>
          </cell>
        </row>
        <row r="3218">
          <cell r="C3218" t="str">
            <v>0802099713</v>
          </cell>
          <cell r="AT3218" t="str">
            <v xml:space="preserve">RAMIREZ RUBIRA ELIO </v>
          </cell>
        </row>
        <row r="3219">
          <cell r="C3219" t="str">
            <v>0802099713</v>
          </cell>
          <cell r="AT3219" t="str">
            <v xml:space="preserve">RAMIREZ RUBIRA ELIO </v>
          </cell>
        </row>
        <row r="3220">
          <cell r="C3220" t="str">
            <v>0802099713</v>
          </cell>
          <cell r="AT3220" t="str">
            <v xml:space="preserve">RAMIREZ RUBIRA ELIO </v>
          </cell>
        </row>
        <row r="3221">
          <cell r="C3221" t="str">
            <v>0802465690</v>
          </cell>
          <cell r="AT3221" t="str">
            <v>MURILLO DIAZ RICARDO ANDRÉS</v>
          </cell>
        </row>
        <row r="3222">
          <cell r="C3222" t="str">
            <v>0802465690</v>
          </cell>
          <cell r="AT3222" t="str">
            <v>MURILLO DIAZ RICARDO ANDRÉS</v>
          </cell>
        </row>
        <row r="3223">
          <cell r="C3223" t="str">
            <v>0802465690</v>
          </cell>
          <cell r="AT3223" t="str">
            <v>MURILLO DIAZ RICARDO ANDRÉS</v>
          </cell>
        </row>
        <row r="3224">
          <cell r="C3224" t="str">
            <v>0802465690</v>
          </cell>
          <cell r="AT3224" t="str">
            <v>MURILLO DIAZ RICARDO ANDRÉS</v>
          </cell>
        </row>
        <row r="3225">
          <cell r="C3225" t="str">
            <v>0802465690</v>
          </cell>
          <cell r="AT3225" t="str">
            <v>MURILLO DIAZ RICARDO ANDRÉS</v>
          </cell>
        </row>
        <row r="3226">
          <cell r="C3226" t="str">
            <v>0802548487</v>
          </cell>
          <cell r="AT3226" t="str">
            <v>SAENZ DE VITERI OYARVIDE JAIME ANTONIO</v>
          </cell>
        </row>
        <row r="3227">
          <cell r="C3227" t="str">
            <v>0803119494</v>
          </cell>
          <cell r="AT3227" t="str">
            <v>ZERNA CAMARGO SALVADOR JESÉ</v>
          </cell>
        </row>
        <row r="3228">
          <cell r="C3228" t="str">
            <v>0803119494</v>
          </cell>
          <cell r="AT3228" t="str">
            <v>ZERNA CAMARGO SALVADOR JESÉ</v>
          </cell>
        </row>
        <row r="3229">
          <cell r="C3229" t="str">
            <v>0803767771</v>
          </cell>
          <cell r="AT3229" t="str">
            <v>SERRANO PINARGOTE MAYRA VANESSA</v>
          </cell>
        </row>
        <row r="3230">
          <cell r="C3230" t="str">
            <v>0803767771</v>
          </cell>
          <cell r="AT3230" t="str">
            <v>SERRANO PINARGOTE MAYRA VANESSA</v>
          </cell>
        </row>
        <row r="3231">
          <cell r="C3231" t="str">
            <v>0803237460</v>
          </cell>
          <cell r="AT3231" t="str">
            <v>ZAMBRANO VELASQUEZ JENNIFFER KATHERINE</v>
          </cell>
        </row>
        <row r="3232">
          <cell r="C3232" t="str">
            <v>0803237460</v>
          </cell>
          <cell r="AT3232" t="str">
            <v>ZAMBRANO VELASQUEZ JENNIFFER KATHERINE</v>
          </cell>
        </row>
        <row r="3233">
          <cell r="C3233" t="str">
            <v>0803237460</v>
          </cell>
          <cell r="AT3233" t="str">
            <v>ZAMBRANO VELASQUEZ JENNIFFER KATHERINE</v>
          </cell>
        </row>
        <row r="3234">
          <cell r="C3234" t="str">
            <v>0803237460</v>
          </cell>
          <cell r="AT3234" t="str">
            <v>ZAMBRANO VELASQUEZ JENNIFFER KATHERINE</v>
          </cell>
        </row>
        <row r="3235">
          <cell r="C3235" t="str">
            <v>0803237460</v>
          </cell>
          <cell r="AT3235" t="str">
            <v>ZAMBRANO VELASQUEZ JENNIFFER KATHERINE</v>
          </cell>
        </row>
        <row r="3236">
          <cell r="C3236" t="str">
            <v>0802345413</v>
          </cell>
          <cell r="AT3236" t="str">
            <v>ANDRADE PEREA JANE VERÓNICA</v>
          </cell>
        </row>
        <row r="3237">
          <cell r="C3237" t="str">
            <v>0802345413</v>
          </cell>
          <cell r="AT3237" t="str">
            <v>ANDRADE PEREA JANE VERÓNICA</v>
          </cell>
        </row>
        <row r="3238">
          <cell r="C3238" t="str">
            <v>0802345413</v>
          </cell>
          <cell r="AT3238" t="str">
            <v>ANDRADE PEREA JANE VERÓNICA</v>
          </cell>
        </row>
        <row r="3239">
          <cell r="C3239" t="str">
            <v>0803261692</v>
          </cell>
          <cell r="AT3239" t="str">
            <v>MARQUINEZ QUIÑONEZ TATIANA FERNANDA</v>
          </cell>
        </row>
        <row r="3240">
          <cell r="C3240" t="str">
            <v>0801722778</v>
          </cell>
          <cell r="AT3240" t="str">
            <v>MENDOZA PITA PRISCILA DEL ROCIO</v>
          </cell>
        </row>
        <row r="3241">
          <cell r="C3241" t="str">
            <v>1715352926</v>
          </cell>
          <cell r="AT3241" t="str">
            <v>MORENO VASCONEZ BRAYAN DAVID</v>
          </cell>
        </row>
        <row r="3242">
          <cell r="C3242" t="str">
            <v>1715352926</v>
          </cell>
          <cell r="AT3242" t="str">
            <v>MORENO VASCONEZ BRAYAN DAVID</v>
          </cell>
        </row>
        <row r="3243">
          <cell r="C3243" t="str">
            <v>0801106139</v>
          </cell>
          <cell r="AT3243" t="str">
            <v>HANZE GUTIERREZ JESSICA DIANA</v>
          </cell>
        </row>
        <row r="3244">
          <cell r="C3244" t="str">
            <v>0801632936</v>
          </cell>
          <cell r="AT3244" t="str">
            <v>VERA PINARGOTE NURIS DIANA</v>
          </cell>
        </row>
        <row r="3245">
          <cell r="C3245" t="str">
            <v>0801742461</v>
          </cell>
          <cell r="AT3245" t="str">
            <v>CERVANTES ESTUPIÑAN MONICA ISABEL</v>
          </cell>
        </row>
        <row r="3246">
          <cell r="C3246" t="str">
            <v>0503722829</v>
          </cell>
          <cell r="AT3246" t="str">
            <v>ZAMBRANO CEDEÑO JENIFFER INÉS</v>
          </cell>
        </row>
        <row r="3247">
          <cell r="C3247" t="str">
            <v>0503722829</v>
          </cell>
          <cell r="AT3247" t="str">
            <v>ZAMBRANO CEDEÑO JENIFFER INÉS</v>
          </cell>
        </row>
        <row r="3248">
          <cell r="C3248" t="str">
            <v>0503722829</v>
          </cell>
          <cell r="AT3248" t="str">
            <v>ZAMBRANO CEDEÑO JENIFFER INÉS</v>
          </cell>
        </row>
        <row r="3249">
          <cell r="C3249" t="str">
            <v>0503722829</v>
          </cell>
          <cell r="AT3249" t="str">
            <v>ZAMBRANO CEDEÑO JENIFFER INÉS</v>
          </cell>
        </row>
        <row r="3250">
          <cell r="C3250" t="str">
            <v>0503722829</v>
          </cell>
          <cell r="AT3250" t="str">
            <v>ZAMBRANO CEDEÑO JENIFFER INÉS</v>
          </cell>
        </row>
        <row r="3251">
          <cell r="C3251" t="str">
            <v>0503722829</v>
          </cell>
          <cell r="AT3251" t="str">
            <v>ZAMBRANO CEDEÑO JENIFFER INÉS</v>
          </cell>
        </row>
        <row r="3252">
          <cell r="C3252" t="str">
            <v>0503722829</v>
          </cell>
          <cell r="AT3252" t="str">
            <v>ZAMBRANO CEDEÑO JENIFFER INÉS</v>
          </cell>
        </row>
        <row r="3253">
          <cell r="C3253" t="str">
            <v>0503722829</v>
          </cell>
          <cell r="AT3253" t="str">
            <v>ZAMBRANO CEDEÑO JENIFFER INÉS</v>
          </cell>
        </row>
        <row r="3254">
          <cell r="C3254" t="str">
            <v>0503722829</v>
          </cell>
          <cell r="AT3254" t="str">
            <v>ZAMBRANO CEDEÑO JENIFFER INÉS</v>
          </cell>
        </row>
        <row r="3255">
          <cell r="C3255" t="str">
            <v>0503722829</v>
          </cell>
          <cell r="AT3255" t="str">
            <v>ZAMBRANO CEDEÑO JENIFFER INÉS</v>
          </cell>
        </row>
        <row r="3256">
          <cell r="C3256" t="str">
            <v>1760052272</v>
          </cell>
          <cell r="AT3256" t="str">
            <v xml:space="preserve">SANCHEZ GUERRA IÑIGO </v>
          </cell>
        </row>
        <row r="3257">
          <cell r="C3257" t="str">
            <v>1803569654</v>
          </cell>
          <cell r="AT3257" t="str">
            <v>PAZMIÑO CALDERÓN MARÍA ISABEL</v>
          </cell>
        </row>
        <row r="3258">
          <cell r="C3258" t="str">
            <v>1803569654</v>
          </cell>
          <cell r="AT3258" t="str">
            <v>PAZMIÑO CALDERÓN MARÍA ISABEL</v>
          </cell>
        </row>
        <row r="3259">
          <cell r="C3259" t="str">
            <v>0803031913</v>
          </cell>
          <cell r="AT3259" t="str">
            <v>TELLO CALDERÓN ALVARO MARCO</v>
          </cell>
        </row>
        <row r="3260">
          <cell r="C3260" t="str">
            <v>0800627523</v>
          </cell>
          <cell r="AT3260" t="str">
            <v>BECERRA POSLIGUA CARLOS RAMÓN</v>
          </cell>
        </row>
        <row r="3261">
          <cell r="C3261" t="str">
            <v>0800461311</v>
          </cell>
          <cell r="AT3261" t="str">
            <v>BEDON PATA MALENA CEMIRAMIS</v>
          </cell>
        </row>
        <row r="3262">
          <cell r="C3262" t="str">
            <v>0803140839</v>
          </cell>
          <cell r="AT3262" t="str">
            <v>ORTIZ CARRERA ARACELLY PATRICIA</v>
          </cell>
        </row>
        <row r="3263">
          <cell r="C3263" t="str">
            <v>1803528049</v>
          </cell>
          <cell r="AT3263" t="str">
            <v>AGREDA EGAS EYLEN AMANDA</v>
          </cell>
        </row>
        <row r="3264">
          <cell r="C3264" t="str">
            <v>1803528049</v>
          </cell>
          <cell r="AT3264" t="str">
            <v>AGREDA EGAS EYLEN AMANDA</v>
          </cell>
        </row>
        <row r="3265">
          <cell r="C3265" t="str">
            <v>0959775016</v>
          </cell>
          <cell r="AT3265" t="str">
            <v xml:space="preserve">CANO DE LA CRUZ YULLIO </v>
          </cell>
        </row>
        <row r="3266">
          <cell r="C3266" t="str">
            <v>0802600510</v>
          </cell>
          <cell r="AT3266" t="str">
            <v>RUEDA PANCHANO CARLOS IVÁN</v>
          </cell>
        </row>
        <row r="3267">
          <cell r="C3267" t="str">
            <v>0703875393</v>
          </cell>
          <cell r="AT3267" t="str">
            <v>ASANZA ARMIJOS VICTOR MANUEL</v>
          </cell>
        </row>
        <row r="3268">
          <cell r="C3268" t="str">
            <v>0703875393</v>
          </cell>
          <cell r="AT3268" t="str">
            <v>ASANZA ARMIJOS VICTOR MANUEL</v>
          </cell>
        </row>
        <row r="3269">
          <cell r="C3269" t="str">
            <v>1756915615</v>
          </cell>
          <cell r="AT3269" t="str">
            <v xml:space="preserve">FERNANDEZ SANABRIA BARBARA </v>
          </cell>
        </row>
        <row r="3270">
          <cell r="C3270" t="str">
            <v>0802591040</v>
          </cell>
          <cell r="AT3270" t="str">
            <v>GARCIA MERLIN LISSETTE PIERINA</v>
          </cell>
        </row>
        <row r="3271">
          <cell r="C3271" t="str">
            <v>0802591040</v>
          </cell>
          <cell r="AT3271" t="str">
            <v>GARCIA MERLIN LISSETTE PIERINA</v>
          </cell>
        </row>
        <row r="3272">
          <cell r="C3272" t="str">
            <v>0802591040</v>
          </cell>
          <cell r="AT3272" t="str">
            <v>GARCIA MERLIN LISSETTE PIERINA</v>
          </cell>
        </row>
        <row r="3273">
          <cell r="C3273" t="str">
            <v>0802591040</v>
          </cell>
          <cell r="AT3273" t="str">
            <v>GARCIA MERLIN LISSETTE PIERINA</v>
          </cell>
        </row>
        <row r="3274">
          <cell r="C3274" t="str">
            <v>0104947692</v>
          </cell>
          <cell r="AT3274" t="str">
            <v>DAVILA SACOTO MIGUEL ALBERTO</v>
          </cell>
        </row>
        <row r="3275">
          <cell r="C3275" t="str">
            <v>0800841801</v>
          </cell>
          <cell r="AT3275" t="str">
            <v>BERNAL BERNAL RODOLFO ABRAHAN</v>
          </cell>
        </row>
        <row r="3276">
          <cell r="C3276" t="str">
            <v>0803559954</v>
          </cell>
          <cell r="AT3276" t="str">
            <v>BERNAL BAZURTO ANDY STEVEN</v>
          </cell>
        </row>
        <row r="3277">
          <cell r="C3277" t="str">
            <v>1309960597</v>
          </cell>
          <cell r="AT3277" t="str">
            <v>RENGIFO ALAVA YANDRY JAVIER</v>
          </cell>
        </row>
        <row r="3278">
          <cell r="C3278" t="str">
            <v>0603974759</v>
          </cell>
          <cell r="AT3278" t="str">
            <v>DIAZ RODRIGUEZ JUAN CARLOS</v>
          </cell>
        </row>
        <row r="3279">
          <cell r="C3279" t="str">
            <v>1711686566</v>
          </cell>
          <cell r="AT3279" t="str">
            <v>POSLIGUA GALIANO CARLOS EDUARDO</v>
          </cell>
        </row>
        <row r="3280">
          <cell r="C3280" t="str">
            <v>1758862112</v>
          </cell>
          <cell r="AT3280" t="str">
            <v xml:space="preserve">CARNERO ECHARTE MAGIN </v>
          </cell>
        </row>
        <row r="3281">
          <cell r="C3281" t="str">
            <v>0502662455</v>
          </cell>
          <cell r="AT3281" t="str">
            <v>LAVERDE ALBARRACIN CRISTIAN SAMUEL</v>
          </cell>
        </row>
        <row r="3282">
          <cell r="C3282" t="str">
            <v>1600225799</v>
          </cell>
          <cell r="AT3282" t="str">
            <v>JARRIN LOPEZ WALTER BOLIVAR</v>
          </cell>
        </row>
        <row r="3283">
          <cell r="C3283" t="str">
            <v>1720151503</v>
          </cell>
          <cell r="AT3283" t="str">
            <v xml:space="preserve">GROB  MARC </v>
          </cell>
        </row>
        <row r="3284">
          <cell r="C3284" t="str">
            <v>1720151503</v>
          </cell>
          <cell r="AT3284" t="str">
            <v xml:space="preserve">GROB  MARC </v>
          </cell>
        </row>
        <row r="3285">
          <cell r="C3285" t="str">
            <v>1720151503</v>
          </cell>
          <cell r="AT3285" t="str">
            <v xml:space="preserve">GROB  MARC </v>
          </cell>
        </row>
        <row r="3286">
          <cell r="C3286" t="str">
            <v>1720151503</v>
          </cell>
          <cell r="AT3286" t="str">
            <v xml:space="preserve">GROB  MARC </v>
          </cell>
        </row>
        <row r="3287">
          <cell r="C3287" t="str">
            <v>1720151503</v>
          </cell>
          <cell r="AT3287" t="str">
            <v xml:space="preserve">GROB  MARC </v>
          </cell>
        </row>
        <row r="3288">
          <cell r="C3288" t="str">
            <v>1720151503</v>
          </cell>
          <cell r="AT3288" t="str">
            <v xml:space="preserve">GROB  MARC </v>
          </cell>
        </row>
        <row r="3289">
          <cell r="C3289" t="str">
            <v>1720151503</v>
          </cell>
          <cell r="AT3289" t="str">
            <v xml:space="preserve">GROB  MARC </v>
          </cell>
        </row>
        <row r="3290">
          <cell r="C3290" t="str">
            <v>1718422353</v>
          </cell>
          <cell r="AT3290" t="str">
            <v>PAZMIÑO ORDOÑEZ IVÁN PATRICIO</v>
          </cell>
        </row>
        <row r="3291">
          <cell r="C3291" t="str">
            <v>0801410929</v>
          </cell>
          <cell r="AT3291" t="str">
            <v>GUERRON LARA ROSA MARIBEL</v>
          </cell>
        </row>
        <row r="3292">
          <cell r="C3292" t="str">
            <v>0801410929</v>
          </cell>
          <cell r="AT3292" t="str">
            <v>GUERRON LARA ROSA MARIBEL</v>
          </cell>
        </row>
        <row r="3293">
          <cell r="C3293" t="str">
            <v>0801410929</v>
          </cell>
          <cell r="AT3293" t="str">
            <v>GUERRON LARA ROSA MARIBEL</v>
          </cell>
        </row>
        <row r="3294">
          <cell r="C3294" t="str">
            <v>0801410929</v>
          </cell>
          <cell r="AT3294" t="str">
            <v>GUERRON LARA ROSA MARIBEL</v>
          </cell>
        </row>
        <row r="3295">
          <cell r="C3295" t="str">
            <v>0801410929</v>
          </cell>
          <cell r="AT3295" t="str">
            <v>GUERRON LARA ROSA MARIBEL</v>
          </cell>
        </row>
        <row r="3296">
          <cell r="C3296" t="str">
            <v>0801410929</v>
          </cell>
          <cell r="AT3296" t="str">
            <v>GUERRON LARA ROSA MARIBEL</v>
          </cell>
        </row>
        <row r="3297">
          <cell r="C3297" t="str">
            <v>0850032913</v>
          </cell>
          <cell r="AT3297" t="str">
            <v>ARBOLEDA OREJUELA JOYCE ORIANA</v>
          </cell>
        </row>
        <row r="3298">
          <cell r="C3298" t="str">
            <v>0850032913</v>
          </cell>
          <cell r="AT3298" t="str">
            <v>ARBOLEDA OREJUELA JOYCE ORIANA</v>
          </cell>
        </row>
        <row r="3299">
          <cell r="C3299" t="str">
            <v>1725503971</v>
          </cell>
          <cell r="AT3299" t="str">
            <v>SANTANA INTRIAGO ISAAC LEANDRO</v>
          </cell>
        </row>
        <row r="3300">
          <cell r="C3300" t="str">
            <v>1725503971</v>
          </cell>
          <cell r="AT3300" t="str">
            <v>SANTANA INTRIAGO ISAAC LEANDRO</v>
          </cell>
        </row>
        <row r="3301">
          <cell r="C3301" t="str">
            <v>1725503971</v>
          </cell>
          <cell r="AT3301" t="str">
            <v>SANTANA INTRIAGO ISAAC LEANDRO</v>
          </cell>
        </row>
        <row r="3302">
          <cell r="C3302" t="str">
            <v>1725503971</v>
          </cell>
          <cell r="AT3302" t="str">
            <v>SANTANA INTRIAGO ISAAC LEANDRO</v>
          </cell>
        </row>
        <row r="3303">
          <cell r="C3303" t="str">
            <v>0850255068</v>
          </cell>
          <cell r="AT3303" t="str">
            <v>VACA PEÑA RICARDO ENRIQUE</v>
          </cell>
        </row>
        <row r="3304">
          <cell r="C3304" t="str">
            <v>0550237242</v>
          </cell>
          <cell r="AT3304" t="str">
            <v>ORTIZ ARIAS LISBETH BERENICE</v>
          </cell>
        </row>
        <row r="3305">
          <cell r="C3305" t="str">
            <v>0550237242</v>
          </cell>
          <cell r="AT3305" t="str">
            <v>ORTIZ ARIAS LISBETH BERENICE</v>
          </cell>
        </row>
        <row r="3306">
          <cell r="C3306" t="str">
            <v>0550237242</v>
          </cell>
          <cell r="AT3306" t="str">
            <v>ORTIZ ARIAS LISBETH BERENICE</v>
          </cell>
        </row>
        <row r="3307">
          <cell r="C3307" t="str">
            <v>0550237242</v>
          </cell>
          <cell r="AT3307" t="str">
            <v>ORTIZ ARIAS LISBETH BERENICE</v>
          </cell>
        </row>
        <row r="3308">
          <cell r="C3308" t="str">
            <v>0850826926</v>
          </cell>
          <cell r="AT3308" t="str">
            <v>ZAMBRANO MERCADO NAHOMI PATRICIA</v>
          </cell>
        </row>
        <row r="3309">
          <cell r="C3309" t="str">
            <v>0850826926</v>
          </cell>
          <cell r="AT3309" t="str">
            <v>ZAMBRANO MERCADO NAHOMI PATRICIA</v>
          </cell>
        </row>
        <row r="3310">
          <cell r="C3310" t="str">
            <v>0802946301</v>
          </cell>
          <cell r="AT3310" t="str">
            <v>ACOSTA CERVANTES JORGE LUIS</v>
          </cell>
        </row>
        <row r="3311">
          <cell r="C3311" t="str">
            <v>0803210863</v>
          </cell>
          <cell r="AT3311" t="str">
            <v>MENDOZA ALMEIDA JOHNNY JESUS</v>
          </cell>
        </row>
        <row r="3312">
          <cell r="C3312" t="str">
            <v>0804161693</v>
          </cell>
          <cell r="AT3312" t="str">
            <v>ORTIZ CAÑOLA CARMEN MARIA</v>
          </cell>
        </row>
        <row r="3313">
          <cell r="C3313" t="str">
            <v>0801663758</v>
          </cell>
          <cell r="AT3313" t="str">
            <v>MARQUEZ FIGUEROA ALEXANDRA VERONICA</v>
          </cell>
        </row>
        <row r="3314">
          <cell r="C3314" t="str">
            <v>1721366399</v>
          </cell>
          <cell r="AT3314" t="str">
            <v>SIMBAÑA BASTIDAS CHRISTIAN MAURICIO</v>
          </cell>
        </row>
        <row r="3315">
          <cell r="C3315" t="str">
            <v>1721366399</v>
          </cell>
          <cell r="AT3315" t="str">
            <v>SIMBAÑA BASTIDAS CHRISTIAN MAURICIO</v>
          </cell>
        </row>
        <row r="3316">
          <cell r="C3316" t="str">
            <v>1721366399</v>
          </cell>
          <cell r="AT3316" t="str">
            <v>SIMBAÑA BASTIDAS CHRISTIAN MAURICIO</v>
          </cell>
        </row>
        <row r="3317">
          <cell r="C3317" t="str">
            <v>0802067991</v>
          </cell>
          <cell r="AT3317" t="str">
            <v>RAMIREZ BUSTOS INES VERONICA</v>
          </cell>
        </row>
        <row r="3318">
          <cell r="C3318" t="str">
            <v>0802067991</v>
          </cell>
          <cell r="AT3318" t="str">
            <v>RAMIREZ BUSTOS INES VERONICA</v>
          </cell>
        </row>
        <row r="3319">
          <cell r="C3319" t="str">
            <v>0802067991</v>
          </cell>
          <cell r="AT3319" t="str">
            <v>RAMIREZ BUSTOS INES VERONICA</v>
          </cell>
        </row>
        <row r="3320">
          <cell r="C3320" t="str">
            <v>0802067991</v>
          </cell>
          <cell r="AT3320" t="str">
            <v>RAMIREZ BUSTOS INES VERONICA</v>
          </cell>
        </row>
        <row r="3321">
          <cell r="C3321" t="str">
            <v>0802067991</v>
          </cell>
          <cell r="AT3321" t="str">
            <v>RAMIREZ BUSTOS INES VERONICA</v>
          </cell>
        </row>
        <row r="3322">
          <cell r="C3322" t="str">
            <v>0802067991</v>
          </cell>
          <cell r="AT3322" t="str">
            <v>RAMIREZ BUSTOS INES VERONICA</v>
          </cell>
        </row>
        <row r="3323">
          <cell r="C3323" t="str">
            <v>0802067991</v>
          </cell>
          <cell r="AT3323" t="str">
            <v>RAMIREZ BUSTOS INES VERONICA</v>
          </cell>
        </row>
        <row r="3324">
          <cell r="C3324" t="str">
            <v>0802067991</v>
          </cell>
          <cell r="AT3324" t="str">
            <v>RAMIREZ BUSTOS INES VERONICA</v>
          </cell>
        </row>
        <row r="3325">
          <cell r="C3325" t="str">
            <v>0603274846</v>
          </cell>
          <cell r="AT3325" t="str">
            <v>QUINTANILLA PAZMIÑO PEDRO DANIEL</v>
          </cell>
        </row>
        <row r="3326">
          <cell r="C3326" t="str">
            <v>0803077577</v>
          </cell>
          <cell r="AT3326" t="str">
            <v>CUERO BENNETT MARIA JOSE</v>
          </cell>
        </row>
        <row r="3327">
          <cell r="C3327" t="str">
            <v>0803499441</v>
          </cell>
          <cell r="AT3327" t="str">
            <v>QUINTERO ROBINZÓN NELSON ERNESTO</v>
          </cell>
        </row>
        <row r="3328">
          <cell r="C3328" t="str">
            <v>1708222409</v>
          </cell>
          <cell r="AT3328" t="str">
            <v>VALLEJO GALÁRRAGA WILSON SANTIAGO</v>
          </cell>
        </row>
        <row r="3329">
          <cell r="C3329" t="str">
            <v>0802782615</v>
          </cell>
          <cell r="AT3329" t="str">
            <v>ESPAÑA ARBOLEDA DALIA CECILIA</v>
          </cell>
        </row>
        <row r="3330">
          <cell r="C3330" t="str">
            <v>0803601756</v>
          </cell>
          <cell r="AT3330" t="str">
            <v>RIVERA PULLAS DHAMAR ALEJANDRA</v>
          </cell>
        </row>
        <row r="3331">
          <cell r="C3331" t="str">
            <v>0803601756</v>
          </cell>
          <cell r="AT3331" t="str">
            <v>RIVERA PULLAS DHAMAR ALEJANDRA</v>
          </cell>
        </row>
        <row r="3332">
          <cell r="C3332" t="str">
            <v>0802821157</v>
          </cell>
          <cell r="AT3332" t="str">
            <v xml:space="preserve">GRUEZO VALENCIA IVAN </v>
          </cell>
        </row>
        <row r="3333">
          <cell r="C3333" t="str">
            <v>0850255084</v>
          </cell>
          <cell r="AT3333" t="str">
            <v>VACA PEÑA RAFAEL EDUARDO</v>
          </cell>
        </row>
        <row r="3334">
          <cell r="C3334" t="str">
            <v>0802863415</v>
          </cell>
          <cell r="AT3334" t="str">
            <v>GARCIA REZABALA DAVID ALEXANDER</v>
          </cell>
        </row>
        <row r="3335">
          <cell r="C3335" t="str">
            <v>0802863415</v>
          </cell>
          <cell r="AT3335" t="str">
            <v>GARCIA REZABALA DAVID ALEXANDER</v>
          </cell>
        </row>
        <row r="3336">
          <cell r="C3336" t="str">
            <v>1725949851</v>
          </cell>
          <cell r="AT3336" t="str">
            <v>BENITEZ BARRO ANDREA CAROLINA</v>
          </cell>
        </row>
        <row r="3337">
          <cell r="C3337" t="str">
            <v>0803165000</v>
          </cell>
          <cell r="AT3337" t="str">
            <v>MACIAS LEMOS MIGUEL ANGEL</v>
          </cell>
        </row>
        <row r="3338">
          <cell r="C3338" t="str">
            <v>0803165000</v>
          </cell>
          <cell r="AT3338" t="str">
            <v>MACIAS LEMOS MIGUEL ANGEL</v>
          </cell>
        </row>
        <row r="3339">
          <cell r="C3339" t="str">
            <v>0804128049</v>
          </cell>
          <cell r="AT3339" t="str">
            <v>ROSALES MUENTES ERIKA LISBETH</v>
          </cell>
        </row>
        <row r="3340">
          <cell r="C3340" t="str">
            <v>0804128049</v>
          </cell>
          <cell r="AT3340" t="str">
            <v>ROSALES MUENTES ERIKA LISBETH</v>
          </cell>
        </row>
        <row r="3341">
          <cell r="C3341" t="str">
            <v>0804128049</v>
          </cell>
          <cell r="AT3341" t="str">
            <v>ROSALES MUENTES ERIKA LISBETH</v>
          </cell>
        </row>
        <row r="3342">
          <cell r="C3342" t="str">
            <v>0804128049</v>
          </cell>
          <cell r="AT3342" t="str">
            <v>ROSALES MUENTES ERIKA LISBETH</v>
          </cell>
        </row>
        <row r="3343">
          <cell r="C3343" t="str">
            <v>0804128049</v>
          </cell>
          <cell r="AT3343" t="str">
            <v>ROSALES MUENTES ERIKA LISBETH</v>
          </cell>
        </row>
        <row r="3344">
          <cell r="C3344" t="str">
            <v>0850670522</v>
          </cell>
          <cell r="AT3344" t="str">
            <v>TORRES PALMA JOSSELYN ARIANA</v>
          </cell>
        </row>
        <row r="3345">
          <cell r="C3345" t="str">
            <v>0801246786</v>
          </cell>
          <cell r="AT3345" t="str">
            <v>RODRIGUEZ ESTACIO JOHANNA PATRICIA</v>
          </cell>
        </row>
        <row r="3346">
          <cell r="C3346" t="str">
            <v>0804185692</v>
          </cell>
          <cell r="AT3346" t="str">
            <v>PROAÑO VELEZ HERMOSA GABRIELA</v>
          </cell>
        </row>
        <row r="3347">
          <cell r="C3347" t="str">
            <v>0804185692</v>
          </cell>
          <cell r="AT3347" t="str">
            <v>PROAÑO VELEZ HERMOSA GABRIELA</v>
          </cell>
        </row>
        <row r="3348">
          <cell r="C3348" t="str">
            <v>0804185692</v>
          </cell>
          <cell r="AT3348" t="str">
            <v>PROAÑO VELEZ HERMOSA GABRIELA</v>
          </cell>
        </row>
        <row r="3349">
          <cell r="C3349" t="str">
            <v>0804126910</v>
          </cell>
          <cell r="AT3349" t="str">
            <v>QUINTERO NAZARENO DAYANA NADIA</v>
          </cell>
        </row>
        <row r="3350">
          <cell r="C3350" t="str">
            <v>0804126910</v>
          </cell>
          <cell r="AT3350" t="str">
            <v>QUINTERO NAZARENO DAYANA NADIA</v>
          </cell>
        </row>
        <row r="3351">
          <cell r="C3351" t="str">
            <v>0804126910</v>
          </cell>
          <cell r="AT3351" t="str">
            <v>QUINTERO NAZARENO DAYANA NADIA</v>
          </cell>
        </row>
        <row r="3352">
          <cell r="C3352" t="str">
            <v>0804126910</v>
          </cell>
          <cell r="AT3352" t="str">
            <v>QUINTERO NAZARENO DAYANA NADIA</v>
          </cell>
        </row>
        <row r="3353">
          <cell r="C3353" t="str">
            <v>0401632534</v>
          </cell>
          <cell r="AT3353" t="str">
            <v>CUASAPAZ ESCOBAR DARWIN ANDRES</v>
          </cell>
        </row>
        <row r="3354">
          <cell r="C3354">
            <v>1723725642</v>
          </cell>
          <cell r="AT3354" t="str">
            <v>MANCERO MAYACELA XIMENA PAOLA</v>
          </cell>
        </row>
        <row r="3355">
          <cell r="C3355" t="str">
            <v>1723725642</v>
          </cell>
          <cell r="AT3355" t="str">
            <v>MANCERO MAYACELA XIMENA PAOLA</v>
          </cell>
        </row>
        <row r="3356">
          <cell r="C3356" t="str">
            <v>1802852572</v>
          </cell>
          <cell r="AT3356" t="str">
            <v>MORALES GUAMÁN KLEVER PATRICIO</v>
          </cell>
        </row>
        <row r="3357">
          <cell r="C3357" t="str">
            <v>1802852572</v>
          </cell>
          <cell r="AT3357" t="str">
            <v>MORALES GUAMÁN KLEVER PATRICIO</v>
          </cell>
        </row>
        <row r="3358">
          <cell r="C3358" t="str">
            <v>0603967308</v>
          </cell>
          <cell r="AT3358" t="str">
            <v>VINUEZA RAMÓN DIANA PAOLA</v>
          </cell>
        </row>
        <row r="3359">
          <cell r="C3359" t="str">
            <v>0603967308</v>
          </cell>
          <cell r="AT3359" t="str">
            <v>VINUEZA RAMÓN DIANA PAOLA</v>
          </cell>
        </row>
        <row r="3360">
          <cell r="C3360" t="str">
            <v>0850529348</v>
          </cell>
          <cell r="AT3360" t="str">
            <v>AREOPAJA ROBINZON JONATHAN ANDRES</v>
          </cell>
        </row>
        <row r="3361">
          <cell r="C3361" t="str">
            <v>0801865460</v>
          </cell>
          <cell r="AT3361" t="str">
            <v xml:space="preserve">AVEIGA MALDONADO PEDRO </v>
          </cell>
        </row>
        <row r="3362">
          <cell r="C3362" t="str">
            <v>1756428379</v>
          </cell>
          <cell r="AT3362" t="str">
            <v>LIMA CAZORLA LAZARO ANTONIO</v>
          </cell>
        </row>
        <row r="3363">
          <cell r="C3363" t="str">
            <v>1711058154</v>
          </cell>
          <cell r="AT3363" t="str">
            <v>PAILLACHO ARIAS SAULO MARCELO</v>
          </cell>
        </row>
        <row r="3364">
          <cell r="C3364" t="str">
            <v>1720814373</v>
          </cell>
          <cell r="AT3364" t="str">
            <v>QUISHPE VALLEJO JEFFERSON XAVIER</v>
          </cell>
        </row>
        <row r="3365">
          <cell r="C3365" t="str">
            <v>0801381179</v>
          </cell>
          <cell r="AT3365" t="str">
            <v>SANCHEZ JARAMILLO EFRAIN ASDRUBAL</v>
          </cell>
        </row>
        <row r="3366">
          <cell r="C3366" t="str">
            <v>0803181858</v>
          </cell>
          <cell r="AT3366" t="str">
            <v>MERA CARRANZA JOSEELYN GENESIS</v>
          </cell>
        </row>
        <row r="3367">
          <cell r="C3367" t="str">
            <v>1804326534</v>
          </cell>
          <cell r="AT3367" t="str">
            <v>VELASTEGUI IZURIETA HOMERO JAVIER</v>
          </cell>
        </row>
        <row r="3368">
          <cell r="C3368" t="str">
            <v>1804326534</v>
          </cell>
          <cell r="AT3368" t="str">
            <v>VELASTEGUI IZURIETA HOMERO JAVIER</v>
          </cell>
        </row>
        <row r="3369">
          <cell r="C3369" t="str">
            <v>0804518769</v>
          </cell>
          <cell r="AT3369" t="str">
            <v>CLEVEL ALTAFUYA KENIA PAOLA</v>
          </cell>
        </row>
        <row r="3370">
          <cell r="C3370" t="str">
            <v>0910606904</v>
          </cell>
          <cell r="AT3370" t="str">
            <v>ANDRADE AYAUCA JUDITH ALEXANDRA</v>
          </cell>
        </row>
        <row r="3371">
          <cell r="C3371" t="str">
            <v>0801426321</v>
          </cell>
          <cell r="AT3371" t="str">
            <v>QUIÑONEZ MADRIGAL MARIA MATILDE</v>
          </cell>
        </row>
        <row r="3372">
          <cell r="C3372" t="str">
            <v>0804453629</v>
          </cell>
          <cell r="AT3372" t="str">
            <v>ANTE BOBOY MARICELA MABEL</v>
          </cell>
        </row>
        <row r="3373">
          <cell r="C3373" t="str">
            <v>0804453629</v>
          </cell>
          <cell r="AT3373" t="str">
            <v>ANTE BOBOY MARICELA MABEL</v>
          </cell>
        </row>
        <row r="3374">
          <cell r="C3374" t="str">
            <v>1725021511</v>
          </cell>
          <cell r="AT3374" t="str">
            <v>MURILLO OYARVIDE LUISA MARÍA</v>
          </cell>
        </row>
        <row r="3375">
          <cell r="C3375" t="str">
            <v>0803262856</v>
          </cell>
          <cell r="AT3375" t="str">
            <v>NAZARENO ARCE DIANA CAROLINA</v>
          </cell>
        </row>
        <row r="3376">
          <cell r="C3376" t="str">
            <v>0802923565</v>
          </cell>
          <cell r="AT3376" t="str">
            <v>QUINTANA REYES LISSETH MARIANA</v>
          </cell>
        </row>
        <row r="3377">
          <cell r="C3377" t="str">
            <v>0802923565</v>
          </cell>
          <cell r="AT3377" t="str">
            <v>QUINTANA REYES LISSETH MARIANA</v>
          </cell>
        </row>
        <row r="3378">
          <cell r="C3378" t="str">
            <v>0801526740</v>
          </cell>
          <cell r="AT3378" t="str">
            <v>TARIRA ESPAÑA MONICA DEL ROCIO</v>
          </cell>
        </row>
        <row r="3379">
          <cell r="C3379" t="str">
            <v>0801526740</v>
          </cell>
          <cell r="AT3379" t="str">
            <v>TARIRA ESPAÑA MONICA DEL ROCIO</v>
          </cell>
        </row>
        <row r="3380">
          <cell r="C3380" t="str">
            <v>0801526740</v>
          </cell>
          <cell r="AT3380" t="str">
            <v>TARIRA ESPAÑA MONICA DEL ROCIO</v>
          </cell>
        </row>
        <row r="3381">
          <cell r="C3381" t="str">
            <v>0801526740</v>
          </cell>
          <cell r="AT3381" t="str">
            <v>TARIRA ESPAÑA MONICA DEL ROCIO</v>
          </cell>
        </row>
        <row r="3382">
          <cell r="C3382" t="str">
            <v>0801526740</v>
          </cell>
          <cell r="AT3382" t="str">
            <v>TARIRA ESPAÑA MONICA DEL ROCIO</v>
          </cell>
        </row>
        <row r="3383">
          <cell r="C3383" t="str">
            <v>0801526740</v>
          </cell>
          <cell r="AT3383" t="str">
            <v>TARIRA ESPAÑA MONICA DEL ROCIO</v>
          </cell>
        </row>
        <row r="3384">
          <cell r="C3384" t="str">
            <v>0801526740</v>
          </cell>
          <cell r="AT3384" t="str">
            <v>TARIRA ESPAÑA MONICA DEL ROCIO</v>
          </cell>
        </row>
        <row r="3385">
          <cell r="C3385" t="str">
            <v>0801526740</v>
          </cell>
          <cell r="AT3385" t="str">
            <v>TARIRA ESPAÑA MONICA DEL ROCIO</v>
          </cell>
        </row>
        <row r="3386">
          <cell r="C3386" t="str">
            <v>0801526740</v>
          </cell>
          <cell r="AT3386" t="str">
            <v>TARIRA ESPAÑA MONICA DEL ROCIO</v>
          </cell>
        </row>
        <row r="3387">
          <cell r="C3387" t="str">
            <v>0801526740</v>
          </cell>
          <cell r="AT3387" t="str">
            <v>TARIRA ESPAÑA MONICA DEL ROCIO</v>
          </cell>
        </row>
        <row r="3388">
          <cell r="C3388" t="str">
            <v>0801526740</v>
          </cell>
          <cell r="AT3388" t="str">
            <v>TARIRA ESPAÑA MONICA DEL ROCIO</v>
          </cell>
        </row>
        <row r="3389">
          <cell r="C3389" t="str">
            <v>0801526740</v>
          </cell>
          <cell r="AT3389" t="str">
            <v>TARIRA ESPAÑA MONICA DEL ROCIO</v>
          </cell>
        </row>
        <row r="3390">
          <cell r="C3390" t="str">
            <v>0801526740</v>
          </cell>
          <cell r="AT3390" t="str">
            <v>TARIRA ESPAÑA MONICA DEL ROCIO</v>
          </cell>
        </row>
        <row r="3391">
          <cell r="C3391" t="str">
            <v>0801526740</v>
          </cell>
          <cell r="AT3391" t="str">
            <v>TARIRA ESPAÑA MONICA DEL ROCIO</v>
          </cell>
        </row>
        <row r="3392">
          <cell r="C3392" t="str">
            <v>0801526740</v>
          </cell>
          <cell r="AT3392" t="str">
            <v>TARIRA ESPAÑA MONICA DEL ROCIO</v>
          </cell>
        </row>
        <row r="3393">
          <cell r="C3393" t="str">
            <v>0801526740</v>
          </cell>
          <cell r="AT3393" t="str">
            <v>TARIRA ESPAÑA MONICA DEL ROCIO</v>
          </cell>
        </row>
        <row r="3394">
          <cell r="C3394" t="str">
            <v>0801526740</v>
          </cell>
          <cell r="AT3394" t="str">
            <v>TARIRA ESPAÑA MONICA DEL ROCIO</v>
          </cell>
        </row>
        <row r="3395">
          <cell r="C3395" t="str">
            <v>0801526740</v>
          </cell>
          <cell r="AT3395" t="str">
            <v>TARIRA ESPAÑA MONICA DEL ROCIO</v>
          </cell>
        </row>
        <row r="3396">
          <cell r="C3396" t="str">
            <v>0801526740</v>
          </cell>
          <cell r="AT3396" t="str">
            <v>TARIRA ESPAÑA MONICA DEL ROCIO</v>
          </cell>
        </row>
        <row r="3397">
          <cell r="C3397" t="str">
            <v>0801526740</v>
          </cell>
          <cell r="AT3397" t="str">
            <v>TARIRA ESPAÑA MONICA DEL ROCIO</v>
          </cell>
        </row>
        <row r="3398">
          <cell r="C3398" t="str">
            <v>0801526740</v>
          </cell>
          <cell r="AT3398" t="str">
            <v>TARIRA ESPAÑA MONICA DEL ROCIO</v>
          </cell>
        </row>
        <row r="3399">
          <cell r="C3399" t="str">
            <v>0801526740</v>
          </cell>
          <cell r="AT3399" t="str">
            <v>TARIRA ESPAÑA MONICA DEL ROCIO</v>
          </cell>
        </row>
        <row r="3400">
          <cell r="C3400" t="str">
            <v>0800377533</v>
          </cell>
          <cell r="AT3400" t="str">
            <v>QUIÑONEZ VALENCIA BERNARDINO SEGUNDO</v>
          </cell>
        </row>
        <row r="3401">
          <cell r="C3401" t="str">
            <v>0803740083</v>
          </cell>
          <cell r="AT3401" t="str">
            <v>SANDOVAL ARMIJOS SHIRLEY MILENA</v>
          </cell>
        </row>
        <row r="3402">
          <cell r="C3402" t="str">
            <v>0802296889</v>
          </cell>
          <cell r="AT3402" t="str">
            <v>SOSA DAZA ERICK PAUL</v>
          </cell>
        </row>
        <row r="3403">
          <cell r="C3403" t="str">
            <v>0803589753</v>
          </cell>
          <cell r="AT3403" t="str">
            <v>TORO REINA VALERIA PAOLA</v>
          </cell>
        </row>
        <row r="3404">
          <cell r="C3404" t="str">
            <v>0803028687</v>
          </cell>
          <cell r="AT3404" t="str">
            <v>YANEZ CHILLAMBO TATIANA ELIZABETH</v>
          </cell>
        </row>
        <row r="3405">
          <cell r="C3405" t="str">
            <v>1756712731</v>
          </cell>
          <cell r="AT3405" t="str">
            <v xml:space="preserve">AMADOR RODRIGUEZ BELEN </v>
          </cell>
        </row>
        <row r="3406">
          <cell r="C3406" t="str">
            <v>1753114006</v>
          </cell>
          <cell r="AT3406" t="str">
            <v xml:space="preserve">DELGADO MENDOZA HISHOCHY </v>
          </cell>
        </row>
        <row r="3407">
          <cell r="C3407" t="str">
            <v>0803716885</v>
          </cell>
          <cell r="AT3407" t="str">
            <v>ZAMBRANO MENDOZA MARIO ALBERTO</v>
          </cell>
        </row>
        <row r="3408">
          <cell r="C3408" t="str">
            <v>PAE159759</v>
          </cell>
          <cell r="AT3408" t="str">
            <v xml:space="preserve">ORTEGA GAITE SONIA </v>
          </cell>
        </row>
        <row r="3409">
          <cell r="C3409" t="str">
            <v>1003496815</v>
          </cell>
          <cell r="AT3409" t="str">
            <v>ARCINIEGAS AGUIRRE STALIN MARCELO</v>
          </cell>
        </row>
        <row r="3410">
          <cell r="C3410" t="str">
            <v>P14807791</v>
          </cell>
          <cell r="AT3410" t="str">
            <v>LAPIERRE ROBLES MICHEL ANDRÉ</v>
          </cell>
        </row>
        <row r="3411">
          <cell r="C3411" t="str">
            <v>0401567938</v>
          </cell>
          <cell r="AT3411" t="str">
            <v>PUSDÁ CHULDE SEGUNDO ELICEO</v>
          </cell>
        </row>
        <row r="3412">
          <cell r="C3412" t="str">
            <v>0850314436</v>
          </cell>
          <cell r="AT3412" t="str">
            <v>GUERRERO VELIZ EGDDA GEOVANA</v>
          </cell>
        </row>
        <row r="3413">
          <cell r="C3413" t="str">
            <v>0803250257</v>
          </cell>
          <cell r="AT3413" t="str">
            <v>DELGADO MENDOZA PAÚL JAVIER</v>
          </cell>
        </row>
        <row r="3414">
          <cell r="C3414" t="str">
            <v>1103694434</v>
          </cell>
          <cell r="AT3414" t="str">
            <v>CHAMBA LEÓN MARLON SANTIAGO</v>
          </cell>
        </row>
        <row r="3415">
          <cell r="C3415" t="str">
            <v>1718961475</v>
          </cell>
          <cell r="AT3415" t="str">
            <v>CARRASCO RAMIREZ FRANKLIN ANDRÉS</v>
          </cell>
        </row>
        <row r="3416">
          <cell r="C3416" t="str">
            <v>0803028307</v>
          </cell>
          <cell r="AT3416" t="str">
            <v>VALDEZ ROSALES SAUL DAVID</v>
          </cell>
        </row>
        <row r="3417">
          <cell r="C3417" t="str">
            <v>1715009500</v>
          </cell>
          <cell r="AT3417" t="str">
            <v>HEREDIA ALVEAR ANDRES SEBASTIAN</v>
          </cell>
        </row>
        <row r="3418">
          <cell r="C3418" t="str">
            <v>1715009500</v>
          </cell>
          <cell r="AT3418" t="str">
            <v>HEREDIA ALVEAR ANDRES SEBASTIAN</v>
          </cell>
        </row>
        <row r="3419">
          <cell r="C3419" t="str">
            <v>0105807036</v>
          </cell>
          <cell r="AT3419" t="str">
            <v>IÑIGUEZ GUTAMA MÓNICA GABRIELA</v>
          </cell>
        </row>
        <row r="3420">
          <cell r="C3420" t="str">
            <v>0105807036</v>
          </cell>
          <cell r="AT3420" t="str">
            <v>IÑIGUEZ GUTAMA MÓNICA GABRIELA</v>
          </cell>
        </row>
        <row r="3421">
          <cell r="C3421" t="str">
            <v>0105807036</v>
          </cell>
          <cell r="AT3421" t="str">
            <v>IÑIGUEZ GUTAMA MÓNICA GABRIELA</v>
          </cell>
        </row>
        <row r="3422">
          <cell r="C3422" t="str">
            <v>1600335739</v>
          </cell>
          <cell r="AT3422" t="str">
            <v>ECHEVERRIA JURADO DIEGO ERNESTO</v>
          </cell>
        </row>
        <row r="3423">
          <cell r="C3423" t="str">
            <v>1003319660</v>
          </cell>
          <cell r="AT3423" t="str">
            <v>PILLO GUANOLUISA DARWIN MARCELO</v>
          </cell>
        </row>
        <row r="3424">
          <cell r="C3424" t="str">
            <v>1703050409</v>
          </cell>
          <cell r="AT3424" t="str">
            <v>SARRADE PELAEZ LETTY ENRIQUETA MERCEDES DEL C</v>
          </cell>
        </row>
        <row r="3425">
          <cell r="C3425" t="str">
            <v>1703050409</v>
          </cell>
          <cell r="AT3425" t="str">
            <v>SARRADE PELAEZ LETTY ENRIQUETA MERCEDES DEL C</v>
          </cell>
        </row>
        <row r="3426">
          <cell r="C3426" t="str">
            <v>1703050409</v>
          </cell>
          <cell r="AT3426" t="str">
            <v>SARRADE PELAEZ LETTY ENRIQUETA MERCEDES DEL C</v>
          </cell>
        </row>
        <row r="3427">
          <cell r="C3427" t="str">
            <v>1703050409</v>
          </cell>
          <cell r="AT3427" t="str">
            <v>SARRADE PELAEZ LETTY ENRIQUETA MERCEDES DEL C</v>
          </cell>
        </row>
        <row r="3428">
          <cell r="C3428" t="str">
            <v>1703050409</v>
          </cell>
          <cell r="AT3428" t="str">
            <v>SARRADE PELAEZ LETTY ENRIQUETA MERCEDES DEL C</v>
          </cell>
        </row>
        <row r="3429">
          <cell r="C3429" t="str">
            <v>1703050409</v>
          </cell>
          <cell r="AT3429" t="str">
            <v>SARRADE PELAEZ LETTY ENRIQUETA MERCEDES DEL C</v>
          </cell>
        </row>
        <row r="3430">
          <cell r="C3430" t="str">
            <v>1703050409</v>
          </cell>
          <cell r="AT3430" t="str">
            <v>SARRADE PELAEZ LETTY ENRIQUETA MERCEDES DEL C</v>
          </cell>
        </row>
        <row r="3431">
          <cell r="C3431" t="str">
            <v>1703050409</v>
          </cell>
          <cell r="AT3431" t="str">
            <v>SARRADE PELAEZ LETTY ENRIQUETA MERCEDES DEL C</v>
          </cell>
        </row>
        <row r="3432">
          <cell r="C3432" t="str">
            <v>1703050409</v>
          </cell>
          <cell r="AT3432" t="str">
            <v>SARRADE PELAEZ LETTY ENRIQUETA MERCEDES DEL C</v>
          </cell>
        </row>
        <row r="3433">
          <cell r="C3433" t="str">
            <v>1703050409</v>
          </cell>
          <cell r="AT3433" t="str">
            <v>SARRADE PELAEZ LETTY ENRIQUETA MERCEDES DEL C</v>
          </cell>
        </row>
        <row r="3434">
          <cell r="C3434" t="str">
            <v>1703050409</v>
          </cell>
          <cell r="AT3434" t="str">
            <v>SARRADE PELAEZ LETTY ENRIQUETA MERCEDES DEL C</v>
          </cell>
        </row>
        <row r="3435">
          <cell r="C3435" t="str">
            <v>0802608620</v>
          </cell>
          <cell r="AT3435" t="str">
            <v>CASIERRA CAVADA JUAN LUIS</v>
          </cell>
        </row>
        <row r="3436">
          <cell r="C3436" t="str">
            <v>0802608620</v>
          </cell>
          <cell r="AT3436" t="str">
            <v>CASIERRA CAVADA JUAN LUIS</v>
          </cell>
        </row>
        <row r="3437">
          <cell r="C3437" t="str">
            <v>0802608620</v>
          </cell>
          <cell r="AT3437" t="str">
            <v>CASIERRA CAVADA JUAN LUIS</v>
          </cell>
        </row>
        <row r="3438">
          <cell r="C3438" t="str">
            <v>0802608620</v>
          </cell>
          <cell r="AT3438" t="str">
            <v>CASIERRA CAVADA JUAN LUIS</v>
          </cell>
        </row>
        <row r="3439">
          <cell r="C3439" t="str">
            <v>0802608620</v>
          </cell>
          <cell r="AT3439" t="str">
            <v>CASIERRA CAVADA JUAN LUIS</v>
          </cell>
        </row>
        <row r="3440">
          <cell r="C3440" t="str">
            <v>0802608620</v>
          </cell>
          <cell r="AT3440" t="str">
            <v>CASIERRA CAVADA JUAN LUIS</v>
          </cell>
        </row>
        <row r="3441">
          <cell r="C3441" t="str">
            <v>0802608620</v>
          </cell>
          <cell r="AT3441" t="str">
            <v>CASIERRA CAVADA JUAN LUIS</v>
          </cell>
        </row>
        <row r="3442">
          <cell r="C3442" t="str">
            <v>0802608620</v>
          </cell>
          <cell r="AT3442" t="str">
            <v>CASIERRA CAVADA JUAN LUIS</v>
          </cell>
        </row>
        <row r="3443">
          <cell r="C3443" t="str">
            <v>0802608620</v>
          </cell>
          <cell r="AT3443" t="str">
            <v>CASIERRA CAVADA JUAN LUIS</v>
          </cell>
        </row>
        <row r="3444">
          <cell r="C3444" t="str">
            <v>0802608620</v>
          </cell>
          <cell r="AT3444" t="str">
            <v>CASIERRA CAVADA JUAN LUIS</v>
          </cell>
        </row>
        <row r="3445">
          <cell r="C3445" t="str">
            <v>0802608620</v>
          </cell>
          <cell r="AT3445" t="str">
            <v>CASIERRA CAVADA JUAN LUIS</v>
          </cell>
        </row>
        <row r="3446">
          <cell r="C3446" t="str">
            <v>0803757665</v>
          </cell>
          <cell r="AT3446" t="str">
            <v>MERA SALTOS MERCEDES MONSERRATE</v>
          </cell>
        </row>
        <row r="3447">
          <cell r="C3447" t="str">
            <v>0803757665</v>
          </cell>
          <cell r="AT3447" t="str">
            <v>MERA SALTOS MERCEDES MONSERRATE</v>
          </cell>
        </row>
        <row r="3448">
          <cell r="C3448" t="str">
            <v>0803757665</v>
          </cell>
          <cell r="AT3448" t="str">
            <v>MERA SALTOS MERCEDES MONSERRATE</v>
          </cell>
        </row>
        <row r="3449">
          <cell r="C3449" t="str">
            <v>0801430380</v>
          </cell>
          <cell r="AT3449" t="str">
            <v>MEZA VERA MILTON GERMAN</v>
          </cell>
        </row>
        <row r="3450">
          <cell r="C3450" t="str">
            <v>0801430380</v>
          </cell>
          <cell r="AT3450" t="str">
            <v>MEZA VERA MILTON GERMAN</v>
          </cell>
        </row>
        <row r="3451">
          <cell r="C3451" t="str">
            <v>0801430380</v>
          </cell>
          <cell r="AT3451" t="str">
            <v>MEZA VERA MILTON GERMAN</v>
          </cell>
        </row>
        <row r="3452">
          <cell r="C3452" t="str">
            <v>0801430380</v>
          </cell>
          <cell r="AT3452" t="str">
            <v>MEZA VERA MILTON GERMAN</v>
          </cell>
        </row>
        <row r="3453">
          <cell r="C3453" t="str">
            <v>0801430380</v>
          </cell>
          <cell r="AT3453" t="str">
            <v>MEZA VERA MILTON GERMAN</v>
          </cell>
        </row>
        <row r="3454">
          <cell r="C3454" t="str">
            <v>0801430380</v>
          </cell>
          <cell r="AT3454" t="str">
            <v>MEZA VERA MILTON GERMAN</v>
          </cell>
        </row>
        <row r="3455">
          <cell r="C3455" t="str">
            <v>0801430380</v>
          </cell>
          <cell r="AT3455" t="str">
            <v>MEZA VERA MILTON GERMAN</v>
          </cell>
        </row>
        <row r="3456">
          <cell r="C3456" t="str">
            <v>0801430380</v>
          </cell>
          <cell r="AT3456" t="str">
            <v>MEZA VERA MILTON GERMAN</v>
          </cell>
        </row>
        <row r="3457">
          <cell r="C3457" t="str">
            <v>0801430380</v>
          </cell>
          <cell r="AT3457" t="str">
            <v>MEZA VERA MILTON GERMAN</v>
          </cell>
        </row>
        <row r="3458">
          <cell r="C3458" t="str">
            <v>0801430380</v>
          </cell>
          <cell r="AT3458" t="str">
            <v>MEZA VERA MILTON GERMAN</v>
          </cell>
        </row>
        <row r="3459">
          <cell r="C3459" t="str">
            <v>0801430380</v>
          </cell>
          <cell r="AT3459" t="str">
            <v>MEZA VERA MILTON GERMAN</v>
          </cell>
        </row>
        <row r="3460">
          <cell r="C3460" t="str">
            <v>0801430380</v>
          </cell>
          <cell r="AT3460" t="str">
            <v>MEZA VERA MILTON GERMAN</v>
          </cell>
        </row>
        <row r="3461">
          <cell r="C3461" t="str">
            <v>0801430380</v>
          </cell>
          <cell r="AT3461" t="str">
            <v>MEZA VERA MILTON GERMAN</v>
          </cell>
        </row>
        <row r="3462">
          <cell r="C3462" t="str">
            <v>0801430380</v>
          </cell>
          <cell r="AT3462" t="str">
            <v>MEZA VERA MILTON GERMAN</v>
          </cell>
        </row>
        <row r="3463">
          <cell r="C3463" t="str">
            <v>0801430380</v>
          </cell>
          <cell r="AT3463" t="str">
            <v>MEZA VERA MILTON GERMAN</v>
          </cell>
        </row>
        <row r="3464">
          <cell r="C3464" t="str">
            <v>0801430380</v>
          </cell>
          <cell r="AT3464" t="str">
            <v>MEZA VERA MILTON GERMAN</v>
          </cell>
        </row>
        <row r="3465">
          <cell r="C3465" t="str">
            <v>0801430380</v>
          </cell>
          <cell r="AT3465" t="str">
            <v>MEZA VERA MILTON GERMAN</v>
          </cell>
        </row>
        <row r="3466">
          <cell r="C3466" t="str">
            <v>0801430380</v>
          </cell>
          <cell r="AT3466" t="str">
            <v>MEZA VERA MILTON GERMAN</v>
          </cell>
        </row>
        <row r="3467">
          <cell r="C3467" t="str">
            <v>0801430380</v>
          </cell>
          <cell r="AT3467" t="str">
            <v>MEZA VERA MILTON GERMAN</v>
          </cell>
        </row>
        <row r="3468">
          <cell r="C3468" t="str">
            <v>0801430380</v>
          </cell>
          <cell r="AT3468" t="str">
            <v>MEZA VERA MILTON GERMAN</v>
          </cell>
        </row>
        <row r="3469">
          <cell r="C3469" t="str">
            <v>0801430380</v>
          </cell>
          <cell r="AT3469" t="str">
            <v>MEZA VERA MILTON GERMAN</v>
          </cell>
        </row>
        <row r="3470">
          <cell r="C3470" t="str">
            <v>0801430380</v>
          </cell>
          <cell r="AT3470" t="str">
            <v>MEZA VERA MILTON GERMAN</v>
          </cell>
        </row>
        <row r="3471">
          <cell r="C3471" t="str">
            <v>0801430380</v>
          </cell>
          <cell r="AT3471" t="str">
            <v>MEZA VERA MILTON GERMAN</v>
          </cell>
        </row>
        <row r="3472">
          <cell r="C3472" t="str">
            <v>0801430380</v>
          </cell>
          <cell r="AT3472" t="str">
            <v>MEZA VERA MILTON GERMAN</v>
          </cell>
        </row>
        <row r="3473">
          <cell r="C3473" t="str">
            <v>0801430380</v>
          </cell>
          <cell r="AT3473" t="str">
            <v>MEZA VERA MILTON GERMAN</v>
          </cell>
        </row>
        <row r="3474">
          <cell r="C3474" t="str">
            <v>0801430380</v>
          </cell>
          <cell r="AT3474" t="str">
            <v>MEZA VERA MILTON GERMAN</v>
          </cell>
        </row>
        <row r="3475">
          <cell r="C3475" t="str">
            <v>0801430380</v>
          </cell>
          <cell r="AT3475" t="str">
            <v>MEZA VERA MILTON GERMAN</v>
          </cell>
        </row>
        <row r="3476">
          <cell r="C3476" t="str">
            <v>0801430380</v>
          </cell>
          <cell r="AT3476" t="str">
            <v>MEZA VERA MILTON GERMAN</v>
          </cell>
        </row>
        <row r="3477">
          <cell r="C3477" t="str">
            <v>0801430380</v>
          </cell>
          <cell r="AT3477" t="str">
            <v>MEZA VERA MILTON GERMAN</v>
          </cell>
        </row>
        <row r="3478">
          <cell r="C3478" t="str">
            <v>0801430380</v>
          </cell>
          <cell r="AT3478" t="str">
            <v>MEZA VERA MILTON GERMAN</v>
          </cell>
        </row>
        <row r="3479">
          <cell r="C3479" t="str">
            <v>0801430380</v>
          </cell>
          <cell r="AT3479" t="str">
            <v>MEZA VERA MILTON GERMAN</v>
          </cell>
        </row>
        <row r="3480">
          <cell r="C3480" t="str">
            <v>0801430380</v>
          </cell>
          <cell r="AT3480" t="str">
            <v>MEZA VERA MILTON GERMAN</v>
          </cell>
        </row>
        <row r="3481">
          <cell r="C3481" t="str">
            <v>0801430380</v>
          </cell>
          <cell r="AT3481" t="str">
            <v>MEZA VERA MILTON GERMAN</v>
          </cell>
        </row>
        <row r="3482">
          <cell r="C3482" t="str">
            <v>0801430380</v>
          </cell>
          <cell r="AT3482" t="str">
            <v>MEZA VERA MILTON GERMAN</v>
          </cell>
        </row>
        <row r="3483">
          <cell r="C3483" t="str">
            <v>0801538620</v>
          </cell>
          <cell r="AT3483" t="str">
            <v>SOLORZANO CHEME YONNY JOSÉ</v>
          </cell>
        </row>
        <row r="3484">
          <cell r="C3484" t="str">
            <v>0801538620</v>
          </cell>
          <cell r="AT3484" t="str">
            <v>SOLORZANO CHEME YONNY JOSÉ</v>
          </cell>
        </row>
        <row r="3485">
          <cell r="C3485" t="str">
            <v>0801538620</v>
          </cell>
          <cell r="AT3485" t="str">
            <v>SOLORZANO CHEME YONNY JOSÉ</v>
          </cell>
        </row>
        <row r="3486">
          <cell r="C3486" t="str">
            <v>1803823986</v>
          </cell>
          <cell r="AT3486" t="str">
            <v>LAGUA GAVILANES ANDRES SEBASTIAN</v>
          </cell>
        </row>
        <row r="3487">
          <cell r="C3487" t="str">
            <v>1803823986</v>
          </cell>
          <cell r="AT3487" t="str">
            <v>LAGUA GAVILANES ANDRES SEBASTIAN</v>
          </cell>
        </row>
        <row r="3488">
          <cell r="C3488" t="str">
            <v>0802937011</v>
          </cell>
          <cell r="AT3488" t="str">
            <v>PINEDA CAICEDO ANDREA ESTEFANIA</v>
          </cell>
        </row>
        <row r="3489">
          <cell r="C3489" t="str">
            <v>0802937011</v>
          </cell>
          <cell r="AT3489" t="str">
            <v>PINEDA CAICEDO ANDREA ESTEFANIA</v>
          </cell>
        </row>
        <row r="3490">
          <cell r="C3490" t="str">
            <v>0802937011</v>
          </cell>
          <cell r="AT3490" t="str">
            <v>PINEDA CAICEDO ANDREA ESTEFANIA</v>
          </cell>
        </row>
        <row r="3491">
          <cell r="C3491" t="str">
            <v>0802937011</v>
          </cell>
          <cell r="AT3491" t="str">
            <v>PINEDA CAICEDO ANDREA ESTEFANIA</v>
          </cell>
        </row>
        <row r="3492">
          <cell r="C3492" t="str">
            <v>0802937011</v>
          </cell>
          <cell r="AT3492" t="str">
            <v>PINEDA CAICEDO ANDREA ESTEFANIA</v>
          </cell>
        </row>
        <row r="3493">
          <cell r="C3493" t="str">
            <v>0802937011</v>
          </cell>
          <cell r="AT3493" t="str">
            <v>PINEDA CAICEDO ANDREA ESTEFANIA</v>
          </cell>
        </row>
        <row r="3494">
          <cell r="C3494" t="str">
            <v>0802937011</v>
          </cell>
          <cell r="AT3494" t="str">
            <v>PINEDA CAICEDO ANDREA ESTEFANIA</v>
          </cell>
        </row>
        <row r="3495">
          <cell r="C3495" t="str">
            <v>0802937011</v>
          </cell>
          <cell r="AT3495" t="str">
            <v>PINEDA CAICEDO ANDREA ESTEFANIA</v>
          </cell>
        </row>
        <row r="3496">
          <cell r="C3496" t="str">
            <v>0802937011</v>
          </cell>
          <cell r="AT3496" t="str">
            <v>PINEDA CAICEDO ANDREA ESTEFANIA</v>
          </cell>
        </row>
        <row r="3497">
          <cell r="C3497" t="str">
            <v>0802937011</v>
          </cell>
          <cell r="AT3497" t="str">
            <v>PINEDA CAICEDO ANDREA ESTEFANIA</v>
          </cell>
        </row>
        <row r="3498">
          <cell r="C3498" t="str">
            <v>0802937011</v>
          </cell>
          <cell r="AT3498" t="str">
            <v>PINEDA CAICEDO ANDREA ESTEFANIA</v>
          </cell>
        </row>
        <row r="3499">
          <cell r="C3499" t="str">
            <v>0802937011</v>
          </cell>
          <cell r="AT3499" t="str">
            <v>PINEDA CAICEDO ANDREA ESTEFANIA</v>
          </cell>
        </row>
        <row r="3500">
          <cell r="C3500" t="str">
            <v>0802937011</v>
          </cell>
          <cell r="AT3500" t="str">
            <v>PINEDA CAICEDO ANDREA ESTEFANIA</v>
          </cell>
        </row>
        <row r="3501">
          <cell r="C3501" t="str">
            <v>0802937011</v>
          </cell>
          <cell r="AT3501" t="str">
            <v>PINEDA CAICEDO ANDREA ESTEFANIA</v>
          </cell>
        </row>
        <row r="3502">
          <cell r="C3502" t="str">
            <v>1718465220</v>
          </cell>
          <cell r="AT3502" t="str">
            <v>SACAN QUISHPE FRANK JAVIER</v>
          </cell>
        </row>
        <row r="3503">
          <cell r="C3503" t="str">
            <v>1718465220</v>
          </cell>
          <cell r="AT3503" t="str">
            <v>SACAN QUISHPE FRANK JAVIER</v>
          </cell>
        </row>
        <row r="3504">
          <cell r="C3504" t="str">
            <v>0803049659</v>
          </cell>
          <cell r="AT3504" t="str">
            <v>VASQUEZ COISME MANUEL EDUARDO</v>
          </cell>
        </row>
        <row r="3505">
          <cell r="C3505" t="str">
            <v>1717293516</v>
          </cell>
          <cell r="AT3505" t="str">
            <v>TAPIA ORTIZ YESSICA ALEXANDRA</v>
          </cell>
        </row>
        <row r="3506">
          <cell r="C3506" t="str">
            <v>1717293516</v>
          </cell>
          <cell r="AT3506" t="str">
            <v>TAPIA ORTIZ YESSICA ALEXANDRA</v>
          </cell>
        </row>
        <row r="3507">
          <cell r="C3507" t="str">
            <v>0803750884</v>
          </cell>
          <cell r="AT3507" t="str">
            <v>COBEÑA SANCHEZ NICOLE ABIGAIL</v>
          </cell>
        </row>
        <row r="3508">
          <cell r="C3508" t="str">
            <v>0804139087</v>
          </cell>
          <cell r="AT3508" t="str">
            <v>FARIAS BONILLA CRISTINA DAYANA</v>
          </cell>
        </row>
        <row r="3509">
          <cell r="C3509" t="str">
            <v>0803116946</v>
          </cell>
          <cell r="AT3509" t="str">
            <v>GUERRERO CAMACHO CARMEN STEFANIA</v>
          </cell>
        </row>
        <row r="3510">
          <cell r="C3510" t="str">
            <v>0850069261</v>
          </cell>
          <cell r="AT3510" t="str">
            <v>ORTIZ AYOVI YINELA BRIGGITTE</v>
          </cell>
        </row>
        <row r="3511">
          <cell r="C3511" t="str">
            <v>0803556513</v>
          </cell>
          <cell r="AT3511" t="str">
            <v>CHILA GODOY MARIA ISABEL</v>
          </cell>
        </row>
        <row r="3512">
          <cell r="C3512" t="str">
            <v>0803556513</v>
          </cell>
          <cell r="AT3512" t="str">
            <v>CHILA GODOY MARIA ISABEL</v>
          </cell>
        </row>
        <row r="3513">
          <cell r="C3513" t="str">
            <v>0803556513</v>
          </cell>
          <cell r="AT3513" t="str">
            <v>CHILA GODOY MARIA ISABEL</v>
          </cell>
        </row>
        <row r="3514">
          <cell r="C3514" t="str">
            <v>0803556513</v>
          </cell>
          <cell r="AT3514" t="str">
            <v>CHILA GODOY MARIA ISABEL</v>
          </cell>
        </row>
        <row r="3515">
          <cell r="C3515" t="str">
            <v>0803556513</v>
          </cell>
          <cell r="AT3515" t="str">
            <v>CHILA GODOY MARIA ISABEL</v>
          </cell>
        </row>
        <row r="3516">
          <cell r="C3516" t="str">
            <v>0803556513</v>
          </cell>
          <cell r="AT3516" t="str">
            <v>CHILA GODOY MARIA ISABEL</v>
          </cell>
        </row>
        <row r="3517">
          <cell r="C3517" t="str">
            <v>0803556513</v>
          </cell>
          <cell r="AT3517" t="str">
            <v>CHILA GODOY MARIA ISABEL</v>
          </cell>
        </row>
        <row r="3518">
          <cell r="C3518" t="str">
            <v>0803466846</v>
          </cell>
          <cell r="AT3518" t="str">
            <v>QUINTERO MERLIN JONATHAN MIGUEL</v>
          </cell>
        </row>
        <row r="3519">
          <cell r="C3519" t="str">
            <v>0803466846</v>
          </cell>
          <cell r="AT3519" t="str">
            <v>QUINTERO MERLIN JONATHAN MIGUEL</v>
          </cell>
        </row>
        <row r="3520">
          <cell r="C3520" t="str">
            <v>0803466846</v>
          </cell>
          <cell r="AT3520" t="str">
            <v>QUINTERO MERLIN JONATHAN MIGUEL</v>
          </cell>
        </row>
        <row r="3521">
          <cell r="C3521" t="str">
            <v>0803466846</v>
          </cell>
          <cell r="AT3521" t="str">
            <v>QUINTERO MERLIN JONATHAN MIGUEL</v>
          </cell>
        </row>
        <row r="3522">
          <cell r="C3522" t="str">
            <v>1501023756</v>
          </cell>
          <cell r="AT3522" t="str">
            <v>QUIÑONEZ ALMEIDA TAHIRI ANDREINA</v>
          </cell>
        </row>
        <row r="3523">
          <cell r="C3523" t="str">
            <v>0803899186</v>
          </cell>
          <cell r="AT3523" t="str">
            <v>CEDEÑO SALAZAR ANDRES RODOLFO</v>
          </cell>
        </row>
        <row r="3524">
          <cell r="C3524" t="str">
            <v>0803899186</v>
          </cell>
          <cell r="AT3524" t="str">
            <v>CEDEÑO SALAZAR ANDRES RODOLFO</v>
          </cell>
        </row>
        <row r="3525">
          <cell r="C3525" t="str">
            <v>0802855734</v>
          </cell>
          <cell r="AT3525" t="str">
            <v>ARANA ESPINOZA ANDREA STEFANIA</v>
          </cell>
        </row>
        <row r="3526">
          <cell r="C3526" t="str">
            <v>1721153144</v>
          </cell>
          <cell r="AT3526" t="str">
            <v>CARRERA VILLACRES FELIPE BENJAMIN</v>
          </cell>
        </row>
        <row r="3527">
          <cell r="C3527" t="str">
            <v>1721153144</v>
          </cell>
          <cell r="AT3527" t="str">
            <v>CARRERA VILLACRES FELIPE BENJAMIN</v>
          </cell>
        </row>
        <row r="3528">
          <cell r="C3528" t="str">
            <v>1721153144</v>
          </cell>
          <cell r="AT3528" t="str">
            <v>CARRERA VILLACRES FELIPE BENJAMIN</v>
          </cell>
        </row>
        <row r="3529">
          <cell r="C3529" t="str">
            <v>1756351019</v>
          </cell>
          <cell r="AT3529" t="str">
            <v>KELLEY  PHILLIP GREGORY</v>
          </cell>
        </row>
        <row r="3530">
          <cell r="C3530" t="str">
            <v>1756351019</v>
          </cell>
          <cell r="AT3530" t="str">
            <v>KELLEY  PHILLIP GREGORY</v>
          </cell>
        </row>
        <row r="3531">
          <cell r="C3531" t="str">
            <v>1725019937</v>
          </cell>
          <cell r="AT3531" t="str">
            <v>ASIFUELA GUAÑA DARWIN ALBERTO</v>
          </cell>
        </row>
        <row r="3532">
          <cell r="C3532" t="str">
            <v>1756764732</v>
          </cell>
          <cell r="AT3532" t="str">
            <v>VELAZCO VARGAS JORGE LUIS</v>
          </cell>
        </row>
        <row r="3533">
          <cell r="C3533" t="str">
            <v>1756764732</v>
          </cell>
          <cell r="AT3533" t="str">
            <v>VELAZCO VARGAS JORGE LUIS</v>
          </cell>
        </row>
        <row r="3534">
          <cell r="C3534" t="str">
            <v>1756764732</v>
          </cell>
          <cell r="AT3534" t="str">
            <v>VELAZCO VARGAS JORGE LUIS</v>
          </cell>
        </row>
        <row r="3535">
          <cell r="C3535" t="str">
            <v>1803456738</v>
          </cell>
          <cell r="AT3535" t="str">
            <v>MALIZA CHASI BLANCA CECILIA</v>
          </cell>
        </row>
        <row r="3536">
          <cell r="C3536" t="str">
            <v>0803512599</v>
          </cell>
          <cell r="AT3536" t="str">
            <v>SOLIS CAICEDO LISSETTE ANNABELLE</v>
          </cell>
        </row>
        <row r="3537">
          <cell r="C3537" t="str">
            <v>0850095191</v>
          </cell>
          <cell r="AT3537" t="str">
            <v>ORELLANA VILA JORGE DAVID</v>
          </cell>
        </row>
        <row r="3538">
          <cell r="C3538" t="str">
            <v>0803558253</v>
          </cell>
          <cell r="AT3538" t="str">
            <v>DUEÑAS MENDOZA ANDREA STEFANIA</v>
          </cell>
        </row>
        <row r="3539">
          <cell r="C3539" t="str">
            <v>0803558253</v>
          </cell>
          <cell r="AT3539" t="str">
            <v>DUEÑAS MENDOZA ANDREA STEFANIA</v>
          </cell>
        </row>
        <row r="3540">
          <cell r="C3540" t="str">
            <v>0803558253</v>
          </cell>
          <cell r="AT3540" t="str">
            <v>DUEÑAS MENDOZA ANDREA STEFANIA</v>
          </cell>
        </row>
        <row r="3541">
          <cell r="C3541" t="str">
            <v>0803558253</v>
          </cell>
          <cell r="AT3541" t="str">
            <v>DUEÑAS MENDOZA ANDREA STEFANIA</v>
          </cell>
        </row>
        <row r="3542">
          <cell r="C3542" t="str">
            <v>0803558253</v>
          </cell>
          <cell r="AT3542" t="str">
            <v>DUEÑAS MENDOZA ANDREA STEFANIA</v>
          </cell>
        </row>
        <row r="3543">
          <cell r="C3543" t="str">
            <v>0803558253</v>
          </cell>
          <cell r="AT3543" t="str">
            <v>DUEÑAS MENDOZA ANDREA STEFANIA</v>
          </cell>
        </row>
        <row r="3544">
          <cell r="C3544" t="str">
            <v>0802870139</v>
          </cell>
          <cell r="AT3544" t="str">
            <v>MARCILLO MURILLO DIANA SABRINA</v>
          </cell>
        </row>
        <row r="3545">
          <cell r="C3545" t="str">
            <v>0802870139</v>
          </cell>
          <cell r="AT3545" t="str">
            <v>MARCILLO MURILLO DIANA SABRINA</v>
          </cell>
        </row>
        <row r="3546">
          <cell r="C3546" t="str">
            <v>0802870139</v>
          </cell>
          <cell r="AT3546" t="str">
            <v>MARCILLO MURILLO DIANA SABRINA</v>
          </cell>
        </row>
        <row r="3547">
          <cell r="C3547" t="str">
            <v>0802870139</v>
          </cell>
          <cell r="AT3547" t="str">
            <v>MARCILLO MURILLO DIANA SABRINA</v>
          </cell>
        </row>
        <row r="3548">
          <cell r="C3548" t="str">
            <v>0802870139</v>
          </cell>
          <cell r="AT3548" t="str">
            <v>MARCILLO MURILLO DIANA SABRINA</v>
          </cell>
        </row>
        <row r="3549">
          <cell r="C3549" t="str">
            <v>0802870139</v>
          </cell>
          <cell r="AT3549" t="str">
            <v>MARCILLO MURILLO DIANA SABRINA</v>
          </cell>
        </row>
        <row r="3550">
          <cell r="C3550" t="str">
            <v>0802870139</v>
          </cell>
          <cell r="AT3550" t="str">
            <v>MARCILLO MURILLO DIANA SABRINA</v>
          </cell>
        </row>
        <row r="3551">
          <cell r="C3551" t="str">
            <v>0802870139</v>
          </cell>
          <cell r="AT3551" t="str">
            <v>MARCILLO MURILLO DIANA SABRINA</v>
          </cell>
        </row>
        <row r="3552">
          <cell r="C3552" t="str">
            <v>0802870139</v>
          </cell>
          <cell r="AT3552" t="str">
            <v>MARCILLO MURILLO DIANA SABRINA</v>
          </cell>
        </row>
        <row r="3553">
          <cell r="C3553" t="str">
            <v>0802870139</v>
          </cell>
          <cell r="AT3553" t="str">
            <v>MARCILLO MURILLO DIANA SABRINA</v>
          </cell>
        </row>
        <row r="3554">
          <cell r="C3554" t="str">
            <v>0802870139</v>
          </cell>
          <cell r="AT3554" t="str">
            <v>MARCILLO MURILLO DIANA SABRINA</v>
          </cell>
        </row>
        <row r="3555">
          <cell r="C3555" t="str">
            <v>0802870139</v>
          </cell>
          <cell r="AT3555" t="str">
            <v>MARCILLO MURILLO DIANA SABRINA</v>
          </cell>
        </row>
        <row r="3556">
          <cell r="C3556" t="str">
            <v>0802870139</v>
          </cell>
          <cell r="AT3556" t="str">
            <v>MARCILLO MURILLO DIANA SABRINA</v>
          </cell>
        </row>
        <row r="3557">
          <cell r="C3557" t="str">
            <v>0802870139</v>
          </cell>
          <cell r="AT3557" t="str">
            <v>MARCILLO MURILLO DIANA SABRINA</v>
          </cell>
        </row>
        <row r="3558">
          <cell r="C3558" t="str">
            <v>0802870139</v>
          </cell>
          <cell r="AT3558" t="str">
            <v>MARCILLO MURILLO DIANA SABRINA</v>
          </cell>
        </row>
        <row r="3559">
          <cell r="C3559" t="str">
            <v>0802870139</v>
          </cell>
          <cell r="AT3559" t="str">
            <v>MARCILLO MURILLO DIANA SABRINA</v>
          </cell>
        </row>
        <row r="3560">
          <cell r="C3560" t="str">
            <v>0802870139</v>
          </cell>
          <cell r="AT3560" t="str">
            <v>MARCILLO MURILLO DIANA SABRINA</v>
          </cell>
        </row>
        <row r="3561">
          <cell r="C3561" t="str">
            <v>0802870139</v>
          </cell>
          <cell r="AT3561" t="str">
            <v>MARCILLO MURILLO DIANA SABRINA</v>
          </cell>
        </row>
        <row r="3562">
          <cell r="C3562" t="str">
            <v>0802870139</v>
          </cell>
          <cell r="AT3562" t="str">
            <v>MARCILLO MURILLO DIANA SABRINA</v>
          </cell>
        </row>
        <row r="3563">
          <cell r="C3563" t="str">
            <v>0802870139</v>
          </cell>
          <cell r="AT3563" t="str">
            <v>MARCILLO MURILLO DIANA SABRINA</v>
          </cell>
        </row>
        <row r="3564">
          <cell r="C3564" t="str">
            <v>0802870139</v>
          </cell>
          <cell r="AT3564" t="str">
            <v>MARCILLO MURILLO DIANA SABRINA</v>
          </cell>
        </row>
        <row r="3565">
          <cell r="C3565" t="str">
            <v>0802870139</v>
          </cell>
          <cell r="AT3565" t="str">
            <v>MARCILLO MURILLO DIANA SABRINA</v>
          </cell>
        </row>
        <row r="3566">
          <cell r="C3566" t="str">
            <v>1756916944</v>
          </cell>
          <cell r="AT3566" t="str">
            <v xml:space="preserve">HERRERA DIAZ YULIEN </v>
          </cell>
        </row>
        <row r="3567">
          <cell r="C3567" t="str">
            <v>1756916944</v>
          </cell>
          <cell r="AT3567" t="str">
            <v xml:space="preserve">HERRERA DIAZ YULIEN </v>
          </cell>
        </row>
        <row r="3568">
          <cell r="C3568" t="str">
            <v>1756916944</v>
          </cell>
          <cell r="AT3568" t="str">
            <v xml:space="preserve">HERRERA DIAZ YULIEN </v>
          </cell>
        </row>
        <row r="3569">
          <cell r="C3569" t="str">
            <v>1756916944</v>
          </cell>
          <cell r="AT3569" t="str">
            <v xml:space="preserve">HERRERA DIAZ YULIEN </v>
          </cell>
        </row>
        <row r="3570">
          <cell r="C3570" t="str">
            <v>1756916944</v>
          </cell>
          <cell r="AT3570" t="str">
            <v xml:space="preserve">HERRERA DIAZ YULIEN </v>
          </cell>
        </row>
        <row r="3571">
          <cell r="C3571" t="str">
            <v>1756916944</v>
          </cell>
          <cell r="AT3571" t="str">
            <v xml:space="preserve">HERRERA DIAZ YULIEN </v>
          </cell>
        </row>
        <row r="3572">
          <cell r="C3572" t="str">
            <v>1756916944</v>
          </cell>
          <cell r="AT3572" t="str">
            <v xml:space="preserve">HERRERA DIAZ YULIEN </v>
          </cell>
        </row>
        <row r="3573">
          <cell r="C3573" t="str">
            <v>1756916944</v>
          </cell>
          <cell r="AT3573" t="str">
            <v xml:space="preserve">HERRERA DIAZ YULIEN </v>
          </cell>
        </row>
        <row r="3574">
          <cell r="C3574" t="str">
            <v>1756916944</v>
          </cell>
          <cell r="AT3574" t="str">
            <v xml:space="preserve">HERRERA DIAZ YULIEN </v>
          </cell>
        </row>
        <row r="3575">
          <cell r="C3575" t="str">
            <v>1756916944</v>
          </cell>
          <cell r="AT3575" t="str">
            <v xml:space="preserve">HERRERA DIAZ YULIEN </v>
          </cell>
        </row>
        <row r="3576">
          <cell r="C3576" t="str">
            <v>1756916944</v>
          </cell>
          <cell r="AT3576" t="str">
            <v xml:space="preserve">HERRERA DIAZ YULIEN </v>
          </cell>
        </row>
        <row r="3577">
          <cell r="C3577" t="str">
            <v>1756916944</v>
          </cell>
          <cell r="AT3577" t="str">
            <v xml:space="preserve">HERRERA DIAZ YULIEN </v>
          </cell>
        </row>
        <row r="3578">
          <cell r="C3578" t="str">
            <v>1756916944</v>
          </cell>
          <cell r="AT3578" t="str">
            <v xml:space="preserve">HERRERA DIAZ YULIEN </v>
          </cell>
        </row>
        <row r="3579">
          <cell r="C3579" t="str">
            <v>1756916944</v>
          </cell>
          <cell r="AT3579" t="str">
            <v xml:space="preserve">HERRERA DIAZ YULIEN </v>
          </cell>
        </row>
        <row r="3580">
          <cell r="C3580" t="str">
            <v>1756916944</v>
          </cell>
          <cell r="AT3580" t="str">
            <v xml:space="preserve">HERRERA DIAZ YULIEN </v>
          </cell>
        </row>
        <row r="3581">
          <cell r="C3581" t="str">
            <v>1756916944</v>
          </cell>
          <cell r="AT3581" t="str">
            <v xml:space="preserve">HERRERA DIAZ YULIEN </v>
          </cell>
        </row>
        <row r="3582">
          <cell r="C3582" t="str">
            <v>0802460782</v>
          </cell>
          <cell r="AT3582" t="str">
            <v>OCAMPO ERAZO HUGO PAÚL</v>
          </cell>
        </row>
        <row r="3583">
          <cell r="C3583" t="str">
            <v>0802460782</v>
          </cell>
          <cell r="AT3583" t="str">
            <v>OCAMPO ERAZO HUGO PAÚL</v>
          </cell>
        </row>
        <row r="3584">
          <cell r="C3584" t="str">
            <v>0802460782</v>
          </cell>
          <cell r="AT3584" t="str">
            <v>OCAMPO ERAZO HUGO PAÚL</v>
          </cell>
        </row>
        <row r="3585">
          <cell r="C3585" t="str">
            <v>0802460782</v>
          </cell>
          <cell r="AT3585" t="str">
            <v>OCAMPO ERAZO HUGO PAÚL</v>
          </cell>
        </row>
        <row r="3586">
          <cell r="C3586" t="str">
            <v>0802460782</v>
          </cell>
          <cell r="AT3586" t="str">
            <v>OCAMPO ERAZO HUGO PAÚL</v>
          </cell>
        </row>
        <row r="3587">
          <cell r="C3587" t="str">
            <v>0802460782</v>
          </cell>
          <cell r="AT3587" t="str">
            <v>OCAMPO ERAZO HUGO PAÚL</v>
          </cell>
        </row>
        <row r="3588">
          <cell r="C3588" t="str">
            <v>0802460782</v>
          </cell>
          <cell r="AT3588" t="str">
            <v>OCAMPO ERAZO HUGO PAÚL</v>
          </cell>
        </row>
        <row r="3589">
          <cell r="C3589" t="str">
            <v>0802460782</v>
          </cell>
          <cell r="AT3589" t="str">
            <v>OCAMPO ERAZO HUGO PAÚL</v>
          </cell>
        </row>
        <row r="3590">
          <cell r="C3590" t="str">
            <v>0802460782</v>
          </cell>
          <cell r="AT3590" t="str">
            <v>OCAMPO ERAZO HUGO PAÚL</v>
          </cell>
        </row>
        <row r="3591">
          <cell r="C3591" t="str">
            <v>0802460782</v>
          </cell>
          <cell r="AT3591" t="str">
            <v>OCAMPO ERAZO HUGO PAÚL</v>
          </cell>
        </row>
        <row r="3592">
          <cell r="C3592" t="str">
            <v>0802460782</v>
          </cell>
          <cell r="AT3592" t="str">
            <v>OCAMPO ERAZO HUGO PAÚL</v>
          </cell>
        </row>
        <row r="3593">
          <cell r="C3593" t="str">
            <v>0802127670</v>
          </cell>
          <cell r="AT3593" t="str">
            <v>ARROYO HIDALGO SONIA ALEXANDRA</v>
          </cell>
        </row>
        <row r="3594">
          <cell r="C3594" t="str">
            <v>0917375263</v>
          </cell>
          <cell r="AT3594" t="str">
            <v>SALAZAR MURRIETA MARIA ALEJANDRA</v>
          </cell>
        </row>
        <row r="3595">
          <cell r="C3595" t="str">
            <v>0917375263</v>
          </cell>
          <cell r="AT3595" t="str">
            <v>SALAZAR MURRIETA MARIA ALEJANDRA</v>
          </cell>
        </row>
        <row r="3596">
          <cell r="C3596" t="str">
            <v>0917375263</v>
          </cell>
          <cell r="AT3596" t="str">
            <v>SALAZAR MURRIETA MARIA ALEJANDRA</v>
          </cell>
        </row>
        <row r="3597">
          <cell r="C3597" t="str">
            <v>0917375263</v>
          </cell>
          <cell r="AT3597" t="str">
            <v>SALAZAR MURRIETA MARIA ALEJANDRA</v>
          </cell>
        </row>
        <row r="3598">
          <cell r="C3598" t="str">
            <v>0917375263</v>
          </cell>
          <cell r="AT3598" t="str">
            <v>SALAZAR MURRIETA MARIA ALEJANDRA</v>
          </cell>
        </row>
        <row r="3599">
          <cell r="C3599" t="str">
            <v>0917375263</v>
          </cell>
          <cell r="AT3599" t="str">
            <v>SALAZAR MURRIETA MARIA ALEJANDRA</v>
          </cell>
        </row>
        <row r="3600">
          <cell r="C3600" t="str">
            <v>0917375263</v>
          </cell>
          <cell r="AT3600" t="str">
            <v>SALAZAR MURRIETA MARIA ALEJANDRA</v>
          </cell>
        </row>
        <row r="3601">
          <cell r="C3601" t="str">
            <v>0917375263</v>
          </cell>
          <cell r="AT3601" t="str">
            <v>SALAZAR MURRIETA MARIA ALEJANDRA</v>
          </cell>
        </row>
        <row r="3602">
          <cell r="C3602" t="str">
            <v>0917375263</v>
          </cell>
          <cell r="AT3602" t="str">
            <v>SALAZAR MURRIETA MARIA ALEJANDRA</v>
          </cell>
        </row>
        <row r="3603">
          <cell r="C3603" t="str">
            <v>0917375263</v>
          </cell>
          <cell r="AT3603" t="str">
            <v>SALAZAR MURRIETA MARIA ALEJANDRA</v>
          </cell>
        </row>
        <row r="3604">
          <cell r="C3604" t="str">
            <v>0917375263</v>
          </cell>
          <cell r="AT3604" t="str">
            <v>SALAZAR MURRIETA MARIA ALEJANDRA</v>
          </cell>
        </row>
        <row r="3605">
          <cell r="C3605" t="str">
            <v>0917375263</v>
          </cell>
          <cell r="AT3605" t="str">
            <v>SALAZAR MURRIETA MARIA ALEJANDRA</v>
          </cell>
        </row>
        <row r="3606">
          <cell r="C3606" t="str">
            <v>0917375263</v>
          </cell>
          <cell r="AT3606" t="str">
            <v>SALAZAR MURRIETA MARIA ALEJANDRA</v>
          </cell>
        </row>
        <row r="3607">
          <cell r="C3607" t="str">
            <v>0917375263</v>
          </cell>
          <cell r="AT3607" t="str">
            <v>SALAZAR MURRIETA MARIA ALEJANDRA</v>
          </cell>
        </row>
        <row r="3608">
          <cell r="C3608" t="str">
            <v>0803140623</v>
          </cell>
          <cell r="AT3608" t="str">
            <v>CAICEDO CASTILLO LEISY LILIBET</v>
          </cell>
        </row>
        <row r="3609">
          <cell r="C3609" t="str">
            <v>0804264752</v>
          </cell>
          <cell r="AT3609" t="str">
            <v>CANCHINGRE VASQUEZ STEVEN MANUEL</v>
          </cell>
        </row>
        <row r="3610">
          <cell r="C3610" t="str">
            <v>0804264752</v>
          </cell>
          <cell r="AT3610" t="str">
            <v>CANCHINGRE VASQUEZ STEVEN MANUEL</v>
          </cell>
        </row>
        <row r="3611">
          <cell r="C3611" t="str">
            <v>0802914465</v>
          </cell>
          <cell r="AT3611" t="str">
            <v>ESTUPIÑAN BOBOY EDITH MARGARITA</v>
          </cell>
        </row>
        <row r="3612">
          <cell r="C3612" t="str">
            <v>0802914465</v>
          </cell>
          <cell r="AT3612" t="str">
            <v>ESTUPIÑAN BOBOY EDITH MARGARITA</v>
          </cell>
        </row>
        <row r="3613">
          <cell r="C3613" t="str">
            <v>0802914465</v>
          </cell>
          <cell r="AT3613" t="str">
            <v>ESTUPIÑAN BOBOY EDITH MARGARITA</v>
          </cell>
        </row>
        <row r="3614">
          <cell r="C3614" t="str">
            <v>0802914465</v>
          </cell>
          <cell r="AT3614" t="str">
            <v>ESTUPIÑAN BOBOY EDITH MARGARITA</v>
          </cell>
        </row>
        <row r="3615">
          <cell r="C3615" t="str">
            <v>0802914465</v>
          </cell>
          <cell r="AT3615" t="str">
            <v>ESTUPIÑAN BOBOY EDITH MARGARITA</v>
          </cell>
        </row>
        <row r="3616">
          <cell r="C3616" t="str">
            <v>0802914465</v>
          </cell>
          <cell r="AT3616" t="str">
            <v>ESTUPIÑAN BOBOY EDITH MARGARITA</v>
          </cell>
        </row>
        <row r="3617">
          <cell r="C3617" t="str">
            <v>0802914465</v>
          </cell>
          <cell r="AT3617" t="str">
            <v>ESTUPIÑAN BOBOY EDITH MARGARITA</v>
          </cell>
        </row>
        <row r="3618">
          <cell r="C3618" t="str">
            <v>0802914465</v>
          </cell>
          <cell r="AT3618" t="str">
            <v>ESTUPIÑAN BOBOY EDITH MARGARITA</v>
          </cell>
        </row>
        <row r="3619">
          <cell r="C3619" t="str">
            <v>0802914465</v>
          </cell>
          <cell r="AT3619" t="str">
            <v>ESTUPIÑAN BOBOY EDITH MARGARITA</v>
          </cell>
        </row>
        <row r="3620">
          <cell r="C3620" t="str">
            <v>0802107243</v>
          </cell>
          <cell r="AT3620" t="str">
            <v>LASTRE CUELLAR MARIUXI IVONNE</v>
          </cell>
        </row>
        <row r="3621">
          <cell r="C3621" t="str">
            <v>0802524082</v>
          </cell>
          <cell r="AT3621" t="str">
            <v>MARQUEZ ARBOLEDA VIVIANA MERCEDES</v>
          </cell>
        </row>
        <row r="3622">
          <cell r="C3622" t="str">
            <v>0802524082</v>
          </cell>
          <cell r="AT3622" t="str">
            <v>MARQUEZ ARBOLEDA VIVIANA MERCEDES</v>
          </cell>
        </row>
        <row r="3623">
          <cell r="C3623" t="str">
            <v>0850308131</v>
          </cell>
          <cell r="AT3623" t="str">
            <v>LASTRA PRECIADO KEVIN EFREN</v>
          </cell>
        </row>
        <row r="3624">
          <cell r="C3624" t="str">
            <v>0803591890</v>
          </cell>
          <cell r="AT3624" t="str">
            <v>MORA IBARRA MAELI ROXANA</v>
          </cell>
        </row>
        <row r="3625">
          <cell r="C3625" t="str">
            <v>0803591890</v>
          </cell>
          <cell r="AT3625" t="str">
            <v>MORA IBARRA MAELI ROXANA</v>
          </cell>
        </row>
        <row r="3626">
          <cell r="C3626" t="str">
            <v>0803591890</v>
          </cell>
          <cell r="AT3626" t="str">
            <v>MORA IBARRA MAELI ROXANA</v>
          </cell>
        </row>
        <row r="3627">
          <cell r="C3627" t="str">
            <v>0803591890</v>
          </cell>
          <cell r="AT3627" t="str">
            <v>MORA IBARRA MAELI ROXANA</v>
          </cell>
        </row>
        <row r="3628">
          <cell r="C3628" t="str">
            <v>0958485963</v>
          </cell>
          <cell r="AT3628" t="str">
            <v>MANZABA OLIVO ROMINA ANABELLE</v>
          </cell>
        </row>
        <row r="3629">
          <cell r="C3629" t="str">
            <v>0803846682</v>
          </cell>
          <cell r="AT3629" t="str">
            <v>DELGADO GONZALEZ CRISTHIAN DAVID</v>
          </cell>
        </row>
        <row r="3630">
          <cell r="C3630" t="str">
            <v>0803846682</v>
          </cell>
          <cell r="AT3630" t="str">
            <v>DELGADO GONZALEZ CRISTHIAN DAVID</v>
          </cell>
        </row>
        <row r="3631">
          <cell r="C3631" t="str">
            <v>0803846682</v>
          </cell>
          <cell r="AT3631" t="str">
            <v>DELGADO GONZALEZ CRISTHIAN DAVID</v>
          </cell>
        </row>
        <row r="3632">
          <cell r="C3632" t="str">
            <v>0803846682</v>
          </cell>
          <cell r="AT3632" t="str">
            <v>DELGADO GONZALEZ CRISTHIAN DAVID</v>
          </cell>
        </row>
        <row r="3633">
          <cell r="C3633" t="str">
            <v>0803846682</v>
          </cell>
          <cell r="AT3633" t="str">
            <v>DELGADO GONZALEZ CRISTHIAN DAVID</v>
          </cell>
        </row>
        <row r="3634">
          <cell r="C3634" t="str">
            <v>0803846682</v>
          </cell>
          <cell r="AT3634" t="str">
            <v>DELGADO GONZALEZ CRISTHIAN DAVID</v>
          </cell>
        </row>
        <row r="3635">
          <cell r="C3635" t="str">
            <v>0803846682</v>
          </cell>
          <cell r="AT3635" t="str">
            <v>DELGADO GONZALEZ CRISTHIAN DAVID</v>
          </cell>
        </row>
        <row r="3636">
          <cell r="C3636" t="str">
            <v>0803846682</v>
          </cell>
          <cell r="AT3636" t="str">
            <v>DELGADO GONZALEZ CRISTHIAN DAVID</v>
          </cell>
        </row>
        <row r="3637">
          <cell r="C3637" t="str">
            <v>0803846682</v>
          </cell>
          <cell r="AT3637" t="str">
            <v>DELGADO GONZALEZ CRISTHIAN DAVID</v>
          </cell>
        </row>
        <row r="3638">
          <cell r="C3638" t="str">
            <v>0803846682</v>
          </cell>
          <cell r="AT3638" t="str">
            <v>DELGADO GONZALEZ CRISTHIAN DAVID</v>
          </cell>
        </row>
        <row r="3639">
          <cell r="C3639" t="str">
            <v>0802325134</v>
          </cell>
          <cell r="AT3639" t="str">
            <v>TIPANTUÑA SANTANDER MARICELA VANESSA</v>
          </cell>
        </row>
        <row r="3640">
          <cell r="C3640" t="str">
            <v>1757003437</v>
          </cell>
          <cell r="AT3640" t="str">
            <v xml:space="preserve">ACOSTA SILVA MARISLEYDIS </v>
          </cell>
        </row>
        <row r="3641">
          <cell r="C3641" t="str">
            <v>1757003437</v>
          </cell>
          <cell r="AT3641" t="str">
            <v xml:space="preserve">ACOSTA SILVA MARISLEYDIS </v>
          </cell>
        </row>
        <row r="3642">
          <cell r="C3642" t="str">
            <v>1757003437</v>
          </cell>
          <cell r="AT3642" t="str">
            <v xml:space="preserve">ACOSTA SILVA MARISLEYDIS </v>
          </cell>
        </row>
        <row r="3643">
          <cell r="C3643" t="str">
            <v>1757003437</v>
          </cell>
          <cell r="AT3643" t="str">
            <v xml:space="preserve">ACOSTA SILVA MARISLEYDIS </v>
          </cell>
        </row>
        <row r="3644">
          <cell r="C3644" t="str">
            <v>1757003437</v>
          </cell>
          <cell r="AT3644" t="str">
            <v xml:space="preserve">ACOSTA SILVA MARISLEYDIS </v>
          </cell>
        </row>
        <row r="3645">
          <cell r="C3645" t="str">
            <v>1757003437</v>
          </cell>
          <cell r="AT3645" t="str">
            <v xml:space="preserve">ACOSTA SILVA MARISLEYDIS </v>
          </cell>
        </row>
        <row r="3646">
          <cell r="C3646" t="str">
            <v>1757003437</v>
          </cell>
          <cell r="AT3646" t="str">
            <v xml:space="preserve">ACOSTA SILVA MARISLEYDIS </v>
          </cell>
        </row>
        <row r="3647">
          <cell r="C3647" t="str">
            <v>1757003437</v>
          </cell>
          <cell r="AT3647" t="str">
            <v xml:space="preserve">ACOSTA SILVA MARISLEYDIS </v>
          </cell>
        </row>
        <row r="3648">
          <cell r="C3648" t="str">
            <v>1757003437</v>
          </cell>
          <cell r="AT3648" t="str">
            <v xml:space="preserve">ACOSTA SILVA MARISLEYDIS </v>
          </cell>
        </row>
        <row r="3649">
          <cell r="C3649" t="str">
            <v>1757003437</v>
          </cell>
          <cell r="AT3649" t="str">
            <v xml:space="preserve">ACOSTA SILVA MARISLEYDIS </v>
          </cell>
        </row>
        <row r="3650">
          <cell r="C3650" t="str">
            <v>1757003437</v>
          </cell>
          <cell r="AT3650" t="str">
            <v xml:space="preserve">ACOSTA SILVA MARISLEYDIS </v>
          </cell>
        </row>
        <row r="3651">
          <cell r="C3651" t="str">
            <v>1757003437</v>
          </cell>
          <cell r="AT3651" t="str">
            <v xml:space="preserve">ACOSTA SILVA MARISLEYDIS </v>
          </cell>
        </row>
        <row r="3652">
          <cell r="C3652" t="str">
            <v>1757003437</v>
          </cell>
          <cell r="AT3652" t="str">
            <v xml:space="preserve">ACOSTA SILVA MARISLEYDIS </v>
          </cell>
        </row>
        <row r="3653">
          <cell r="C3653" t="str">
            <v>1757003437</v>
          </cell>
          <cell r="AT3653" t="str">
            <v xml:space="preserve">ACOSTA SILVA MARISLEYDIS </v>
          </cell>
        </row>
        <row r="3654">
          <cell r="C3654" t="str">
            <v>1757398837</v>
          </cell>
          <cell r="AT3654" t="str">
            <v>PUPO SUÑOL ANGEL EDUARDO</v>
          </cell>
        </row>
        <row r="3655">
          <cell r="C3655" t="str">
            <v>1757398837</v>
          </cell>
          <cell r="AT3655" t="str">
            <v>PUPO SUÑOL ANGEL EDUARDO</v>
          </cell>
        </row>
        <row r="3656">
          <cell r="C3656" t="str">
            <v>1757398837</v>
          </cell>
          <cell r="AT3656" t="str">
            <v>PUPO SUÑOL ANGEL EDUARDO</v>
          </cell>
        </row>
        <row r="3657">
          <cell r="C3657" t="str">
            <v>1757398837</v>
          </cell>
          <cell r="AT3657" t="str">
            <v>PUPO SUÑOL ANGEL EDUARDO</v>
          </cell>
        </row>
        <row r="3658">
          <cell r="C3658" t="str">
            <v>1757398837</v>
          </cell>
          <cell r="AT3658" t="str">
            <v>PUPO SUÑOL ANGEL EDUARDO</v>
          </cell>
        </row>
        <row r="3659">
          <cell r="C3659" t="str">
            <v>1757398837</v>
          </cell>
          <cell r="AT3659" t="str">
            <v>PUPO SUÑOL ANGEL EDUARDO</v>
          </cell>
        </row>
        <row r="3660">
          <cell r="C3660" t="str">
            <v>1757398837</v>
          </cell>
          <cell r="AT3660" t="str">
            <v>PUPO SUÑOL ANGEL EDUARDO</v>
          </cell>
        </row>
        <row r="3661">
          <cell r="C3661" t="str">
            <v>1757398837</v>
          </cell>
          <cell r="AT3661" t="str">
            <v>PUPO SUÑOL ANGEL EDUARDO</v>
          </cell>
        </row>
        <row r="3662">
          <cell r="C3662" t="str">
            <v>1757398837</v>
          </cell>
          <cell r="AT3662" t="str">
            <v>PUPO SUÑOL ANGEL EDUARDO</v>
          </cell>
        </row>
        <row r="3663">
          <cell r="C3663" t="str">
            <v>1757398837</v>
          </cell>
          <cell r="AT3663" t="str">
            <v>PUPO SUÑOL ANGEL EDUARDO</v>
          </cell>
        </row>
        <row r="3664">
          <cell r="C3664" t="str">
            <v>1757398837</v>
          </cell>
          <cell r="AT3664" t="str">
            <v>PUPO SUÑOL ANGEL EDUARDO</v>
          </cell>
        </row>
        <row r="3665">
          <cell r="C3665" t="str">
            <v>1757398837</v>
          </cell>
          <cell r="AT3665" t="str">
            <v>PUPO SUÑOL ANGEL EDUARDO</v>
          </cell>
        </row>
        <row r="3666">
          <cell r="C3666" t="str">
            <v>1757398837</v>
          </cell>
          <cell r="AT3666" t="str">
            <v>PUPO SUÑOL ANGEL EDUARDO</v>
          </cell>
        </row>
        <row r="3667">
          <cell r="C3667" t="str">
            <v>1757398837</v>
          </cell>
          <cell r="AT3667" t="str">
            <v>PUPO SUÑOL ANGEL EDUARDO</v>
          </cell>
        </row>
        <row r="3668">
          <cell r="C3668" t="str">
            <v>1757398837</v>
          </cell>
          <cell r="AT3668" t="str">
            <v>PUPO SUÑOL ANGEL EDUARDO</v>
          </cell>
        </row>
        <row r="3669">
          <cell r="C3669" t="str">
            <v>0802912832</v>
          </cell>
          <cell r="AT3669" t="str">
            <v>SOLIS CHARCOPA KARLA FERNANDA</v>
          </cell>
        </row>
        <row r="3670">
          <cell r="C3670" t="str">
            <v>0802912832</v>
          </cell>
          <cell r="AT3670" t="str">
            <v>SOLIS CHARCOPA KARLA FERNANDA</v>
          </cell>
        </row>
        <row r="3671">
          <cell r="C3671" t="str">
            <v>0802912832</v>
          </cell>
          <cell r="AT3671" t="str">
            <v>SOLIS CHARCOPA KARLA FERNANDA</v>
          </cell>
        </row>
        <row r="3672">
          <cell r="C3672" t="str">
            <v>0802912832</v>
          </cell>
          <cell r="AT3672" t="str">
            <v>SOLIS CHARCOPA KARLA FERNANDA</v>
          </cell>
        </row>
        <row r="3673">
          <cell r="C3673" t="str">
            <v>0802912832</v>
          </cell>
          <cell r="AT3673" t="str">
            <v>SOLIS CHARCOPA KARLA FERNANDA</v>
          </cell>
        </row>
        <row r="3674">
          <cell r="C3674" t="str">
            <v>0802912832</v>
          </cell>
          <cell r="AT3674" t="str">
            <v>SOLIS CHARCOPA KARLA FERNANDA</v>
          </cell>
        </row>
        <row r="3675">
          <cell r="C3675" t="str">
            <v>0802912832</v>
          </cell>
          <cell r="AT3675" t="str">
            <v>SOLIS CHARCOPA KARLA FERNANDA</v>
          </cell>
        </row>
        <row r="3676">
          <cell r="C3676" t="str">
            <v>0802912832</v>
          </cell>
          <cell r="AT3676" t="str">
            <v>SOLIS CHARCOPA KARLA FERNANDA</v>
          </cell>
        </row>
        <row r="3677">
          <cell r="C3677" t="str">
            <v>0804267904</v>
          </cell>
          <cell r="AT3677" t="str">
            <v>GUERRERO VELIZ ANTONIETA MADELEY</v>
          </cell>
        </row>
        <row r="3678">
          <cell r="C3678" t="str">
            <v>0804267904</v>
          </cell>
          <cell r="AT3678" t="str">
            <v>GUERRERO VELIZ ANTONIETA MADELEY</v>
          </cell>
        </row>
        <row r="3679">
          <cell r="C3679" t="str">
            <v>0804267904</v>
          </cell>
          <cell r="AT3679" t="str">
            <v>GUERRERO VELIZ ANTONIETA MADELEY</v>
          </cell>
        </row>
        <row r="3680">
          <cell r="C3680" t="str">
            <v>0804267904</v>
          </cell>
          <cell r="AT3680" t="str">
            <v>GUERRERO VELIZ ANTONIETA MADELEY</v>
          </cell>
        </row>
        <row r="3681">
          <cell r="C3681" t="str">
            <v>0804267904</v>
          </cell>
          <cell r="AT3681" t="str">
            <v>GUERRERO VELIZ ANTONIETA MADELEY</v>
          </cell>
        </row>
        <row r="3682">
          <cell r="C3682" t="str">
            <v>0804267904</v>
          </cell>
          <cell r="AT3682" t="str">
            <v>GUERRERO VELIZ ANTONIETA MADELEY</v>
          </cell>
        </row>
        <row r="3683">
          <cell r="C3683" t="str">
            <v>0804267904</v>
          </cell>
          <cell r="AT3683" t="str">
            <v>GUERRERO VELIZ ANTONIETA MADELEY</v>
          </cell>
        </row>
        <row r="3684">
          <cell r="C3684" t="str">
            <v>0804267904</v>
          </cell>
          <cell r="AT3684" t="str">
            <v>GUERRERO VELIZ ANTONIETA MADELEY</v>
          </cell>
        </row>
        <row r="3685">
          <cell r="C3685" t="str">
            <v>0804267904</v>
          </cell>
          <cell r="AT3685" t="str">
            <v>GUERRERO VELIZ ANTONIETA MADELEY</v>
          </cell>
        </row>
        <row r="3686">
          <cell r="C3686" t="str">
            <v>0804267904</v>
          </cell>
          <cell r="AT3686" t="str">
            <v>GUERRERO VELIZ ANTONIETA MADELEY</v>
          </cell>
        </row>
        <row r="3687">
          <cell r="C3687" t="str">
            <v>0804267904</v>
          </cell>
          <cell r="AT3687" t="str">
            <v>GUERRERO VELIZ ANTONIETA MADELEY</v>
          </cell>
        </row>
        <row r="3688">
          <cell r="C3688" t="str">
            <v>0804267904</v>
          </cell>
          <cell r="AT3688" t="str">
            <v>GUERRERO VELIZ ANTONIETA MADELEY</v>
          </cell>
        </row>
        <row r="3689">
          <cell r="C3689" t="str">
            <v>0804267904</v>
          </cell>
          <cell r="AT3689" t="str">
            <v>GUERRERO VELIZ ANTONIETA MADELEY</v>
          </cell>
        </row>
        <row r="3690">
          <cell r="C3690" t="str">
            <v>0804267904</v>
          </cell>
          <cell r="AT3690" t="str">
            <v>GUERRERO VELIZ ANTONIETA MADELEY</v>
          </cell>
        </row>
        <row r="3691">
          <cell r="C3691" t="str">
            <v>0804267904</v>
          </cell>
          <cell r="AT3691" t="str">
            <v>GUERRERO VELIZ ANTONIETA MADELEY</v>
          </cell>
        </row>
        <row r="3692">
          <cell r="C3692" t="str">
            <v>0804267904</v>
          </cell>
          <cell r="AT3692" t="str">
            <v>GUERRERO VELIZ ANTONIETA MADELEY</v>
          </cell>
        </row>
        <row r="3693">
          <cell r="C3693" t="str">
            <v>0804267904</v>
          </cell>
          <cell r="AT3693" t="str">
            <v>GUERRERO VELIZ ANTONIETA MADELEY</v>
          </cell>
        </row>
        <row r="3694">
          <cell r="C3694" t="str">
            <v>0804267904</v>
          </cell>
          <cell r="AT3694" t="str">
            <v>GUERRERO VELIZ ANTONIETA MADELEY</v>
          </cell>
        </row>
        <row r="3695">
          <cell r="C3695" t="str">
            <v>0804267904</v>
          </cell>
          <cell r="AT3695" t="str">
            <v>GUERRERO VELIZ ANTONIETA MADELEY</v>
          </cell>
        </row>
        <row r="3696">
          <cell r="C3696" t="str">
            <v>0804267904</v>
          </cell>
          <cell r="AT3696" t="str">
            <v>GUERRERO VELIZ ANTONIETA MADELEY</v>
          </cell>
        </row>
        <row r="3697">
          <cell r="C3697" t="str">
            <v>0804267904</v>
          </cell>
          <cell r="AT3697" t="str">
            <v>GUERRERO VELIZ ANTONIETA MADELEY</v>
          </cell>
        </row>
        <row r="3698">
          <cell r="C3698" t="str">
            <v>0804267904</v>
          </cell>
          <cell r="AT3698" t="str">
            <v>GUERRERO VELIZ ANTONIETA MADELEY</v>
          </cell>
        </row>
        <row r="3699">
          <cell r="C3699" t="str">
            <v>0804267904</v>
          </cell>
          <cell r="AT3699" t="str">
            <v>GUERRERO VELIZ ANTONIETA MADELEY</v>
          </cell>
        </row>
        <row r="3700">
          <cell r="C3700" t="str">
            <v>0804267904</v>
          </cell>
          <cell r="AT3700" t="str">
            <v>GUERRERO VELIZ ANTONIETA MADELEY</v>
          </cell>
        </row>
        <row r="3701">
          <cell r="C3701" t="str">
            <v>1757306087</v>
          </cell>
          <cell r="AT3701" t="str">
            <v>DE LA ROSA FERRERA JOSE MANUEL</v>
          </cell>
        </row>
        <row r="3702">
          <cell r="C3702" t="str">
            <v>1757306087</v>
          </cell>
          <cell r="AT3702" t="str">
            <v>DE LA ROSA FERRERA JOSE MANUEL</v>
          </cell>
        </row>
        <row r="3703">
          <cell r="C3703" t="str">
            <v>1757306087</v>
          </cell>
          <cell r="AT3703" t="str">
            <v>DE LA ROSA FERRERA JOSE MANUEL</v>
          </cell>
        </row>
        <row r="3704">
          <cell r="C3704" t="str">
            <v>1757306087</v>
          </cell>
          <cell r="AT3704" t="str">
            <v>DE LA ROSA FERRERA JOSE MANUEL</v>
          </cell>
        </row>
        <row r="3705">
          <cell r="C3705" t="str">
            <v>1757306087</v>
          </cell>
          <cell r="AT3705" t="str">
            <v>DE LA ROSA FERRERA JOSE MANUEL</v>
          </cell>
        </row>
        <row r="3706">
          <cell r="C3706" t="str">
            <v>1757306087</v>
          </cell>
          <cell r="AT3706" t="str">
            <v>DE LA ROSA FERRERA JOSE MANUEL</v>
          </cell>
        </row>
        <row r="3707">
          <cell r="C3707" t="str">
            <v>1757306087</v>
          </cell>
          <cell r="AT3707" t="str">
            <v>DE LA ROSA FERRERA JOSE MANUEL</v>
          </cell>
        </row>
        <row r="3708">
          <cell r="C3708" t="str">
            <v>1757306087</v>
          </cell>
          <cell r="AT3708" t="str">
            <v>DE LA ROSA FERRERA JOSE MANUEL</v>
          </cell>
        </row>
        <row r="3709">
          <cell r="C3709" t="str">
            <v>1757306087</v>
          </cell>
          <cell r="AT3709" t="str">
            <v>DE LA ROSA FERRERA JOSE MANUEL</v>
          </cell>
        </row>
        <row r="3710">
          <cell r="C3710" t="str">
            <v>1757306087</v>
          </cell>
          <cell r="AT3710" t="str">
            <v>DE LA ROSA FERRERA JOSE MANUEL</v>
          </cell>
        </row>
        <row r="3711">
          <cell r="C3711" t="str">
            <v>1757306087</v>
          </cell>
          <cell r="AT3711" t="str">
            <v>DE LA ROSA FERRERA JOSE MANUEL</v>
          </cell>
        </row>
        <row r="3712">
          <cell r="C3712" t="str">
            <v>1757306087</v>
          </cell>
          <cell r="AT3712" t="str">
            <v>DE LA ROSA FERRERA JOSE MANUEL</v>
          </cell>
        </row>
        <row r="3713">
          <cell r="C3713" t="str">
            <v>1757306087</v>
          </cell>
          <cell r="AT3713" t="str">
            <v>DE LA ROSA FERRERA JOSE MANUEL</v>
          </cell>
        </row>
        <row r="3714">
          <cell r="C3714" t="str">
            <v>1757306087</v>
          </cell>
          <cell r="AT3714" t="str">
            <v>DE LA ROSA FERRERA JOSE MANUEL</v>
          </cell>
        </row>
        <row r="3715">
          <cell r="C3715" t="str">
            <v>1757306087</v>
          </cell>
          <cell r="AT3715" t="str">
            <v>DE LA ROSA FERRERA JOSE MANUEL</v>
          </cell>
        </row>
        <row r="3716">
          <cell r="C3716" t="str">
            <v>1757306087</v>
          </cell>
          <cell r="AT3716" t="str">
            <v>DE LA ROSA FERRERA JOSE MANUEL</v>
          </cell>
        </row>
        <row r="3717">
          <cell r="C3717" t="str">
            <v>1757306087</v>
          </cell>
          <cell r="AT3717" t="str">
            <v>DE LA ROSA FERRERA JOSE MANUEL</v>
          </cell>
        </row>
        <row r="3718">
          <cell r="C3718" t="str">
            <v>1757374770</v>
          </cell>
          <cell r="AT3718" t="str">
            <v xml:space="preserve">NARANJO CORRIA REBECA </v>
          </cell>
        </row>
        <row r="3719">
          <cell r="C3719" t="str">
            <v>1757374770</v>
          </cell>
          <cell r="AT3719" t="str">
            <v xml:space="preserve">NARANJO CORRIA REBECA </v>
          </cell>
        </row>
        <row r="3720">
          <cell r="C3720" t="str">
            <v>1757374770</v>
          </cell>
          <cell r="AT3720" t="str">
            <v xml:space="preserve">NARANJO CORRIA REBECA </v>
          </cell>
        </row>
        <row r="3721">
          <cell r="C3721" t="str">
            <v>1757374770</v>
          </cell>
          <cell r="AT3721" t="str">
            <v xml:space="preserve">NARANJO CORRIA REBECA </v>
          </cell>
        </row>
        <row r="3722">
          <cell r="C3722" t="str">
            <v>1757374770</v>
          </cell>
          <cell r="AT3722" t="str">
            <v xml:space="preserve">NARANJO CORRIA REBECA </v>
          </cell>
        </row>
        <row r="3723">
          <cell r="C3723" t="str">
            <v>1757374770</v>
          </cell>
          <cell r="AT3723" t="str">
            <v xml:space="preserve">NARANJO CORRIA REBECA </v>
          </cell>
        </row>
        <row r="3724">
          <cell r="C3724" t="str">
            <v>1757374770</v>
          </cell>
          <cell r="AT3724" t="str">
            <v xml:space="preserve">NARANJO CORRIA REBECA </v>
          </cell>
        </row>
        <row r="3725">
          <cell r="C3725" t="str">
            <v>1757374770</v>
          </cell>
          <cell r="AT3725" t="str">
            <v xml:space="preserve">NARANJO CORRIA REBECA </v>
          </cell>
        </row>
        <row r="3726">
          <cell r="C3726" t="str">
            <v>1757374770</v>
          </cell>
          <cell r="AT3726" t="str">
            <v xml:space="preserve">NARANJO CORRIA REBECA </v>
          </cell>
        </row>
        <row r="3727">
          <cell r="C3727" t="str">
            <v>1757374770</v>
          </cell>
          <cell r="AT3727" t="str">
            <v xml:space="preserve">NARANJO CORRIA REBECA </v>
          </cell>
        </row>
        <row r="3728">
          <cell r="C3728" t="str">
            <v>1757374770</v>
          </cell>
          <cell r="AT3728" t="str">
            <v xml:space="preserve">NARANJO CORRIA REBECA </v>
          </cell>
        </row>
        <row r="3729">
          <cell r="C3729" t="str">
            <v>1757374770</v>
          </cell>
          <cell r="AT3729" t="str">
            <v xml:space="preserve">NARANJO CORRIA REBECA </v>
          </cell>
        </row>
        <row r="3730">
          <cell r="C3730" t="str">
            <v>1757374770</v>
          </cell>
          <cell r="AT3730" t="str">
            <v xml:space="preserve">NARANJO CORRIA REBECA </v>
          </cell>
        </row>
        <row r="3731">
          <cell r="C3731" t="str">
            <v>1757374770</v>
          </cell>
          <cell r="AT3731" t="str">
            <v xml:space="preserve">NARANJO CORRIA REBECA </v>
          </cell>
        </row>
        <row r="3732">
          <cell r="C3732" t="str">
            <v>1757351984</v>
          </cell>
          <cell r="AT3732" t="str">
            <v xml:space="preserve">REY SOMOZA NURIA </v>
          </cell>
        </row>
        <row r="3733">
          <cell r="C3733" t="str">
            <v>1757351984</v>
          </cell>
          <cell r="AT3733" t="str">
            <v xml:space="preserve">REY SOMOZA NURIA </v>
          </cell>
        </row>
        <row r="3734">
          <cell r="C3734" t="str">
            <v>1757351984</v>
          </cell>
          <cell r="AT3734" t="str">
            <v xml:space="preserve">REY SOMOZA NURIA </v>
          </cell>
        </row>
        <row r="3735">
          <cell r="C3735" t="str">
            <v>1757351984</v>
          </cell>
          <cell r="AT3735" t="str">
            <v xml:space="preserve">REY SOMOZA NURIA </v>
          </cell>
        </row>
        <row r="3736">
          <cell r="C3736" t="str">
            <v>0803521848</v>
          </cell>
          <cell r="AT3736" t="str">
            <v>RESTREPO LEMACHE SANDRA LISBETH</v>
          </cell>
        </row>
        <row r="3737">
          <cell r="C3737" t="str">
            <v>0803521848</v>
          </cell>
          <cell r="AT3737" t="str">
            <v>RESTREPO LEMACHE SANDRA LISBETH</v>
          </cell>
        </row>
        <row r="3738">
          <cell r="C3738" t="str">
            <v>1757374788</v>
          </cell>
          <cell r="AT3738" t="str">
            <v xml:space="preserve">SUAREZ LEZCANO JOSE </v>
          </cell>
        </row>
        <row r="3739">
          <cell r="C3739" t="str">
            <v>1757374788</v>
          </cell>
          <cell r="AT3739" t="str">
            <v xml:space="preserve">SUAREZ LEZCANO JOSE </v>
          </cell>
        </row>
        <row r="3740">
          <cell r="C3740" t="str">
            <v>1757374788</v>
          </cell>
          <cell r="AT3740" t="str">
            <v xml:space="preserve">SUAREZ LEZCANO JOSE </v>
          </cell>
        </row>
        <row r="3741">
          <cell r="C3741" t="str">
            <v>1757374788</v>
          </cell>
          <cell r="AT3741" t="str">
            <v xml:space="preserve">SUAREZ LEZCANO JOSE </v>
          </cell>
        </row>
        <row r="3742">
          <cell r="C3742" t="str">
            <v>1757374788</v>
          </cell>
          <cell r="AT3742" t="str">
            <v xml:space="preserve">SUAREZ LEZCANO JOSE </v>
          </cell>
        </row>
        <row r="3743">
          <cell r="C3743" t="str">
            <v>0803149145</v>
          </cell>
          <cell r="AT3743" t="str">
            <v>VASQUEZ SANTAMARIA DIANA CAROLINA</v>
          </cell>
        </row>
        <row r="3744">
          <cell r="C3744" t="str">
            <v>0803149145</v>
          </cell>
          <cell r="AT3744" t="str">
            <v>VASQUEZ SANTAMARIA DIANA CAROLINA</v>
          </cell>
        </row>
        <row r="3745">
          <cell r="C3745" t="str">
            <v>0803149145</v>
          </cell>
          <cell r="AT3745" t="str">
            <v>VASQUEZ SANTAMARIA DIANA CAROLINA</v>
          </cell>
        </row>
        <row r="3746">
          <cell r="C3746" t="str">
            <v>0803149145</v>
          </cell>
          <cell r="AT3746" t="str">
            <v>VASQUEZ SANTAMARIA DIANA CAROLINA</v>
          </cell>
        </row>
        <row r="3747">
          <cell r="C3747" t="str">
            <v>0803149145</v>
          </cell>
          <cell r="AT3747" t="str">
            <v>VASQUEZ SANTAMARIA DIANA CAROLINA</v>
          </cell>
        </row>
        <row r="3748">
          <cell r="C3748" t="str">
            <v>0803177336</v>
          </cell>
          <cell r="AT3748" t="str">
            <v>FERNANDEZ TENELANDA LUIS ADRIAN</v>
          </cell>
        </row>
        <row r="3749">
          <cell r="C3749" t="str">
            <v>0803177336</v>
          </cell>
          <cell r="AT3749" t="str">
            <v>FERNANDEZ TENELANDA LUIS ADRIAN</v>
          </cell>
        </row>
        <row r="3750">
          <cell r="C3750" t="str">
            <v>0803177336</v>
          </cell>
          <cell r="AT3750" t="str">
            <v>FERNANDEZ TENELANDA LUIS ADRIAN</v>
          </cell>
        </row>
        <row r="3751">
          <cell r="C3751" t="str">
            <v>0803177336</v>
          </cell>
          <cell r="AT3751" t="str">
            <v>FERNANDEZ TENELANDA LUIS ADRIAN</v>
          </cell>
        </row>
        <row r="3752">
          <cell r="C3752" t="str">
            <v>0803177336</v>
          </cell>
          <cell r="AT3752" t="str">
            <v>FERNANDEZ TENELANDA LUIS ADRIAN</v>
          </cell>
        </row>
        <row r="3753">
          <cell r="C3753" t="str">
            <v>0803177336</v>
          </cell>
          <cell r="AT3753" t="str">
            <v>FERNANDEZ TENELANDA LUIS ADRIAN</v>
          </cell>
        </row>
        <row r="3754">
          <cell r="C3754" t="str">
            <v>0803177336</v>
          </cell>
          <cell r="AT3754" t="str">
            <v>FERNANDEZ TENELANDA LUIS ADRIAN</v>
          </cell>
        </row>
        <row r="3755">
          <cell r="C3755" t="str">
            <v>0803177336</v>
          </cell>
          <cell r="AT3755" t="str">
            <v>FERNANDEZ TENELANDA LUIS ADRIAN</v>
          </cell>
        </row>
        <row r="3756">
          <cell r="C3756" t="str">
            <v>0803822816</v>
          </cell>
          <cell r="AT3756" t="str">
            <v>RODAS LUQUE MARIA JOSE</v>
          </cell>
        </row>
        <row r="3757">
          <cell r="C3757" t="str">
            <v>0803822816</v>
          </cell>
          <cell r="AT3757" t="str">
            <v>RODAS LUQUE MARIA JOSE</v>
          </cell>
        </row>
        <row r="3758">
          <cell r="C3758" t="str">
            <v>0803822816</v>
          </cell>
          <cell r="AT3758" t="str">
            <v>RODAS LUQUE MARIA JOSE</v>
          </cell>
        </row>
        <row r="3759">
          <cell r="C3759" t="str">
            <v>0803822816</v>
          </cell>
          <cell r="AT3759" t="str">
            <v>RODAS LUQUE MARIA JOSE</v>
          </cell>
        </row>
        <row r="3760">
          <cell r="C3760" t="str">
            <v>0803822816</v>
          </cell>
          <cell r="AT3760" t="str">
            <v>RODAS LUQUE MARIA JOSE</v>
          </cell>
        </row>
        <row r="3761">
          <cell r="C3761" t="str">
            <v>0801558545</v>
          </cell>
          <cell r="AT3761" t="str">
            <v>VIVAR CUSME PEARLY EUGENIA</v>
          </cell>
        </row>
        <row r="3762">
          <cell r="C3762" t="str">
            <v>0801558545</v>
          </cell>
          <cell r="AT3762" t="str">
            <v>VIVAR CUSME PEARLY EUGENIA</v>
          </cell>
        </row>
        <row r="3763">
          <cell r="C3763" t="str">
            <v>0801558545</v>
          </cell>
          <cell r="AT3763" t="str">
            <v>VIVAR CUSME PEARLY EUGENIA</v>
          </cell>
        </row>
        <row r="3764">
          <cell r="C3764" t="str">
            <v>0801558545</v>
          </cell>
          <cell r="AT3764" t="str">
            <v>VIVAR CUSME PEARLY EUGENIA</v>
          </cell>
        </row>
        <row r="3765">
          <cell r="C3765" t="str">
            <v>0801558545</v>
          </cell>
          <cell r="AT3765" t="str">
            <v>VIVAR CUSME PEARLY EUGENIA</v>
          </cell>
        </row>
        <row r="3766">
          <cell r="C3766" t="str">
            <v>0801558545</v>
          </cell>
          <cell r="AT3766" t="str">
            <v>VIVAR CUSME PEARLY EUGENIA</v>
          </cell>
        </row>
        <row r="3767">
          <cell r="C3767" t="str">
            <v>0801558545</v>
          </cell>
          <cell r="AT3767" t="str">
            <v>VIVAR CUSME PEARLY EUGENIA</v>
          </cell>
        </row>
        <row r="3768">
          <cell r="C3768" t="str">
            <v>0801558545</v>
          </cell>
          <cell r="AT3768" t="str">
            <v>VIVAR CUSME PEARLY EUGENIA</v>
          </cell>
        </row>
        <row r="3769">
          <cell r="C3769" t="str">
            <v>0802202853</v>
          </cell>
          <cell r="AT3769" t="str">
            <v>MEDINA GODOY ALBA ANNABELLE</v>
          </cell>
        </row>
        <row r="3770">
          <cell r="C3770" t="str">
            <v>0802202853</v>
          </cell>
          <cell r="AT3770" t="str">
            <v>MEDINA GODOY ALBA ANNABELLE</v>
          </cell>
        </row>
        <row r="3771">
          <cell r="C3771" t="str">
            <v>0802202853</v>
          </cell>
          <cell r="AT3771" t="str">
            <v>MEDINA GODOY ALBA ANNABELLE</v>
          </cell>
        </row>
        <row r="3772">
          <cell r="C3772" t="str">
            <v>0802202853</v>
          </cell>
          <cell r="AT3772" t="str">
            <v>MEDINA GODOY ALBA ANNABELLE</v>
          </cell>
        </row>
        <row r="3773">
          <cell r="C3773" t="str">
            <v>0802202853</v>
          </cell>
          <cell r="AT3773" t="str">
            <v>MEDINA GODOY ALBA ANNABELLE</v>
          </cell>
        </row>
        <row r="3774">
          <cell r="C3774" t="str">
            <v>0802202853</v>
          </cell>
          <cell r="AT3774" t="str">
            <v>MEDINA GODOY ALBA ANNABELLE</v>
          </cell>
        </row>
        <row r="3775">
          <cell r="C3775" t="str">
            <v>0802202853</v>
          </cell>
          <cell r="AT3775" t="str">
            <v>MEDINA GODOY ALBA ANNABELLE</v>
          </cell>
        </row>
        <row r="3776">
          <cell r="C3776" t="str">
            <v>0802202853</v>
          </cell>
          <cell r="AT3776" t="str">
            <v>MEDINA GODOY ALBA ANNABELLE</v>
          </cell>
        </row>
        <row r="3777">
          <cell r="C3777" t="str">
            <v>0802202853</v>
          </cell>
          <cell r="AT3777" t="str">
            <v>MEDINA GODOY ALBA ANNABELLE</v>
          </cell>
        </row>
        <row r="3778">
          <cell r="C3778" t="str">
            <v>0802202853</v>
          </cell>
          <cell r="AT3778" t="str">
            <v>MEDINA GODOY ALBA ANNABELLE</v>
          </cell>
        </row>
        <row r="3779">
          <cell r="C3779" t="str">
            <v>0803766518</v>
          </cell>
          <cell r="AT3779" t="str">
            <v>CAICEDO MINA VERONICA CRISTINA</v>
          </cell>
        </row>
        <row r="3780">
          <cell r="C3780" t="str">
            <v>0850556259</v>
          </cell>
          <cell r="AT3780" t="str">
            <v xml:space="preserve">SEVILLA ERAZO FABIOLA </v>
          </cell>
        </row>
        <row r="3781">
          <cell r="C3781" t="str">
            <v>0850556259</v>
          </cell>
          <cell r="AT3781" t="str">
            <v xml:space="preserve">SEVILLA ERAZO FABIOLA </v>
          </cell>
        </row>
        <row r="3782">
          <cell r="C3782" t="str">
            <v>1757473549</v>
          </cell>
          <cell r="AT3782" t="str">
            <v xml:space="preserve">MOLINERO ORTIZ JON </v>
          </cell>
        </row>
        <row r="3783">
          <cell r="C3783" t="str">
            <v>1757473549</v>
          </cell>
          <cell r="AT3783" t="str">
            <v xml:space="preserve">MOLINERO ORTIZ JON </v>
          </cell>
        </row>
        <row r="3784">
          <cell r="C3784" t="str">
            <v>1104871148</v>
          </cell>
          <cell r="AT3784" t="str">
            <v>QUINDE GUAMAN EDWIN RENE</v>
          </cell>
        </row>
        <row r="3785">
          <cell r="C3785" t="str">
            <v>0804318970</v>
          </cell>
          <cell r="AT3785" t="str">
            <v>GONZALEZ LANDAZURI JERRY GEOVANNY</v>
          </cell>
        </row>
        <row r="3786">
          <cell r="C3786" t="str">
            <v>0802909861</v>
          </cell>
          <cell r="AT3786" t="str">
            <v>BALLESTEROS CHICA GUILLERMO ALEXANDER</v>
          </cell>
        </row>
        <row r="3787">
          <cell r="C3787" t="str">
            <v>0803026913</v>
          </cell>
          <cell r="AT3787" t="str">
            <v>DUQUE JIRONZA KAREN JULISSA</v>
          </cell>
        </row>
        <row r="3788">
          <cell r="C3788" t="str">
            <v>0803512219</v>
          </cell>
          <cell r="AT3788" t="str">
            <v>SANDOVAL AÑAPA IGNACIO IDELFONSO</v>
          </cell>
        </row>
        <row r="3789">
          <cell r="C3789" t="str">
            <v>0803512219</v>
          </cell>
          <cell r="AT3789" t="str">
            <v>SANDOVAL AÑAPA IGNACIO IDELFONSO</v>
          </cell>
        </row>
        <row r="3790">
          <cell r="C3790" t="str">
            <v>0803512219</v>
          </cell>
          <cell r="AT3790" t="str">
            <v>SANDOVAL AÑAPA IGNACIO IDELFONSO</v>
          </cell>
        </row>
        <row r="3791">
          <cell r="C3791" t="str">
            <v>0803512219</v>
          </cell>
          <cell r="AT3791" t="str">
            <v>SANDOVAL AÑAPA IGNACIO IDELFONSO</v>
          </cell>
        </row>
        <row r="3792">
          <cell r="C3792" t="str">
            <v>0803512219</v>
          </cell>
          <cell r="AT3792" t="str">
            <v>SANDOVAL AÑAPA IGNACIO IDELFONSO</v>
          </cell>
        </row>
        <row r="3793">
          <cell r="C3793" t="str">
            <v>0803512219</v>
          </cell>
          <cell r="AT3793" t="str">
            <v>SANDOVAL AÑAPA IGNACIO IDELFONSO</v>
          </cell>
        </row>
        <row r="3794">
          <cell r="C3794" t="str">
            <v>0803512219</v>
          </cell>
          <cell r="AT3794" t="str">
            <v>SANDOVAL AÑAPA IGNACIO IDELFONSO</v>
          </cell>
        </row>
        <row r="3795">
          <cell r="C3795" t="str">
            <v>0803512219</v>
          </cell>
          <cell r="AT3795" t="str">
            <v>SANDOVAL AÑAPA IGNACIO IDELFONSO</v>
          </cell>
        </row>
        <row r="3796">
          <cell r="C3796" t="str">
            <v>0803512219</v>
          </cell>
          <cell r="AT3796" t="str">
            <v>SANDOVAL AÑAPA IGNACIO IDELFONSO</v>
          </cell>
        </row>
        <row r="3797">
          <cell r="C3797" t="str">
            <v>0803512219</v>
          </cell>
          <cell r="AT3797" t="str">
            <v>SANDOVAL AÑAPA IGNACIO IDELFONSO</v>
          </cell>
        </row>
        <row r="3798">
          <cell r="C3798" t="str">
            <v>0803512219</v>
          </cell>
          <cell r="AT3798" t="str">
            <v>SANDOVAL AÑAPA IGNACIO IDELFONSO</v>
          </cell>
        </row>
        <row r="3799">
          <cell r="C3799" t="str">
            <v>0803512219</v>
          </cell>
          <cell r="AT3799" t="str">
            <v>SANDOVAL AÑAPA IGNACIO IDELFONSO</v>
          </cell>
        </row>
        <row r="3800">
          <cell r="C3800" t="str">
            <v>0803512219</v>
          </cell>
          <cell r="AT3800" t="str">
            <v>SANDOVAL AÑAPA IGNACIO IDELFONSO</v>
          </cell>
        </row>
        <row r="3801">
          <cell r="C3801" t="str">
            <v>0803512219</v>
          </cell>
          <cell r="AT3801" t="str">
            <v>SANDOVAL AÑAPA IGNACIO IDELFONSO</v>
          </cell>
        </row>
        <row r="3802">
          <cell r="C3802" t="str">
            <v>0803512219</v>
          </cell>
          <cell r="AT3802" t="str">
            <v>SANDOVAL AÑAPA IGNACIO IDELFONSO</v>
          </cell>
        </row>
        <row r="3803">
          <cell r="C3803" t="str">
            <v>0803512219</v>
          </cell>
          <cell r="AT3803" t="str">
            <v>SANDOVAL AÑAPA IGNACIO IDELFONSO</v>
          </cell>
        </row>
        <row r="3804">
          <cell r="C3804" t="str">
            <v>0803512219</v>
          </cell>
          <cell r="AT3804" t="str">
            <v>SANDOVAL AÑAPA IGNACIO IDELFONSO</v>
          </cell>
        </row>
        <row r="3805">
          <cell r="C3805" t="str">
            <v>0803512219</v>
          </cell>
          <cell r="AT3805" t="str">
            <v>SANDOVAL AÑAPA IGNACIO IDELFONSO</v>
          </cell>
        </row>
        <row r="3806">
          <cell r="C3806" t="str">
            <v>0803512219</v>
          </cell>
          <cell r="AT3806" t="str">
            <v>SANDOVAL AÑAPA IGNACIO IDELFONSO</v>
          </cell>
        </row>
        <row r="3807">
          <cell r="C3807" t="str">
            <v>0803512219</v>
          </cell>
          <cell r="AT3807" t="str">
            <v>SANDOVAL AÑAPA IGNACIO IDELFONSO</v>
          </cell>
        </row>
        <row r="3808">
          <cell r="C3808" t="str">
            <v>0803512219</v>
          </cell>
          <cell r="AT3808" t="str">
            <v>SANDOVAL AÑAPA IGNACIO IDELFONSO</v>
          </cell>
        </row>
        <row r="3809">
          <cell r="C3809" t="str">
            <v>0803512219</v>
          </cell>
          <cell r="AT3809" t="str">
            <v>SANDOVAL AÑAPA IGNACIO IDELFONSO</v>
          </cell>
        </row>
        <row r="3810">
          <cell r="C3810" t="str">
            <v>0803512219</v>
          </cell>
          <cell r="AT3810" t="str">
            <v>SANDOVAL AÑAPA IGNACIO IDELFONSO</v>
          </cell>
        </row>
        <row r="3811">
          <cell r="C3811" t="str">
            <v>0803512219</v>
          </cell>
          <cell r="AT3811" t="str">
            <v>SANDOVAL AÑAPA IGNACIO IDELFONSO</v>
          </cell>
        </row>
        <row r="3812">
          <cell r="C3812" t="str">
            <v>0803026939</v>
          </cell>
          <cell r="AT3812" t="str">
            <v>DUQUE JIRONZA LAURA ZULIMA</v>
          </cell>
        </row>
        <row r="3813">
          <cell r="C3813" t="str">
            <v>1757534357</v>
          </cell>
          <cell r="AT3813" t="str">
            <v>MALDONADO ROMAN ISABEL CRISTINA</v>
          </cell>
        </row>
        <row r="3814">
          <cell r="C3814" t="str">
            <v>1757534357</v>
          </cell>
          <cell r="AT3814" t="str">
            <v>MALDONADO ROMAN ISABEL CRISTINA</v>
          </cell>
        </row>
        <row r="3815">
          <cell r="C3815" t="str">
            <v>1757534357</v>
          </cell>
          <cell r="AT3815" t="str">
            <v>MALDONADO ROMAN ISABEL CRISTINA</v>
          </cell>
        </row>
        <row r="3816">
          <cell r="C3816" t="str">
            <v>1757534357</v>
          </cell>
          <cell r="AT3816" t="str">
            <v>MALDONADO ROMAN ISABEL CRISTINA</v>
          </cell>
        </row>
        <row r="3817">
          <cell r="C3817" t="str">
            <v>1757534357</v>
          </cell>
          <cell r="AT3817" t="str">
            <v>MALDONADO ROMAN ISABEL CRISTINA</v>
          </cell>
        </row>
        <row r="3818">
          <cell r="C3818" t="str">
            <v>1757534357</v>
          </cell>
          <cell r="AT3818" t="str">
            <v>MALDONADO ROMAN ISABEL CRISTINA</v>
          </cell>
        </row>
        <row r="3819">
          <cell r="C3819" t="str">
            <v>1757534357</v>
          </cell>
          <cell r="AT3819" t="str">
            <v>MALDONADO ROMAN ISABEL CRISTINA</v>
          </cell>
        </row>
        <row r="3820">
          <cell r="C3820" t="str">
            <v>1757534357</v>
          </cell>
          <cell r="AT3820" t="str">
            <v>MALDONADO ROMAN ISABEL CRISTINA</v>
          </cell>
        </row>
        <row r="3821">
          <cell r="C3821" t="str">
            <v>1757534357</v>
          </cell>
          <cell r="AT3821" t="str">
            <v>MALDONADO ROMAN ISABEL CRISTINA</v>
          </cell>
        </row>
        <row r="3822">
          <cell r="C3822" t="str">
            <v>1757534357</v>
          </cell>
          <cell r="AT3822" t="str">
            <v>MALDONADO ROMAN ISABEL CRISTINA</v>
          </cell>
        </row>
        <row r="3823">
          <cell r="C3823" t="str">
            <v>1757534357</v>
          </cell>
          <cell r="AT3823" t="str">
            <v>MALDONADO ROMAN ISABEL CRISTINA</v>
          </cell>
        </row>
        <row r="3824">
          <cell r="C3824" t="str">
            <v>1757534357</v>
          </cell>
          <cell r="AT3824" t="str">
            <v>MALDONADO ROMAN ISABEL CRISTINA</v>
          </cell>
        </row>
        <row r="3825">
          <cell r="C3825" t="str">
            <v>1757534357</v>
          </cell>
          <cell r="AT3825" t="str">
            <v>MALDONADO ROMAN ISABEL CRISTINA</v>
          </cell>
        </row>
        <row r="3826">
          <cell r="C3826" t="str">
            <v>0801581935</v>
          </cell>
          <cell r="AT3826" t="str">
            <v>QUIÑONEZ QUIÑONEZ ANGEL FERNANDO</v>
          </cell>
        </row>
        <row r="3827">
          <cell r="C3827" t="str">
            <v>0802761676</v>
          </cell>
          <cell r="AT3827" t="str">
            <v>RODRIGUEZ CASTILLO NADIA MARIUXI</v>
          </cell>
        </row>
        <row r="3828">
          <cell r="C3828" t="str">
            <v>1716654296</v>
          </cell>
          <cell r="AT3828" t="str">
            <v>VALLEJO ESPINOZA JOSE RAUL</v>
          </cell>
        </row>
        <row r="3829">
          <cell r="C3829" t="str">
            <v>0103034963</v>
          </cell>
          <cell r="AT3829" t="str">
            <v>SAMPIETRO SAQUICELA JOSE LUIS</v>
          </cell>
        </row>
        <row r="3830">
          <cell r="C3830" t="str">
            <v>0801894379</v>
          </cell>
          <cell r="AT3830" t="str">
            <v>BECERRA GARCIA ADRIANA ESPERANZA</v>
          </cell>
        </row>
        <row r="3831">
          <cell r="C3831" t="str">
            <v>0801894379</v>
          </cell>
          <cell r="AT3831" t="str">
            <v>BECERRA GARCIA ADRIANA ESPERANZA</v>
          </cell>
        </row>
        <row r="3832">
          <cell r="C3832" t="str">
            <v>0801894379</v>
          </cell>
          <cell r="AT3832" t="str">
            <v>BECERRA GARCIA ADRIANA ESPERANZA</v>
          </cell>
        </row>
        <row r="3833">
          <cell r="C3833" t="str">
            <v>0801894379</v>
          </cell>
          <cell r="AT3833" t="str">
            <v>BECERRA GARCIA ADRIANA ESPERANZA</v>
          </cell>
        </row>
        <row r="3834">
          <cell r="C3834" t="str">
            <v>0801894379</v>
          </cell>
          <cell r="AT3834" t="str">
            <v>BECERRA GARCIA ADRIANA ESPERANZA</v>
          </cell>
        </row>
        <row r="3835">
          <cell r="C3835" t="str">
            <v>0801894379</v>
          </cell>
          <cell r="AT3835" t="str">
            <v>BECERRA GARCIA ADRIANA ESPERANZA</v>
          </cell>
        </row>
        <row r="3836">
          <cell r="C3836" t="str">
            <v>0801894379</v>
          </cell>
          <cell r="AT3836" t="str">
            <v>BECERRA GARCIA ADRIANA ESPERANZA</v>
          </cell>
        </row>
        <row r="3837">
          <cell r="C3837" t="str">
            <v>0801894379</v>
          </cell>
          <cell r="AT3837" t="str">
            <v>BECERRA GARCIA ADRIANA ESPERANZA</v>
          </cell>
        </row>
        <row r="3838">
          <cell r="C3838" t="str">
            <v>0801894379</v>
          </cell>
          <cell r="AT3838" t="str">
            <v>BECERRA GARCIA ADRIANA ESPERANZA</v>
          </cell>
        </row>
        <row r="3839">
          <cell r="C3839" t="str">
            <v>0801894379</v>
          </cell>
          <cell r="AT3839" t="str">
            <v>BECERRA GARCIA ADRIANA ESPERANZA</v>
          </cell>
        </row>
        <row r="3840">
          <cell r="C3840" t="str">
            <v>0802721399</v>
          </cell>
          <cell r="AT3840" t="str">
            <v>DOMINGUEZ MEJIA ELVA TATIANA</v>
          </cell>
        </row>
        <row r="3841">
          <cell r="C3841" t="str">
            <v>0802721399</v>
          </cell>
          <cell r="AT3841" t="str">
            <v>DOMINGUEZ MEJIA ELVA TATIANA</v>
          </cell>
        </row>
        <row r="3842">
          <cell r="C3842" t="str">
            <v>0802721399</v>
          </cell>
          <cell r="AT3842" t="str">
            <v>DOMINGUEZ MEJIA ELVA TATIANA</v>
          </cell>
        </row>
        <row r="3843">
          <cell r="C3843" t="str">
            <v>0802721399</v>
          </cell>
          <cell r="AT3843" t="str">
            <v>DOMINGUEZ MEJIA ELVA TATIANA</v>
          </cell>
        </row>
        <row r="3844">
          <cell r="C3844" t="str">
            <v>0802643551</v>
          </cell>
          <cell r="AT3844" t="str">
            <v>CEDEÑO CANGA JENNIFFER JACKELINE</v>
          </cell>
        </row>
        <row r="3845">
          <cell r="C3845" t="str">
            <v>0801692823</v>
          </cell>
          <cell r="AT3845" t="str">
            <v>HIDALGO SOLORZANO LUIS ENRIQUE</v>
          </cell>
        </row>
        <row r="3846">
          <cell r="C3846" t="str">
            <v>0801692823</v>
          </cell>
          <cell r="AT3846" t="str">
            <v>HIDALGO SOLORZANO LUIS ENRIQUE</v>
          </cell>
        </row>
        <row r="3847">
          <cell r="C3847" t="str">
            <v>0801692823</v>
          </cell>
          <cell r="AT3847" t="str">
            <v>HIDALGO SOLORZANO LUIS ENRIQUE</v>
          </cell>
        </row>
        <row r="3848">
          <cell r="C3848" t="str">
            <v>0801692823</v>
          </cell>
          <cell r="AT3848" t="str">
            <v>HIDALGO SOLORZANO LUIS ENRIQUE</v>
          </cell>
        </row>
        <row r="3849">
          <cell r="C3849" t="str">
            <v>0801692823</v>
          </cell>
          <cell r="AT3849" t="str">
            <v>HIDALGO SOLORZANO LUIS ENRIQUE</v>
          </cell>
        </row>
        <row r="3850">
          <cell r="C3850" t="str">
            <v>0801692823</v>
          </cell>
          <cell r="AT3850" t="str">
            <v>HIDALGO SOLORZANO LUIS ENRIQUE</v>
          </cell>
        </row>
        <row r="3851">
          <cell r="C3851" t="str">
            <v>0801692823</v>
          </cell>
          <cell r="AT3851" t="str">
            <v>HIDALGO SOLORZANO LUIS ENRIQUE</v>
          </cell>
        </row>
        <row r="3852">
          <cell r="C3852" t="str">
            <v>0801240128</v>
          </cell>
          <cell r="AT3852" t="str">
            <v>MENDEZ CAICEDO MARIANITA GRISELA</v>
          </cell>
        </row>
        <row r="3853">
          <cell r="C3853" t="str">
            <v>0801240128</v>
          </cell>
          <cell r="AT3853" t="str">
            <v>MENDEZ CAICEDO MARIANITA GRISELA</v>
          </cell>
        </row>
        <row r="3854">
          <cell r="C3854" t="str">
            <v>0801240128</v>
          </cell>
          <cell r="AT3854" t="str">
            <v>MENDEZ CAICEDO MARIANITA GRISELA</v>
          </cell>
        </row>
        <row r="3855">
          <cell r="C3855" t="str">
            <v>0801240128</v>
          </cell>
          <cell r="AT3855" t="str">
            <v>MENDEZ CAICEDO MARIANITA GRISELA</v>
          </cell>
        </row>
        <row r="3856">
          <cell r="C3856" t="str">
            <v>0801240128</v>
          </cell>
          <cell r="AT3856" t="str">
            <v>MENDEZ CAICEDO MARIANITA GRISELA</v>
          </cell>
        </row>
        <row r="3857">
          <cell r="C3857" t="str">
            <v>0801240128</v>
          </cell>
          <cell r="AT3857" t="str">
            <v>MENDEZ CAICEDO MARIANITA GRISELA</v>
          </cell>
        </row>
        <row r="3858">
          <cell r="C3858" t="str">
            <v>0801240128</v>
          </cell>
          <cell r="AT3858" t="str">
            <v>MENDEZ CAICEDO MARIANITA GRISELA</v>
          </cell>
        </row>
        <row r="3859">
          <cell r="C3859" t="str">
            <v>0801240128</v>
          </cell>
          <cell r="AT3859" t="str">
            <v>MENDEZ CAICEDO MARIANITA GRISELA</v>
          </cell>
        </row>
        <row r="3860">
          <cell r="C3860" t="str">
            <v>0801240128</v>
          </cell>
          <cell r="AT3860" t="str">
            <v>MENDEZ CAICEDO MARIANITA GRISELA</v>
          </cell>
        </row>
        <row r="3861">
          <cell r="C3861" t="str">
            <v>0801240128</v>
          </cell>
          <cell r="AT3861" t="str">
            <v>MENDEZ CAICEDO MARIANITA GRISELA</v>
          </cell>
        </row>
        <row r="3862">
          <cell r="C3862" t="str">
            <v>0801240128</v>
          </cell>
          <cell r="AT3862" t="str">
            <v>MENDEZ CAICEDO MARIANITA GRISELA</v>
          </cell>
        </row>
        <row r="3863">
          <cell r="C3863" t="str">
            <v>0801240128</v>
          </cell>
          <cell r="AT3863" t="str">
            <v>MENDEZ CAICEDO MARIANITA GRISELA</v>
          </cell>
        </row>
        <row r="3864">
          <cell r="C3864" t="str">
            <v>0801240128</v>
          </cell>
          <cell r="AT3864" t="str">
            <v>MENDEZ CAICEDO MARIANITA GRISELA</v>
          </cell>
        </row>
        <row r="3865">
          <cell r="C3865" t="str">
            <v>0801240128</v>
          </cell>
          <cell r="AT3865" t="str">
            <v>MENDEZ CAICEDO MARIANITA GRISELA</v>
          </cell>
        </row>
        <row r="3866">
          <cell r="C3866" t="str">
            <v>0801240128</v>
          </cell>
          <cell r="AT3866" t="str">
            <v>MENDEZ CAICEDO MARIANITA GRISELA</v>
          </cell>
        </row>
        <row r="3867">
          <cell r="C3867" t="str">
            <v>0801240128</v>
          </cell>
          <cell r="AT3867" t="str">
            <v>MENDEZ CAICEDO MARIANITA GRISELA</v>
          </cell>
        </row>
        <row r="3868">
          <cell r="C3868" t="str">
            <v>0801240128</v>
          </cell>
          <cell r="AT3868" t="str">
            <v>MENDEZ CAICEDO MARIANITA GRISELA</v>
          </cell>
        </row>
        <row r="3869">
          <cell r="C3869" t="str">
            <v>0801240128</v>
          </cell>
          <cell r="AT3869" t="str">
            <v>MENDEZ CAICEDO MARIANITA GRISELA</v>
          </cell>
        </row>
        <row r="3870">
          <cell r="C3870" t="str">
            <v>0801240128</v>
          </cell>
          <cell r="AT3870" t="str">
            <v>MENDEZ CAICEDO MARIANITA GRISELA</v>
          </cell>
        </row>
        <row r="3871">
          <cell r="C3871" t="str">
            <v>0801240128</v>
          </cell>
          <cell r="AT3871" t="str">
            <v>MENDEZ CAICEDO MARIANITA GRISELA</v>
          </cell>
        </row>
        <row r="3872">
          <cell r="C3872" t="str">
            <v>0801240128</v>
          </cell>
          <cell r="AT3872" t="str">
            <v>MENDEZ CAICEDO MARIANITA GRISELA</v>
          </cell>
        </row>
        <row r="3873">
          <cell r="C3873" t="str">
            <v>0801240128</v>
          </cell>
          <cell r="AT3873" t="str">
            <v>MENDEZ CAICEDO MARIANITA GRISELA</v>
          </cell>
        </row>
        <row r="3874">
          <cell r="C3874" t="str">
            <v>0801240128</v>
          </cell>
          <cell r="AT3874" t="str">
            <v>MENDEZ CAICEDO MARIANITA GRISELA</v>
          </cell>
        </row>
        <row r="3875">
          <cell r="C3875" t="str">
            <v>0801240128</v>
          </cell>
          <cell r="AT3875" t="str">
            <v>MENDEZ CAICEDO MARIANITA GRISELA</v>
          </cell>
        </row>
        <row r="3876">
          <cell r="C3876" t="str">
            <v>0801240128</v>
          </cell>
          <cell r="AT3876" t="str">
            <v>MENDEZ CAICEDO MARIANITA GRISELA</v>
          </cell>
        </row>
        <row r="3877">
          <cell r="C3877" t="str">
            <v>0801240128</v>
          </cell>
          <cell r="AT3877" t="str">
            <v>MENDEZ CAICEDO MARIANITA GRISELA</v>
          </cell>
        </row>
        <row r="3878">
          <cell r="C3878" t="str">
            <v>0801240128</v>
          </cell>
          <cell r="AT3878" t="str">
            <v>MENDEZ CAICEDO MARIANITA GRISELA</v>
          </cell>
        </row>
        <row r="3879">
          <cell r="C3879" t="str">
            <v>0801240128</v>
          </cell>
          <cell r="AT3879" t="str">
            <v>MENDEZ CAICEDO MARIANITA GRISELA</v>
          </cell>
        </row>
        <row r="3880">
          <cell r="C3880" t="str">
            <v>0918753716</v>
          </cell>
          <cell r="AT3880" t="str">
            <v>PATIÑO SANCHEZ JOSE ROBERTO</v>
          </cell>
        </row>
        <row r="3881">
          <cell r="C3881" t="str">
            <v>0802351148</v>
          </cell>
          <cell r="AT3881" t="str">
            <v>QUIROZ PONCE FREDDY HERNAN</v>
          </cell>
        </row>
        <row r="3882">
          <cell r="C3882" t="str">
            <v>0802351148</v>
          </cell>
          <cell r="AT3882" t="str">
            <v>QUIROZ PONCE FREDDY HERNAN</v>
          </cell>
        </row>
        <row r="3883">
          <cell r="C3883" t="str">
            <v>1714440029</v>
          </cell>
          <cell r="AT3883" t="str">
            <v xml:space="preserve">SANCHEZ FLORES ESTEFANIA </v>
          </cell>
        </row>
        <row r="3884">
          <cell r="C3884" t="str">
            <v>1714440029</v>
          </cell>
          <cell r="AT3884" t="str">
            <v xml:space="preserve">SANCHEZ FLORES ESTEFANIA </v>
          </cell>
        </row>
        <row r="3885">
          <cell r="C3885" t="str">
            <v>1714440029</v>
          </cell>
          <cell r="AT3885" t="str">
            <v xml:space="preserve">SANCHEZ FLORES ESTEFANIA </v>
          </cell>
        </row>
        <row r="3886">
          <cell r="C3886" t="str">
            <v>1714440029</v>
          </cell>
          <cell r="AT3886" t="str">
            <v xml:space="preserve">SANCHEZ FLORES ESTEFANIA </v>
          </cell>
        </row>
        <row r="3887">
          <cell r="C3887" t="str">
            <v>1714440029</v>
          </cell>
          <cell r="AT3887" t="str">
            <v xml:space="preserve">SANCHEZ FLORES ESTEFANIA </v>
          </cell>
        </row>
        <row r="3888">
          <cell r="C3888" t="str">
            <v>1714440029</v>
          </cell>
          <cell r="AT3888" t="str">
            <v xml:space="preserve">SANCHEZ FLORES ESTEFANIA </v>
          </cell>
        </row>
        <row r="3889">
          <cell r="C3889" t="str">
            <v>1714440029</v>
          </cell>
          <cell r="AT3889" t="str">
            <v xml:space="preserve">SANCHEZ FLORES ESTEFANIA </v>
          </cell>
        </row>
        <row r="3890">
          <cell r="C3890" t="str">
            <v>1714440029</v>
          </cell>
          <cell r="AT3890" t="str">
            <v xml:space="preserve">SANCHEZ FLORES ESTEFANIA </v>
          </cell>
        </row>
        <row r="3891">
          <cell r="C3891" t="str">
            <v>1714440029</v>
          </cell>
          <cell r="AT3891" t="str">
            <v xml:space="preserve">SANCHEZ FLORES ESTEFANIA </v>
          </cell>
        </row>
        <row r="3892">
          <cell r="C3892" t="str">
            <v>1714440029</v>
          </cell>
          <cell r="AT3892" t="str">
            <v xml:space="preserve">SANCHEZ FLORES ESTEFANIA </v>
          </cell>
        </row>
        <row r="3893">
          <cell r="C3893" t="str">
            <v>1714440029</v>
          </cell>
          <cell r="AT3893" t="str">
            <v xml:space="preserve">SANCHEZ FLORES ESTEFANIA </v>
          </cell>
        </row>
        <row r="3894">
          <cell r="C3894" t="str">
            <v>1714440029</v>
          </cell>
          <cell r="AT3894" t="str">
            <v xml:space="preserve">SANCHEZ FLORES ESTEFANIA </v>
          </cell>
        </row>
        <row r="3895">
          <cell r="C3895" t="str">
            <v>1714440029</v>
          </cell>
          <cell r="AT3895" t="str">
            <v xml:space="preserve">SANCHEZ FLORES ESTEFANIA </v>
          </cell>
        </row>
        <row r="3896">
          <cell r="C3896" t="str">
            <v>1714440029</v>
          </cell>
          <cell r="AT3896" t="str">
            <v xml:space="preserve">SANCHEZ FLORES ESTEFANIA </v>
          </cell>
        </row>
        <row r="3897">
          <cell r="C3897" t="str">
            <v>1757059793</v>
          </cell>
          <cell r="AT3897" t="str">
            <v>SUAREZ CARREÑO FRANYELIT MARIA</v>
          </cell>
        </row>
        <row r="3898">
          <cell r="C3898" t="str">
            <v>1757059793</v>
          </cell>
          <cell r="AT3898" t="str">
            <v>SUAREZ CARREÑO FRANYELIT MARIA</v>
          </cell>
        </row>
        <row r="3899">
          <cell r="C3899" t="str">
            <v>1757059793</v>
          </cell>
          <cell r="AT3899" t="str">
            <v>SUAREZ CARREÑO FRANYELIT MARIA</v>
          </cell>
        </row>
        <row r="3900">
          <cell r="C3900" t="str">
            <v>1757059793</v>
          </cell>
          <cell r="AT3900" t="str">
            <v>SUAREZ CARREÑO FRANYELIT MARIA</v>
          </cell>
        </row>
        <row r="3901">
          <cell r="C3901" t="str">
            <v>1757059793</v>
          </cell>
          <cell r="AT3901" t="str">
            <v>SUAREZ CARREÑO FRANYELIT MARIA</v>
          </cell>
        </row>
        <row r="3902">
          <cell r="C3902" t="str">
            <v>1757059793</v>
          </cell>
          <cell r="AT3902" t="str">
            <v>SUAREZ CARREÑO FRANYELIT MARIA</v>
          </cell>
        </row>
        <row r="3903">
          <cell r="C3903" t="str">
            <v>1757059793</v>
          </cell>
          <cell r="AT3903" t="str">
            <v>SUAREZ CARREÑO FRANYELIT MARIA</v>
          </cell>
        </row>
        <row r="3904">
          <cell r="C3904" t="str">
            <v>1757059793</v>
          </cell>
          <cell r="AT3904" t="str">
            <v>SUAREZ CARREÑO FRANYELIT MARIA</v>
          </cell>
        </row>
        <row r="3905">
          <cell r="C3905" t="str">
            <v>1757059793</v>
          </cell>
          <cell r="AT3905" t="str">
            <v>SUAREZ CARREÑO FRANYELIT MARIA</v>
          </cell>
        </row>
        <row r="3906">
          <cell r="C3906" t="str">
            <v>1757059793</v>
          </cell>
          <cell r="AT3906" t="str">
            <v>SUAREZ CARREÑO FRANYELIT MARIA</v>
          </cell>
        </row>
        <row r="3907">
          <cell r="C3907" t="str">
            <v>1757059793</v>
          </cell>
          <cell r="AT3907" t="str">
            <v>SUAREZ CARREÑO FRANYELIT MARIA</v>
          </cell>
        </row>
        <row r="3908">
          <cell r="C3908" t="str">
            <v>1757059793</v>
          </cell>
          <cell r="AT3908" t="str">
            <v>SUAREZ CARREÑO FRANYELIT MARIA</v>
          </cell>
        </row>
        <row r="3909">
          <cell r="C3909" t="str">
            <v>1757059793</v>
          </cell>
          <cell r="AT3909" t="str">
            <v>SUAREZ CARREÑO FRANYELIT MARIA</v>
          </cell>
        </row>
        <row r="3910">
          <cell r="C3910" t="str">
            <v>1757059793</v>
          </cell>
          <cell r="AT3910" t="str">
            <v>SUAREZ CARREÑO FRANYELIT MARIA</v>
          </cell>
        </row>
        <row r="3911">
          <cell r="C3911" t="str">
            <v>1757059793</v>
          </cell>
          <cell r="AT3911" t="str">
            <v>SUAREZ CARREÑO FRANYELIT MARIA</v>
          </cell>
        </row>
        <row r="3912">
          <cell r="C3912" t="str">
            <v>1757059793</v>
          </cell>
          <cell r="AT3912" t="str">
            <v>SUAREZ CARREÑO FRANYELIT MARIA</v>
          </cell>
        </row>
        <row r="3913">
          <cell r="C3913" t="str">
            <v>1757059793</v>
          </cell>
          <cell r="AT3913" t="str">
            <v>SUAREZ CARREÑO FRANYELIT MARIA</v>
          </cell>
        </row>
        <row r="3914">
          <cell r="C3914" t="str">
            <v>1757059793</v>
          </cell>
          <cell r="AT3914" t="str">
            <v>SUAREZ CARREÑO FRANYELIT MARIA</v>
          </cell>
        </row>
        <row r="3915">
          <cell r="C3915" t="str">
            <v>1757059793</v>
          </cell>
          <cell r="AT3915" t="str">
            <v>SUAREZ CARREÑO FRANYELIT MARIA</v>
          </cell>
        </row>
        <row r="3916">
          <cell r="C3916" t="str">
            <v>1757059793</v>
          </cell>
          <cell r="AT3916" t="str">
            <v>SUAREZ CARREÑO FRANYELIT MARIA</v>
          </cell>
        </row>
        <row r="3917">
          <cell r="C3917" t="str">
            <v>1757059793</v>
          </cell>
          <cell r="AT3917" t="str">
            <v>SUAREZ CARREÑO FRANYELIT MARIA</v>
          </cell>
        </row>
        <row r="3918">
          <cell r="C3918" t="str">
            <v>1757059793</v>
          </cell>
          <cell r="AT3918" t="str">
            <v>SUAREZ CARREÑO FRANYELIT MARIA</v>
          </cell>
        </row>
        <row r="3919">
          <cell r="C3919" t="str">
            <v>1757059793</v>
          </cell>
          <cell r="AT3919" t="str">
            <v>SUAREZ CARREÑO FRANYELIT MARIA</v>
          </cell>
        </row>
        <row r="3920">
          <cell r="C3920" t="str">
            <v>1757059793</v>
          </cell>
          <cell r="AT3920" t="str">
            <v>SUAREZ CARREÑO FRANYELIT MARIA</v>
          </cell>
        </row>
        <row r="3921">
          <cell r="C3921" t="str">
            <v>1757059793</v>
          </cell>
          <cell r="AT3921" t="str">
            <v>SUAREZ CARREÑO FRANYELIT MARIA</v>
          </cell>
        </row>
        <row r="3922">
          <cell r="C3922" t="str">
            <v>1757059793</v>
          </cell>
          <cell r="AT3922" t="str">
            <v>SUAREZ CARREÑO FRANYELIT MARIA</v>
          </cell>
        </row>
        <row r="3923">
          <cell r="C3923" t="str">
            <v>1757059793</v>
          </cell>
          <cell r="AT3923" t="str">
            <v>SUAREZ CARREÑO FRANYELIT MARIA</v>
          </cell>
        </row>
        <row r="3924">
          <cell r="C3924" t="str">
            <v>1757059793</v>
          </cell>
          <cell r="AT3924" t="str">
            <v>SUAREZ CARREÑO FRANYELIT MARIA</v>
          </cell>
        </row>
        <row r="3925">
          <cell r="C3925" t="str">
            <v>1757059793</v>
          </cell>
          <cell r="AT3925" t="str">
            <v>SUAREZ CARREÑO FRANYELIT MARIA</v>
          </cell>
        </row>
        <row r="3926">
          <cell r="C3926" t="str">
            <v>1757059793</v>
          </cell>
          <cell r="AT3926" t="str">
            <v>SUAREZ CARREÑO FRANYELIT MARIA</v>
          </cell>
        </row>
        <row r="3927">
          <cell r="C3927" t="str">
            <v>1757059793</v>
          </cell>
          <cell r="AT3927" t="str">
            <v>SUAREZ CARREÑO FRANYELIT MARIA</v>
          </cell>
        </row>
        <row r="3928">
          <cell r="C3928" t="str">
            <v>1757059793</v>
          </cell>
          <cell r="AT3928" t="str">
            <v>SUAREZ CARREÑO FRANYELIT MARIA</v>
          </cell>
        </row>
        <row r="3929">
          <cell r="C3929" t="str">
            <v>1757059793</v>
          </cell>
          <cell r="AT3929" t="str">
            <v>SUAREZ CARREÑO FRANYELIT MARIA</v>
          </cell>
        </row>
        <row r="3930">
          <cell r="C3930" t="str">
            <v>1757059793</v>
          </cell>
          <cell r="AT3930" t="str">
            <v>SUAREZ CARREÑO FRANYELIT MARIA</v>
          </cell>
        </row>
        <row r="3931">
          <cell r="C3931" t="str">
            <v>1757059793</v>
          </cell>
          <cell r="AT3931" t="str">
            <v>SUAREZ CARREÑO FRANYELIT MARIA</v>
          </cell>
        </row>
        <row r="3932">
          <cell r="C3932" t="str">
            <v>1757059793</v>
          </cell>
          <cell r="AT3932" t="str">
            <v>SUAREZ CARREÑO FRANYELIT MARIA</v>
          </cell>
        </row>
        <row r="3933">
          <cell r="C3933" t="str">
            <v>1757059793</v>
          </cell>
          <cell r="AT3933" t="str">
            <v>SUAREZ CARREÑO FRANYELIT MARIA</v>
          </cell>
        </row>
        <row r="3934">
          <cell r="C3934" t="str">
            <v>1757059793</v>
          </cell>
          <cell r="AT3934" t="str">
            <v>SUAREZ CARREÑO FRANYELIT MARIA</v>
          </cell>
        </row>
        <row r="3935">
          <cell r="C3935" t="str">
            <v>1757059793</v>
          </cell>
          <cell r="AT3935" t="str">
            <v>SUAREZ CARREÑO FRANYELIT MARIA</v>
          </cell>
        </row>
        <row r="3936">
          <cell r="C3936" t="str">
            <v>1757059793</v>
          </cell>
          <cell r="AT3936" t="str">
            <v>SUAREZ CARREÑO FRANYELIT MARIA</v>
          </cell>
        </row>
        <row r="3937">
          <cell r="C3937" t="str">
            <v>1757059793</v>
          </cell>
          <cell r="AT3937" t="str">
            <v>SUAREZ CARREÑO FRANYELIT MARIA</v>
          </cell>
        </row>
        <row r="3938">
          <cell r="C3938" t="str">
            <v>1757059793</v>
          </cell>
          <cell r="AT3938" t="str">
            <v>SUAREZ CARREÑO FRANYELIT MARIA</v>
          </cell>
        </row>
        <row r="3939">
          <cell r="C3939" t="str">
            <v>1757059793</v>
          </cell>
          <cell r="AT3939" t="str">
            <v>SUAREZ CARREÑO FRANYELIT MARIA</v>
          </cell>
        </row>
        <row r="3940">
          <cell r="C3940" t="str">
            <v>1757059793</v>
          </cell>
          <cell r="AT3940" t="str">
            <v>SUAREZ CARREÑO FRANYELIT MARIA</v>
          </cell>
        </row>
        <row r="3941">
          <cell r="C3941" t="str">
            <v>1757059793</v>
          </cell>
          <cell r="AT3941" t="str">
            <v>SUAREZ CARREÑO FRANYELIT MARIA</v>
          </cell>
        </row>
        <row r="3942">
          <cell r="C3942" t="str">
            <v>1757059793</v>
          </cell>
          <cell r="AT3942" t="str">
            <v>SUAREZ CARREÑO FRANYELIT MARIA</v>
          </cell>
        </row>
        <row r="3943">
          <cell r="C3943" t="str">
            <v>1757059793</v>
          </cell>
          <cell r="AT3943" t="str">
            <v>SUAREZ CARREÑO FRANYELIT MARIA</v>
          </cell>
        </row>
        <row r="3944">
          <cell r="C3944" t="str">
            <v>1757059793</v>
          </cell>
          <cell r="AT3944" t="str">
            <v>SUAREZ CARREÑO FRANYELIT MARIA</v>
          </cell>
        </row>
        <row r="3945">
          <cell r="C3945" t="str">
            <v>1757059793</v>
          </cell>
          <cell r="AT3945" t="str">
            <v>SUAREZ CARREÑO FRANYELIT MARIA</v>
          </cell>
        </row>
        <row r="3946">
          <cell r="C3946" t="str">
            <v>1757059793</v>
          </cell>
          <cell r="AT3946" t="str">
            <v>SUAREZ CARREÑO FRANYELIT MARIA</v>
          </cell>
        </row>
        <row r="3947">
          <cell r="C3947" t="str">
            <v>1757059793</v>
          </cell>
          <cell r="AT3947" t="str">
            <v>SUAREZ CARREÑO FRANYELIT MARIA</v>
          </cell>
        </row>
        <row r="3948">
          <cell r="C3948" t="str">
            <v>1757059793</v>
          </cell>
          <cell r="AT3948" t="str">
            <v>SUAREZ CARREÑO FRANYELIT MARIA</v>
          </cell>
        </row>
        <row r="3949">
          <cell r="C3949" t="str">
            <v>1757059793</v>
          </cell>
          <cell r="AT3949" t="str">
            <v>SUAREZ CARREÑO FRANYELIT MARIA</v>
          </cell>
        </row>
        <row r="3950">
          <cell r="C3950" t="str">
            <v>1757059793</v>
          </cell>
          <cell r="AT3950" t="str">
            <v>SUAREZ CARREÑO FRANYELIT MARIA</v>
          </cell>
        </row>
        <row r="3951">
          <cell r="C3951" t="str">
            <v>1757059793</v>
          </cell>
          <cell r="AT3951" t="str">
            <v>SUAREZ CARREÑO FRANYELIT MARIA</v>
          </cell>
        </row>
        <row r="3952">
          <cell r="C3952" t="str">
            <v>1757053390</v>
          </cell>
          <cell r="AT3952" t="str">
            <v>SUAREZ SURI PEDRO ROBERTO</v>
          </cell>
        </row>
        <row r="3953">
          <cell r="C3953" t="str">
            <v>1757053390</v>
          </cell>
          <cell r="AT3953" t="str">
            <v>SUAREZ SURI PEDRO ROBERTO</v>
          </cell>
        </row>
        <row r="3954">
          <cell r="C3954" t="str">
            <v>1757053390</v>
          </cell>
          <cell r="AT3954" t="str">
            <v>SUAREZ SURI PEDRO ROBERTO</v>
          </cell>
        </row>
        <row r="3955">
          <cell r="C3955" t="str">
            <v>1757053390</v>
          </cell>
          <cell r="AT3955" t="str">
            <v>SUAREZ SURI PEDRO ROBERTO</v>
          </cell>
        </row>
        <row r="3956">
          <cell r="C3956" t="str">
            <v>1757053390</v>
          </cell>
          <cell r="AT3956" t="str">
            <v>SUAREZ SURI PEDRO ROBERTO</v>
          </cell>
        </row>
        <row r="3957">
          <cell r="C3957" t="str">
            <v>1757053390</v>
          </cell>
          <cell r="AT3957" t="str">
            <v>SUAREZ SURI PEDRO ROBERTO</v>
          </cell>
        </row>
        <row r="3958">
          <cell r="C3958" t="str">
            <v>1757053390</v>
          </cell>
          <cell r="AT3958" t="str">
            <v>SUAREZ SURI PEDRO ROBERTO</v>
          </cell>
        </row>
        <row r="3959">
          <cell r="C3959" t="str">
            <v>1757053390</v>
          </cell>
          <cell r="AT3959" t="str">
            <v>SUAREZ SURI PEDRO ROBERTO</v>
          </cell>
        </row>
        <row r="3960">
          <cell r="C3960" t="str">
            <v>1757053390</v>
          </cell>
          <cell r="AT3960" t="str">
            <v>SUAREZ SURI PEDRO ROBERTO</v>
          </cell>
        </row>
        <row r="3961">
          <cell r="C3961" t="str">
            <v>1757053390</v>
          </cell>
          <cell r="AT3961" t="str">
            <v>SUAREZ SURI PEDRO ROBERTO</v>
          </cell>
        </row>
        <row r="3962">
          <cell r="C3962" t="str">
            <v>1757053390</v>
          </cell>
          <cell r="AT3962" t="str">
            <v>SUAREZ SURI PEDRO ROBERTO</v>
          </cell>
        </row>
        <row r="3963">
          <cell r="C3963" t="str">
            <v>1757053390</v>
          </cell>
          <cell r="AT3963" t="str">
            <v>SUAREZ SURI PEDRO ROBERTO</v>
          </cell>
        </row>
        <row r="3964">
          <cell r="C3964" t="str">
            <v>1757053390</v>
          </cell>
          <cell r="AT3964" t="str">
            <v>SUAREZ SURI PEDRO ROBERTO</v>
          </cell>
        </row>
        <row r="3965">
          <cell r="C3965" t="str">
            <v>1757053390</v>
          </cell>
          <cell r="AT3965" t="str">
            <v>SUAREZ SURI PEDRO ROBERTO</v>
          </cell>
        </row>
        <row r="3966">
          <cell r="C3966" t="str">
            <v>1757053390</v>
          </cell>
          <cell r="AT3966" t="str">
            <v>SUAREZ SURI PEDRO ROBERTO</v>
          </cell>
        </row>
        <row r="3967">
          <cell r="C3967" t="str">
            <v>1757053390</v>
          </cell>
          <cell r="AT3967" t="str">
            <v>SUAREZ SURI PEDRO ROBERTO</v>
          </cell>
        </row>
        <row r="3968">
          <cell r="C3968" t="str">
            <v>1757053390</v>
          </cell>
          <cell r="AT3968" t="str">
            <v>SUAREZ SURI PEDRO ROBERTO</v>
          </cell>
        </row>
        <row r="3969">
          <cell r="C3969" t="str">
            <v>1757053390</v>
          </cell>
          <cell r="AT3969" t="str">
            <v>SUAREZ SURI PEDRO ROBERTO</v>
          </cell>
        </row>
        <row r="3970">
          <cell r="C3970" t="str">
            <v>1757053390</v>
          </cell>
          <cell r="AT3970" t="str">
            <v>SUAREZ SURI PEDRO ROBERTO</v>
          </cell>
        </row>
        <row r="3971">
          <cell r="C3971" t="str">
            <v>1250036082</v>
          </cell>
          <cell r="AT3971" t="str">
            <v>ACOSTA GANAN MICHAEL ANDRES</v>
          </cell>
        </row>
        <row r="3972">
          <cell r="C3972" t="str">
            <v>1250036082</v>
          </cell>
          <cell r="AT3972" t="str">
            <v>ACOSTA GANAN MICHAEL ANDRES</v>
          </cell>
        </row>
        <row r="3973">
          <cell r="C3973" t="str">
            <v>1250036082</v>
          </cell>
          <cell r="AT3973" t="str">
            <v>ACOSTA GANAN MICHAEL ANDRES</v>
          </cell>
        </row>
        <row r="3974">
          <cell r="C3974" t="str">
            <v>1250036082</v>
          </cell>
          <cell r="AT3974" t="str">
            <v>ACOSTA GANAN MICHAEL ANDRES</v>
          </cell>
        </row>
        <row r="3975">
          <cell r="C3975" t="str">
            <v>1720161650</v>
          </cell>
          <cell r="AT3975" t="str">
            <v>VINUEZA CHERREZ RUBEN ANDRES</v>
          </cell>
        </row>
        <row r="3976">
          <cell r="C3976" t="str">
            <v>1720161650</v>
          </cell>
          <cell r="AT3976" t="str">
            <v>VINUEZA CHERREZ RUBEN ANDRES</v>
          </cell>
        </row>
        <row r="3977">
          <cell r="C3977" t="str">
            <v>1720161650</v>
          </cell>
          <cell r="AT3977" t="str">
            <v>VINUEZA CHERREZ RUBEN ANDRES</v>
          </cell>
        </row>
        <row r="3978">
          <cell r="C3978" t="str">
            <v>1720161650</v>
          </cell>
          <cell r="AT3978" t="str">
            <v>VINUEZA CHERREZ RUBEN ANDRES</v>
          </cell>
        </row>
        <row r="3979">
          <cell r="C3979" t="str">
            <v>1720161650</v>
          </cell>
          <cell r="AT3979" t="str">
            <v>VINUEZA CHERREZ RUBEN ANDRES</v>
          </cell>
        </row>
        <row r="3980">
          <cell r="C3980" t="str">
            <v>1720161650</v>
          </cell>
          <cell r="AT3980" t="str">
            <v>VINUEZA CHERREZ RUBEN ANDRES</v>
          </cell>
        </row>
        <row r="3981">
          <cell r="C3981" t="str">
            <v>1720161650</v>
          </cell>
          <cell r="AT3981" t="str">
            <v>VINUEZA CHERREZ RUBEN ANDRES</v>
          </cell>
        </row>
        <row r="3982">
          <cell r="C3982" t="str">
            <v>1720161650</v>
          </cell>
          <cell r="AT3982" t="str">
            <v>VINUEZA CHERREZ RUBEN ANDRES</v>
          </cell>
        </row>
        <row r="3983">
          <cell r="C3983" t="str">
            <v>1720161650</v>
          </cell>
          <cell r="AT3983" t="str">
            <v>VINUEZA CHERREZ RUBEN ANDRES</v>
          </cell>
        </row>
        <row r="3984">
          <cell r="C3984" t="str">
            <v>1720161650</v>
          </cell>
          <cell r="AT3984" t="str">
            <v>VINUEZA CHERREZ RUBEN ANDRES</v>
          </cell>
        </row>
        <row r="3985">
          <cell r="C3985" t="str">
            <v>1720161650</v>
          </cell>
          <cell r="AT3985" t="str">
            <v>VINUEZA CHERREZ RUBEN ANDRES</v>
          </cell>
        </row>
        <row r="3986">
          <cell r="C3986" t="str">
            <v>1720161650</v>
          </cell>
          <cell r="AT3986" t="str">
            <v>VINUEZA CHERREZ RUBEN ANDRES</v>
          </cell>
        </row>
        <row r="3987">
          <cell r="C3987" t="str">
            <v>1803126679</v>
          </cell>
          <cell r="AT3987" t="str">
            <v>CHANGO SAILEMA WILSON GUSTAVO</v>
          </cell>
        </row>
        <row r="3988">
          <cell r="C3988" t="str">
            <v>1803126679</v>
          </cell>
          <cell r="AT3988" t="str">
            <v>CHANGO SAILEMA WILSON GUSTAVO</v>
          </cell>
        </row>
        <row r="3989">
          <cell r="C3989" t="str">
            <v>1803126679</v>
          </cell>
          <cell r="AT3989" t="str">
            <v>CHANGO SAILEMA WILSON GUSTAVO</v>
          </cell>
        </row>
        <row r="3990">
          <cell r="C3990" t="str">
            <v>1803126679</v>
          </cell>
          <cell r="AT3990" t="str">
            <v>CHANGO SAILEMA WILSON GUSTAVO</v>
          </cell>
        </row>
        <row r="3991">
          <cell r="C3991" t="str">
            <v>1803126679</v>
          </cell>
          <cell r="AT3991" t="str">
            <v>CHANGO SAILEMA WILSON GUSTAVO</v>
          </cell>
        </row>
        <row r="3992">
          <cell r="C3992" t="str">
            <v>1803126679</v>
          </cell>
          <cell r="AT3992" t="str">
            <v>CHANGO SAILEMA WILSON GUSTAVO</v>
          </cell>
        </row>
        <row r="3993">
          <cell r="C3993" t="str">
            <v>1803126679</v>
          </cell>
          <cell r="AT3993" t="str">
            <v>CHANGO SAILEMA WILSON GUSTAVO</v>
          </cell>
        </row>
        <row r="3994">
          <cell r="C3994" t="str">
            <v>1803126679</v>
          </cell>
          <cell r="AT3994" t="str">
            <v>CHANGO SAILEMA WILSON GUSTAVO</v>
          </cell>
        </row>
        <row r="3995">
          <cell r="C3995" t="str">
            <v>1803126679</v>
          </cell>
          <cell r="AT3995" t="str">
            <v>CHANGO SAILEMA WILSON GUSTAVO</v>
          </cell>
        </row>
        <row r="3996">
          <cell r="C3996" t="str">
            <v>1803126679</v>
          </cell>
          <cell r="AT3996" t="str">
            <v>CHANGO SAILEMA WILSON GUSTAVO</v>
          </cell>
        </row>
        <row r="3997">
          <cell r="C3997" t="str">
            <v>1803126679</v>
          </cell>
          <cell r="AT3997" t="str">
            <v>CHANGO SAILEMA WILSON GUSTAVO</v>
          </cell>
        </row>
        <row r="3998">
          <cell r="C3998" t="str">
            <v>1803126679</v>
          </cell>
          <cell r="AT3998" t="str">
            <v>CHANGO SAILEMA WILSON GUSTAVO</v>
          </cell>
        </row>
        <row r="3999">
          <cell r="C3999" t="str">
            <v>1803126679</v>
          </cell>
          <cell r="AT3999" t="str">
            <v>CHANGO SAILEMA WILSON GUSTAVO</v>
          </cell>
        </row>
        <row r="4000">
          <cell r="C4000" t="str">
            <v>1803126679</v>
          </cell>
          <cell r="AT4000" t="str">
            <v>CHANGO SAILEMA WILSON GUSTAVO</v>
          </cell>
        </row>
        <row r="4001">
          <cell r="C4001" t="str">
            <v>1803126679</v>
          </cell>
          <cell r="AT4001" t="str">
            <v>CHANGO SAILEMA WILSON GUSTAVO</v>
          </cell>
        </row>
        <row r="4002">
          <cell r="C4002" t="str">
            <v>0301435012</v>
          </cell>
          <cell r="AT4002" t="str">
            <v>SAYAGO HEREDIA JAIME PAUL</v>
          </cell>
        </row>
        <row r="4003">
          <cell r="C4003" t="str">
            <v>0301435012</v>
          </cell>
          <cell r="AT4003" t="str">
            <v>SAYAGO HEREDIA JAIME PAUL</v>
          </cell>
        </row>
        <row r="4004">
          <cell r="C4004" t="str">
            <v>0301435012</v>
          </cell>
          <cell r="AT4004" t="str">
            <v>SAYAGO HEREDIA JAIME PAUL</v>
          </cell>
        </row>
        <row r="4005">
          <cell r="C4005" t="str">
            <v>0301435012</v>
          </cell>
          <cell r="AT4005" t="str">
            <v>SAYAGO HEREDIA JAIME PAUL</v>
          </cell>
        </row>
        <row r="4006">
          <cell r="C4006" t="str">
            <v>0301435012</v>
          </cell>
          <cell r="AT4006" t="str">
            <v>SAYAGO HEREDIA JAIME PAUL</v>
          </cell>
        </row>
        <row r="4007">
          <cell r="C4007" t="str">
            <v>0301435012</v>
          </cell>
          <cell r="AT4007" t="str">
            <v>SAYAGO HEREDIA JAIME PAUL</v>
          </cell>
        </row>
        <row r="4008">
          <cell r="C4008" t="str">
            <v>0301435012</v>
          </cell>
          <cell r="AT4008" t="str">
            <v>SAYAGO HEREDIA JAIME PAUL</v>
          </cell>
        </row>
        <row r="4009">
          <cell r="C4009" t="str">
            <v>0301435012</v>
          </cell>
          <cell r="AT4009" t="str">
            <v>SAYAGO HEREDIA JAIME PAUL</v>
          </cell>
        </row>
        <row r="4010">
          <cell r="C4010" t="str">
            <v>0301435012</v>
          </cell>
          <cell r="AT4010" t="str">
            <v>SAYAGO HEREDIA JAIME PAUL</v>
          </cell>
        </row>
        <row r="4011">
          <cell r="C4011" t="str">
            <v>0301435012</v>
          </cell>
          <cell r="AT4011" t="str">
            <v>SAYAGO HEREDIA JAIME PAUL</v>
          </cell>
        </row>
        <row r="4012">
          <cell r="C4012" t="str">
            <v>0301435012</v>
          </cell>
          <cell r="AT4012" t="str">
            <v>SAYAGO HEREDIA JAIME PAUL</v>
          </cell>
        </row>
        <row r="4013">
          <cell r="C4013" t="str">
            <v>0301435012</v>
          </cell>
          <cell r="AT4013" t="str">
            <v>SAYAGO HEREDIA JAIME PAUL</v>
          </cell>
        </row>
        <row r="4014">
          <cell r="C4014" t="str">
            <v>0301435012</v>
          </cell>
          <cell r="AT4014" t="str">
            <v>SAYAGO HEREDIA JAIME PAUL</v>
          </cell>
        </row>
        <row r="4015">
          <cell r="C4015" t="str">
            <v>0301435012</v>
          </cell>
          <cell r="AT4015" t="str">
            <v>SAYAGO HEREDIA JAIME PAUL</v>
          </cell>
        </row>
        <row r="4016">
          <cell r="C4016" t="str">
            <v>0301435012</v>
          </cell>
          <cell r="AT4016" t="str">
            <v>SAYAGO HEREDIA JAIME PAUL</v>
          </cell>
        </row>
        <row r="4017">
          <cell r="C4017" t="str">
            <v>0301435012</v>
          </cell>
          <cell r="AT4017" t="str">
            <v>SAYAGO HEREDIA JAIME PAUL</v>
          </cell>
        </row>
        <row r="4018">
          <cell r="C4018" t="str">
            <v>0301435012</v>
          </cell>
          <cell r="AT4018" t="str">
            <v>SAYAGO HEREDIA JAIME PAUL</v>
          </cell>
        </row>
        <row r="4019">
          <cell r="C4019" t="str">
            <v>0301435012</v>
          </cell>
          <cell r="AT4019" t="str">
            <v>SAYAGO HEREDIA JAIME PAUL</v>
          </cell>
        </row>
        <row r="4020">
          <cell r="C4020" t="str">
            <v>0301435012</v>
          </cell>
          <cell r="AT4020" t="str">
            <v>SAYAGO HEREDIA JAIME PAUL</v>
          </cell>
        </row>
        <row r="4021">
          <cell r="C4021" t="str">
            <v>0301435012</v>
          </cell>
          <cell r="AT4021" t="str">
            <v>SAYAGO HEREDIA JAIME PAUL</v>
          </cell>
        </row>
        <row r="4022">
          <cell r="C4022" t="str">
            <v>0301435012</v>
          </cell>
          <cell r="AT4022" t="str">
            <v>SAYAGO HEREDIA JAIME PAUL</v>
          </cell>
        </row>
        <row r="4023">
          <cell r="C4023" t="str">
            <v>0301435012</v>
          </cell>
          <cell r="AT4023" t="str">
            <v>SAYAGO HEREDIA JAIME PAUL</v>
          </cell>
        </row>
        <row r="4024">
          <cell r="C4024" t="str">
            <v>0301435012</v>
          </cell>
          <cell r="AT4024" t="str">
            <v>SAYAGO HEREDIA JAIME PAUL</v>
          </cell>
        </row>
        <row r="4025">
          <cell r="C4025" t="str">
            <v>0803503176</v>
          </cell>
          <cell r="AT4025" t="str">
            <v>ARGUELLO CEDEÑO JONATHAN ALEXANDER</v>
          </cell>
        </row>
        <row r="4026">
          <cell r="C4026" t="str">
            <v>0803503176</v>
          </cell>
          <cell r="AT4026" t="str">
            <v>ARGUELLO CEDEÑO JONATHAN ALEXANDER</v>
          </cell>
        </row>
        <row r="4027">
          <cell r="C4027" t="str">
            <v>0803503176</v>
          </cell>
          <cell r="AT4027" t="str">
            <v>ARGUELLO CEDEÑO JONATHAN ALEXANDER</v>
          </cell>
        </row>
        <row r="4028">
          <cell r="C4028" t="str">
            <v>0803503176</v>
          </cell>
          <cell r="AT4028" t="str">
            <v>ARGUELLO CEDEÑO JONATHAN ALEXANDER</v>
          </cell>
        </row>
        <row r="4029">
          <cell r="C4029" t="str">
            <v>1757798705</v>
          </cell>
          <cell r="AT4029" t="str">
            <v xml:space="preserve">FERNANDEZ CRUZ JAVIER </v>
          </cell>
        </row>
        <row r="4030">
          <cell r="C4030" t="str">
            <v>1757798705</v>
          </cell>
          <cell r="AT4030" t="str">
            <v xml:space="preserve">FERNANDEZ CRUZ JAVIER </v>
          </cell>
        </row>
        <row r="4031">
          <cell r="C4031" t="str">
            <v>1757798705</v>
          </cell>
          <cell r="AT4031" t="str">
            <v xml:space="preserve">FERNANDEZ CRUZ JAVIER </v>
          </cell>
        </row>
        <row r="4032">
          <cell r="C4032" t="str">
            <v>1757798705</v>
          </cell>
          <cell r="AT4032" t="str">
            <v xml:space="preserve">FERNANDEZ CRUZ JAVIER </v>
          </cell>
        </row>
        <row r="4033">
          <cell r="C4033" t="str">
            <v>1757798705</v>
          </cell>
          <cell r="AT4033" t="str">
            <v xml:space="preserve">FERNANDEZ CRUZ JAVIER </v>
          </cell>
        </row>
        <row r="4034">
          <cell r="C4034" t="str">
            <v>1757798705</v>
          </cell>
          <cell r="AT4034" t="str">
            <v xml:space="preserve">FERNANDEZ CRUZ JAVIER </v>
          </cell>
        </row>
        <row r="4035">
          <cell r="C4035" t="str">
            <v>1757798705</v>
          </cell>
          <cell r="AT4035" t="str">
            <v xml:space="preserve">FERNANDEZ CRUZ JAVIER </v>
          </cell>
        </row>
        <row r="4036">
          <cell r="C4036" t="str">
            <v>1757798705</v>
          </cell>
          <cell r="AT4036" t="str">
            <v xml:space="preserve">FERNANDEZ CRUZ JAVIER </v>
          </cell>
        </row>
        <row r="4037">
          <cell r="C4037" t="str">
            <v>1757798705</v>
          </cell>
          <cell r="AT4037" t="str">
            <v xml:space="preserve">FERNANDEZ CRUZ JAVIER </v>
          </cell>
        </row>
        <row r="4038">
          <cell r="C4038" t="str">
            <v>1757798705</v>
          </cell>
          <cell r="AT4038" t="str">
            <v xml:space="preserve">FERNANDEZ CRUZ JAVIER </v>
          </cell>
        </row>
        <row r="4039">
          <cell r="C4039" t="str">
            <v>1757798705</v>
          </cell>
          <cell r="AT4039" t="str">
            <v xml:space="preserve">FERNANDEZ CRUZ JAVIER </v>
          </cell>
        </row>
        <row r="4040">
          <cell r="C4040" t="str">
            <v>1757798705</v>
          </cell>
          <cell r="AT4040" t="str">
            <v xml:space="preserve">FERNANDEZ CRUZ JAVIER </v>
          </cell>
        </row>
        <row r="4041">
          <cell r="C4041" t="str">
            <v>1757798705</v>
          </cell>
          <cell r="AT4041" t="str">
            <v xml:space="preserve">FERNANDEZ CRUZ JAVIER </v>
          </cell>
        </row>
        <row r="4042">
          <cell r="C4042" t="str">
            <v>1757798705</v>
          </cell>
          <cell r="AT4042" t="str">
            <v xml:space="preserve">FERNANDEZ CRUZ JAVIER </v>
          </cell>
        </row>
        <row r="4043">
          <cell r="C4043" t="str">
            <v>1757798705</v>
          </cell>
          <cell r="AT4043" t="str">
            <v xml:space="preserve">FERNANDEZ CRUZ JAVIER </v>
          </cell>
        </row>
        <row r="4044">
          <cell r="C4044" t="str">
            <v>1757798705</v>
          </cell>
          <cell r="AT4044" t="str">
            <v xml:space="preserve">FERNANDEZ CRUZ JAVIER </v>
          </cell>
        </row>
        <row r="4045">
          <cell r="C4045" t="str">
            <v>1757798705</v>
          </cell>
          <cell r="AT4045" t="str">
            <v xml:space="preserve">FERNANDEZ CRUZ JAVIER </v>
          </cell>
        </row>
        <row r="4046">
          <cell r="C4046" t="str">
            <v>1757798705</v>
          </cell>
          <cell r="AT4046" t="str">
            <v xml:space="preserve">FERNANDEZ CRUZ JAVIER </v>
          </cell>
        </row>
        <row r="4047">
          <cell r="C4047" t="str">
            <v>1757798705</v>
          </cell>
          <cell r="AT4047" t="str">
            <v xml:space="preserve">FERNANDEZ CRUZ JAVIER </v>
          </cell>
        </row>
        <row r="4048">
          <cell r="C4048" t="str">
            <v>1757798705</v>
          </cell>
          <cell r="AT4048" t="str">
            <v xml:space="preserve">FERNANDEZ CRUZ JAVIER </v>
          </cell>
        </row>
        <row r="4049">
          <cell r="C4049" t="str">
            <v>1757798705</v>
          </cell>
          <cell r="AT4049" t="str">
            <v xml:space="preserve">FERNANDEZ CRUZ JAVIER </v>
          </cell>
        </row>
        <row r="4050">
          <cell r="C4050" t="str">
            <v>1757798705</v>
          </cell>
          <cell r="AT4050" t="str">
            <v xml:space="preserve">FERNANDEZ CRUZ JAVIER </v>
          </cell>
        </row>
        <row r="4051">
          <cell r="C4051" t="str">
            <v>1757798705</v>
          </cell>
          <cell r="AT4051" t="str">
            <v xml:space="preserve">FERNANDEZ CRUZ JAVIER </v>
          </cell>
        </row>
        <row r="4052">
          <cell r="C4052" t="str">
            <v>1757798705</v>
          </cell>
          <cell r="AT4052" t="str">
            <v xml:space="preserve">FERNANDEZ CRUZ JAVIER </v>
          </cell>
        </row>
        <row r="4053">
          <cell r="C4053" t="str">
            <v>1757798705</v>
          </cell>
          <cell r="AT4053" t="str">
            <v xml:space="preserve">FERNANDEZ CRUZ JAVIER </v>
          </cell>
        </row>
        <row r="4054">
          <cell r="C4054" t="str">
            <v>1757798705</v>
          </cell>
          <cell r="AT4054" t="str">
            <v xml:space="preserve">FERNANDEZ CRUZ JAVIER </v>
          </cell>
        </row>
        <row r="4055">
          <cell r="C4055" t="str">
            <v>1757798705</v>
          </cell>
          <cell r="AT4055" t="str">
            <v xml:space="preserve">FERNANDEZ CRUZ JAVIER </v>
          </cell>
        </row>
        <row r="4056">
          <cell r="C4056" t="str">
            <v>1757798705</v>
          </cell>
          <cell r="AT4056" t="str">
            <v xml:space="preserve">FERNANDEZ CRUZ JAVIER </v>
          </cell>
        </row>
        <row r="4057">
          <cell r="C4057" t="str">
            <v>1757798705</v>
          </cell>
          <cell r="AT4057" t="str">
            <v xml:space="preserve">FERNANDEZ CRUZ JAVIER </v>
          </cell>
        </row>
        <row r="4058">
          <cell r="C4058" t="str">
            <v>1757798705</v>
          </cell>
          <cell r="AT4058" t="str">
            <v xml:space="preserve">FERNANDEZ CRUZ JAVIER </v>
          </cell>
        </row>
        <row r="4059">
          <cell r="C4059" t="str">
            <v>1757798705</v>
          </cell>
          <cell r="AT4059" t="str">
            <v xml:space="preserve">FERNANDEZ CRUZ JAVIER </v>
          </cell>
        </row>
        <row r="4060">
          <cell r="C4060" t="str">
            <v>1757798705</v>
          </cell>
          <cell r="AT4060" t="str">
            <v xml:space="preserve">FERNANDEZ CRUZ JAVIER </v>
          </cell>
        </row>
        <row r="4061">
          <cell r="C4061" t="str">
            <v>1757798705</v>
          </cell>
          <cell r="AT4061" t="str">
            <v xml:space="preserve">FERNANDEZ CRUZ JAVIER </v>
          </cell>
        </row>
        <row r="4062">
          <cell r="C4062" t="str">
            <v>1757798705</v>
          </cell>
          <cell r="AT4062" t="str">
            <v xml:space="preserve">FERNANDEZ CRUZ JAVIER </v>
          </cell>
        </row>
        <row r="4063">
          <cell r="C4063" t="str">
            <v>1757798705</v>
          </cell>
          <cell r="AT4063" t="str">
            <v xml:space="preserve">FERNANDEZ CRUZ JAVIER </v>
          </cell>
        </row>
        <row r="4064">
          <cell r="C4064" t="str">
            <v>1757798705</v>
          </cell>
          <cell r="AT4064" t="str">
            <v xml:space="preserve">FERNANDEZ CRUZ JAVIER </v>
          </cell>
        </row>
        <row r="4065">
          <cell r="C4065" t="str">
            <v>1757798705</v>
          </cell>
          <cell r="AT4065" t="str">
            <v xml:space="preserve">FERNANDEZ CRUZ JAVIER </v>
          </cell>
        </row>
        <row r="4066">
          <cell r="C4066" t="str">
            <v>1757798705</v>
          </cell>
          <cell r="AT4066" t="str">
            <v xml:space="preserve">FERNANDEZ CRUZ JAVIER </v>
          </cell>
        </row>
        <row r="4067">
          <cell r="C4067" t="str">
            <v>1757798705</v>
          </cell>
          <cell r="AT4067" t="str">
            <v xml:space="preserve">FERNANDEZ CRUZ JAVIER </v>
          </cell>
        </row>
        <row r="4068">
          <cell r="C4068" t="str">
            <v>1757798705</v>
          </cell>
          <cell r="AT4068" t="str">
            <v xml:space="preserve">FERNANDEZ CRUZ JAVIER </v>
          </cell>
        </row>
        <row r="4069">
          <cell r="C4069" t="str">
            <v>1757798705</v>
          </cell>
          <cell r="AT4069" t="str">
            <v xml:space="preserve">FERNANDEZ CRUZ JAVIER </v>
          </cell>
        </row>
        <row r="4070">
          <cell r="C4070" t="str">
            <v>1757798705</v>
          </cell>
          <cell r="AT4070" t="str">
            <v xml:space="preserve">FERNANDEZ CRUZ JAVIER </v>
          </cell>
        </row>
        <row r="4071">
          <cell r="C4071" t="str">
            <v>1757798705</v>
          </cell>
          <cell r="AT4071" t="str">
            <v xml:space="preserve">FERNANDEZ CRUZ JAVIER </v>
          </cell>
        </row>
        <row r="4072">
          <cell r="C4072" t="str">
            <v>0963349907</v>
          </cell>
          <cell r="AT4072" t="str">
            <v>CALLEJAS DE VALERO DIANA ESTELA</v>
          </cell>
        </row>
        <row r="4073">
          <cell r="C4073" t="str">
            <v>0802859553</v>
          </cell>
          <cell r="AT4073" t="str">
            <v>ZAMBRANO MURILLO GABRIELA LISSETTE</v>
          </cell>
        </row>
        <row r="4074">
          <cell r="C4074" t="str">
            <v>0603167917</v>
          </cell>
          <cell r="AT4074" t="str">
            <v>LLUILEMA  LUIS ALBERTO</v>
          </cell>
        </row>
        <row r="4075">
          <cell r="C4075" t="str">
            <v>0603167917</v>
          </cell>
          <cell r="AT4075" t="str">
            <v>LLUILEMA  LUIS ALBERTO</v>
          </cell>
        </row>
        <row r="4076">
          <cell r="C4076" t="str">
            <v>0603167917</v>
          </cell>
          <cell r="AT4076" t="str">
            <v>LLUILEMA  LUIS ALBERTO</v>
          </cell>
        </row>
        <row r="4077">
          <cell r="C4077" t="str">
            <v>0603167917</v>
          </cell>
          <cell r="AT4077" t="str">
            <v>LLUILEMA  LUIS ALBERTO</v>
          </cell>
        </row>
        <row r="4078">
          <cell r="C4078" t="str">
            <v>0603167917</v>
          </cell>
          <cell r="AT4078" t="str">
            <v>LLUILEMA  LUIS ALBERTO</v>
          </cell>
        </row>
        <row r="4079">
          <cell r="C4079" t="str">
            <v>0603167917</v>
          </cell>
          <cell r="AT4079" t="str">
            <v>LLUILEMA  LUIS ALBERTO</v>
          </cell>
        </row>
        <row r="4080">
          <cell r="C4080" t="str">
            <v>0603167917</v>
          </cell>
          <cell r="AT4080" t="str">
            <v>LLUILEMA  LUIS ALBERTO</v>
          </cell>
        </row>
        <row r="4081">
          <cell r="C4081" t="str">
            <v>0603167917</v>
          </cell>
          <cell r="AT4081" t="str">
            <v>LLUILEMA  LUIS ALBERTO</v>
          </cell>
        </row>
        <row r="4082">
          <cell r="C4082" t="str">
            <v>0800924011</v>
          </cell>
          <cell r="AT4082" t="str">
            <v>QUINTERO ROSALES FRANCISCO JHONNY</v>
          </cell>
        </row>
        <row r="4083">
          <cell r="C4083" t="str">
            <v>0800924011</v>
          </cell>
          <cell r="AT4083" t="str">
            <v>QUINTERO ROSALES FRANCISCO JHONNY</v>
          </cell>
        </row>
        <row r="4084">
          <cell r="C4084" t="str">
            <v>0800924011</v>
          </cell>
          <cell r="AT4084" t="str">
            <v>QUINTERO ROSALES FRANCISCO JHONNY</v>
          </cell>
        </row>
        <row r="4085">
          <cell r="C4085" t="str">
            <v>0800924011</v>
          </cell>
          <cell r="AT4085" t="str">
            <v>QUINTERO ROSALES FRANCISCO JHONNY</v>
          </cell>
        </row>
        <row r="4086">
          <cell r="C4086" t="str">
            <v>0800924011</v>
          </cell>
          <cell r="AT4086" t="str">
            <v>QUINTERO ROSALES FRANCISCO JHONNY</v>
          </cell>
        </row>
        <row r="4087">
          <cell r="C4087" t="str">
            <v>0800924011</v>
          </cell>
          <cell r="AT4087" t="str">
            <v>QUINTERO ROSALES FRANCISCO JHONNY</v>
          </cell>
        </row>
        <row r="4088">
          <cell r="C4088" t="str">
            <v>0800924011</v>
          </cell>
          <cell r="AT4088" t="str">
            <v>QUINTERO ROSALES FRANCISCO JHONNY</v>
          </cell>
        </row>
        <row r="4089">
          <cell r="C4089" t="str">
            <v>0800924011</v>
          </cell>
          <cell r="AT4089" t="str">
            <v>QUINTERO ROSALES FRANCISCO JHONNY</v>
          </cell>
        </row>
        <row r="4090">
          <cell r="C4090" t="str">
            <v>0800924011</v>
          </cell>
          <cell r="AT4090" t="str">
            <v>QUINTERO ROSALES FRANCISCO JHONNY</v>
          </cell>
        </row>
        <row r="4091">
          <cell r="C4091" t="str">
            <v>0800924011</v>
          </cell>
          <cell r="AT4091" t="str">
            <v>QUINTERO ROSALES FRANCISCO JHONNY</v>
          </cell>
        </row>
        <row r="4092">
          <cell r="C4092" t="str">
            <v>1715929293</v>
          </cell>
          <cell r="AT4092" t="str">
            <v>ESTUPIÑAN PLAZA MARCOS IGNACIO</v>
          </cell>
        </row>
        <row r="4093">
          <cell r="C4093" t="str">
            <v>0804008860</v>
          </cell>
          <cell r="AT4093" t="str">
            <v>MERA QUIROZ JUNIOR WILLIAMS</v>
          </cell>
        </row>
        <row r="4094">
          <cell r="C4094" t="str">
            <v>0801561085</v>
          </cell>
          <cell r="AT4094" t="str">
            <v>BARREZUETA ORTIZ ELVIRA CARINE</v>
          </cell>
        </row>
        <row r="4095">
          <cell r="C4095" t="str">
            <v>0801561085</v>
          </cell>
          <cell r="AT4095" t="str">
            <v>BARREZUETA ORTIZ ELVIRA CARINE</v>
          </cell>
        </row>
        <row r="4096">
          <cell r="C4096" t="str">
            <v>0801561085</v>
          </cell>
          <cell r="AT4096" t="str">
            <v>BARREZUETA ORTIZ ELVIRA CARINE</v>
          </cell>
        </row>
        <row r="4097">
          <cell r="C4097" t="str">
            <v>1002559084</v>
          </cell>
          <cell r="AT4097" t="str">
            <v>CISNEROS PALACIOS JOHANNA GABRIELA</v>
          </cell>
        </row>
        <row r="4098">
          <cell r="C4098" t="str">
            <v>1002559084</v>
          </cell>
          <cell r="AT4098" t="str">
            <v>CISNEROS PALACIOS JOHANNA GABRIELA</v>
          </cell>
        </row>
        <row r="4099">
          <cell r="C4099" t="str">
            <v>1002559084</v>
          </cell>
          <cell r="AT4099" t="str">
            <v>CISNEROS PALACIOS JOHANNA GABRIELA</v>
          </cell>
        </row>
        <row r="4100">
          <cell r="C4100" t="str">
            <v>1002559084</v>
          </cell>
          <cell r="AT4100" t="str">
            <v>CISNEROS PALACIOS JOHANNA GABRIELA</v>
          </cell>
        </row>
        <row r="4101">
          <cell r="C4101" t="str">
            <v>1002559084</v>
          </cell>
          <cell r="AT4101" t="str">
            <v>CISNEROS PALACIOS JOHANNA GABRIELA</v>
          </cell>
        </row>
        <row r="4102">
          <cell r="C4102" t="str">
            <v>1002559084</v>
          </cell>
          <cell r="AT4102" t="str">
            <v>CISNEROS PALACIOS JOHANNA GABRIELA</v>
          </cell>
        </row>
        <row r="4103">
          <cell r="C4103" t="str">
            <v>1002559084</v>
          </cell>
          <cell r="AT4103" t="str">
            <v>CISNEROS PALACIOS JOHANNA GABRIELA</v>
          </cell>
        </row>
        <row r="4104">
          <cell r="C4104" t="str">
            <v>1002559084</v>
          </cell>
          <cell r="AT4104" t="str">
            <v>CISNEROS PALACIOS JOHANNA GABRIELA</v>
          </cell>
        </row>
        <row r="4105">
          <cell r="C4105" t="str">
            <v>1002559084</v>
          </cell>
          <cell r="AT4105" t="str">
            <v>CISNEROS PALACIOS JOHANNA GABRIELA</v>
          </cell>
        </row>
        <row r="4106">
          <cell r="C4106" t="str">
            <v>1002559084</v>
          </cell>
          <cell r="AT4106" t="str">
            <v>CISNEROS PALACIOS JOHANNA GABRIELA</v>
          </cell>
        </row>
        <row r="4107">
          <cell r="C4107" t="str">
            <v>1002559084</v>
          </cell>
          <cell r="AT4107" t="str">
            <v>CISNEROS PALACIOS JOHANNA GABRIELA</v>
          </cell>
        </row>
        <row r="4108">
          <cell r="C4108" t="str">
            <v>1002559084</v>
          </cell>
          <cell r="AT4108" t="str">
            <v>CISNEROS PALACIOS JOHANNA GABRIELA</v>
          </cell>
        </row>
        <row r="4109">
          <cell r="C4109" t="str">
            <v>1002559084</v>
          </cell>
          <cell r="AT4109" t="str">
            <v>CISNEROS PALACIOS JOHANNA GABRIELA</v>
          </cell>
        </row>
        <row r="4110">
          <cell r="C4110" t="str">
            <v>1002559084</v>
          </cell>
          <cell r="AT4110" t="str">
            <v>CISNEROS PALACIOS JOHANNA GABRIELA</v>
          </cell>
        </row>
        <row r="4111">
          <cell r="C4111" t="str">
            <v>1002559084</v>
          </cell>
          <cell r="AT4111" t="str">
            <v>CISNEROS PALACIOS JOHANNA GABRIELA</v>
          </cell>
        </row>
        <row r="4112">
          <cell r="C4112" t="str">
            <v>1002559084</v>
          </cell>
          <cell r="AT4112" t="str">
            <v>CISNEROS PALACIOS JOHANNA GABRIELA</v>
          </cell>
        </row>
        <row r="4113">
          <cell r="C4113" t="str">
            <v>1002559084</v>
          </cell>
          <cell r="AT4113" t="str">
            <v>CISNEROS PALACIOS JOHANNA GABRIELA</v>
          </cell>
        </row>
        <row r="4114">
          <cell r="C4114" t="str">
            <v>1757108871</v>
          </cell>
          <cell r="AT4114" t="str">
            <v>VERGARA TORO MONICA ANGELINA</v>
          </cell>
        </row>
        <row r="4115">
          <cell r="C4115" t="str">
            <v>1757108871</v>
          </cell>
          <cell r="AT4115" t="str">
            <v>VERGARA TORO MONICA ANGELINA</v>
          </cell>
        </row>
        <row r="4116">
          <cell r="C4116" t="str">
            <v>1757108871</v>
          </cell>
          <cell r="AT4116" t="str">
            <v>VERGARA TORO MONICA ANGELINA</v>
          </cell>
        </row>
        <row r="4117">
          <cell r="C4117" t="str">
            <v>1757108871</v>
          </cell>
          <cell r="AT4117" t="str">
            <v>VERGARA TORO MONICA ANGELINA</v>
          </cell>
        </row>
        <row r="4118">
          <cell r="C4118" t="str">
            <v>1757108871</v>
          </cell>
          <cell r="AT4118" t="str">
            <v>VERGARA TORO MONICA ANGELINA</v>
          </cell>
        </row>
        <row r="4119">
          <cell r="C4119" t="str">
            <v>1757108871</v>
          </cell>
          <cell r="AT4119" t="str">
            <v>VERGARA TORO MONICA ANGELINA</v>
          </cell>
        </row>
        <row r="4120">
          <cell r="C4120" t="str">
            <v>1757108871</v>
          </cell>
          <cell r="AT4120" t="str">
            <v>VERGARA TORO MONICA ANGELINA</v>
          </cell>
        </row>
        <row r="4121">
          <cell r="C4121" t="str">
            <v>1757108871</v>
          </cell>
          <cell r="AT4121" t="str">
            <v>VERGARA TORO MONICA ANGELINA</v>
          </cell>
        </row>
        <row r="4122">
          <cell r="C4122" t="str">
            <v>1757108871</v>
          </cell>
          <cell r="AT4122" t="str">
            <v>VERGARA TORO MONICA ANGELINA</v>
          </cell>
        </row>
        <row r="4123">
          <cell r="C4123" t="str">
            <v>1757108871</v>
          </cell>
          <cell r="AT4123" t="str">
            <v>VERGARA TORO MONICA ANGELINA</v>
          </cell>
        </row>
        <row r="4124">
          <cell r="C4124" t="str">
            <v>1757108871</v>
          </cell>
          <cell r="AT4124" t="str">
            <v>VERGARA TORO MONICA ANGELINA</v>
          </cell>
        </row>
        <row r="4125">
          <cell r="C4125" t="str">
            <v>1757108871</v>
          </cell>
          <cell r="AT4125" t="str">
            <v>VERGARA TORO MONICA ANGELINA</v>
          </cell>
        </row>
        <row r="4126">
          <cell r="C4126" t="str">
            <v>1757108871</v>
          </cell>
          <cell r="AT4126" t="str">
            <v>VERGARA TORO MONICA ANGELINA</v>
          </cell>
        </row>
        <row r="4127">
          <cell r="C4127" t="str">
            <v>1757108871</v>
          </cell>
          <cell r="AT4127" t="str">
            <v>VERGARA TORO MONICA ANGELINA</v>
          </cell>
        </row>
        <row r="4128">
          <cell r="C4128" t="str">
            <v>1757108871</v>
          </cell>
          <cell r="AT4128" t="str">
            <v>VERGARA TORO MONICA ANGELINA</v>
          </cell>
        </row>
        <row r="4129">
          <cell r="C4129" t="str">
            <v>1757108871</v>
          </cell>
          <cell r="AT4129" t="str">
            <v>VERGARA TORO MONICA ANGELINA</v>
          </cell>
        </row>
        <row r="4130">
          <cell r="C4130" t="str">
            <v>1757108871</v>
          </cell>
          <cell r="AT4130" t="str">
            <v>VERGARA TORO MONICA ANGELINA</v>
          </cell>
        </row>
        <row r="4131">
          <cell r="C4131" t="str">
            <v>0802127373</v>
          </cell>
          <cell r="AT4131" t="str">
            <v>QUIÑONEZ CASTILLO CARMEN ROSARIO</v>
          </cell>
        </row>
        <row r="4132">
          <cell r="C4132" t="str">
            <v>0801921677</v>
          </cell>
          <cell r="AT4132" t="str">
            <v>JIJON MOTATO JOSE IVAN</v>
          </cell>
        </row>
        <row r="4133">
          <cell r="C4133" t="str">
            <v>0801921677</v>
          </cell>
          <cell r="AT4133" t="str">
            <v>JIJON MOTATO JOSE IVAN</v>
          </cell>
        </row>
        <row r="4134">
          <cell r="C4134" t="str">
            <v>0801921677</v>
          </cell>
          <cell r="AT4134" t="str">
            <v>JIJON MOTATO JOSE IVAN</v>
          </cell>
        </row>
        <row r="4135">
          <cell r="C4135" t="str">
            <v>0801921677</v>
          </cell>
          <cell r="AT4135" t="str">
            <v>JIJON MOTATO JOSE IVAN</v>
          </cell>
        </row>
        <row r="4136">
          <cell r="C4136" t="str">
            <v>0801921677</v>
          </cell>
          <cell r="AT4136" t="str">
            <v>JIJON MOTATO JOSE IVAN</v>
          </cell>
        </row>
        <row r="4137">
          <cell r="C4137" t="str">
            <v>0801921677</v>
          </cell>
          <cell r="AT4137" t="str">
            <v>JIJON MOTATO JOSE IVAN</v>
          </cell>
        </row>
        <row r="4138">
          <cell r="C4138" t="str">
            <v>0801921677</v>
          </cell>
          <cell r="AT4138" t="str">
            <v>JIJON MOTATO JOSE IVAN</v>
          </cell>
        </row>
        <row r="4139">
          <cell r="C4139" t="str">
            <v>0801921677</v>
          </cell>
          <cell r="AT4139" t="str">
            <v>JIJON MOTATO JOSE IVAN</v>
          </cell>
        </row>
        <row r="4140">
          <cell r="C4140" t="str">
            <v>0801921677</v>
          </cell>
          <cell r="AT4140" t="str">
            <v>JIJON MOTATO JOSE IVAN</v>
          </cell>
        </row>
        <row r="4141">
          <cell r="C4141" t="str">
            <v>0801921677</v>
          </cell>
          <cell r="AT4141" t="str">
            <v>JIJON MOTATO JOSE IVAN</v>
          </cell>
        </row>
        <row r="4142">
          <cell r="C4142" t="str">
            <v>0801921677</v>
          </cell>
          <cell r="AT4142" t="str">
            <v>JIJON MOTATO JOSE IVAN</v>
          </cell>
        </row>
        <row r="4143">
          <cell r="C4143" t="str">
            <v>0801921677</v>
          </cell>
          <cell r="AT4143" t="str">
            <v>JIJON MOTATO JOSE IVAN</v>
          </cell>
        </row>
        <row r="4144">
          <cell r="C4144" t="str">
            <v>0801921677</v>
          </cell>
          <cell r="AT4144" t="str">
            <v>JIJON MOTATO JOSE IVAN</v>
          </cell>
        </row>
        <row r="4145">
          <cell r="C4145" t="str">
            <v>0801921677</v>
          </cell>
          <cell r="AT4145" t="str">
            <v>JIJON MOTATO JOSE IVAN</v>
          </cell>
        </row>
        <row r="4146">
          <cell r="C4146" t="str">
            <v>0801921677</v>
          </cell>
          <cell r="AT4146" t="str">
            <v>JIJON MOTATO JOSE IVAN</v>
          </cell>
        </row>
        <row r="4147">
          <cell r="C4147" t="str">
            <v>0801921677</v>
          </cell>
          <cell r="AT4147" t="str">
            <v>JIJON MOTATO JOSE IVAN</v>
          </cell>
        </row>
        <row r="4148">
          <cell r="C4148" t="str">
            <v>0801921677</v>
          </cell>
          <cell r="AT4148" t="str">
            <v>JIJON MOTATO JOSE IVAN</v>
          </cell>
        </row>
        <row r="4149">
          <cell r="C4149" t="str">
            <v>0801921677</v>
          </cell>
          <cell r="AT4149" t="str">
            <v>JIJON MOTATO JOSE IVAN</v>
          </cell>
        </row>
        <row r="4150">
          <cell r="C4150" t="str">
            <v>0801921677</v>
          </cell>
          <cell r="AT4150" t="str">
            <v>JIJON MOTATO JOSE IVAN</v>
          </cell>
        </row>
        <row r="4151">
          <cell r="C4151" t="str">
            <v>0801921677</v>
          </cell>
          <cell r="AT4151" t="str">
            <v>JIJON MOTATO JOSE IVAN</v>
          </cell>
        </row>
        <row r="4152">
          <cell r="C4152" t="str">
            <v>0801921677</v>
          </cell>
          <cell r="AT4152" t="str">
            <v>JIJON MOTATO JOSE IVAN</v>
          </cell>
        </row>
        <row r="4153">
          <cell r="C4153" t="str">
            <v>0801921677</v>
          </cell>
          <cell r="AT4153" t="str">
            <v>JIJON MOTATO JOSE IVAN</v>
          </cell>
        </row>
        <row r="4154">
          <cell r="C4154" t="str">
            <v>0801921677</v>
          </cell>
          <cell r="AT4154" t="str">
            <v>JIJON MOTATO JOSE IVAN</v>
          </cell>
        </row>
        <row r="4155">
          <cell r="C4155" t="str">
            <v>0801921677</v>
          </cell>
          <cell r="AT4155" t="str">
            <v>JIJON MOTATO JOSE IVAN</v>
          </cell>
        </row>
        <row r="4156">
          <cell r="C4156" t="str">
            <v>0801921677</v>
          </cell>
          <cell r="AT4156" t="str">
            <v>JIJON MOTATO JOSE IVAN</v>
          </cell>
        </row>
        <row r="4157">
          <cell r="C4157" t="str">
            <v>0800877599</v>
          </cell>
          <cell r="AT4157" t="str">
            <v>VASQUEZ MENDOZA SARA ELIZABETH</v>
          </cell>
        </row>
        <row r="4158">
          <cell r="C4158" t="str">
            <v>0800877599</v>
          </cell>
          <cell r="AT4158" t="str">
            <v>VASQUEZ MENDOZA SARA ELIZABETH</v>
          </cell>
        </row>
        <row r="4159">
          <cell r="C4159" t="str">
            <v>0800877599</v>
          </cell>
          <cell r="AT4159" t="str">
            <v>VASQUEZ MENDOZA SARA ELIZABETH</v>
          </cell>
        </row>
        <row r="4160">
          <cell r="C4160" t="str">
            <v>0800877599</v>
          </cell>
          <cell r="AT4160" t="str">
            <v>VASQUEZ MENDOZA SARA ELIZABETH</v>
          </cell>
        </row>
        <row r="4161">
          <cell r="C4161" t="str">
            <v>0800877599</v>
          </cell>
          <cell r="AT4161" t="str">
            <v>VASQUEZ MENDOZA SARA ELIZABETH</v>
          </cell>
        </row>
        <row r="4162">
          <cell r="C4162" t="str">
            <v>0800877599</v>
          </cell>
          <cell r="AT4162" t="str">
            <v>VASQUEZ MENDOZA SARA ELIZABETH</v>
          </cell>
        </row>
        <row r="4163">
          <cell r="C4163" t="str">
            <v>0800877599</v>
          </cell>
          <cell r="AT4163" t="str">
            <v>VASQUEZ MENDOZA SARA ELIZABETH</v>
          </cell>
        </row>
        <row r="4164">
          <cell r="C4164" t="str">
            <v>0800877599</v>
          </cell>
          <cell r="AT4164" t="str">
            <v>VASQUEZ MENDOZA SARA ELIZABETH</v>
          </cell>
        </row>
        <row r="4165">
          <cell r="C4165" t="str">
            <v>0800877599</v>
          </cell>
          <cell r="AT4165" t="str">
            <v>VASQUEZ MENDOZA SARA ELIZABETH</v>
          </cell>
        </row>
        <row r="4166">
          <cell r="C4166" t="str">
            <v>0800877599</v>
          </cell>
          <cell r="AT4166" t="str">
            <v>VASQUEZ MENDOZA SARA ELIZABETH</v>
          </cell>
        </row>
        <row r="4167">
          <cell r="C4167" t="str">
            <v>0800877599</v>
          </cell>
          <cell r="AT4167" t="str">
            <v>VASQUEZ MENDOZA SARA ELIZABETH</v>
          </cell>
        </row>
        <row r="4168">
          <cell r="C4168" t="str">
            <v>0800877599</v>
          </cell>
          <cell r="AT4168" t="str">
            <v>VASQUEZ MENDOZA SARA ELIZABETH</v>
          </cell>
        </row>
        <row r="4169">
          <cell r="C4169" t="str">
            <v>0800877599</v>
          </cell>
          <cell r="AT4169" t="str">
            <v>VASQUEZ MENDOZA SARA ELIZABETH</v>
          </cell>
        </row>
        <row r="4170">
          <cell r="C4170" t="str">
            <v>0800877599</v>
          </cell>
          <cell r="AT4170" t="str">
            <v>VASQUEZ MENDOZA SARA ELIZABETH</v>
          </cell>
        </row>
        <row r="4171">
          <cell r="C4171" t="str">
            <v>0800877599</v>
          </cell>
          <cell r="AT4171" t="str">
            <v>VASQUEZ MENDOZA SARA ELIZABETH</v>
          </cell>
        </row>
        <row r="4172">
          <cell r="C4172" t="str">
            <v>0800877599</v>
          </cell>
          <cell r="AT4172" t="str">
            <v>VASQUEZ MENDOZA SARA ELIZABETH</v>
          </cell>
        </row>
        <row r="4173">
          <cell r="C4173" t="str">
            <v>0800877599</v>
          </cell>
          <cell r="AT4173" t="str">
            <v>VASQUEZ MENDOZA SARA ELIZABETH</v>
          </cell>
        </row>
        <row r="4174">
          <cell r="C4174" t="str">
            <v>0800877599</v>
          </cell>
          <cell r="AT4174" t="str">
            <v>VASQUEZ MENDOZA SARA ELIZABETH</v>
          </cell>
        </row>
        <row r="4175">
          <cell r="C4175" t="str">
            <v>0930866736</v>
          </cell>
          <cell r="AT4175" t="str">
            <v>BAZURTO ROA YANINA PATRICIA</v>
          </cell>
        </row>
        <row r="4176">
          <cell r="C4176" t="str">
            <v>0930866736</v>
          </cell>
          <cell r="AT4176" t="str">
            <v>BAZURTO ROA YANINA PATRICIA</v>
          </cell>
        </row>
        <row r="4177">
          <cell r="C4177" t="str">
            <v>0930866736</v>
          </cell>
          <cell r="AT4177" t="str">
            <v>BAZURTO ROA YANINA PATRICIA</v>
          </cell>
        </row>
        <row r="4178">
          <cell r="C4178" t="str">
            <v>0930866736</v>
          </cell>
          <cell r="AT4178" t="str">
            <v>BAZURTO ROA YANINA PATRICIA</v>
          </cell>
        </row>
        <row r="4179">
          <cell r="C4179" t="str">
            <v>0930866736</v>
          </cell>
          <cell r="AT4179" t="str">
            <v>BAZURTO ROA YANINA PATRICIA</v>
          </cell>
        </row>
        <row r="4180">
          <cell r="C4180" t="str">
            <v>0930866736</v>
          </cell>
          <cell r="AT4180" t="str">
            <v>BAZURTO ROA YANINA PATRICIA</v>
          </cell>
        </row>
        <row r="4181">
          <cell r="C4181" t="str">
            <v>0930866736</v>
          </cell>
          <cell r="AT4181" t="str">
            <v>BAZURTO ROA YANINA PATRICIA</v>
          </cell>
        </row>
        <row r="4182">
          <cell r="C4182" t="str">
            <v>0930866736</v>
          </cell>
          <cell r="AT4182" t="str">
            <v>BAZURTO ROA YANINA PATRICIA</v>
          </cell>
        </row>
        <row r="4183">
          <cell r="C4183" t="str">
            <v>0801095050</v>
          </cell>
          <cell r="AT4183" t="str">
            <v>BUSTOS VERA RHAY PABLO</v>
          </cell>
        </row>
        <row r="4184">
          <cell r="C4184" t="str">
            <v>0801095050</v>
          </cell>
          <cell r="AT4184" t="str">
            <v>BUSTOS VERA RHAY PABLO</v>
          </cell>
        </row>
        <row r="4185">
          <cell r="C4185" t="str">
            <v>0801924200</v>
          </cell>
          <cell r="AT4185" t="str">
            <v>CASTILLO QUIÑONEZ ZULINDA SUSY</v>
          </cell>
        </row>
        <row r="4186">
          <cell r="C4186" t="str">
            <v>0801924200</v>
          </cell>
          <cell r="AT4186" t="str">
            <v>CASTILLO QUIÑONEZ ZULINDA SUSY</v>
          </cell>
        </row>
        <row r="4187">
          <cell r="C4187" t="str">
            <v>0801924200</v>
          </cell>
          <cell r="AT4187" t="str">
            <v>CASTILLO QUIÑONEZ ZULINDA SUSY</v>
          </cell>
        </row>
        <row r="4188">
          <cell r="C4188" t="str">
            <v>0801924200</v>
          </cell>
          <cell r="AT4188" t="str">
            <v>CASTILLO QUIÑONEZ ZULINDA SUSY</v>
          </cell>
        </row>
        <row r="4189">
          <cell r="C4189" t="str">
            <v>0801924200</v>
          </cell>
          <cell r="AT4189" t="str">
            <v>CASTILLO QUIÑONEZ ZULINDA SUSY</v>
          </cell>
        </row>
        <row r="4190">
          <cell r="C4190" t="str">
            <v>0804154300</v>
          </cell>
          <cell r="AT4190" t="str">
            <v>ORTIZ OROBIO MAYRA LETICIA</v>
          </cell>
        </row>
        <row r="4191">
          <cell r="C4191" t="str">
            <v>0804154300</v>
          </cell>
          <cell r="AT4191" t="str">
            <v>ORTIZ OROBIO MAYRA LETICIA</v>
          </cell>
        </row>
        <row r="4192">
          <cell r="C4192" t="str">
            <v>0804154300</v>
          </cell>
          <cell r="AT4192" t="str">
            <v>ORTIZ OROBIO MAYRA LETICIA</v>
          </cell>
        </row>
        <row r="4193">
          <cell r="C4193" t="str">
            <v>0804154300</v>
          </cell>
          <cell r="AT4193" t="str">
            <v>ORTIZ OROBIO MAYRA LETICIA</v>
          </cell>
        </row>
        <row r="4194">
          <cell r="C4194" t="str">
            <v>0804154300</v>
          </cell>
          <cell r="AT4194" t="str">
            <v>ORTIZ OROBIO MAYRA LETICIA</v>
          </cell>
        </row>
        <row r="4195">
          <cell r="C4195" t="str">
            <v>0804154300</v>
          </cell>
          <cell r="AT4195" t="str">
            <v>ORTIZ OROBIO MAYRA LETICIA</v>
          </cell>
        </row>
        <row r="4196">
          <cell r="C4196" t="str">
            <v>0804154300</v>
          </cell>
          <cell r="AT4196" t="str">
            <v>ORTIZ OROBIO MAYRA LETICIA</v>
          </cell>
        </row>
        <row r="4197">
          <cell r="C4197" t="str">
            <v>0804154300</v>
          </cell>
          <cell r="AT4197" t="str">
            <v>ORTIZ OROBIO MAYRA LETICIA</v>
          </cell>
        </row>
        <row r="4198">
          <cell r="C4198" t="str">
            <v>0804154300</v>
          </cell>
          <cell r="AT4198" t="str">
            <v>ORTIZ OROBIO MAYRA LETICIA</v>
          </cell>
        </row>
        <row r="4199">
          <cell r="C4199" t="str">
            <v>0804154300</v>
          </cell>
          <cell r="AT4199" t="str">
            <v>ORTIZ OROBIO MAYRA LETICIA</v>
          </cell>
        </row>
        <row r="4200">
          <cell r="C4200" t="str">
            <v>0804154300</v>
          </cell>
          <cell r="AT4200" t="str">
            <v>ORTIZ OROBIO MAYRA LETICIA</v>
          </cell>
        </row>
        <row r="4201">
          <cell r="C4201" t="str">
            <v>0804154300</v>
          </cell>
          <cell r="AT4201" t="str">
            <v>ORTIZ OROBIO MAYRA LETICIA</v>
          </cell>
        </row>
        <row r="4202">
          <cell r="C4202" t="str">
            <v>0801373697</v>
          </cell>
          <cell r="AT4202" t="str">
            <v>IÑAMAGUA MORA ELIZABETH JACQUELINE</v>
          </cell>
        </row>
        <row r="4203">
          <cell r="C4203" t="str">
            <v>0801373697</v>
          </cell>
          <cell r="AT4203" t="str">
            <v>IÑAMAGUA MORA ELIZABETH JACQUELINE</v>
          </cell>
        </row>
        <row r="4204">
          <cell r="C4204" t="str">
            <v>0801373697</v>
          </cell>
          <cell r="AT4204" t="str">
            <v>IÑAMAGUA MORA ELIZABETH JACQUELINE</v>
          </cell>
        </row>
        <row r="4205">
          <cell r="C4205" t="str">
            <v>0801373697</v>
          </cell>
          <cell r="AT4205" t="str">
            <v>IÑAMAGUA MORA ELIZABETH JACQUELINE</v>
          </cell>
        </row>
        <row r="4206">
          <cell r="C4206" t="str">
            <v>0801373697</v>
          </cell>
          <cell r="AT4206" t="str">
            <v>IÑAMAGUA MORA ELIZABETH JACQUELINE</v>
          </cell>
        </row>
        <row r="4207">
          <cell r="C4207" t="str">
            <v>1758477523</v>
          </cell>
          <cell r="AT4207" t="str">
            <v xml:space="preserve">CARAZO ORTEGA IGNACIO </v>
          </cell>
        </row>
        <row r="4208">
          <cell r="C4208" t="str">
            <v>1758477523</v>
          </cell>
          <cell r="AT4208" t="str">
            <v xml:space="preserve">CARAZO ORTEGA IGNACIO </v>
          </cell>
        </row>
        <row r="4209">
          <cell r="C4209" t="str">
            <v>1758477523</v>
          </cell>
          <cell r="AT4209" t="str">
            <v xml:space="preserve">CARAZO ORTEGA IGNACIO </v>
          </cell>
        </row>
        <row r="4210">
          <cell r="C4210" t="str">
            <v>1758477523</v>
          </cell>
          <cell r="AT4210" t="str">
            <v xml:space="preserve">CARAZO ORTEGA IGNACIO </v>
          </cell>
        </row>
        <row r="4211">
          <cell r="C4211" t="str">
            <v>1758477523</v>
          </cell>
          <cell r="AT4211" t="str">
            <v xml:space="preserve">CARAZO ORTEGA IGNACIO </v>
          </cell>
        </row>
        <row r="4212">
          <cell r="C4212" t="str">
            <v>1758477523</v>
          </cell>
          <cell r="AT4212" t="str">
            <v xml:space="preserve">CARAZO ORTEGA IGNACIO </v>
          </cell>
        </row>
        <row r="4213">
          <cell r="C4213" t="str">
            <v>1758443566</v>
          </cell>
          <cell r="AT4213" t="str">
            <v>CID GARCIA MAGDALENA AMALIA</v>
          </cell>
        </row>
        <row r="4214">
          <cell r="C4214" t="str">
            <v>1758443566</v>
          </cell>
          <cell r="AT4214" t="str">
            <v>CID GARCIA MAGDALENA AMALIA</v>
          </cell>
        </row>
        <row r="4215">
          <cell r="C4215" t="str">
            <v>1758443566</v>
          </cell>
          <cell r="AT4215" t="str">
            <v>CID GARCIA MAGDALENA AMALIA</v>
          </cell>
        </row>
        <row r="4216">
          <cell r="C4216" t="str">
            <v>1758443566</v>
          </cell>
          <cell r="AT4216" t="str">
            <v>CID GARCIA MAGDALENA AMALIA</v>
          </cell>
        </row>
        <row r="4217">
          <cell r="C4217" t="str">
            <v>1758443566</v>
          </cell>
          <cell r="AT4217" t="str">
            <v>CID GARCIA MAGDALENA AMALIA</v>
          </cell>
        </row>
        <row r="4218">
          <cell r="C4218" t="str">
            <v>1758443566</v>
          </cell>
          <cell r="AT4218" t="str">
            <v>CID GARCIA MAGDALENA AMALIA</v>
          </cell>
        </row>
        <row r="4219">
          <cell r="C4219" t="str">
            <v>1758443566</v>
          </cell>
          <cell r="AT4219" t="str">
            <v>CID GARCIA MAGDALENA AMALIA</v>
          </cell>
        </row>
        <row r="4220">
          <cell r="C4220" t="str">
            <v>1758443566</v>
          </cell>
          <cell r="AT4220" t="str">
            <v>CID GARCIA MAGDALENA AMALIA</v>
          </cell>
        </row>
        <row r="4221">
          <cell r="C4221" t="str">
            <v>1758443566</v>
          </cell>
          <cell r="AT4221" t="str">
            <v>CID GARCIA MAGDALENA AMALIA</v>
          </cell>
        </row>
        <row r="4222">
          <cell r="C4222" t="str">
            <v>1759701830</v>
          </cell>
          <cell r="AT4222" t="str">
            <v>GONZALEZ BERRUGA MANUEL ANGEL</v>
          </cell>
        </row>
        <row r="4223">
          <cell r="C4223" t="str">
            <v>1759701830</v>
          </cell>
          <cell r="AT4223" t="str">
            <v>GONZALEZ BERRUGA MANUEL ANGEL</v>
          </cell>
        </row>
        <row r="4224">
          <cell r="C4224" t="str">
            <v>1759701830</v>
          </cell>
          <cell r="AT4224" t="str">
            <v>GONZALEZ BERRUGA MANUEL ANGEL</v>
          </cell>
        </row>
        <row r="4225">
          <cell r="C4225" t="str">
            <v>1759701830</v>
          </cell>
          <cell r="AT4225" t="str">
            <v>GONZALEZ BERRUGA MANUEL ANGEL</v>
          </cell>
        </row>
        <row r="4226">
          <cell r="C4226" t="str">
            <v>0603231101</v>
          </cell>
          <cell r="AT4226" t="str">
            <v>SANCHEZ ROBALINO ANDREA NICOLE</v>
          </cell>
        </row>
        <row r="4227">
          <cell r="C4227" t="str">
            <v>0603231101</v>
          </cell>
          <cell r="AT4227" t="str">
            <v>SANCHEZ ROBALINO ANDREA NICOLE</v>
          </cell>
        </row>
        <row r="4228">
          <cell r="C4228" t="str">
            <v>0603231101</v>
          </cell>
          <cell r="AT4228" t="str">
            <v>SANCHEZ ROBALINO ANDREA NICOLE</v>
          </cell>
        </row>
        <row r="4229">
          <cell r="C4229" t="str">
            <v>1758513988</v>
          </cell>
          <cell r="AT4229" t="str">
            <v xml:space="preserve">BAIXAULI PEREZ CRISTOBAL </v>
          </cell>
        </row>
        <row r="4230">
          <cell r="C4230" t="str">
            <v>1758513988</v>
          </cell>
          <cell r="AT4230" t="str">
            <v xml:space="preserve">BAIXAULI PEREZ CRISTOBAL </v>
          </cell>
        </row>
        <row r="4231">
          <cell r="C4231" t="str">
            <v>1758513988</v>
          </cell>
          <cell r="AT4231" t="str">
            <v xml:space="preserve">BAIXAULI PEREZ CRISTOBAL </v>
          </cell>
        </row>
        <row r="4232">
          <cell r="C4232" t="str">
            <v>1758513988</v>
          </cell>
          <cell r="AT4232" t="str">
            <v xml:space="preserve">BAIXAULI PEREZ CRISTOBAL </v>
          </cell>
        </row>
        <row r="4233">
          <cell r="C4233" t="str">
            <v>1758513988</v>
          </cell>
          <cell r="AT4233" t="str">
            <v xml:space="preserve">BAIXAULI PEREZ CRISTOBAL </v>
          </cell>
        </row>
        <row r="4234">
          <cell r="C4234" t="str">
            <v>1758513988</v>
          </cell>
          <cell r="AT4234" t="str">
            <v xml:space="preserve">BAIXAULI PEREZ CRISTOBAL </v>
          </cell>
        </row>
        <row r="4235">
          <cell r="C4235" t="str">
            <v>0801942657</v>
          </cell>
          <cell r="AT4235" t="str">
            <v>CEDEÑO MARRETT KARINA DEL ROCIO</v>
          </cell>
        </row>
        <row r="4236">
          <cell r="C4236" t="str">
            <v>0801942657</v>
          </cell>
          <cell r="AT4236" t="str">
            <v>CEDEÑO MARRETT KARINA DEL ROCIO</v>
          </cell>
        </row>
        <row r="4237">
          <cell r="C4237" t="str">
            <v>0801942657</v>
          </cell>
          <cell r="AT4237" t="str">
            <v>CEDEÑO MARRETT KARINA DEL ROCIO</v>
          </cell>
        </row>
        <row r="4238">
          <cell r="C4238" t="str">
            <v>0801942657</v>
          </cell>
          <cell r="AT4238" t="str">
            <v>CEDEÑO MARRETT KARINA DEL ROCIO</v>
          </cell>
        </row>
        <row r="4239">
          <cell r="C4239" t="str">
            <v>0801942657</v>
          </cell>
          <cell r="AT4239" t="str">
            <v>CEDEÑO MARRETT KARINA DEL ROCIO</v>
          </cell>
        </row>
        <row r="4240">
          <cell r="C4240" t="str">
            <v>0801942657</v>
          </cell>
          <cell r="AT4240" t="str">
            <v>CEDEÑO MARRETT KARINA DEL ROCIO</v>
          </cell>
        </row>
        <row r="4241">
          <cell r="C4241" t="str">
            <v>0801942657</v>
          </cell>
          <cell r="AT4241" t="str">
            <v>CEDEÑO MARRETT KARINA DEL ROCIO</v>
          </cell>
        </row>
        <row r="4242">
          <cell r="C4242" t="str">
            <v>0801942657</v>
          </cell>
          <cell r="AT4242" t="str">
            <v>CEDEÑO MARRETT KARINA DEL ROCIO</v>
          </cell>
        </row>
        <row r="4243">
          <cell r="C4243" t="str">
            <v>0802529966</v>
          </cell>
          <cell r="AT4243" t="str">
            <v>LEON CEDEÑO JAIME OSWALDO</v>
          </cell>
        </row>
        <row r="4244">
          <cell r="C4244" t="str">
            <v>0802529966</v>
          </cell>
          <cell r="AT4244" t="str">
            <v>LEON CEDEÑO JAIME OSWALDO</v>
          </cell>
        </row>
        <row r="4245">
          <cell r="C4245" t="str">
            <v>0802529966</v>
          </cell>
          <cell r="AT4245" t="str">
            <v>LEON CEDEÑO JAIME OSWALDO</v>
          </cell>
        </row>
        <row r="4246">
          <cell r="C4246" t="str">
            <v>0802529966</v>
          </cell>
          <cell r="AT4246" t="str">
            <v>LEON CEDEÑO JAIME OSWALDO</v>
          </cell>
        </row>
        <row r="4247">
          <cell r="C4247" t="str">
            <v>0802529966</v>
          </cell>
          <cell r="AT4247" t="str">
            <v>LEON CEDEÑO JAIME OSWALDO</v>
          </cell>
        </row>
        <row r="4248">
          <cell r="C4248" t="str">
            <v>0802529966</v>
          </cell>
          <cell r="AT4248" t="str">
            <v>LEON CEDEÑO JAIME OSWALDO</v>
          </cell>
        </row>
        <row r="4249">
          <cell r="C4249" t="str">
            <v>0802529966</v>
          </cell>
          <cell r="AT4249" t="str">
            <v>LEON CEDEÑO JAIME OSWALDO</v>
          </cell>
        </row>
        <row r="4250">
          <cell r="C4250" t="str">
            <v>0802529966</v>
          </cell>
          <cell r="AT4250" t="str">
            <v>LEON CEDEÑO JAIME OSWALDO</v>
          </cell>
        </row>
        <row r="4251">
          <cell r="C4251" t="str">
            <v>0802529966</v>
          </cell>
          <cell r="AT4251" t="str">
            <v>LEON CEDEÑO JAIME OSWALDO</v>
          </cell>
        </row>
        <row r="4252">
          <cell r="C4252" t="str">
            <v>0802529966</v>
          </cell>
          <cell r="AT4252" t="str">
            <v>LEON CEDEÑO JAIME OSWALDO</v>
          </cell>
        </row>
        <row r="4253">
          <cell r="C4253" t="str">
            <v>0801613969</v>
          </cell>
          <cell r="AT4253" t="str">
            <v>FEY TAFUR MAGDALA VICTORIA</v>
          </cell>
        </row>
        <row r="4254">
          <cell r="C4254" t="str">
            <v>0801613969</v>
          </cell>
          <cell r="AT4254" t="str">
            <v>FEY TAFUR MAGDALA VICTORIA</v>
          </cell>
        </row>
        <row r="4255">
          <cell r="C4255" t="str">
            <v>0801613969</v>
          </cell>
          <cell r="AT4255" t="str">
            <v>FEY TAFUR MAGDALA VICTORIA</v>
          </cell>
        </row>
        <row r="4256">
          <cell r="C4256" t="str">
            <v>0801613969</v>
          </cell>
          <cell r="AT4256" t="str">
            <v>FEY TAFUR MAGDALA VICTORIA</v>
          </cell>
        </row>
        <row r="4257">
          <cell r="C4257" t="str">
            <v>0801613969</v>
          </cell>
          <cell r="AT4257" t="str">
            <v>FEY TAFUR MAGDALA VICTORIA</v>
          </cell>
        </row>
        <row r="4258">
          <cell r="C4258" t="str">
            <v>0801613969</v>
          </cell>
          <cell r="AT4258" t="str">
            <v>FEY TAFUR MAGDALA VICTORIA</v>
          </cell>
        </row>
        <row r="4259">
          <cell r="C4259" t="str">
            <v>0801613969</v>
          </cell>
          <cell r="AT4259" t="str">
            <v>FEY TAFUR MAGDALA VICTORIA</v>
          </cell>
        </row>
        <row r="4260">
          <cell r="C4260" t="str">
            <v>0801613969</v>
          </cell>
          <cell r="AT4260" t="str">
            <v>FEY TAFUR MAGDALA VICTORIA</v>
          </cell>
        </row>
        <row r="4261">
          <cell r="C4261" t="str">
            <v>0801613969</v>
          </cell>
          <cell r="AT4261" t="str">
            <v>FEY TAFUR MAGDALA VICTORIA</v>
          </cell>
        </row>
        <row r="4262">
          <cell r="C4262" t="str">
            <v>0801613969</v>
          </cell>
          <cell r="AT4262" t="str">
            <v>FEY TAFUR MAGDALA VICTORIA</v>
          </cell>
        </row>
        <row r="4263">
          <cell r="C4263" t="str">
            <v>0801613969</v>
          </cell>
          <cell r="AT4263" t="str">
            <v>FEY TAFUR MAGDALA VICTORIA</v>
          </cell>
        </row>
        <row r="4264">
          <cell r="C4264" t="str">
            <v>0801613969</v>
          </cell>
          <cell r="AT4264" t="str">
            <v>FEY TAFUR MAGDALA VICTORIA</v>
          </cell>
        </row>
        <row r="4265">
          <cell r="C4265" t="str">
            <v>0801613969</v>
          </cell>
          <cell r="AT4265" t="str">
            <v>FEY TAFUR MAGDALA VICTORIA</v>
          </cell>
        </row>
        <row r="4266">
          <cell r="C4266" t="str">
            <v>0801613969</v>
          </cell>
          <cell r="AT4266" t="str">
            <v>FEY TAFUR MAGDALA VICTORIA</v>
          </cell>
        </row>
        <row r="4267">
          <cell r="C4267" t="str">
            <v>0801613969</v>
          </cell>
          <cell r="AT4267" t="str">
            <v>FEY TAFUR MAGDALA VICTORIA</v>
          </cell>
        </row>
        <row r="4268">
          <cell r="C4268" t="str">
            <v>0802476549</v>
          </cell>
          <cell r="AT4268" t="str">
            <v>GOMEZ LANDAZURI JORGE FIDEL</v>
          </cell>
        </row>
        <row r="4269">
          <cell r="C4269" t="str">
            <v>0802476549</v>
          </cell>
          <cell r="AT4269" t="str">
            <v>GOMEZ LANDAZURI JORGE FIDEL</v>
          </cell>
        </row>
        <row r="4270">
          <cell r="C4270" t="str">
            <v>0802476549</v>
          </cell>
          <cell r="AT4270" t="str">
            <v>GOMEZ LANDAZURI JORGE FIDEL</v>
          </cell>
        </row>
        <row r="4271">
          <cell r="C4271" t="str">
            <v>0802476549</v>
          </cell>
          <cell r="AT4271" t="str">
            <v>GOMEZ LANDAZURI JORGE FIDEL</v>
          </cell>
        </row>
        <row r="4272">
          <cell r="C4272" t="str">
            <v>0802476549</v>
          </cell>
          <cell r="AT4272" t="str">
            <v>GOMEZ LANDAZURI JORGE FIDEL</v>
          </cell>
        </row>
        <row r="4273">
          <cell r="C4273" t="str">
            <v>0802476549</v>
          </cell>
          <cell r="AT4273" t="str">
            <v>GOMEZ LANDAZURI JORGE FIDEL</v>
          </cell>
        </row>
        <row r="4274">
          <cell r="C4274" t="str">
            <v>0802476549</v>
          </cell>
          <cell r="AT4274" t="str">
            <v>GOMEZ LANDAZURI JORGE FIDEL</v>
          </cell>
        </row>
        <row r="4275">
          <cell r="C4275" t="str">
            <v>0802476549</v>
          </cell>
          <cell r="AT4275" t="str">
            <v>GOMEZ LANDAZURI JORGE FIDEL</v>
          </cell>
        </row>
        <row r="4276">
          <cell r="C4276" t="str">
            <v>0802476549</v>
          </cell>
          <cell r="AT4276" t="str">
            <v>GOMEZ LANDAZURI JORGE FIDEL</v>
          </cell>
        </row>
        <row r="4277">
          <cell r="C4277" t="str">
            <v>0802476549</v>
          </cell>
          <cell r="AT4277" t="str">
            <v>GOMEZ LANDAZURI JORGE FIDEL</v>
          </cell>
        </row>
        <row r="4278">
          <cell r="C4278" t="str">
            <v>1713618096</v>
          </cell>
          <cell r="AT4278" t="str">
            <v>JIMENEZ YANEZ SILVIA FERNANDA</v>
          </cell>
        </row>
        <row r="4279">
          <cell r="C4279" t="str">
            <v>1713618096</v>
          </cell>
          <cell r="AT4279" t="str">
            <v>JIMENEZ YANEZ SILVIA FERNANDA</v>
          </cell>
        </row>
        <row r="4280">
          <cell r="C4280" t="str">
            <v>1713618096</v>
          </cell>
          <cell r="AT4280" t="str">
            <v>JIMENEZ YANEZ SILVIA FERNANDA</v>
          </cell>
        </row>
        <row r="4281">
          <cell r="C4281" t="str">
            <v>1713618096</v>
          </cell>
          <cell r="AT4281" t="str">
            <v>JIMENEZ YANEZ SILVIA FERNANDA</v>
          </cell>
        </row>
        <row r="4282">
          <cell r="C4282" t="str">
            <v>1713618096</v>
          </cell>
          <cell r="AT4282" t="str">
            <v>JIMENEZ YANEZ SILVIA FERNANDA</v>
          </cell>
        </row>
        <row r="4283">
          <cell r="C4283" t="str">
            <v>1713618096</v>
          </cell>
          <cell r="AT4283" t="str">
            <v>JIMENEZ YANEZ SILVIA FERNANDA</v>
          </cell>
        </row>
        <row r="4284">
          <cell r="C4284" t="str">
            <v>1713618096</v>
          </cell>
          <cell r="AT4284" t="str">
            <v>JIMENEZ YANEZ SILVIA FERNANDA</v>
          </cell>
        </row>
        <row r="4285">
          <cell r="C4285" t="str">
            <v>1713618096</v>
          </cell>
          <cell r="AT4285" t="str">
            <v>JIMENEZ YANEZ SILVIA FERNANDA</v>
          </cell>
        </row>
        <row r="4286">
          <cell r="C4286" t="str">
            <v>1713618096</v>
          </cell>
          <cell r="AT4286" t="str">
            <v>JIMENEZ YANEZ SILVIA FERNANDA</v>
          </cell>
        </row>
        <row r="4287">
          <cell r="C4287" t="str">
            <v>1713618096</v>
          </cell>
          <cell r="AT4287" t="str">
            <v>JIMENEZ YANEZ SILVIA FERNANDA</v>
          </cell>
        </row>
        <row r="4288">
          <cell r="C4288" t="str">
            <v>1713618096</v>
          </cell>
          <cell r="AT4288" t="str">
            <v>JIMENEZ YANEZ SILVIA FERNANDA</v>
          </cell>
        </row>
        <row r="4289">
          <cell r="C4289" t="str">
            <v>1713618096</v>
          </cell>
          <cell r="AT4289" t="str">
            <v>JIMENEZ YANEZ SILVIA FERNANDA</v>
          </cell>
        </row>
        <row r="4290">
          <cell r="C4290" t="str">
            <v>1713618096</v>
          </cell>
          <cell r="AT4290" t="str">
            <v>JIMENEZ YANEZ SILVIA FERNANDA</v>
          </cell>
        </row>
        <row r="4291">
          <cell r="C4291" t="str">
            <v>1720749520</v>
          </cell>
          <cell r="AT4291" t="str">
            <v>ORDOÑEZ CRUZ FRANCIA DANIELA</v>
          </cell>
        </row>
        <row r="4292">
          <cell r="C4292" t="str">
            <v>1720749520</v>
          </cell>
          <cell r="AT4292" t="str">
            <v>ORDOÑEZ CRUZ FRANCIA DANIELA</v>
          </cell>
        </row>
        <row r="4293">
          <cell r="C4293" t="str">
            <v>1720749520</v>
          </cell>
          <cell r="AT4293" t="str">
            <v>ORDOÑEZ CRUZ FRANCIA DANIELA</v>
          </cell>
        </row>
        <row r="4294">
          <cell r="C4294" t="str">
            <v>1720749520</v>
          </cell>
          <cell r="AT4294" t="str">
            <v>ORDOÑEZ CRUZ FRANCIA DANIELA</v>
          </cell>
        </row>
        <row r="4295">
          <cell r="C4295" t="str">
            <v>1720749520</v>
          </cell>
          <cell r="AT4295" t="str">
            <v>ORDOÑEZ CRUZ FRANCIA DANIELA</v>
          </cell>
        </row>
        <row r="4296">
          <cell r="C4296" t="str">
            <v>1720749520</v>
          </cell>
          <cell r="AT4296" t="str">
            <v>ORDOÑEZ CRUZ FRANCIA DANIELA</v>
          </cell>
        </row>
        <row r="4297">
          <cell r="C4297" t="str">
            <v>1720749520</v>
          </cell>
          <cell r="AT4297" t="str">
            <v>ORDOÑEZ CRUZ FRANCIA DANIELA</v>
          </cell>
        </row>
        <row r="4298">
          <cell r="C4298" t="str">
            <v>1720749520</v>
          </cell>
          <cell r="AT4298" t="str">
            <v>ORDOÑEZ CRUZ FRANCIA DANIELA</v>
          </cell>
        </row>
        <row r="4299">
          <cell r="C4299" t="str">
            <v>1720749520</v>
          </cell>
          <cell r="AT4299" t="str">
            <v>ORDOÑEZ CRUZ FRANCIA DANIELA</v>
          </cell>
        </row>
        <row r="4300">
          <cell r="C4300" t="str">
            <v>1720749520</v>
          </cell>
          <cell r="AT4300" t="str">
            <v>ORDOÑEZ CRUZ FRANCIA DANIELA</v>
          </cell>
        </row>
        <row r="4301">
          <cell r="C4301" t="str">
            <v>1720749520</v>
          </cell>
          <cell r="AT4301" t="str">
            <v>ORDOÑEZ CRUZ FRANCIA DANIELA</v>
          </cell>
        </row>
        <row r="4302">
          <cell r="C4302" t="str">
            <v>1720749520</v>
          </cell>
          <cell r="AT4302" t="str">
            <v>ORDOÑEZ CRUZ FRANCIA DANIELA</v>
          </cell>
        </row>
        <row r="4303">
          <cell r="C4303" t="str">
            <v>1720749520</v>
          </cell>
          <cell r="AT4303" t="str">
            <v>ORDOÑEZ CRUZ FRANCIA DANIELA</v>
          </cell>
        </row>
        <row r="4304">
          <cell r="C4304" t="str">
            <v>0802608141</v>
          </cell>
          <cell r="AT4304" t="str">
            <v>ORTIZ DIAZ MARCOS DAVID</v>
          </cell>
        </row>
        <row r="4305">
          <cell r="C4305" t="str">
            <v>0802608141</v>
          </cell>
          <cell r="AT4305" t="str">
            <v>ORTIZ DIAZ MARCOS DAVID</v>
          </cell>
        </row>
        <row r="4306">
          <cell r="C4306" t="str">
            <v>0802608141</v>
          </cell>
          <cell r="AT4306" t="str">
            <v>ORTIZ DIAZ MARCOS DAVID</v>
          </cell>
        </row>
        <row r="4307">
          <cell r="C4307" t="str">
            <v>0802608141</v>
          </cell>
          <cell r="AT4307" t="str">
            <v>ORTIZ DIAZ MARCOS DAVID</v>
          </cell>
        </row>
        <row r="4308">
          <cell r="C4308" t="str">
            <v>0802608141</v>
          </cell>
          <cell r="AT4308" t="str">
            <v>ORTIZ DIAZ MARCOS DAVID</v>
          </cell>
        </row>
        <row r="4309">
          <cell r="C4309" t="str">
            <v>0802608141</v>
          </cell>
          <cell r="AT4309" t="str">
            <v>ORTIZ DIAZ MARCOS DAVID</v>
          </cell>
        </row>
        <row r="4310">
          <cell r="C4310" t="str">
            <v>0912127768</v>
          </cell>
          <cell r="AT4310" t="str">
            <v>SANCHEZ CAVIEDES KLEBER HENRY</v>
          </cell>
        </row>
        <row r="4311">
          <cell r="C4311" t="str">
            <v>0912127768</v>
          </cell>
          <cell r="AT4311" t="str">
            <v>SANCHEZ CAVIEDES KLEBER HENRY</v>
          </cell>
        </row>
        <row r="4312">
          <cell r="C4312" t="str">
            <v>0912127768</v>
          </cell>
          <cell r="AT4312" t="str">
            <v>SANCHEZ CAVIEDES KLEBER HENRY</v>
          </cell>
        </row>
        <row r="4313">
          <cell r="C4313" t="str">
            <v>0912127768</v>
          </cell>
          <cell r="AT4313" t="str">
            <v>SANCHEZ CAVIEDES KLEBER HENRY</v>
          </cell>
        </row>
        <row r="4314">
          <cell r="C4314" t="str">
            <v>0912127768</v>
          </cell>
          <cell r="AT4314" t="str">
            <v>SANCHEZ CAVIEDES KLEBER HENRY</v>
          </cell>
        </row>
        <row r="4315">
          <cell r="C4315" t="str">
            <v>0912127768</v>
          </cell>
          <cell r="AT4315" t="str">
            <v>SANCHEZ CAVIEDES KLEBER HENRY</v>
          </cell>
        </row>
        <row r="4316">
          <cell r="C4316" t="str">
            <v>0912127768</v>
          </cell>
          <cell r="AT4316" t="str">
            <v>SANCHEZ CAVIEDES KLEBER HENRY</v>
          </cell>
        </row>
        <row r="4317">
          <cell r="C4317" t="str">
            <v>0912127768</v>
          </cell>
          <cell r="AT4317" t="str">
            <v>SANCHEZ CAVIEDES KLEBER HENRY</v>
          </cell>
        </row>
        <row r="4318">
          <cell r="C4318" t="str">
            <v>0801165317</v>
          </cell>
          <cell r="AT4318" t="str">
            <v>SOSA BONE MIRNA PATRICIA</v>
          </cell>
        </row>
        <row r="4319">
          <cell r="C4319" t="str">
            <v>0801165317</v>
          </cell>
          <cell r="AT4319" t="str">
            <v>SOSA BONE MIRNA PATRICIA</v>
          </cell>
        </row>
        <row r="4320">
          <cell r="C4320" t="str">
            <v>0801165317</v>
          </cell>
          <cell r="AT4320" t="str">
            <v>SOSA BONE MIRNA PATRICIA</v>
          </cell>
        </row>
        <row r="4321">
          <cell r="C4321" t="str">
            <v>0801165317</v>
          </cell>
          <cell r="AT4321" t="str">
            <v>SOSA BONE MIRNA PATRICIA</v>
          </cell>
        </row>
        <row r="4322">
          <cell r="C4322" t="str">
            <v>0801165317</v>
          </cell>
          <cell r="AT4322" t="str">
            <v>SOSA BONE MIRNA PATRICIA</v>
          </cell>
        </row>
        <row r="4323">
          <cell r="C4323" t="str">
            <v>0801165317</v>
          </cell>
          <cell r="AT4323" t="str">
            <v>SOSA BONE MIRNA PATRICIA</v>
          </cell>
        </row>
        <row r="4324">
          <cell r="C4324" t="str">
            <v>0801165317</v>
          </cell>
          <cell r="AT4324" t="str">
            <v>SOSA BONE MIRNA PATRICIA</v>
          </cell>
        </row>
        <row r="4325">
          <cell r="C4325" t="str">
            <v>0801165317</v>
          </cell>
          <cell r="AT4325" t="str">
            <v>SOSA BONE MIRNA PATRICIA</v>
          </cell>
        </row>
        <row r="4326">
          <cell r="C4326" t="str">
            <v>0801165317</v>
          </cell>
          <cell r="AT4326" t="str">
            <v>SOSA BONE MIRNA PATRICIA</v>
          </cell>
        </row>
        <row r="4327">
          <cell r="C4327" t="str">
            <v>0801165317</v>
          </cell>
          <cell r="AT4327" t="str">
            <v>SOSA BONE MIRNA PATRICIA</v>
          </cell>
        </row>
        <row r="4328">
          <cell r="C4328" t="str">
            <v>0801165317</v>
          </cell>
          <cell r="AT4328" t="str">
            <v>SOSA BONE MIRNA PATRICIA</v>
          </cell>
        </row>
        <row r="4329">
          <cell r="C4329" t="str">
            <v>0801165317</v>
          </cell>
          <cell r="AT4329" t="str">
            <v>SOSA BONE MIRNA PATRICIA</v>
          </cell>
        </row>
        <row r="4330">
          <cell r="C4330" t="str">
            <v>0801165317</v>
          </cell>
          <cell r="AT4330" t="str">
            <v>SOSA BONE MIRNA PATRICIA</v>
          </cell>
        </row>
        <row r="4331">
          <cell r="C4331" t="str">
            <v>0801165317</v>
          </cell>
          <cell r="AT4331" t="str">
            <v>SOSA BONE MIRNA PATRICIA</v>
          </cell>
        </row>
        <row r="4332">
          <cell r="C4332" t="str">
            <v>0801165317</v>
          </cell>
          <cell r="AT4332" t="str">
            <v>SOSA BONE MIRNA PATRICIA</v>
          </cell>
        </row>
        <row r="4333">
          <cell r="C4333" t="str">
            <v>0801165317</v>
          </cell>
          <cell r="AT4333" t="str">
            <v>SOSA BONE MIRNA PATRICIA</v>
          </cell>
        </row>
        <row r="4334">
          <cell r="C4334" t="str">
            <v>0801165317</v>
          </cell>
          <cell r="AT4334" t="str">
            <v>SOSA BONE MIRNA PATRICIA</v>
          </cell>
        </row>
        <row r="4335">
          <cell r="C4335" t="str">
            <v>0801165317</v>
          </cell>
          <cell r="AT4335" t="str">
            <v>SOSA BONE MIRNA PATRICIA</v>
          </cell>
        </row>
        <row r="4336">
          <cell r="C4336" t="str">
            <v>0801165317</v>
          </cell>
          <cell r="AT4336" t="str">
            <v>SOSA BONE MIRNA PATRICIA</v>
          </cell>
        </row>
        <row r="4337">
          <cell r="C4337" t="str">
            <v>0801165317</v>
          </cell>
          <cell r="AT4337" t="str">
            <v>SOSA BONE MIRNA PATRICIA</v>
          </cell>
        </row>
        <row r="4338">
          <cell r="C4338" t="str">
            <v>0801165317</v>
          </cell>
          <cell r="AT4338" t="str">
            <v>SOSA BONE MIRNA PATRICIA</v>
          </cell>
        </row>
        <row r="4339">
          <cell r="C4339" t="str">
            <v>0801165317</v>
          </cell>
          <cell r="AT4339" t="str">
            <v>SOSA BONE MIRNA PATRICIA</v>
          </cell>
        </row>
        <row r="4340">
          <cell r="C4340" t="str">
            <v>0801165317</v>
          </cell>
          <cell r="AT4340" t="str">
            <v>SOSA BONE MIRNA PATRICIA</v>
          </cell>
        </row>
        <row r="4341">
          <cell r="C4341" t="str">
            <v>0801165317</v>
          </cell>
          <cell r="AT4341" t="str">
            <v>SOSA BONE MIRNA PATRICIA</v>
          </cell>
        </row>
        <row r="4342">
          <cell r="C4342" t="str">
            <v>0801165317</v>
          </cell>
          <cell r="AT4342" t="str">
            <v>SOSA BONE MIRNA PATRICIA</v>
          </cell>
        </row>
        <row r="4343">
          <cell r="C4343" t="str">
            <v>0801165317</v>
          </cell>
          <cell r="AT4343" t="str">
            <v>SOSA BONE MIRNA PATRICIA</v>
          </cell>
        </row>
        <row r="4344">
          <cell r="C4344" t="str">
            <v>0801165317</v>
          </cell>
          <cell r="AT4344" t="str">
            <v>SOSA BONE MIRNA PATRICIA</v>
          </cell>
        </row>
        <row r="4345">
          <cell r="C4345" t="str">
            <v>1200482949</v>
          </cell>
          <cell r="AT4345" t="str">
            <v>VASQUEZ MORAN MARIANA DEL CARMEN</v>
          </cell>
        </row>
        <row r="4346">
          <cell r="C4346" t="str">
            <v>1200482949</v>
          </cell>
          <cell r="AT4346" t="str">
            <v>VASQUEZ MORAN MARIANA DEL CARMEN</v>
          </cell>
        </row>
        <row r="4347">
          <cell r="C4347" t="str">
            <v>1200482949</v>
          </cell>
          <cell r="AT4347" t="str">
            <v>VASQUEZ MORAN MARIANA DEL CARMEN</v>
          </cell>
        </row>
        <row r="4348">
          <cell r="C4348" t="str">
            <v>1200482949</v>
          </cell>
          <cell r="AT4348" t="str">
            <v>VASQUEZ MORAN MARIANA DEL CARMEN</v>
          </cell>
        </row>
        <row r="4349">
          <cell r="C4349" t="str">
            <v>1200482949</v>
          </cell>
          <cell r="AT4349" t="str">
            <v>VASQUEZ MORAN MARIANA DEL CARMEN</v>
          </cell>
        </row>
        <row r="4350">
          <cell r="C4350" t="str">
            <v>1200482949</v>
          </cell>
          <cell r="AT4350" t="str">
            <v>VASQUEZ MORAN MARIANA DEL CARMEN</v>
          </cell>
        </row>
        <row r="4351">
          <cell r="C4351" t="str">
            <v>1200482949</v>
          </cell>
          <cell r="AT4351" t="str">
            <v>VASQUEZ MORAN MARIANA DEL CARMEN</v>
          </cell>
        </row>
        <row r="4352">
          <cell r="C4352" t="str">
            <v>1200482949</v>
          </cell>
          <cell r="AT4352" t="str">
            <v>VASQUEZ MORAN MARIANA DEL CARMEN</v>
          </cell>
        </row>
        <row r="4353">
          <cell r="C4353" t="str">
            <v>1200482949</v>
          </cell>
          <cell r="AT4353" t="str">
            <v>VASQUEZ MORAN MARIANA DEL CARMEN</v>
          </cell>
        </row>
        <row r="4354">
          <cell r="C4354" t="str">
            <v>1200482949</v>
          </cell>
          <cell r="AT4354" t="str">
            <v>VASQUEZ MORAN MARIANA DEL CARMEN</v>
          </cell>
        </row>
        <row r="4355">
          <cell r="C4355" t="str">
            <v>1200482949</v>
          </cell>
          <cell r="AT4355" t="str">
            <v>VASQUEZ MORAN MARIANA DEL CARMEN</v>
          </cell>
        </row>
        <row r="4356">
          <cell r="C4356" t="str">
            <v>1200482949</v>
          </cell>
          <cell r="AT4356" t="str">
            <v>VASQUEZ MORAN MARIANA DEL CARMEN</v>
          </cell>
        </row>
        <row r="4357">
          <cell r="C4357" t="str">
            <v>1200482949</v>
          </cell>
          <cell r="AT4357" t="str">
            <v>VASQUEZ MORAN MARIANA DEL CARMEN</v>
          </cell>
        </row>
        <row r="4358">
          <cell r="C4358" t="str">
            <v>1200482949</v>
          </cell>
          <cell r="AT4358" t="str">
            <v>VASQUEZ MORAN MARIANA DEL CARMEN</v>
          </cell>
        </row>
        <row r="4359">
          <cell r="C4359" t="str">
            <v>1200482949</v>
          </cell>
          <cell r="AT4359" t="str">
            <v>VASQUEZ MORAN MARIANA DEL CARMEN</v>
          </cell>
        </row>
        <row r="4360">
          <cell r="C4360" t="str">
            <v>1200482949</v>
          </cell>
          <cell r="AT4360" t="str">
            <v>VASQUEZ MORAN MARIANA DEL CARMEN</v>
          </cell>
        </row>
        <row r="4361">
          <cell r="C4361" t="str">
            <v>1200482949</v>
          </cell>
          <cell r="AT4361" t="str">
            <v>VASQUEZ MORAN MARIANA DEL CARMEN</v>
          </cell>
        </row>
        <row r="4362">
          <cell r="C4362" t="str">
            <v>1200482949</v>
          </cell>
          <cell r="AT4362" t="str">
            <v>VASQUEZ MORAN MARIANA DEL CARMEN</v>
          </cell>
        </row>
        <row r="4363">
          <cell r="C4363" t="str">
            <v>0802598540</v>
          </cell>
          <cell r="AT4363" t="str">
            <v>JARAMILLO CASTILLO DIEGO ARMANDO</v>
          </cell>
        </row>
        <row r="4364">
          <cell r="C4364" t="str">
            <v>0800923864</v>
          </cell>
          <cell r="AT4364" t="str">
            <v>GRUEZO ARAUJO SIMON BOLIVAR</v>
          </cell>
        </row>
        <row r="4365">
          <cell r="C4365" t="str">
            <v>0800923864</v>
          </cell>
          <cell r="AT4365" t="str">
            <v>GRUEZO ARAUJO SIMON BOLIVAR</v>
          </cell>
        </row>
        <row r="4366">
          <cell r="C4366" t="str">
            <v>0802403709</v>
          </cell>
          <cell r="AT4366" t="str">
            <v>SALTOS INTRIAGO MARIA FERNANDA</v>
          </cell>
        </row>
        <row r="4367">
          <cell r="C4367" t="str">
            <v>0802403709</v>
          </cell>
          <cell r="AT4367" t="str">
            <v>SALTOS INTRIAGO MARIA FERNANDA</v>
          </cell>
        </row>
        <row r="4368">
          <cell r="C4368" t="str">
            <v>0802403709</v>
          </cell>
          <cell r="AT4368" t="str">
            <v>SALTOS INTRIAGO MARIA FERNANDA</v>
          </cell>
        </row>
        <row r="4369">
          <cell r="C4369" t="str">
            <v>0802403709</v>
          </cell>
          <cell r="AT4369" t="str">
            <v>SALTOS INTRIAGO MARIA FERNANDA</v>
          </cell>
        </row>
        <row r="4370">
          <cell r="C4370" t="str">
            <v>0802403709</v>
          </cell>
          <cell r="AT4370" t="str">
            <v>SALTOS INTRIAGO MARIA FERNANDA</v>
          </cell>
        </row>
        <row r="4371">
          <cell r="C4371" t="str">
            <v>0802403709</v>
          </cell>
          <cell r="AT4371" t="str">
            <v>SALTOS INTRIAGO MARIA FERNANDA</v>
          </cell>
        </row>
        <row r="4372">
          <cell r="C4372" t="str">
            <v>0802403709</v>
          </cell>
          <cell r="AT4372" t="str">
            <v>SALTOS INTRIAGO MARIA FERNANDA</v>
          </cell>
        </row>
        <row r="4373">
          <cell r="C4373" t="str">
            <v>0802403709</v>
          </cell>
          <cell r="AT4373" t="str">
            <v>SALTOS INTRIAGO MARIA FERNANDA</v>
          </cell>
        </row>
        <row r="4374">
          <cell r="C4374" t="str">
            <v>0802403709</v>
          </cell>
          <cell r="AT4374" t="str">
            <v>SALTOS INTRIAGO MARIA FERNANDA</v>
          </cell>
        </row>
        <row r="4375">
          <cell r="C4375" t="str">
            <v>0802403709</v>
          </cell>
          <cell r="AT4375" t="str">
            <v>SALTOS INTRIAGO MARIA FERNANDA</v>
          </cell>
        </row>
        <row r="4376">
          <cell r="C4376" t="str">
            <v>0802403709</v>
          </cell>
          <cell r="AT4376" t="str">
            <v>SALTOS INTRIAGO MARIA FERNANDA</v>
          </cell>
        </row>
        <row r="4377">
          <cell r="C4377" t="str">
            <v>0802403709</v>
          </cell>
          <cell r="AT4377" t="str">
            <v>SALTOS INTRIAGO MARIA FERNANDA</v>
          </cell>
        </row>
        <row r="4378">
          <cell r="C4378" t="str">
            <v>0802403709</v>
          </cell>
          <cell r="AT4378" t="str">
            <v>SALTOS INTRIAGO MARIA FERNANDA</v>
          </cell>
        </row>
        <row r="4379">
          <cell r="C4379" t="str">
            <v>0802403709</v>
          </cell>
          <cell r="AT4379" t="str">
            <v>SALTOS INTRIAGO MARIA FERNANDA</v>
          </cell>
        </row>
        <row r="4380">
          <cell r="C4380" t="str">
            <v>0802403709</v>
          </cell>
          <cell r="AT4380" t="str">
            <v>SALTOS INTRIAGO MARIA FERNANDA</v>
          </cell>
        </row>
        <row r="4381">
          <cell r="C4381" t="str">
            <v>0802403709</v>
          </cell>
          <cell r="AT4381" t="str">
            <v>SALTOS INTRIAGO MARIA FERNANDA</v>
          </cell>
        </row>
        <row r="4382">
          <cell r="C4382" t="str">
            <v>0802403709</v>
          </cell>
          <cell r="AT4382" t="str">
            <v>SALTOS INTRIAGO MARIA FERNANDA</v>
          </cell>
        </row>
        <row r="4383">
          <cell r="C4383" t="str">
            <v>0803545607</v>
          </cell>
          <cell r="AT4383" t="str">
            <v>VELEZ BUSTOS NATALIA JOMAYRA</v>
          </cell>
        </row>
        <row r="4384">
          <cell r="C4384" t="str">
            <v>0803545607</v>
          </cell>
          <cell r="AT4384" t="str">
            <v>VELEZ BUSTOS NATALIA JOMAYRA</v>
          </cell>
        </row>
        <row r="4385">
          <cell r="C4385" t="str">
            <v>0803545607</v>
          </cell>
          <cell r="AT4385" t="str">
            <v>VELEZ BUSTOS NATALIA JOMAYRA</v>
          </cell>
        </row>
        <row r="4386">
          <cell r="C4386" t="str">
            <v>0803545607</v>
          </cell>
          <cell r="AT4386" t="str">
            <v>VELEZ BUSTOS NATALIA JOMAYRA</v>
          </cell>
        </row>
        <row r="4387">
          <cell r="C4387" t="str">
            <v>0803545607</v>
          </cell>
          <cell r="AT4387" t="str">
            <v>VELEZ BUSTOS NATALIA JOMAYRA</v>
          </cell>
        </row>
        <row r="4388">
          <cell r="C4388" t="str">
            <v>0803720044</v>
          </cell>
          <cell r="AT4388" t="str">
            <v>CAÑAR GONZALEZ LISBETH DENNISE</v>
          </cell>
        </row>
        <row r="4389">
          <cell r="C4389" t="str">
            <v>0803495340</v>
          </cell>
          <cell r="AT4389" t="str">
            <v>BURBANO ANGULO KATHERINE MARIBEL</v>
          </cell>
        </row>
        <row r="4390">
          <cell r="C4390" t="str">
            <v>0803495340</v>
          </cell>
          <cell r="AT4390" t="str">
            <v>BURBANO ANGULO KATHERINE MARIBEL</v>
          </cell>
        </row>
        <row r="4391">
          <cell r="C4391" t="str">
            <v>0803495340</v>
          </cell>
          <cell r="AT4391" t="str">
            <v>BURBANO ANGULO KATHERINE MARIBEL</v>
          </cell>
        </row>
        <row r="4392">
          <cell r="C4392" t="str">
            <v>0803495340</v>
          </cell>
          <cell r="AT4392" t="str">
            <v>BURBANO ANGULO KATHERINE MARIBEL</v>
          </cell>
        </row>
        <row r="4393">
          <cell r="C4393" t="str">
            <v>0803495340</v>
          </cell>
          <cell r="AT4393" t="str">
            <v>BURBANO ANGULO KATHERINE MARIBEL</v>
          </cell>
        </row>
        <row r="4394">
          <cell r="C4394" t="str">
            <v>0803495340</v>
          </cell>
          <cell r="AT4394" t="str">
            <v>BURBANO ANGULO KATHERINE MARIBEL</v>
          </cell>
        </row>
        <row r="4395">
          <cell r="C4395" t="str">
            <v>0803495340</v>
          </cell>
          <cell r="AT4395" t="str">
            <v>BURBANO ANGULO KATHERINE MARIBEL</v>
          </cell>
        </row>
        <row r="4396">
          <cell r="C4396" t="str">
            <v>0803495340</v>
          </cell>
          <cell r="AT4396" t="str">
            <v>BURBANO ANGULO KATHERINE MARIBEL</v>
          </cell>
        </row>
        <row r="4397">
          <cell r="C4397" t="str">
            <v>0803495340</v>
          </cell>
          <cell r="AT4397" t="str">
            <v>BURBANO ANGULO KATHERINE MARIBEL</v>
          </cell>
        </row>
        <row r="4398">
          <cell r="C4398" t="str">
            <v>0803495340</v>
          </cell>
          <cell r="AT4398" t="str">
            <v>BURBANO ANGULO KATHERINE MARIBEL</v>
          </cell>
        </row>
        <row r="4399">
          <cell r="C4399" t="str">
            <v>0803495340</v>
          </cell>
          <cell r="AT4399" t="str">
            <v>BURBANO ANGULO KATHERINE MARIBEL</v>
          </cell>
        </row>
        <row r="4400">
          <cell r="C4400" t="str">
            <v>0803495340</v>
          </cell>
          <cell r="AT4400" t="str">
            <v>BURBANO ANGULO KATHERINE MARIBEL</v>
          </cell>
        </row>
        <row r="4401">
          <cell r="C4401" t="str">
            <v>0802278408</v>
          </cell>
          <cell r="AT4401" t="str">
            <v>CEDEÑO BARREZUETA DARIO ANDRES</v>
          </cell>
        </row>
        <row r="4402">
          <cell r="C4402" t="str">
            <v>0802278408</v>
          </cell>
          <cell r="AT4402" t="str">
            <v>CEDEÑO BARREZUETA DARIO ANDRES</v>
          </cell>
        </row>
        <row r="4403">
          <cell r="C4403" t="str">
            <v>0802278408</v>
          </cell>
          <cell r="AT4403" t="str">
            <v>CEDEÑO BARREZUETA DARIO ANDRES</v>
          </cell>
        </row>
        <row r="4404">
          <cell r="C4404" t="str">
            <v>0802278408</v>
          </cell>
          <cell r="AT4404" t="str">
            <v>CEDEÑO BARREZUETA DARIO ANDRES</v>
          </cell>
        </row>
        <row r="4405">
          <cell r="C4405" t="str">
            <v>0802278408</v>
          </cell>
          <cell r="AT4405" t="str">
            <v>CEDEÑO BARREZUETA DARIO ANDRES</v>
          </cell>
        </row>
        <row r="4406">
          <cell r="C4406" t="str">
            <v>0802278408</v>
          </cell>
          <cell r="AT4406" t="str">
            <v>CEDEÑO BARREZUETA DARIO ANDRES</v>
          </cell>
        </row>
        <row r="4407">
          <cell r="C4407" t="str">
            <v>0802278408</v>
          </cell>
          <cell r="AT4407" t="str">
            <v>CEDEÑO BARREZUETA DARIO ANDRES</v>
          </cell>
        </row>
        <row r="4408">
          <cell r="C4408" t="str">
            <v>0802278408</v>
          </cell>
          <cell r="AT4408" t="str">
            <v>CEDEÑO BARREZUETA DARIO ANDRES</v>
          </cell>
        </row>
        <row r="4409">
          <cell r="C4409" t="str">
            <v>0802278408</v>
          </cell>
          <cell r="AT4409" t="str">
            <v>CEDEÑO BARREZUETA DARIO ANDRES</v>
          </cell>
        </row>
        <row r="4410">
          <cell r="C4410" t="str">
            <v>0802278408</v>
          </cell>
          <cell r="AT4410" t="str">
            <v>CEDEÑO BARREZUETA DARIO ANDRES</v>
          </cell>
        </row>
        <row r="4411">
          <cell r="C4411" t="str">
            <v>0802278408</v>
          </cell>
          <cell r="AT4411" t="str">
            <v>CEDEÑO BARREZUETA DARIO ANDRES</v>
          </cell>
        </row>
        <row r="4412">
          <cell r="C4412" t="str">
            <v>0802278408</v>
          </cell>
          <cell r="AT4412" t="str">
            <v>CEDEÑO BARREZUETA DARIO ANDRES</v>
          </cell>
        </row>
        <row r="4413">
          <cell r="C4413" t="str">
            <v>0802278408</v>
          </cell>
          <cell r="AT4413" t="str">
            <v>CEDEÑO BARREZUETA DARIO ANDRES</v>
          </cell>
        </row>
        <row r="4414">
          <cell r="C4414" t="str">
            <v>0802278408</v>
          </cell>
          <cell r="AT4414" t="str">
            <v>CEDEÑO BARREZUETA DARIO ANDRES</v>
          </cell>
        </row>
        <row r="4415">
          <cell r="C4415" t="str">
            <v>0802278408</v>
          </cell>
          <cell r="AT4415" t="str">
            <v>CEDEÑO BARREZUETA DARIO ANDRES</v>
          </cell>
        </row>
        <row r="4416">
          <cell r="C4416" t="str">
            <v>0802278408</v>
          </cell>
          <cell r="AT4416" t="str">
            <v>CEDEÑO BARREZUETA DARIO ANDRES</v>
          </cell>
        </row>
        <row r="4417">
          <cell r="C4417" t="str">
            <v>0802278408</v>
          </cell>
          <cell r="AT4417" t="str">
            <v>CEDEÑO BARREZUETA DARIO ANDRES</v>
          </cell>
        </row>
        <row r="4418">
          <cell r="C4418" t="str">
            <v>0801590506</v>
          </cell>
          <cell r="AT4418" t="str">
            <v>VALENCIA ZAMORA FRANKLIN JULIO</v>
          </cell>
        </row>
        <row r="4419">
          <cell r="C4419" t="str">
            <v>0801590506</v>
          </cell>
          <cell r="AT4419" t="str">
            <v>VALENCIA ZAMORA FRANKLIN JULIO</v>
          </cell>
        </row>
        <row r="4420">
          <cell r="C4420" t="str">
            <v>0801590506</v>
          </cell>
          <cell r="AT4420" t="str">
            <v>VALENCIA ZAMORA FRANKLIN JULIO</v>
          </cell>
        </row>
        <row r="4421">
          <cell r="C4421" t="str">
            <v>0801590506</v>
          </cell>
          <cell r="AT4421" t="str">
            <v>VALENCIA ZAMORA FRANKLIN JULIO</v>
          </cell>
        </row>
        <row r="4422">
          <cell r="C4422" t="str">
            <v>0801590506</v>
          </cell>
          <cell r="AT4422" t="str">
            <v>VALENCIA ZAMORA FRANKLIN JULIO</v>
          </cell>
        </row>
        <row r="4423">
          <cell r="C4423" t="str">
            <v>0801590506</v>
          </cell>
          <cell r="AT4423" t="str">
            <v>VALENCIA ZAMORA FRANKLIN JULIO</v>
          </cell>
        </row>
        <row r="4424">
          <cell r="C4424" t="str">
            <v>0801590506</v>
          </cell>
          <cell r="AT4424" t="str">
            <v>VALENCIA ZAMORA FRANKLIN JULIO</v>
          </cell>
        </row>
        <row r="4425">
          <cell r="C4425" t="str">
            <v>0801590506</v>
          </cell>
          <cell r="AT4425" t="str">
            <v>VALENCIA ZAMORA FRANKLIN JULIO</v>
          </cell>
        </row>
        <row r="4426">
          <cell r="C4426" t="str">
            <v>0801590506</v>
          </cell>
          <cell r="AT4426" t="str">
            <v>VALENCIA ZAMORA FRANKLIN JULIO</v>
          </cell>
        </row>
        <row r="4427">
          <cell r="C4427" t="str">
            <v>0801590506</v>
          </cell>
          <cell r="AT4427" t="str">
            <v>VALENCIA ZAMORA FRANKLIN JULIO</v>
          </cell>
        </row>
        <row r="4428">
          <cell r="C4428" t="str">
            <v>0801590506</v>
          </cell>
          <cell r="AT4428" t="str">
            <v>VALENCIA ZAMORA FRANKLIN JULIO</v>
          </cell>
        </row>
        <row r="4429">
          <cell r="C4429" t="str">
            <v>0801590506</v>
          </cell>
          <cell r="AT4429" t="str">
            <v>VALENCIA ZAMORA FRANKLIN JULIO</v>
          </cell>
        </row>
        <row r="4430">
          <cell r="C4430" t="str">
            <v>0801590506</v>
          </cell>
          <cell r="AT4430" t="str">
            <v>VALENCIA ZAMORA FRANKLIN JULIO</v>
          </cell>
        </row>
        <row r="4431">
          <cell r="C4431" t="str">
            <v>0801590506</v>
          </cell>
          <cell r="AT4431" t="str">
            <v>VALENCIA ZAMORA FRANKLIN JULIO</v>
          </cell>
        </row>
        <row r="4432">
          <cell r="C4432" t="str">
            <v>0801590506</v>
          </cell>
          <cell r="AT4432" t="str">
            <v>VALENCIA ZAMORA FRANKLIN JULIO</v>
          </cell>
        </row>
        <row r="4433">
          <cell r="C4433" t="str">
            <v>0801590506</v>
          </cell>
          <cell r="AT4433" t="str">
            <v>VALENCIA ZAMORA FRANKLIN JULIO</v>
          </cell>
        </row>
        <row r="4434">
          <cell r="C4434" t="str">
            <v>0801590506</v>
          </cell>
          <cell r="AT4434" t="str">
            <v>VALENCIA ZAMORA FRANKLIN JULIO</v>
          </cell>
        </row>
        <row r="4435">
          <cell r="C4435" t="str">
            <v>0801590506</v>
          </cell>
          <cell r="AT4435" t="str">
            <v>VALENCIA ZAMORA FRANKLIN JULIO</v>
          </cell>
        </row>
        <row r="4436">
          <cell r="C4436" t="str">
            <v>0803226893</v>
          </cell>
          <cell r="AT4436" t="str">
            <v>CEVALLOS RENDON WISTON RENATO</v>
          </cell>
        </row>
        <row r="4437">
          <cell r="C4437" t="str">
            <v>0803226893</v>
          </cell>
          <cell r="AT4437" t="str">
            <v>CEVALLOS RENDON WISTON RENATO</v>
          </cell>
        </row>
        <row r="4438">
          <cell r="C4438" t="str">
            <v>0803226893</v>
          </cell>
          <cell r="AT4438" t="str">
            <v>CEVALLOS RENDON WISTON RENATO</v>
          </cell>
        </row>
        <row r="4439">
          <cell r="C4439" t="str">
            <v>0803226893</v>
          </cell>
          <cell r="AT4439" t="str">
            <v>CEVALLOS RENDON WISTON RENATO</v>
          </cell>
        </row>
        <row r="4440">
          <cell r="C4440" t="str">
            <v>0803226893</v>
          </cell>
          <cell r="AT4440" t="str">
            <v>CEVALLOS RENDON WISTON RENATO</v>
          </cell>
        </row>
        <row r="4441">
          <cell r="C4441" t="str">
            <v>0803226893</v>
          </cell>
          <cell r="AT4441" t="str">
            <v>CEVALLOS RENDON WISTON RENATO</v>
          </cell>
        </row>
        <row r="4442">
          <cell r="C4442" t="str">
            <v>0803226893</v>
          </cell>
          <cell r="AT4442" t="str">
            <v>CEVALLOS RENDON WISTON RENATO</v>
          </cell>
        </row>
        <row r="4443">
          <cell r="C4443" t="str">
            <v>0802961821</v>
          </cell>
          <cell r="AT4443" t="str">
            <v>DOMINGUEZ VITERI ALBERTO FRANCISCO</v>
          </cell>
        </row>
        <row r="4444">
          <cell r="C4444" t="str">
            <v>0802961821</v>
          </cell>
          <cell r="AT4444" t="str">
            <v>DOMINGUEZ VITERI ALBERTO FRANCISCO</v>
          </cell>
        </row>
        <row r="4445">
          <cell r="C4445" t="str">
            <v>0802281410</v>
          </cell>
          <cell r="AT4445" t="str">
            <v>FRANCO ZAMBRANO MARIA FERNANDA</v>
          </cell>
        </row>
        <row r="4446">
          <cell r="C4446" t="str">
            <v>0802281410</v>
          </cell>
          <cell r="AT4446" t="str">
            <v>FRANCO ZAMBRANO MARIA FERNANDA</v>
          </cell>
        </row>
        <row r="4447">
          <cell r="C4447" t="str">
            <v>0802281410</v>
          </cell>
          <cell r="AT4447" t="str">
            <v>FRANCO ZAMBRANO MARIA FERNANDA</v>
          </cell>
        </row>
        <row r="4448">
          <cell r="C4448" t="str">
            <v>0802281410</v>
          </cell>
          <cell r="AT4448" t="str">
            <v>FRANCO ZAMBRANO MARIA FERNANDA</v>
          </cell>
        </row>
        <row r="4449">
          <cell r="C4449" t="str">
            <v>0802281410</v>
          </cell>
          <cell r="AT4449" t="str">
            <v>FRANCO ZAMBRANO MARIA FERNANDA</v>
          </cell>
        </row>
        <row r="4450">
          <cell r="C4450" t="str">
            <v>0802281410</v>
          </cell>
          <cell r="AT4450" t="str">
            <v>FRANCO ZAMBRANO MARIA FERNANDA</v>
          </cell>
        </row>
        <row r="4451">
          <cell r="C4451" t="str">
            <v>0802281410</v>
          </cell>
          <cell r="AT4451" t="str">
            <v>FRANCO ZAMBRANO MARIA FERNANDA</v>
          </cell>
        </row>
        <row r="4452">
          <cell r="C4452" t="str">
            <v>0802281410</v>
          </cell>
          <cell r="AT4452" t="str">
            <v>FRANCO ZAMBRANO MARIA FERNANDA</v>
          </cell>
        </row>
        <row r="4453">
          <cell r="C4453" t="str">
            <v>0802281410</v>
          </cell>
          <cell r="AT4453" t="str">
            <v>FRANCO ZAMBRANO MARIA FERNANDA</v>
          </cell>
        </row>
        <row r="4454">
          <cell r="C4454" t="str">
            <v>1758755209</v>
          </cell>
          <cell r="AT4454" t="str">
            <v>GUAIRA RAMOS WILIAM JOSE</v>
          </cell>
        </row>
        <row r="4455">
          <cell r="C4455" t="str">
            <v>1758755209</v>
          </cell>
          <cell r="AT4455" t="str">
            <v>GUAIRA RAMOS WILIAM JOSE</v>
          </cell>
        </row>
        <row r="4456">
          <cell r="C4456" t="str">
            <v>1758755209</v>
          </cell>
          <cell r="AT4456" t="str">
            <v>GUAIRA RAMOS WILIAM JOSE</v>
          </cell>
        </row>
        <row r="4457">
          <cell r="C4457" t="str">
            <v>1758755209</v>
          </cell>
          <cell r="AT4457" t="str">
            <v>GUAIRA RAMOS WILIAM JOSE</v>
          </cell>
        </row>
        <row r="4458">
          <cell r="C4458" t="str">
            <v>1758755209</v>
          </cell>
          <cell r="AT4458" t="str">
            <v>GUAIRA RAMOS WILIAM JOSE</v>
          </cell>
        </row>
        <row r="4459">
          <cell r="C4459" t="str">
            <v>1758755209</v>
          </cell>
          <cell r="AT4459" t="str">
            <v>GUAIRA RAMOS WILIAM JOSE</v>
          </cell>
        </row>
        <row r="4460">
          <cell r="C4460" t="str">
            <v>1758755209</v>
          </cell>
          <cell r="AT4460" t="str">
            <v>GUAIRA RAMOS WILIAM JOSE</v>
          </cell>
        </row>
        <row r="4461">
          <cell r="C4461" t="str">
            <v>1758755209</v>
          </cell>
          <cell r="AT4461" t="str">
            <v>GUAIRA RAMOS WILIAM JOSE</v>
          </cell>
        </row>
        <row r="4462">
          <cell r="C4462" t="str">
            <v>1758755209</v>
          </cell>
          <cell r="AT4462" t="str">
            <v>GUAIRA RAMOS WILIAM JOSE</v>
          </cell>
        </row>
        <row r="4463">
          <cell r="C4463" t="str">
            <v>1758755209</v>
          </cell>
          <cell r="AT4463" t="str">
            <v>GUAIRA RAMOS WILIAM JOSE</v>
          </cell>
        </row>
        <row r="4464">
          <cell r="C4464" t="str">
            <v>1758755209</v>
          </cell>
          <cell r="AT4464" t="str">
            <v>GUAIRA RAMOS WILIAM JOSE</v>
          </cell>
        </row>
        <row r="4465">
          <cell r="C4465" t="str">
            <v>1758755209</v>
          </cell>
          <cell r="AT4465" t="str">
            <v>GUAIRA RAMOS WILIAM JOSE</v>
          </cell>
        </row>
        <row r="4466">
          <cell r="C4466" t="str">
            <v>0850031030</v>
          </cell>
          <cell r="AT4466" t="str">
            <v>ESTUPIÑAN HURTADO IVANNOVA STEFANIA</v>
          </cell>
        </row>
        <row r="4467">
          <cell r="C4467" t="str">
            <v>0850031030</v>
          </cell>
          <cell r="AT4467" t="str">
            <v>ESTUPIÑAN HURTADO IVANNOVA STEFANIA</v>
          </cell>
        </row>
        <row r="4468">
          <cell r="C4468" t="str">
            <v>0850031030</v>
          </cell>
          <cell r="AT4468" t="str">
            <v>ESTUPIÑAN HURTADO IVANNOVA STEFANIA</v>
          </cell>
        </row>
        <row r="4469">
          <cell r="C4469" t="str">
            <v>0850031030</v>
          </cell>
          <cell r="AT4469" t="str">
            <v>ESTUPIÑAN HURTADO IVANNOVA STEFANIA</v>
          </cell>
        </row>
        <row r="4470">
          <cell r="C4470" t="str">
            <v>0850031030</v>
          </cell>
          <cell r="AT4470" t="str">
            <v>ESTUPIÑAN HURTADO IVANNOVA STEFANIA</v>
          </cell>
        </row>
        <row r="4471">
          <cell r="C4471" t="str">
            <v>0850031030</v>
          </cell>
          <cell r="AT4471" t="str">
            <v>ESTUPIÑAN HURTADO IVANNOVA STEFANIA</v>
          </cell>
        </row>
        <row r="4472">
          <cell r="C4472" t="str">
            <v>0850031030</v>
          </cell>
          <cell r="AT4472" t="str">
            <v>ESTUPIÑAN HURTADO IVANNOVA STEFANIA</v>
          </cell>
        </row>
        <row r="4473">
          <cell r="C4473" t="str">
            <v>0850031030</v>
          </cell>
          <cell r="AT4473" t="str">
            <v>ESTUPIÑAN HURTADO IVANNOVA STEFANIA</v>
          </cell>
        </row>
        <row r="4474">
          <cell r="C4474" t="str">
            <v>0850031030</v>
          </cell>
          <cell r="AT4474" t="str">
            <v>ESTUPIÑAN HURTADO IVANNOVA STEFANIA</v>
          </cell>
        </row>
        <row r="4475">
          <cell r="C4475" t="str">
            <v>0850031030</v>
          </cell>
          <cell r="AT4475" t="str">
            <v>ESTUPIÑAN HURTADO IVANNOVA STEFANIA</v>
          </cell>
        </row>
        <row r="4476">
          <cell r="C4476" t="str">
            <v>0850031030</v>
          </cell>
          <cell r="AT4476" t="str">
            <v>ESTUPIÑAN HURTADO IVANNOVA STEFANIA</v>
          </cell>
        </row>
        <row r="4477">
          <cell r="C4477" t="str">
            <v>0803468107</v>
          </cell>
          <cell r="AT4477" t="str">
            <v>ORTIZ CASTRO MERIDA ELIZABETH</v>
          </cell>
        </row>
        <row r="4478">
          <cell r="C4478" t="str">
            <v>0803468107</v>
          </cell>
          <cell r="AT4478" t="str">
            <v>ORTIZ CASTRO MERIDA ELIZABETH</v>
          </cell>
        </row>
        <row r="4479">
          <cell r="C4479" t="str">
            <v>0803468107</v>
          </cell>
          <cell r="AT4479" t="str">
            <v>ORTIZ CASTRO MERIDA ELIZABETH</v>
          </cell>
        </row>
        <row r="4480">
          <cell r="C4480" t="str">
            <v>0801552977</v>
          </cell>
          <cell r="AT4480" t="str">
            <v>PLAZA ORDOÑEZ MARIA DE LOURDES</v>
          </cell>
        </row>
        <row r="4481">
          <cell r="C4481" t="str">
            <v>0801552977</v>
          </cell>
          <cell r="AT4481" t="str">
            <v>PLAZA ORDOÑEZ MARIA DE LOURDES</v>
          </cell>
        </row>
        <row r="4482">
          <cell r="C4482" t="str">
            <v>0801552977</v>
          </cell>
          <cell r="AT4482" t="str">
            <v>PLAZA ORDOÑEZ MARIA DE LOURDES</v>
          </cell>
        </row>
        <row r="4483">
          <cell r="C4483" t="str">
            <v>0801552977</v>
          </cell>
          <cell r="AT4483" t="str">
            <v>PLAZA ORDOÑEZ MARIA DE LOURDES</v>
          </cell>
        </row>
        <row r="4484">
          <cell r="C4484" t="str">
            <v>0801552977</v>
          </cell>
          <cell r="AT4484" t="str">
            <v>PLAZA ORDOÑEZ MARIA DE LOURDES</v>
          </cell>
        </row>
        <row r="4485">
          <cell r="C4485" t="str">
            <v>0801552977</v>
          </cell>
          <cell r="AT4485" t="str">
            <v>PLAZA ORDOÑEZ MARIA DE LOURDES</v>
          </cell>
        </row>
        <row r="4486">
          <cell r="C4486" t="str">
            <v>0801552977</v>
          </cell>
          <cell r="AT4486" t="str">
            <v>PLAZA ORDOÑEZ MARIA DE LOURDES</v>
          </cell>
        </row>
        <row r="4487">
          <cell r="C4487" t="str">
            <v>0801552977</v>
          </cell>
          <cell r="AT4487" t="str">
            <v>PLAZA ORDOÑEZ MARIA DE LOURDES</v>
          </cell>
        </row>
        <row r="4488">
          <cell r="C4488" t="str">
            <v>0801552977</v>
          </cell>
          <cell r="AT4488" t="str">
            <v>PLAZA ORDOÑEZ MARIA DE LOURDES</v>
          </cell>
        </row>
        <row r="4489">
          <cell r="C4489" t="str">
            <v>0801552977</v>
          </cell>
          <cell r="AT4489" t="str">
            <v>PLAZA ORDOÑEZ MARIA DE LOURDES</v>
          </cell>
        </row>
        <row r="4490">
          <cell r="C4490" t="str">
            <v>0801552977</v>
          </cell>
          <cell r="AT4490" t="str">
            <v>PLAZA ORDOÑEZ MARIA DE LOURDES</v>
          </cell>
        </row>
        <row r="4491">
          <cell r="C4491" t="str">
            <v>0802924498</v>
          </cell>
          <cell r="AT4491" t="str">
            <v>ROBLES BERNAL BRIAN EMYR</v>
          </cell>
        </row>
        <row r="4492">
          <cell r="C4492" t="str">
            <v>0802924498</v>
          </cell>
          <cell r="AT4492" t="str">
            <v>ROBLES BERNAL BRIAN EMYR</v>
          </cell>
        </row>
        <row r="4493">
          <cell r="C4493" t="str">
            <v>0802924498</v>
          </cell>
          <cell r="AT4493" t="str">
            <v>ROBLES BERNAL BRIAN EMYR</v>
          </cell>
        </row>
        <row r="4494">
          <cell r="C4494" t="str">
            <v>0802924498</v>
          </cell>
          <cell r="AT4494" t="str">
            <v>ROBLES BERNAL BRIAN EMYR</v>
          </cell>
        </row>
        <row r="4495">
          <cell r="C4495" t="str">
            <v>0802924498</v>
          </cell>
          <cell r="AT4495" t="str">
            <v>ROBLES BERNAL BRIAN EMYR</v>
          </cell>
        </row>
        <row r="4496">
          <cell r="C4496" t="str">
            <v>0962929295</v>
          </cell>
          <cell r="AT4496" t="str">
            <v>PEÑA ROSAS GLORIA DEL VALLE</v>
          </cell>
        </row>
        <row r="4497">
          <cell r="C4497" t="str">
            <v>0962929295</v>
          </cell>
          <cell r="AT4497" t="str">
            <v>PEÑA ROSAS GLORIA DEL VALLE</v>
          </cell>
        </row>
        <row r="4498">
          <cell r="C4498" t="str">
            <v>0962929295</v>
          </cell>
          <cell r="AT4498" t="str">
            <v>PEÑA ROSAS GLORIA DEL VALLE</v>
          </cell>
        </row>
        <row r="4499">
          <cell r="C4499" t="str">
            <v>0850160813</v>
          </cell>
          <cell r="AT4499" t="str">
            <v>SANCHEZ MAILA MENGHY RAUL</v>
          </cell>
        </row>
        <row r="4500">
          <cell r="C4500" t="str">
            <v>1759253147</v>
          </cell>
          <cell r="AT4500" t="str">
            <v>MALDONADO LIRA BEATRIZ MAGALY</v>
          </cell>
        </row>
        <row r="4501">
          <cell r="C4501" t="str">
            <v>1759253147</v>
          </cell>
          <cell r="AT4501" t="str">
            <v>MALDONADO LIRA BEATRIZ MAGALY</v>
          </cell>
        </row>
        <row r="4502">
          <cell r="C4502" t="str">
            <v>1759679168</v>
          </cell>
          <cell r="AT4502" t="str">
            <v xml:space="preserve">MUGICA URANGA ANDER </v>
          </cell>
        </row>
        <row r="4503">
          <cell r="C4503" t="str">
            <v>1759679168</v>
          </cell>
          <cell r="AT4503" t="str">
            <v xml:space="preserve">MUGICA URANGA ANDER </v>
          </cell>
        </row>
        <row r="4504">
          <cell r="C4504" t="str">
            <v>0803420025</v>
          </cell>
          <cell r="AT4504" t="str">
            <v>RODRIGUEZ ORTIZ JUNIOR ROMARIO</v>
          </cell>
        </row>
        <row r="4505">
          <cell r="C4505" t="str">
            <v>0803420025</v>
          </cell>
          <cell r="AT4505" t="str">
            <v>RODRIGUEZ ORTIZ JUNIOR ROMARIO</v>
          </cell>
        </row>
        <row r="4506">
          <cell r="C4506" t="str">
            <v>0801637232</v>
          </cell>
          <cell r="AT4506" t="str">
            <v>ARAUZ OSORIO KELLY BEIRUT</v>
          </cell>
        </row>
        <row r="4507">
          <cell r="C4507" t="str">
            <v>0801637232</v>
          </cell>
          <cell r="AT4507" t="str">
            <v>ARAUZ OSORIO KELLY BEIRUT</v>
          </cell>
        </row>
        <row r="4508">
          <cell r="C4508" t="str">
            <v>0801637232</v>
          </cell>
          <cell r="AT4508" t="str">
            <v>ARAUZ OSORIO KELLY BEIRUT</v>
          </cell>
        </row>
        <row r="4509">
          <cell r="C4509" t="str">
            <v>0801637232</v>
          </cell>
          <cell r="AT4509" t="str">
            <v>ARAUZ OSORIO KELLY BEIRUT</v>
          </cell>
        </row>
        <row r="4510">
          <cell r="C4510" t="str">
            <v>0801637232</v>
          </cell>
          <cell r="AT4510" t="str">
            <v>ARAUZ OSORIO KELLY BEIRUT</v>
          </cell>
        </row>
        <row r="4511">
          <cell r="C4511" t="str">
            <v>0801637232</v>
          </cell>
          <cell r="AT4511" t="str">
            <v>ARAUZ OSORIO KELLY BEIRUT</v>
          </cell>
        </row>
        <row r="4512">
          <cell r="C4512" t="str">
            <v>0801637232</v>
          </cell>
          <cell r="AT4512" t="str">
            <v>ARAUZ OSORIO KELLY BEIRUT</v>
          </cell>
        </row>
        <row r="4513">
          <cell r="C4513" t="str">
            <v>0801637232</v>
          </cell>
          <cell r="AT4513" t="str">
            <v>ARAUZ OSORIO KELLY BEIRUT</v>
          </cell>
        </row>
        <row r="4514">
          <cell r="C4514" t="str">
            <v>0801637232</v>
          </cell>
          <cell r="AT4514" t="str">
            <v>ARAUZ OSORIO KELLY BEIRUT</v>
          </cell>
        </row>
        <row r="4515">
          <cell r="C4515" t="str">
            <v>0801637232</v>
          </cell>
          <cell r="AT4515" t="str">
            <v>ARAUZ OSORIO KELLY BEIRUT</v>
          </cell>
        </row>
        <row r="4516">
          <cell r="C4516" t="str">
            <v>0801637232</v>
          </cell>
          <cell r="AT4516" t="str">
            <v>ARAUZ OSORIO KELLY BEIRUT</v>
          </cell>
        </row>
        <row r="4517">
          <cell r="C4517" t="str">
            <v>0801637232</v>
          </cell>
          <cell r="AT4517" t="str">
            <v>ARAUZ OSORIO KELLY BEIRUT</v>
          </cell>
        </row>
        <row r="4518">
          <cell r="C4518" t="str">
            <v>0803321488</v>
          </cell>
          <cell r="AT4518" t="str">
            <v>CORONEL TENORIO ANA KARINA</v>
          </cell>
        </row>
        <row r="4519">
          <cell r="C4519" t="str">
            <v>0803321488</v>
          </cell>
          <cell r="AT4519" t="str">
            <v>CORONEL TENORIO ANA KARINA</v>
          </cell>
        </row>
        <row r="4520">
          <cell r="C4520" t="str">
            <v>0803321488</v>
          </cell>
          <cell r="AT4520" t="str">
            <v>CORONEL TENORIO ANA KARINA</v>
          </cell>
        </row>
        <row r="4521">
          <cell r="C4521" t="str">
            <v>0803321488</v>
          </cell>
          <cell r="AT4521" t="str">
            <v>CORONEL TENORIO ANA KARINA</v>
          </cell>
        </row>
        <row r="4522">
          <cell r="C4522" t="str">
            <v>0803321488</v>
          </cell>
          <cell r="AT4522" t="str">
            <v>CORONEL TENORIO ANA KARINA</v>
          </cell>
        </row>
        <row r="4523">
          <cell r="C4523" t="str">
            <v>0803321488</v>
          </cell>
          <cell r="AT4523" t="str">
            <v>CORONEL TENORIO ANA KARINA</v>
          </cell>
        </row>
        <row r="4524">
          <cell r="C4524" t="str">
            <v>0803321488</v>
          </cell>
          <cell r="AT4524" t="str">
            <v>CORONEL TENORIO ANA KARINA</v>
          </cell>
        </row>
        <row r="4525">
          <cell r="C4525" t="str">
            <v>0803321488</v>
          </cell>
          <cell r="AT4525" t="str">
            <v>CORONEL TENORIO ANA KARINA</v>
          </cell>
        </row>
        <row r="4526">
          <cell r="C4526" t="str">
            <v>0803321488</v>
          </cell>
          <cell r="AT4526" t="str">
            <v>CORONEL TENORIO ANA KARINA</v>
          </cell>
        </row>
        <row r="4527">
          <cell r="C4527" t="str">
            <v>1804317582</v>
          </cell>
          <cell r="AT4527" t="str">
            <v>IPIALES MIRANDA GABRIEL ALEJANDRO</v>
          </cell>
        </row>
        <row r="4528">
          <cell r="C4528" t="str">
            <v>1804317582</v>
          </cell>
          <cell r="AT4528" t="str">
            <v>IPIALES MIRANDA GABRIEL ALEJANDRO</v>
          </cell>
        </row>
        <row r="4529">
          <cell r="C4529" t="str">
            <v>1804317582</v>
          </cell>
          <cell r="AT4529" t="str">
            <v>IPIALES MIRANDA GABRIEL ALEJANDRO</v>
          </cell>
        </row>
        <row r="4530">
          <cell r="C4530" t="str">
            <v>1804317582</v>
          </cell>
          <cell r="AT4530" t="str">
            <v>IPIALES MIRANDA GABRIEL ALEJANDRO</v>
          </cell>
        </row>
        <row r="4531">
          <cell r="C4531" t="str">
            <v>1804317582</v>
          </cell>
          <cell r="AT4531" t="str">
            <v>IPIALES MIRANDA GABRIEL ALEJANDRO</v>
          </cell>
        </row>
        <row r="4532">
          <cell r="C4532" t="str">
            <v>1804317582</v>
          </cell>
          <cell r="AT4532" t="str">
            <v>IPIALES MIRANDA GABRIEL ALEJANDRO</v>
          </cell>
        </row>
        <row r="4533">
          <cell r="C4533" t="str">
            <v>1804317582</v>
          </cell>
          <cell r="AT4533" t="str">
            <v>IPIALES MIRANDA GABRIEL ALEJANDRO</v>
          </cell>
        </row>
        <row r="4534">
          <cell r="C4534" t="str">
            <v>1804317582</v>
          </cell>
          <cell r="AT4534" t="str">
            <v>IPIALES MIRANDA GABRIEL ALEJANDRO</v>
          </cell>
        </row>
        <row r="4535">
          <cell r="C4535" t="str">
            <v>1804317582</v>
          </cell>
          <cell r="AT4535" t="str">
            <v>IPIALES MIRANDA GABRIEL ALEJANDRO</v>
          </cell>
        </row>
        <row r="4536">
          <cell r="C4536" t="str">
            <v>1804317582</v>
          </cell>
          <cell r="AT4536" t="str">
            <v>IPIALES MIRANDA GABRIEL ALEJANDRO</v>
          </cell>
        </row>
        <row r="4537">
          <cell r="C4537" t="str">
            <v>1804317582</v>
          </cell>
          <cell r="AT4537" t="str">
            <v>IPIALES MIRANDA GABRIEL ALEJANDRO</v>
          </cell>
        </row>
        <row r="4538">
          <cell r="C4538" t="str">
            <v>1804317582</v>
          </cell>
          <cell r="AT4538" t="str">
            <v>IPIALES MIRANDA GABRIEL ALEJANDRO</v>
          </cell>
        </row>
        <row r="4539">
          <cell r="C4539" t="str">
            <v>1804317582</v>
          </cell>
          <cell r="AT4539" t="str">
            <v>IPIALES MIRANDA GABRIEL ALEJANDRO</v>
          </cell>
        </row>
        <row r="4540">
          <cell r="C4540" t="str">
            <v>1804317582</v>
          </cell>
          <cell r="AT4540" t="str">
            <v>IPIALES MIRANDA GABRIEL ALEJANDRO</v>
          </cell>
        </row>
        <row r="4541">
          <cell r="C4541" t="str">
            <v>1804317582</v>
          </cell>
          <cell r="AT4541" t="str">
            <v>IPIALES MIRANDA GABRIEL ALEJANDRO</v>
          </cell>
        </row>
        <row r="4542">
          <cell r="C4542" t="str">
            <v>1804317582</v>
          </cell>
          <cell r="AT4542" t="str">
            <v>IPIALES MIRANDA GABRIEL ALEJANDRO</v>
          </cell>
        </row>
        <row r="4543">
          <cell r="C4543" t="str">
            <v>1804317582</v>
          </cell>
          <cell r="AT4543" t="str">
            <v>IPIALES MIRANDA GABRIEL ALEJANDRO</v>
          </cell>
        </row>
        <row r="4544">
          <cell r="C4544" t="str">
            <v>1804317582</v>
          </cell>
          <cell r="AT4544" t="str">
            <v>IPIALES MIRANDA GABRIEL ALEJANDRO</v>
          </cell>
        </row>
        <row r="4545">
          <cell r="C4545" t="str">
            <v>1804317582</v>
          </cell>
          <cell r="AT4545" t="str">
            <v>IPIALES MIRANDA GABRIEL ALEJANDRO</v>
          </cell>
        </row>
        <row r="4546">
          <cell r="C4546" t="str">
            <v>1804317582</v>
          </cell>
          <cell r="AT4546" t="str">
            <v>IPIALES MIRANDA GABRIEL ALEJANDRO</v>
          </cell>
        </row>
        <row r="4547">
          <cell r="C4547" t="str">
            <v>1804317582</v>
          </cell>
          <cell r="AT4547" t="str">
            <v>IPIALES MIRANDA GABRIEL ALEJANDRO</v>
          </cell>
        </row>
        <row r="4548">
          <cell r="C4548" t="str">
            <v>1804317582</v>
          </cell>
          <cell r="AT4548" t="str">
            <v>IPIALES MIRANDA GABRIEL ALEJANDRO</v>
          </cell>
        </row>
        <row r="4549">
          <cell r="C4549" t="str">
            <v>1804317582</v>
          </cell>
          <cell r="AT4549" t="str">
            <v>IPIALES MIRANDA GABRIEL ALEJANDRO</v>
          </cell>
        </row>
        <row r="4550">
          <cell r="C4550" t="str">
            <v>1804317582</v>
          </cell>
          <cell r="AT4550" t="str">
            <v>IPIALES MIRANDA GABRIEL ALEJANDRO</v>
          </cell>
        </row>
        <row r="4551">
          <cell r="C4551" t="str">
            <v>1804317582</v>
          </cell>
          <cell r="AT4551" t="str">
            <v>IPIALES MIRANDA GABRIEL ALEJANDRO</v>
          </cell>
        </row>
        <row r="4552">
          <cell r="C4552" t="str">
            <v>1804317582</v>
          </cell>
          <cell r="AT4552" t="str">
            <v>IPIALES MIRANDA GABRIEL ALEJANDRO</v>
          </cell>
        </row>
        <row r="4553">
          <cell r="C4553" t="str">
            <v>1804317582</v>
          </cell>
          <cell r="AT4553" t="str">
            <v>IPIALES MIRANDA GABRIEL ALEJANDRO</v>
          </cell>
        </row>
        <row r="4554">
          <cell r="C4554" t="str">
            <v>1804317582</v>
          </cell>
          <cell r="AT4554" t="str">
            <v>IPIALES MIRANDA GABRIEL ALEJANDRO</v>
          </cell>
        </row>
        <row r="4555">
          <cell r="C4555" t="str">
            <v>0800774465</v>
          </cell>
          <cell r="AT4555" t="str">
            <v>PATIÑO CAGUA CELESTE ANNE</v>
          </cell>
        </row>
        <row r="4556">
          <cell r="C4556" t="str">
            <v>0800774465</v>
          </cell>
          <cell r="AT4556" t="str">
            <v>PATIÑO CAGUA CELESTE ANNE</v>
          </cell>
        </row>
        <row r="4557">
          <cell r="C4557" t="str">
            <v>0800774465</v>
          </cell>
          <cell r="AT4557" t="str">
            <v>PATIÑO CAGUA CELESTE ANNE</v>
          </cell>
        </row>
        <row r="4558">
          <cell r="C4558" t="str">
            <v>0800774465</v>
          </cell>
          <cell r="AT4558" t="str">
            <v>PATIÑO CAGUA CELESTE ANNE</v>
          </cell>
        </row>
        <row r="4559">
          <cell r="C4559" t="str">
            <v>0800774465</v>
          </cell>
          <cell r="AT4559" t="str">
            <v>PATIÑO CAGUA CELESTE ANNE</v>
          </cell>
        </row>
        <row r="4560">
          <cell r="C4560" t="str">
            <v>0800774465</v>
          </cell>
          <cell r="AT4560" t="str">
            <v>PATIÑO CAGUA CELESTE ANNE</v>
          </cell>
        </row>
        <row r="4561">
          <cell r="C4561" t="str">
            <v>0800774465</v>
          </cell>
          <cell r="AT4561" t="str">
            <v>PATIÑO CAGUA CELESTE ANNE</v>
          </cell>
        </row>
        <row r="4562">
          <cell r="C4562" t="str">
            <v>0800774465</v>
          </cell>
          <cell r="AT4562" t="str">
            <v>PATIÑO CAGUA CELESTE ANNE</v>
          </cell>
        </row>
        <row r="4563">
          <cell r="C4563" t="str">
            <v>0800774465</v>
          </cell>
          <cell r="AT4563" t="str">
            <v>PATIÑO CAGUA CELESTE ANNE</v>
          </cell>
        </row>
        <row r="4564">
          <cell r="C4564" t="str">
            <v>0800774465</v>
          </cell>
          <cell r="AT4564" t="str">
            <v>PATIÑO CAGUA CELESTE ANNE</v>
          </cell>
        </row>
        <row r="4565">
          <cell r="C4565" t="str">
            <v>0800774465</v>
          </cell>
          <cell r="AT4565" t="str">
            <v>PATIÑO CAGUA CELESTE ANNE</v>
          </cell>
        </row>
        <row r="4566">
          <cell r="C4566" t="str">
            <v>0800774465</v>
          </cell>
          <cell r="AT4566" t="str">
            <v>PATIÑO CAGUA CELESTE ANNE</v>
          </cell>
        </row>
        <row r="4567">
          <cell r="C4567" t="str">
            <v>0800774465</v>
          </cell>
          <cell r="AT4567" t="str">
            <v>PATIÑO CAGUA CELESTE ANNE</v>
          </cell>
        </row>
        <row r="4568">
          <cell r="C4568" t="str">
            <v>0800774465</v>
          </cell>
          <cell r="AT4568" t="str">
            <v>PATIÑO CAGUA CELESTE ANNE</v>
          </cell>
        </row>
        <row r="4569">
          <cell r="C4569" t="str">
            <v>0800774465</v>
          </cell>
          <cell r="AT4569" t="str">
            <v>PATIÑO CAGUA CELESTE ANNE</v>
          </cell>
        </row>
        <row r="4570">
          <cell r="C4570" t="str">
            <v>0800774465</v>
          </cell>
          <cell r="AT4570" t="str">
            <v>PATIÑO CAGUA CELESTE ANNE</v>
          </cell>
        </row>
        <row r="4571">
          <cell r="C4571" t="str">
            <v>0922109616</v>
          </cell>
          <cell r="AT4571" t="str">
            <v>PERDOMO GUERRON JUAN CARLOS</v>
          </cell>
        </row>
        <row r="4572">
          <cell r="C4572" t="str">
            <v>0922109616</v>
          </cell>
          <cell r="AT4572" t="str">
            <v>PERDOMO GUERRON JUAN CARLOS</v>
          </cell>
        </row>
        <row r="4573">
          <cell r="C4573" t="str">
            <v>0962373544</v>
          </cell>
          <cell r="AT4573" t="str">
            <v>PALENCIA GUTIERREZ ESPERANZA MARBELLA</v>
          </cell>
        </row>
        <row r="4574">
          <cell r="C4574" t="str">
            <v>0962373544</v>
          </cell>
          <cell r="AT4574" t="str">
            <v>PALENCIA GUTIERREZ ESPERANZA MARBELLA</v>
          </cell>
        </row>
        <row r="4575">
          <cell r="C4575" t="str">
            <v>0962373544</v>
          </cell>
          <cell r="AT4575" t="str">
            <v>PALENCIA GUTIERREZ ESPERANZA MARBELLA</v>
          </cell>
        </row>
        <row r="4576">
          <cell r="C4576" t="str">
            <v>0962373544</v>
          </cell>
          <cell r="AT4576" t="str">
            <v>PALENCIA GUTIERREZ ESPERANZA MARBELLA</v>
          </cell>
        </row>
        <row r="4577">
          <cell r="C4577" t="str">
            <v>0962373544</v>
          </cell>
          <cell r="AT4577" t="str">
            <v>PALENCIA GUTIERREZ ESPERANZA MARBELLA</v>
          </cell>
        </row>
        <row r="4578">
          <cell r="C4578" t="str">
            <v>0962373544</v>
          </cell>
          <cell r="AT4578" t="str">
            <v>PALENCIA GUTIERREZ ESPERANZA MARBELLA</v>
          </cell>
        </row>
        <row r="4579">
          <cell r="C4579" t="str">
            <v>0962373544</v>
          </cell>
          <cell r="AT4579" t="str">
            <v>PALENCIA GUTIERREZ ESPERANZA MARBELLA</v>
          </cell>
        </row>
        <row r="4580">
          <cell r="C4580" t="str">
            <v>1751277094</v>
          </cell>
          <cell r="AT4580" t="str">
            <v>MONTALVAN  NELSON GEOVANNY</v>
          </cell>
        </row>
        <row r="4581">
          <cell r="C4581" t="str">
            <v>1751277094</v>
          </cell>
          <cell r="AT4581" t="str">
            <v>MONTALVAN  NELSON GEOVANNY</v>
          </cell>
        </row>
        <row r="4582">
          <cell r="C4582" t="str">
            <v>1751277094</v>
          </cell>
          <cell r="AT4582" t="str">
            <v>MONTALVAN  NELSON GEOVANNY</v>
          </cell>
        </row>
        <row r="4583">
          <cell r="C4583" t="str">
            <v>0801762469</v>
          </cell>
          <cell r="AT4583" t="str">
            <v>PLATA CABRERA CARLOS SIMON</v>
          </cell>
        </row>
        <row r="4584">
          <cell r="C4584" t="str">
            <v>0801762469</v>
          </cell>
          <cell r="AT4584" t="str">
            <v>PLATA CABRERA CARLOS SIMON</v>
          </cell>
        </row>
        <row r="4585">
          <cell r="C4585" t="str">
            <v>0801762469</v>
          </cell>
          <cell r="AT4585" t="str">
            <v>PLATA CABRERA CARLOS SIMON</v>
          </cell>
        </row>
        <row r="4586">
          <cell r="C4586" t="str">
            <v>0801762469</v>
          </cell>
          <cell r="AT4586" t="str">
            <v>PLATA CABRERA CARLOS SIMON</v>
          </cell>
        </row>
        <row r="4587">
          <cell r="C4587" t="str">
            <v>0801762469</v>
          </cell>
          <cell r="AT4587" t="str">
            <v>PLATA CABRERA CARLOS SIMON</v>
          </cell>
        </row>
        <row r="4588">
          <cell r="C4588" t="str">
            <v>0801762469</v>
          </cell>
          <cell r="AT4588" t="str">
            <v>PLATA CABRERA CARLOS SIMON</v>
          </cell>
        </row>
        <row r="4589">
          <cell r="C4589" t="str">
            <v>0801762469</v>
          </cell>
          <cell r="AT4589" t="str">
            <v>PLATA CABRERA CARLOS SIMON</v>
          </cell>
        </row>
        <row r="4590">
          <cell r="C4590" t="str">
            <v>0801762469</v>
          </cell>
          <cell r="AT4590" t="str">
            <v>PLATA CABRERA CARLOS SIMON</v>
          </cell>
        </row>
        <row r="4591">
          <cell r="C4591" t="str">
            <v>0803005636</v>
          </cell>
          <cell r="AT4591" t="str">
            <v>MEDRANO PALOMINO ALEJANDRO NELSON</v>
          </cell>
        </row>
        <row r="4592">
          <cell r="C4592" t="str">
            <v>0803005636</v>
          </cell>
          <cell r="AT4592" t="str">
            <v>MEDRANO PALOMINO ALEJANDRO NELSON</v>
          </cell>
        </row>
        <row r="4593">
          <cell r="C4593" t="str">
            <v>0803005636</v>
          </cell>
          <cell r="AT4593" t="str">
            <v>MEDRANO PALOMINO ALEJANDRO NELSON</v>
          </cell>
        </row>
        <row r="4594">
          <cell r="C4594" t="str">
            <v>0803005636</v>
          </cell>
          <cell r="AT4594" t="str">
            <v>MEDRANO PALOMINO ALEJANDRO NELSON</v>
          </cell>
        </row>
        <row r="4595">
          <cell r="C4595" t="str">
            <v>0803005636</v>
          </cell>
          <cell r="AT4595" t="str">
            <v>MEDRANO PALOMINO ALEJANDRO NELSON</v>
          </cell>
        </row>
        <row r="4596">
          <cell r="C4596" t="str">
            <v>0803005636</v>
          </cell>
          <cell r="AT4596" t="str">
            <v>MEDRANO PALOMINO ALEJANDRO NELSON</v>
          </cell>
        </row>
        <row r="4597">
          <cell r="C4597" t="str">
            <v>0803005636</v>
          </cell>
          <cell r="AT4597" t="str">
            <v>MEDRANO PALOMINO ALEJANDRO NELSON</v>
          </cell>
        </row>
        <row r="4598">
          <cell r="C4598" t="str">
            <v>0803005636</v>
          </cell>
          <cell r="AT4598" t="str">
            <v>MEDRANO PALOMINO ALEJANDRO NELSON</v>
          </cell>
        </row>
        <row r="4599">
          <cell r="C4599" t="str">
            <v>0803005636</v>
          </cell>
          <cell r="AT4599" t="str">
            <v>MEDRANO PALOMINO ALEJANDRO NELSON</v>
          </cell>
        </row>
        <row r="4600">
          <cell r="C4600" t="str">
            <v>0803005636</v>
          </cell>
          <cell r="AT4600" t="str">
            <v>MEDRANO PALOMINO ALEJANDRO NELSON</v>
          </cell>
        </row>
        <row r="4601">
          <cell r="C4601" t="str">
            <v>0803005636</v>
          </cell>
          <cell r="AT4601" t="str">
            <v>MEDRANO PALOMINO ALEJANDRO NELSON</v>
          </cell>
        </row>
        <row r="4602">
          <cell r="C4602" t="str">
            <v>0803005636</v>
          </cell>
          <cell r="AT4602" t="str">
            <v>MEDRANO PALOMINO ALEJANDRO NELSON</v>
          </cell>
        </row>
        <row r="4603">
          <cell r="C4603" t="str">
            <v>0803005636</v>
          </cell>
          <cell r="AT4603" t="str">
            <v>MEDRANO PALOMINO ALEJANDRO NELSON</v>
          </cell>
        </row>
        <row r="4604">
          <cell r="C4604" t="str">
            <v>1712761111</v>
          </cell>
          <cell r="AT4604" t="str">
            <v>MORILLO BRAVO JOSE AUGUSTO</v>
          </cell>
        </row>
        <row r="4605">
          <cell r="C4605" t="str">
            <v>1712761111</v>
          </cell>
          <cell r="AT4605" t="str">
            <v>MORILLO BRAVO JOSE AUGUSTO</v>
          </cell>
        </row>
        <row r="4606">
          <cell r="C4606" t="str">
            <v>1712761111</v>
          </cell>
          <cell r="AT4606" t="str">
            <v>MORILLO BRAVO JOSE AUGUSTO</v>
          </cell>
        </row>
        <row r="4607">
          <cell r="C4607" t="str">
            <v>1712761111</v>
          </cell>
          <cell r="AT4607" t="str">
            <v>MORILLO BRAVO JOSE AUGUSTO</v>
          </cell>
        </row>
        <row r="4608">
          <cell r="C4608" t="str">
            <v>1712761111</v>
          </cell>
          <cell r="AT4608" t="str">
            <v>MORILLO BRAVO JOSE AUGUSTO</v>
          </cell>
        </row>
        <row r="4609">
          <cell r="C4609" t="str">
            <v>1712761111</v>
          </cell>
          <cell r="AT4609" t="str">
            <v>MORILLO BRAVO JOSE AUGUSTO</v>
          </cell>
        </row>
        <row r="4610">
          <cell r="C4610" t="str">
            <v>1712761111</v>
          </cell>
          <cell r="AT4610" t="str">
            <v>MORILLO BRAVO JOSE AUGUSTO</v>
          </cell>
        </row>
        <row r="4611">
          <cell r="C4611" t="str">
            <v>1712761111</v>
          </cell>
          <cell r="AT4611" t="str">
            <v>MORILLO BRAVO JOSE AUGUSTO</v>
          </cell>
        </row>
        <row r="4612">
          <cell r="C4612" t="str">
            <v>1712761111</v>
          </cell>
          <cell r="AT4612" t="str">
            <v>MORILLO BRAVO JOSE AUGUSTO</v>
          </cell>
        </row>
        <row r="4613">
          <cell r="C4613" t="str">
            <v>1712761111</v>
          </cell>
          <cell r="AT4613" t="str">
            <v>MORILLO BRAVO JOSE AUGUSTO</v>
          </cell>
        </row>
        <row r="4614">
          <cell r="C4614" t="str">
            <v>1712761111</v>
          </cell>
          <cell r="AT4614" t="str">
            <v>MORILLO BRAVO JOSE AUGUSTO</v>
          </cell>
        </row>
        <row r="4615">
          <cell r="C4615" t="str">
            <v>1712761111</v>
          </cell>
          <cell r="AT4615" t="str">
            <v>MORILLO BRAVO JOSE AUGUSTO</v>
          </cell>
        </row>
        <row r="4616">
          <cell r="C4616" t="str">
            <v>1712761111</v>
          </cell>
          <cell r="AT4616" t="str">
            <v>MORILLO BRAVO JOSE AUGUSTO</v>
          </cell>
        </row>
        <row r="4617">
          <cell r="C4617" t="str">
            <v>1712761111</v>
          </cell>
          <cell r="AT4617" t="str">
            <v>MORILLO BRAVO JOSE AUGUSTO</v>
          </cell>
        </row>
        <row r="4618">
          <cell r="C4618" t="str">
            <v>1712761111</v>
          </cell>
          <cell r="AT4618" t="str">
            <v>MORILLO BRAVO JOSE AUGUSTO</v>
          </cell>
        </row>
        <row r="4619">
          <cell r="C4619" t="str">
            <v>1712761111</v>
          </cell>
          <cell r="AT4619" t="str">
            <v>MORILLO BRAVO JOSE AUGUSTO</v>
          </cell>
        </row>
        <row r="4620">
          <cell r="C4620" t="str">
            <v>1712761111</v>
          </cell>
          <cell r="AT4620" t="str">
            <v>MORILLO BRAVO JOSE AUGUSTO</v>
          </cell>
        </row>
        <row r="4621">
          <cell r="C4621" t="str">
            <v>1712761111</v>
          </cell>
          <cell r="AT4621" t="str">
            <v>MORILLO BRAVO JOSE AUGUSTO</v>
          </cell>
        </row>
        <row r="4622">
          <cell r="C4622" t="str">
            <v>1712761111</v>
          </cell>
          <cell r="AT4622" t="str">
            <v>MORILLO BRAVO JOSE AUGUSTO</v>
          </cell>
        </row>
        <row r="4623">
          <cell r="C4623" t="str">
            <v>1712761111</v>
          </cell>
          <cell r="AT4623" t="str">
            <v>MORILLO BRAVO JOSE AUGUSTO</v>
          </cell>
        </row>
        <row r="4624">
          <cell r="C4624" t="str">
            <v>1712761111</v>
          </cell>
          <cell r="AT4624" t="str">
            <v>MORILLO BRAVO JOSE AUGUSTO</v>
          </cell>
        </row>
        <row r="4625">
          <cell r="C4625" t="str">
            <v>1712761111</v>
          </cell>
          <cell r="AT4625" t="str">
            <v>MORILLO BRAVO JOSE AUGUSTO</v>
          </cell>
        </row>
        <row r="4626">
          <cell r="C4626" t="str">
            <v>1712761111</v>
          </cell>
          <cell r="AT4626" t="str">
            <v>MORILLO BRAVO JOSE AUGUSTO</v>
          </cell>
        </row>
        <row r="4627">
          <cell r="C4627" t="str">
            <v>1712761111</v>
          </cell>
          <cell r="AT4627" t="str">
            <v>MORILLO BRAVO JOSE AUGUSTO</v>
          </cell>
        </row>
        <row r="4628">
          <cell r="C4628" t="str">
            <v>1712761111</v>
          </cell>
          <cell r="AT4628" t="str">
            <v>MORILLO BRAVO JOSE AUGUSTO</v>
          </cell>
        </row>
        <row r="4629">
          <cell r="C4629" t="str">
            <v>1712761111</v>
          </cell>
          <cell r="AT4629" t="str">
            <v>MORILLO BRAVO JOSE AUGUSTO</v>
          </cell>
        </row>
        <row r="4630">
          <cell r="C4630" t="str">
            <v>0801265380</v>
          </cell>
          <cell r="AT4630" t="str">
            <v>BERMUDEZ DELGADO MARY CELESTE</v>
          </cell>
        </row>
        <row r="4631">
          <cell r="C4631" t="str">
            <v>0801265380</v>
          </cell>
          <cell r="AT4631" t="str">
            <v>BERMUDEZ DELGADO MARY CELESTE</v>
          </cell>
        </row>
        <row r="4632">
          <cell r="C4632" t="str">
            <v>0801265380</v>
          </cell>
          <cell r="AT4632" t="str">
            <v>BERMUDEZ DELGADO MARY CELESTE</v>
          </cell>
        </row>
        <row r="4633">
          <cell r="C4633" t="str">
            <v>0801265380</v>
          </cell>
          <cell r="AT4633" t="str">
            <v>BERMUDEZ DELGADO MARY CELESTE</v>
          </cell>
        </row>
        <row r="4634">
          <cell r="C4634" t="str">
            <v>0801265380</v>
          </cell>
          <cell r="AT4634" t="str">
            <v>BERMUDEZ DELGADO MARY CELESTE</v>
          </cell>
        </row>
        <row r="4635">
          <cell r="C4635" t="str">
            <v>0801265380</v>
          </cell>
          <cell r="AT4635" t="str">
            <v>BERMUDEZ DELGADO MARY CELESTE</v>
          </cell>
        </row>
        <row r="4636">
          <cell r="C4636" t="str">
            <v>0801265380</v>
          </cell>
          <cell r="AT4636" t="str">
            <v>BERMUDEZ DELGADO MARY CELESTE</v>
          </cell>
        </row>
        <row r="4637">
          <cell r="C4637" t="str">
            <v>0801265380</v>
          </cell>
          <cell r="AT4637" t="str">
            <v>BERMUDEZ DELGADO MARY CELESTE</v>
          </cell>
        </row>
        <row r="4638">
          <cell r="C4638" t="str">
            <v>0801265380</v>
          </cell>
          <cell r="AT4638" t="str">
            <v>BERMUDEZ DELGADO MARY CELESTE</v>
          </cell>
        </row>
        <row r="4639">
          <cell r="C4639" t="str">
            <v>0801265380</v>
          </cell>
          <cell r="AT4639" t="str">
            <v>BERMUDEZ DELGADO MARY CELESTE</v>
          </cell>
        </row>
        <row r="4640">
          <cell r="C4640" t="str">
            <v>0801265380</v>
          </cell>
          <cell r="AT4640" t="str">
            <v>BERMUDEZ DELGADO MARY CELESTE</v>
          </cell>
        </row>
        <row r="4641">
          <cell r="C4641" t="str">
            <v>0801265380</v>
          </cell>
          <cell r="AT4641" t="str">
            <v>BERMUDEZ DELGADO MARY CELESTE</v>
          </cell>
        </row>
        <row r="4642">
          <cell r="C4642" t="str">
            <v>0801265380</v>
          </cell>
          <cell r="AT4642" t="str">
            <v>BERMUDEZ DELGADO MARY CELESTE</v>
          </cell>
        </row>
        <row r="4643">
          <cell r="C4643" t="str">
            <v>0801265380</v>
          </cell>
          <cell r="AT4643" t="str">
            <v>BERMUDEZ DELGADO MARY CELESTE</v>
          </cell>
        </row>
        <row r="4644">
          <cell r="C4644" t="str">
            <v>0801265380</v>
          </cell>
          <cell r="AT4644" t="str">
            <v>BERMUDEZ DELGADO MARY CELESTE</v>
          </cell>
        </row>
        <row r="4645">
          <cell r="C4645" t="str">
            <v>0801265380</v>
          </cell>
          <cell r="AT4645" t="str">
            <v>BERMUDEZ DELGADO MARY CELESTE</v>
          </cell>
        </row>
        <row r="4646">
          <cell r="C4646" t="str">
            <v>0801265380</v>
          </cell>
          <cell r="AT4646" t="str">
            <v>BERMUDEZ DELGADO MARY CELESTE</v>
          </cell>
        </row>
        <row r="4647">
          <cell r="C4647" t="str">
            <v>0801265380</v>
          </cell>
          <cell r="AT4647" t="str">
            <v>BERMUDEZ DELGADO MARY CELESTE</v>
          </cell>
        </row>
        <row r="4648">
          <cell r="C4648" t="str">
            <v>0801265380</v>
          </cell>
          <cell r="AT4648" t="str">
            <v>BERMUDEZ DELGADO MARY CELESTE</v>
          </cell>
        </row>
        <row r="4649">
          <cell r="C4649" t="str">
            <v>0802780098</v>
          </cell>
          <cell r="AT4649" t="str">
            <v>GONZALEZ GONGORA ROSA MARIA</v>
          </cell>
        </row>
        <row r="4650">
          <cell r="C4650" t="str">
            <v>0802780098</v>
          </cell>
          <cell r="AT4650" t="str">
            <v>GONZALEZ GONGORA ROSA MARIA</v>
          </cell>
        </row>
        <row r="4651">
          <cell r="C4651" t="str">
            <v>0802780098</v>
          </cell>
          <cell r="AT4651" t="str">
            <v>GONZALEZ GONGORA ROSA MARIA</v>
          </cell>
        </row>
        <row r="4652">
          <cell r="C4652" t="str">
            <v>0802780098</v>
          </cell>
          <cell r="AT4652" t="str">
            <v>GONZALEZ GONGORA ROSA MARIA</v>
          </cell>
        </row>
        <row r="4653">
          <cell r="C4653" t="str">
            <v>0802780098</v>
          </cell>
          <cell r="AT4653" t="str">
            <v>GONZALEZ GONGORA ROSA MARIA</v>
          </cell>
        </row>
        <row r="4654">
          <cell r="C4654" t="str">
            <v>0802780098</v>
          </cell>
          <cell r="AT4654" t="str">
            <v>GONZALEZ GONGORA ROSA MARIA</v>
          </cell>
        </row>
        <row r="4655">
          <cell r="C4655" t="str">
            <v>0802780098</v>
          </cell>
          <cell r="AT4655" t="str">
            <v>GONZALEZ GONGORA ROSA MARIA</v>
          </cell>
        </row>
        <row r="4656">
          <cell r="C4656" t="str">
            <v>0926626789</v>
          </cell>
          <cell r="AT4656" t="str">
            <v>PACHAY QUIÑONEZ MARIANA ELIZABETH</v>
          </cell>
        </row>
        <row r="4657">
          <cell r="C4657" t="str">
            <v>0926626789</v>
          </cell>
          <cell r="AT4657" t="str">
            <v>PACHAY QUIÑONEZ MARIANA ELIZABETH</v>
          </cell>
        </row>
        <row r="4658">
          <cell r="C4658" t="str">
            <v>0926626789</v>
          </cell>
          <cell r="AT4658" t="str">
            <v>PACHAY QUIÑONEZ MARIANA ELIZABETH</v>
          </cell>
        </row>
        <row r="4659">
          <cell r="C4659" t="str">
            <v>0926626789</v>
          </cell>
          <cell r="AT4659" t="str">
            <v>PACHAY QUIÑONEZ MARIANA ELIZABETH</v>
          </cell>
        </row>
        <row r="4660">
          <cell r="C4660" t="str">
            <v>0926626789</v>
          </cell>
          <cell r="AT4660" t="str">
            <v>PACHAY QUIÑONEZ MARIANA ELIZABETH</v>
          </cell>
        </row>
        <row r="4661">
          <cell r="C4661" t="str">
            <v>0926626789</v>
          </cell>
          <cell r="AT4661" t="str">
            <v>PACHAY QUIÑONEZ MARIANA ELIZABETH</v>
          </cell>
        </row>
        <row r="4662">
          <cell r="C4662" t="str">
            <v>0926626789</v>
          </cell>
          <cell r="AT4662" t="str">
            <v>PACHAY QUIÑONEZ MARIANA ELIZABETH</v>
          </cell>
        </row>
        <row r="4663">
          <cell r="C4663" t="str">
            <v>0926626789</v>
          </cell>
          <cell r="AT4663" t="str">
            <v>PACHAY QUIÑONEZ MARIANA ELIZABETH</v>
          </cell>
        </row>
        <row r="4664">
          <cell r="C4664" t="str">
            <v>0926626789</v>
          </cell>
          <cell r="AT4664" t="str">
            <v>PACHAY QUIÑONEZ MARIANA ELIZABETH</v>
          </cell>
        </row>
        <row r="4665">
          <cell r="C4665" t="str">
            <v>0926626789</v>
          </cell>
          <cell r="AT4665" t="str">
            <v>PACHAY QUIÑONEZ MARIANA ELIZABETH</v>
          </cell>
        </row>
        <row r="4666">
          <cell r="C4666" t="str">
            <v>0926626789</v>
          </cell>
          <cell r="AT4666" t="str">
            <v>PACHAY QUIÑONEZ MARIANA ELIZABETH</v>
          </cell>
        </row>
        <row r="4667">
          <cell r="C4667" t="str">
            <v>0926626789</v>
          </cell>
          <cell r="AT4667" t="str">
            <v>PACHAY QUIÑONEZ MARIANA ELIZABETH</v>
          </cell>
        </row>
        <row r="4668">
          <cell r="C4668" t="str">
            <v>0926626789</v>
          </cell>
          <cell r="AT4668" t="str">
            <v>PACHAY QUIÑONEZ MARIANA ELIZABETH</v>
          </cell>
        </row>
        <row r="4669">
          <cell r="C4669" t="str">
            <v>0926626789</v>
          </cell>
          <cell r="AT4669" t="str">
            <v>PACHAY QUIÑONEZ MARIANA ELIZABETH</v>
          </cell>
        </row>
        <row r="4670">
          <cell r="C4670" t="str">
            <v>0926626789</v>
          </cell>
          <cell r="AT4670" t="str">
            <v>PACHAY QUIÑONEZ MARIANA ELIZABETH</v>
          </cell>
        </row>
        <row r="4671">
          <cell r="C4671" t="str">
            <v>0926626789</v>
          </cell>
          <cell r="AT4671" t="str">
            <v>PACHAY QUIÑONEZ MARIANA ELIZABETH</v>
          </cell>
        </row>
        <row r="4672">
          <cell r="C4672" t="str">
            <v>0926626789</v>
          </cell>
          <cell r="AT4672" t="str">
            <v>PACHAY QUIÑONEZ MARIANA ELIZABETH</v>
          </cell>
        </row>
        <row r="4673">
          <cell r="C4673" t="str">
            <v>0926626789</v>
          </cell>
          <cell r="AT4673" t="str">
            <v>PACHAY QUIÑONEZ MARIANA ELIZABETH</v>
          </cell>
        </row>
        <row r="4674">
          <cell r="C4674" t="str">
            <v>1711888154</v>
          </cell>
          <cell r="AT4674" t="str">
            <v>MUELA GONZALEZ NELSON ALEJANDRO</v>
          </cell>
        </row>
        <row r="4675">
          <cell r="C4675" t="str">
            <v>1711888154</v>
          </cell>
          <cell r="AT4675" t="str">
            <v>MUELA GONZALEZ NELSON ALEJANDRO</v>
          </cell>
        </row>
        <row r="4676">
          <cell r="C4676" t="str">
            <v>1711888154</v>
          </cell>
          <cell r="AT4676" t="str">
            <v>MUELA GONZALEZ NELSON ALEJANDRO</v>
          </cell>
        </row>
        <row r="4677">
          <cell r="C4677" t="str">
            <v>1711888154</v>
          </cell>
          <cell r="AT4677" t="str">
            <v>MUELA GONZALEZ NELSON ALEJANDRO</v>
          </cell>
        </row>
        <row r="4678">
          <cell r="C4678" t="str">
            <v>1711888154</v>
          </cell>
          <cell r="AT4678" t="str">
            <v>MUELA GONZALEZ NELSON ALEJANDRO</v>
          </cell>
        </row>
        <row r="4679">
          <cell r="C4679" t="str">
            <v>1711888154</v>
          </cell>
          <cell r="AT4679" t="str">
            <v>MUELA GONZALEZ NELSON ALEJANDRO</v>
          </cell>
        </row>
        <row r="4680">
          <cell r="C4680" t="str">
            <v>1711888154</v>
          </cell>
          <cell r="AT4680" t="str">
            <v>MUELA GONZALEZ NELSON ALEJANDRO</v>
          </cell>
        </row>
        <row r="4681">
          <cell r="C4681" t="str">
            <v>1711888154</v>
          </cell>
          <cell r="AT4681" t="str">
            <v>MUELA GONZALEZ NELSON ALEJANDRO</v>
          </cell>
        </row>
        <row r="4682">
          <cell r="C4682" t="str">
            <v>1711888154</v>
          </cell>
          <cell r="AT4682" t="str">
            <v>MUELA GONZALEZ NELSON ALEJANDRO</v>
          </cell>
        </row>
        <row r="4683">
          <cell r="C4683" t="str">
            <v>1711888154</v>
          </cell>
          <cell r="AT4683" t="str">
            <v>MUELA GONZALEZ NELSON ALEJANDRO</v>
          </cell>
        </row>
        <row r="4684">
          <cell r="C4684" t="str">
            <v>1711888154</v>
          </cell>
          <cell r="AT4684" t="str">
            <v>MUELA GONZALEZ NELSON ALEJANDRO</v>
          </cell>
        </row>
        <row r="4685">
          <cell r="C4685" t="str">
            <v>1711888154</v>
          </cell>
          <cell r="AT4685" t="str">
            <v>MUELA GONZALEZ NELSON ALEJANDRO</v>
          </cell>
        </row>
        <row r="4686">
          <cell r="C4686" t="str">
            <v>1711888154</v>
          </cell>
          <cell r="AT4686" t="str">
            <v>MUELA GONZALEZ NELSON ALEJANDRO</v>
          </cell>
        </row>
        <row r="4687">
          <cell r="C4687" t="str">
            <v>1711888154</v>
          </cell>
          <cell r="AT4687" t="str">
            <v>MUELA GONZALEZ NELSON ALEJANDRO</v>
          </cell>
        </row>
        <row r="4688">
          <cell r="C4688" t="str">
            <v>1711888154</v>
          </cell>
          <cell r="AT4688" t="str">
            <v>MUELA GONZALEZ NELSON ALEJANDRO</v>
          </cell>
        </row>
        <row r="4689">
          <cell r="C4689" t="str">
            <v>1711888154</v>
          </cell>
          <cell r="AT4689" t="str">
            <v>MUELA GONZALEZ NELSON ALEJANDRO</v>
          </cell>
        </row>
        <row r="4690">
          <cell r="C4690" t="str">
            <v>1711888154</v>
          </cell>
          <cell r="AT4690" t="str">
            <v>MUELA GONZALEZ NELSON ALEJANDRO</v>
          </cell>
        </row>
        <row r="4691">
          <cell r="C4691" t="str">
            <v>1711888154</v>
          </cell>
          <cell r="AT4691" t="str">
            <v>MUELA GONZALEZ NELSON ALEJANDRO</v>
          </cell>
        </row>
        <row r="4692">
          <cell r="C4692" t="str">
            <v>1711888154</v>
          </cell>
          <cell r="AT4692" t="str">
            <v>MUELA GONZALEZ NELSON ALEJANDRO</v>
          </cell>
        </row>
        <row r="4693">
          <cell r="C4693" t="str">
            <v>1711888154</v>
          </cell>
          <cell r="AT4693" t="str">
            <v>MUELA GONZALEZ NELSON ALEJANDRO</v>
          </cell>
        </row>
        <row r="4694">
          <cell r="C4694" t="str">
            <v>1711888154</v>
          </cell>
          <cell r="AT4694" t="str">
            <v>MUELA GONZALEZ NELSON ALEJANDRO</v>
          </cell>
        </row>
        <row r="4695">
          <cell r="C4695" t="str">
            <v>1711888154</v>
          </cell>
          <cell r="AT4695" t="str">
            <v>MUELA GONZALEZ NELSON ALEJANDRO</v>
          </cell>
        </row>
        <row r="4696">
          <cell r="C4696" t="str">
            <v>1711888154</v>
          </cell>
          <cell r="AT4696" t="str">
            <v>MUELA GONZALEZ NELSON ALEJANDRO</v>
          </cell>
        </row>
        <row r="4697">
          <cell r="C4697" t="str">
            <v>1711888154</v>
          </cell>
          <cell r="AT4697" t="str">
            <v>MUELA GONZALEZ NELSON ALEJANDRO</v>
          </cell>
        </row>
        <row r="4698">
          <cell r="C4698" t="str">
            <v>1711888154</v>
          </cell>
          <cell r="AT4698" t="str">
            <v>MUELA GONZALEZ NELSON ALEJANDRO</v>
          </cell>
        </row>
        <row r="4699">
          <cell r="C4699" t="str">
            <v>1711888154</v>
          </cell>
          <cell r="AT4699" t="str">
            <v>MUELA GONZALEZ NELSON ALEJANDRO</v>
          </cell>
        </row>
        <row r="4700">
          <cell r="C4700" t="str">
            <v>1711888154</v>
          </cell>
          <cell r="AT4700" t="str">
            <v>MUELA GONZALEZ NELSON ALEJANDRO</v>
          </cell>
        </row>
        <row r="4701">
          <cell r="C4701" t="str">
            <v>1711888154</v>
          </cell>
          <cell r="AT4701" t="str">
            <v>MUELA GONZALEZ NELSON ALEJANDRO</v>
          </cell>
        </row>
        <row r="4702">
          <cell r="C4702" t="str">
            <v>1711888154</v>
          </cell>
          <cell r="AT4702" t="str">
            <v>MUELA GONZALEZ NELSON ALEJANDRO</v>
          </cell>
        </row>
        <row r="4703">
          <cell r="C4703" t="str">
            <v>1711888154</v>
          </cell>
          <cell r="AT4703" t="str">
            <v>MUELA GONZALEZ NELSON ALEJANDRO</v>
          </cell>
        </row>
        <row r="4704">
          <cell r="C4704" t="str">
            <v>1711888154</v>
          </cell>
          <cell r="AT4704" t="str">
            <v>MUELA GONZALEZ NELSON ALEJANDRO</v>
          </cell>
        </row>
        <row r="4705">
          <cell r="C4705" t="str">
            <v>1711888154</v>
          </cell>
          <cell r="AT4705" t="str">
            <v>MUELA GONZALEZ NELSON ALEJANDRO</v>
          </cell>
        </row>
        <row r="4706">
          <cell r="C4706" t="str">
            <v>1711888154</v>
          </cell>
          <cell r="AT4706" t="str">
            <v>MUELA GONZALEZ NELSON ALEJANDRO</v>
          </cell>
        </row>
        <row r="4707">
          <cell r="C4707" t="str">
            <v>1711888154</v>
          </cell>
          <cell r="AT4707" t="str">
            <v>MUELA GONZALEZ NELSON ALEJANDRO</v>
          </cell>
        </row>
        <row r="4708">
          <cell r="C4708" t="str">
            <v>1711888154</v>
          </cell>
          <cell r="AT4708" t="str">
            <v>MUELA GONZALEZ NELSON ALEJANDRO</v>
          </cell>
        </row>
        <row r="4709">
          <cell r="C4709" t="str">
            <v>1711888154</v>
          </cell>
          <cell r="AT4709" t="str">
            <v>MUELA GONZALEZ NELSON ALEJANDRO</v>
          </cell>
        </row>
        <row r="4710">
          <cell r="C4710" t="str">
            <v>1711888154</v>
          </cell>
          <cell r="AT4710" t="str">
            <v>MUELA GONZALEZ NELSON ALEJANDRO</v>
          </cell>
        </row>
        <row r="4711">
          <cell r="C4711" t="str">
            <v>1711888154</v>
          </cell>
          <cell r="AT4711" t="str">
            <v>MUELA GONZALEZ NELSON ALEJANDRO</v>
          </cell>
        </row>
        <row r="4712">
          <cell r="C4712" t="str">
            <v>1750987941</v>
          </cell>
          <cell r="AT4712" t="str">
            <v>MORALES HERNANDEZ JENIFFER ELIZABETH</v>
          </cell>
        </row>
        <row r="4713">
          <cell r="C4713" t="str">
            <v>1750987941</v>
          </cell>
          <cell r="AT4713" t="str">
            <v>MORALES HERNANDEZ JENIFFER ELIZABETH</v>
          </cell>
        </row>
        <row r="4714">
          <cell r="C4714" t="str">
            <v>1750987941</v>
          </cell>
          <cell r="AT4714" t="str">
            <v>MORALES HERNANDEZ JENIFFER ELIZABETH</v>
          </cell>
        </row>
        <row r="4715">
          <cell r="C4715" t="str">
            <v>1750987941</v>
          </cell>
          <cell r="AT4715" t="str">
            <v>MORALES HERNANDEZ JENIFFER ELIZABETH</v>
          </cell>
        </row>
        <row r="4716">
          <cell r="C4716" t="str">
            <v>1750987941</v>
          </cell>
          <cell r="AT4716" t="str">
            <v>MORALES HERNANDEZ JENIFFER ELIZABETH</v>
          </cell>
        </row>
        <row r="4717">
          <cell r="C4717" t="str">
            <v>0803228600</v>
          </cell>
          <cell r="AT4717" t="str">
            <v>GRACIA ORTIZ KARINA ELIZABETH</v>
          </cell>
        </row>
        <row r="4718">
          <cell r="C4718" t="str">
            <v>0803228600</v>
          </cell>
          <cell r="AT4718" t="str">
            <v>GRACIA ORTIZ KARINA ELIZABETH</v>
          </cell>
        </row>
        <row r="4719">
          <cell r="C4719" t="str">
            <v>0803228600</v>
          </cell>
          <cell r="AT4719" t="str">
            <v>GRACIA ORTIZ KARINA ELIZABETH</v>
          </cell>
        </row>
        <row r="4720">
          <cell r="C4720" t="str">
            <v>0803228600</v>
          </cell>
          <cell r="AT4720" t="str">
            <v>GRACIA ORTIZ KARINA ELIZABETH</v>
          </cell>
        </row>
        <row r="4721">
          <cell r="C4721" t="str">
            <v>0803228600</v>
          </cell>
          <cell r="AT4721" t="str">
            <v>GRACIA ORTIZ KARINA ELIZABETH</v>
          </cell>
        </row>
        <row r="4722">
          <cell r="C4722" t="str">
            <v>0803228600</v>
          </cell>
          <cell r="AT4722" t="str">
            <v>GRACIA ORTIZ KARINA ELIZABETH</v>
          </cell>
        </row>
        <row r="4723">
          <cell r="C4723" t="str">
            <v>0803228600</v>
          </cell>
          <cell r="AT4723" t="str">
            <v>GRACIA ORTIZ KARINA ELIZABETH</v>
          </cell>
        </row>
        <row r="4724">
          <cell r="C4724" t="str">
            <v>0803228600</v>
          </cell>
          <cell r="AT4724" t="str">
            <v>GRACIA ORTIZ KARINA ELIZABETH</v>
          </cell>
        </row>
        <row r="4725">
          <cell r="C4725" t="str">
            <v>0803228600</v>
          </cell>
          <cell r="AT4725" t="str">
            <v>GRACIA ORTIZ KARINA ELIZABETH</v>
          </cell>
        </row>
        <row r="4726">
          <cell r="C4726" t="str">
            <v>0803228600</v>
          </cell>
          <cell r="AT4726" t="str">
            <v>GRACIA ORTIZ KARINA ELIZABETH</v>
          </cell>
        </row>
        <row r="4727">
          <cell r="C4727" t="str">
            <v>0803228600</v>
          </cell>
          <cell r="AT4727" t="str">
            <v>GRACIA ORTIZ KARINA ELIZABETH</v>
          </cell>
        </row>
        <row r="4728">
          <cell r="C4728" t="str">
            <v>0803228600</v>
          </cell>
          <cell r="AT4728" t="str">
            <v>GRACIA ORTIZ KARINA ELIZABETH</v>
          </cell>
        </row>
        <row r="4729">
          <cell r="C4729" t="str">
            <v>0803228600</v>
          </cell>
          <cell r="AT4729" t="str">
            <v>GRACIA ORTIZ KARINA ELIZABETH</v>
          </cell>
        </row>
        <row r="4730">
          <cell r="C4730" t="str">
            <v>0803228600</v>
          </cell>
          <cell r="AT4730" t="str">
            <v>GRACIA ORTIZ KARINA ELIZABETH</v>
          </cell>
        </row>
        <row r="4731">
          <cell r="C4731" t="str">
            <v>0803967751</v>
          </cell>
          <cell r="AT4731" t="str">
            <v>ACEVEDO ALCIVAR RITA DEL ROCIO</v>
          </cell>
        </row>
        <row r="4732">
          <cell r="C4732" t="str">
            <v>0804382976</v>
          </cell>
          <cell r="AT4732" t="str">
            <v>ANCHUNDIA ESPAÑA ANGIE NICOLE</v>
          </cell>
        </row>
        <row r="4733">
          <cell r="C4733" t="str">
            <v>0850056813</v>
          </cell>
          <cell r="AT4733" t="str">
            <v>MURILLO RIVAS KAROL NICOLE</v>
          </cell>
        </row>
        <row r="4734">
          <cell r="C4734" t="str">
            <v>0803319839</v>
          </cell>
          <cell r="AT4734" t="str">
            <v>ORELLANA DURAN BRATS HIDEMISHU</v>
          </cell>
        </row>
        <row r="4735">
          <cell r="C4735" t="str">
            <v>0802600171</v>
          </cell>
          <cell r="AT4735" t="str">
            <v>QUINDE CHILA ARIANA MISHELLE</v>
          </cell>
        </row>
        <row r="4736">
          <cell r="C4736" t="str">
            <v>0803181320</v>
          </cell>
          <cell r="AT4736" t="str">
            <v>ESPINOZA AVILA MANUEL EDUARDO</v>
          </cell>
        </row>
        <row r="4737">
          <cell r="C4737" t="str">
            <v>0803181320</v>
          </cell>
          <cell r="AT4737" t="str">
            <v>ESPINOZA AVILA MANUEL EDUARDO</v>
          </cell>
        </row>
        <row r="4738">
          <cell r="C4738" t="str">
            <v>0803181320</v>
          </cell>
          <cell r="AT4738" t="str">
            <v>ESPINOZA AVILA MANUEL EDUARDO</v>
          </cell>
        </row>
        <row r="4739">
          <cell r="C4739" t="str">
            <v>0803181320</v>
          </cell>
          <cell r="AT4739" t="str">
            <v>ESPINOZA AVILA MANUEL EDUARDO</v>
          </cell>
        </row>
        <row r="4740">
          <cell r="C4740" t="str">
            <v>0803181320</v>
          </cell>
          <cell r="AT4740" t="str">
            <v>ESPINOZA AVILA MANUEL EDUARDO</v>
          </cell>
        </row>
        <row r="4741">
          <cell r="C4741" t="str">
            <v>0803181320</v>
          </cell>
          <cell r="AT4741" t="str">
            <v>ESPINOZA AVILA MANUEL EDUARDO</v>
          </cell>
        </row>
        <row r="4742">
          <cell r="C4742" t="str">
            <v>0803181320</v>
          </cell>
          <cell r="AT4742" t="str">
            <v>ESPINOZA AVILA MANUEL EDUARDO</v>
          </cell>
        </row>
        <row r="4743">
          <cell r="C4743" t="str">
            <v>0803181320</v>
          </cell>
          <cell r="AT4743" t="str">
            <v>ESPINOZA AVILA MANUEL EDUARDO</v>
          </cell>
        </row>
        <row r="4744">
          <cell r="C4744" t="str">
            <v>0803181320</v>
          </cell>
          <cell r="AT4744" t="str">
            <v>ESPINOZA AVILA MANUEL EDUARDO</v>
          </cell>
        </row>
        <row r="4745">
          <cell r="C4745" t="str">
            <v>0803181320</v>
          </cell>
          <cell r="AT4745" t="str">
            <v>ESPINOZA AVILA MANUEL EDUARDO</v>
          </cell>
        </row>
        <row r="4746">
          <cell r="C4746" t="str">
            <v>0803181320</v>
          </cell>
          <cell r="AT4746" t="str">
            <v>ESPINOZA AVILA MANUEL EDUARDO</v>
          </cell>
        </row>
        <row r="4747">
          <cell r="C4747" t="str">
            <v>1756846521</v>
          </cell>
          <cell r="AT4747" t="str">
            <v>PRIETO FUENMAYOR JULIA ROSA</v>
          </cell>
        </row>
        <row r="4748">
          <cell r="C4748" t="str">
            <v>1756846521</v>
          </cell>
          <cell r="AT4748" t="str">
            <v>PRIETO FUENMAYOR JULIA ROSA</v>
          </cell>
        </row>
        <row r="4749">
          <cell r="C4749" t="str">
            <v>1756846521</v>
          </cell>
          <cell r="AT4749" t="str">
            <v>PRIETO FUENMAYOR JULIA ROSA</v>
          </cell>
        </row>
        <row r="4750">
          <cell r="C4750" t="str">
            <v>1756846521</v>
          </cell>
          <cell r="AT4750" t="str">
            <v>PRIETO FUENMAYOR JULIA ROSA</v>
          </cell>
        </row>
        <row r="4751">
          <cell r="C4751" t="str">
            <v>1756846521</v>
          </cell>
          <cell r="AT4751" t="str">
            <v>PRIETO FUENMAYOR JULIA ROSA</v>
          </cell>
        </row>
        <row r="4752">
          <cell r="C4752" t="str">
            <v>1756846521</v>
          </cell>
          <cell r="AT4752" t="str">
            <v>PRIETO FUENMAYOR JULIA ROSA</v>
          </cell>
        </row>
        <row r="4753">
          <cell r="C4753" t="str">
            <v>1756846521</v>
          </cell>
          <cell r="AT4753" t="str">
            <v>PRIETO FUENMAYOR JULIA ROSA</v>
          </cell>
        </row>
        <row r="4754">
          <cell r="C4754" t="str">
            <v>0802916130</v>
          </cell>
          <cell r="AT4754" t="str">
            <v>BAUTISTA MEJIA KATIUSKA MARIA</v>
          </cell>
        </row>
        <row r="4755">
          <cell r="C4755" t="str">
            <v>0804501237</v>
          </cell>
          <cell r="AT4755" t="str">
            <v>TOALA MAZO KARLA MIREYA</v>
          </cell>
        </row>
        <row r="4756">
          <cell r="C4756" t="str">
            <v>0804501237</v>
          </cell>
          <cell r="AT4756" t="str">
            <v>TOALA MAZO KARLA MIREYA</v>
          </cell>
        </row>
        <row r="4757">
          <cell r="C4757" t="str">
            <v>0804501237</v>
          </cell>
          <cell r="AT4757" t="str">
            <v>TOALA MAZO KARLA MIREYA</v>
          </cell>
        </row>
        <row r="4758">
          <cell r="C4758" t="str">
            <v>0804501237</v>
          </cell>
          <cell r="AT4758" t="str">
            <v>TOALA MAZO KARLA MIREYA</v>
          </cell>
        </row>
        <row r="4759">
          <cell r="C4759" t="str">
            <v>0802557454</v>
          </cell>
          <cell r="AT4759" t="str">
            <v>CABEZAS CEDEÑO NATALIE KARINE</v>
          </cell>
        </row>
        <row r="4760">
          <cell r="C4760" t="str">
            <v>0802557454</v>
          </cell>
          <cell r="AT4760" t="str">
            <v>CABEZAS CEDEÑO NATALIE KARINE</v>
          </cell>
        </row>
        <row r="4761">
          <cell r="C4761" t="str">
            <v>0802557454</v>
          </cell>
          <cell r="AT4761" t="str">
            <v>CABEZAS CEDEÑO NATALIE KARINE</v>
          </cell>
        </row>
        <row r="4762">
          <cell r="C4762" t="str">
            <v>0802557454</v>
          </cell>
          <cell r="AT4762" t="str">
            <v>CABEZAS CEDEÑO NATALIE KARINE</v>
          </cell>
        </row>
        <row r="4763">
          <cell r="C4763" t="str">
            <v>0802557454</v>
          </cell>
          <cell r="AT4763" t="str">
            <v>CABEZAS CEDEÑO NATALIE KARINE</v>
          </cell>
        </row>
        <row r="4764">
          <cell r="C4764" t="str">
            <v>0802233445</v>
          </cell>
          <cell r="AT4764" t="str">
            <v>OVIEDO VERA AIDA YISELA</v>
          </cell>
        </row>
        <row r="4765">
          <cell r="C4765" t="str">
            <v>0802233445</v>
          </cell>
          <cell r="AT4765" t="str">
            <v>OVIEDO VERA AIDA YISELA</v>
          </cell>
        </row>
        <row r="4766">
          <cell r="C4766" t="str">
            <v>0802233445</v>
          </cell>
          <cell r="AT4766" t="str">
            <v>OVIEDO VERA AIDA YISELA</v>
          </cell>
        </row>
        <row r="4767">
          <cell r="C4767" t="str">
            <v>0802233445</v>
          </cell>
          <cell r="AT4767" t="str">
            <v>OVIEDO VERA AIDA YISELA</v>
          </cell>
        </row>
        <row r="4768">
          <cell r="C4768" t="str">
            <v>0802233445</v>
          </cell>
          <cell r="AT4768" t="str">
            <v>OVIEDO VERA AIDA YISELA</v>
          </cell>
        </row>
        <row r="4769">
          <cell r="C4769" t="str">
            <v>0962658753</v>
          </cell>
          <cell r="AT4769" t="str">
            <v xml:space="preserve">ALTMAN PEÑA BARBARA </v>
          </cell>
        </row>
        <row r="4770">
          <cell r="C4770" t="str">
            <v>0803554831</v>
          </cell>
          <cell r="AT4770" t="str">
            <v>CHILA GARCIA KAREN CAROLINA</v>
          </cell>
        </row>
        <row r="4771">
          <cell r="C4771" t="str">
            <v>0803554831</v>
          </cell>
          <cell r="AT4771" t="str">
            <v>CHILA GARCIA KAREN CAROLINA</v>
          </cell>
        </row>
        <row r="4772">
          <cell r="C4772" t="str">
            <v>0803554831</v>
          </cell>
          <cell r="AT4772" t="str">
            <v>CHILA GARCIA KAREN CAROLINA</v>
          </cell>
        </row>
        <row r="4773">
          <cell r="C4773" t="str">
            <v>0803554831</v>
          </cell>
          <cell r="AT4773" t="str">
            <v>CHILA GARCIA KAREN CAROLINA</v>
          </cell>
        </row>
        <row r="4774">
          <cell r="C4774" t="str">
            <v>0804130268</v>
          </cell>
          <cell r="AT4774" t="str">
            <v>BARBOZA MACIAS FERNANDA CRISTINA</v>
          </cell>
        </row>
        <row r="4775">
          <cell r="C4775" t="str">
            <v>0803786680</v>
          </cell>
          <cell r="AT4775" t="str">
            <v>HERRERA IZQUIERDO LUIS ALBERTO</v>
          </cell>
        </row>
        <row r="4776">
          <cell r="C4776" t="str">
            <v>0852067545</v>
          </cell>
          <cell r="AT4776" t="str">
            <v xml:space="preserve">ALVAREZ REYNA ANISLEY </v>
          </cell>
        </row>
        <row r="4777">
          <cell r="C4777" t="str">
            <v>0802326355</v>
          </cell>
          <cell r="AT4777" t="str">
            <v>BUSTOS MERCHAN YASMIN DEL ROCIO</v>
          </cell>
        </row>
        <row r="4778">
          <cell r="C4778" t="str">
            <v>0802326355</v>
          </cell>
          <cell r="AT4778" t="str">
            <v>BUSTOS MERCHAN YASMIN DEL ROCIO</v>
          </cell>
        </row>
        <row r="4779">
          <cell r="C4779" t="str">
            <v>0802326355</v>
          </cell>
          <cell r="AT4779" t="str">
            <v>BUSTOS MERCHAN YASMIN DEL ROCIO</v>
          </cell>
        </row>
        <row r="4780">
          <cell r="C4780" t="str">
            <v>1714595186</v>
          </cell>
          <cell r="AT4780" t="str">
            <v>ROJAS LONDOÑO ORLANDO DAVID</v>
          </cell>
        </row>
        <row r="4781">
          <cell r="C4781" t="str">
            <v>0960650489</v>
          </cell>
          <cell r="AT4781" t="str">
            <v xml:space="preserve">GOMEZ ABELEDO GUADALUPE </v>
          </cell>
        </row>
        <row r="4782">
          <cell r="C4782" t="str">
            <v>1758933202</v>
          </cell>
          <cell r="AT4782" t="str">
            <v>MEDINA MALDONADO VENUS ELIZABETH</v>
          </cell>
        </row>
        <row r="4783">
          <cell r="C4783" t="str">
            <v>AP007916</v>
          </cell>
          <cell r="AT4783" t="str">
            <v>BUENO CASTELLANOS MAURICIO ANDRES</v>
          </cell>
        </row>
        <row r="4784">
          <cell r="C4784" t="str">
            <v>0803496900</v>
          </cell>
          <cell r="AT4784" t="str">
            <v>COIMEN MARQUEZ BORIS GUILLERMO</v>
          </cell>
        </row>
        <row r="4785">
          <cell r="C4785" t="str">
            <v/>
          </cell>
          <cell r="AT4785" t="str">
            <v xml:space="preserve">   </v>
          </cell>
        </row>
        <row r="4786">
          <cell r="C4786" t="str">
            <v>0703783738</v>
          </cell>
          <cell r="AT4786" t="str">
            <v>CUNHA ROMERO LUZ ELENA</v>
          </cell>
        </row>
        <row r="4787">
          <cell r="C4787" t="str">
            <v>1706733167</v>
          </cell>
          <cell r="AT4787" t="str">
            <v>EGAS ACOSTA CARLOS ROBERTO</v>
          </cell>
        </row>
        <row r="4788">
          <cell r="C4788" t="str">
            <v>1758831687</v>
          </cell>
          <cell r="AT4788" t="str">
            <v>SERRANO PRATO GABRIELA PETRUSKA</v>
          </cell>
        </row>
        <row r="4789">
          <cell r="C4789" t="str">
            <v>AT214051</v>
          </cell>
          <cell r="AT4789" t="str">
            <v>SARSOSA PROWESK KEWY VERUSKA</v>
          </cell>
        </row>
        <row r="4790">
          <cell r="C4790" t="str">
            <v>0923864540</v>
          </cell>
          <cell r="AT4790" t="str">
            <v>TRELLES CABRERA FLAVIO DANIEL</v>
          </cell>
        </row>
        <row r="4791">
          <cell r="C4791" t="str">
            <v>1758460826</v>
          </cell>
          <cell r="AT4791" t="str">
            <v>HERNANDEZ ZAMBRANO YARINTZA COROMOTO</v>
          </cell>
        </row>
        <row r="4792">
          <cell r="C4792" t="str">
            <v>1803467131</v>
          </cell>
          <cell r="AT4792" t="str">
            <v>AVILA HERRERA STALYN ALEJANDRO</v>
          </cell>
        </row>
        <row r="4793">
          <cell r="C4793" t="str">
            <v>PAC232532</v>
          </cell>
          <cell r="AT4793" t="str">
            <v xml:space="preserve">REAL CASTELAO SARA </v>
          </cell>
        </row>
        <row r="4794">
          <cell r="C4794" t="str">
            <v>1002100046</v>
          </cell>
          <cell r="AT4794" t="str">
            <v>CHAVEZ VACA JORGE STALIN</v>
          </cell>
        </row>
        <row r="4795">
          <cell r="C4795" t="str">
            <v>0804589380</v>
          </cell>
          <cell r="AT4795" t="str">
            <v>ZAMORA CAGUA NICOLE GEANNINE</v>
          </cell>
        </row>
        <row r="4796">
          <cell r="C4796" t="str">
            <v>0804589380</v>
          </cell>
          <cell r="AT4796" t="str">
            <v>ZAMORA CAGUA NICOLE GEANNINE</v>
          </cell>
        </row>
        <row r="4797">
          <cell r="C4797" t="str">
            <v>1314853761</v>
          </cell>
          <cell r="AT4797" t="str">
            <v>ARBOLEDA TORRES DAYANA EDITH</v>
          </cell>
        </row>
        <row r="4798">
          <cell r="C4798" t="str">
            <v>1314853761</v>
          </cell>
          <cell r="AT4798" t="str">
            <v>ARBOLEDA TORRES DAYANA EDITH</v>
          </cell>
        </row>
        <row r="4799">
          <cell r="C4799" t="str">
            <v>1314853761</v>
          </cell>
          <cell r="AT4799" t="str">
            <v>ARBOLEDA TORRES DAYANA EDITH</v>
          </cell>
        </row>
        <row r="4800">
          <cell r="C4800" t="str">
            <v>1314853761</v>
          </cell>
          <cell r="AT4800" t="str">
            <v>ARBOLEDA TORRES DAYANA EDITH</v>
          </cell>
        </row>
        <row r="4801">
          <cell r="C4801" t="str">
            <v>0850053745</v>
          </cell>
          <cell r="AT4801" t="str">
            <v>NAZARENO ARCE MARTHA ELIZABETH</v>
          </cell>
        </row>
        <row r="4802">
          <cell r="C4802" t="str">
            <v>0803714930</v>
          </cell>
          <cell r="AT4802" t="str">
            <v>TORO REINA SERGIO DANIEL</v>
          </cell>
        </row>
        <row r="4803">
          <cell r="C4803" t="str">
            <v>0804470045</v>
          </cell>
          <cell r="AT4803" t="str">
            <v>VILLEGAS CEDEÑO AISHA MARINA</v>
          </cell>
        </row>
        <row r="4804">
          <cell r="C4804" t="str">
            <v>0804470045</v>
          </cell>
          <cell r="AT4804" t="str">
            <v>VILLEGAS CEDEÑO AISHA MARINA</v>
          </cell>
        </row>
        <row r="4805">
          <cell r="C4805" t="str">
            <v>0804470045</v>
          </cell>
          <cell r="AT4805" t="str">
            <v>VILLEGAS CEDEÑO AISHA MARINA</v>
          </cell>
        </row>
        <row r="4806">
          <cell r="C4806" t="str">
            <v>1760560027</v>
          </cell>
          <cell r="AT4806" t="str">
            <v>ARAUJO ALBARRAN KAREN ELOINA</v>
          </cell>
        </row>
        <row r="4807">
          <cell r="C4807" t="str">
            <v>1721148961</v>
          </cell>
          <cell r="AT4807" t="str">
            <v>VASQUEZ NARANJO ALEJANDRA NATHALY</v>
          </cell>
        </row>
        <row r="4808">
          <cell r="C4808" t="str">
            <v>1720145232</v>
          </cell>
          <cell r="AT4808" t="str">
            <v>SALAZAR HIDALGO DIEGO SEBASTIAN</v>
          </cell>
        </row>
        <row r="4809">
          <cell r="C4809" t="str">
            <v>0802223719</v>
          </cell>
          <cell r="AT4809" t="str">
            <v>VALENCIA CORTEZ MARTA LUCIA</v>
          </cell>
        </row>
        <row r="4810">
          <cell r="C4810" t="str">
            <v>0803106608</v>
          </cell>
          <cell r="AT4810" t="str">
            <v>MARINY VALENCIA MARIELA KATHERINE</v>
          </cell>
        </row>
        <row r="4811">
          <cell r="C4811" t="str">
            <v>1801950948</v>
          </cell>
          <cell r="AT4811" t="str">
            <v>PONLUISA ACOSTA SEGUNDO MARCELO</v>
          </cell>
        </row>
        <row r="4812">
          <cell r="C4812" t="str">
            <v>1801869692</v>
          </cell>
          <cell r="AT4812" t="str">
            <v>HURTADO PUGA MORAYMA DE LOS ANGELES</v>
          </cell>
        </row>
        <row r="4813">
          <cell r="C4813" t="str">
            <v>1202812549</v>
          </cell>
          <cell r="AT4813" t="str">
            <v>ESCOBAR TERAN CHARLES EDISSON</v>
          </cell>
        </row>
        <row r="4814">
          <cell r="C4814" t="str">
            <v>0850534538</v>
          </cell>
          <cell r="AT4814" t="str">
            <v>ROJAS ABAD ARIEL ELIAS</v>
          </cell>
        </row>
        <row r="4815">
          <cell r="C4815" t="str">
            <v>0850534538</v>
          </cell>
          <cell r="AT4815" t="str">
            <v>ROJAS ABAD ARIEL ELIAS</v>
          </cell>
        </row>
        <row r="4816">
          <cell r="C4816" t="str">
            <v>0850534538</v>
          </cell>
          <cell r="AT4816" t="str">
            <v>ROJAS ABAD ARIEL ELIAS</v>
          </cell>
        </row>
        <row r="4817">
          <cell r="C4817" t="str">
            <v>0803146422</v>
          </cell>
          <cell r="AT4817" t="str">
            <v>PALACIOS MORCILLO ALAN JOEL</v>
          </cell>
        </row>
        <row r="4818">
          <cell r="C4818" t="str">
            <v>0803146422</v>
          </cell>
          <cell r="AT4818" t="str">
            <v>PALACIOS MORCILLO ALAN JOEL</v>
          </cell>
        </row>
        <row r="4819">
          <cell r="C4819" t="str">
            <v>0803146422</v>
          </cell>
          <cell r="AT4819" t="str">
            <v>PALACIOS MORCILLO ALAN JOEL</v>
          </cell>
        </row>
        <row r="4820">
          <cell r="C4820" t="str">
            <v>0802164301</v>
          </cell>
          <cell r="AT4820" t="str">
            <v>ASENCIO MERCADO KAREN SAMANDA</v>
          </cell>
        </row>
        <row r="4821">
          <cell r="C4821" t="str">
            <v>0800285108</v>
          </cell>
          <cell r="AT4821" t="str">
            <v>BAEZ SANCHEZ FRANKLIN MARINO</v>
          </cell>
        </row>
        <row r="4822">
          <cell r="C4822" t="str">
            <v>0803186865</v>
          </cell>
          <cell r="AT4822" t="str">
            <v>BOLAÑO IBARRA MARIA JOSE</v>
          </cell>
        </row>
        <row r="4823">
          <cell r="C4823" t="str">
            <v>0803311877</v>
          </cell>
          <cell r="AT4823" t="str">
            <v>VEGA TELLO PEDRO RICARDO</v>
          </cell>
        </row>
        <row r="4824">
          <cell r="C4824" t="str">
            <v>0803311877</v>
          </cell>
          <cell r="AT4824" t="str">
            <v>VEGA TELLO PEDRO RICARDO</v>
          </cell>
        </row>
        <row r="4825">
          <cell r="C4825" t="str">
            <v>0805390291</v>
          </cell>
          <cell r="AT4825" t="str">
            <v>CABEZA ESTACIO CARLOS DEMETRIO</v>
          </cell>
        </row>
        <row r="4826">
          <cell r="C4826" t="str">
            <v>0800617466</v>
          </cell>
          <cell r="AT4826" t="str">
            <v xml:space="preserve">CHANALATA TOMALO GALO </v>
          </cell>
        </row>
        <row r="4827">
          <cell r="C4827" t="str">
            <v>0850222134</v>
          </cell>
          <cell r="AT4827" t="str">
            <v>ESTUPIÑAN GUACHAMIN KARELY AMEL</v>
          </cell>
        </row>
        <row r="4828">
          <cell r="C4828" t="str">
            <v>0803927888</v>
          </cell>
          <cell r="AT4828" t="str">
            <v>SOSA ESTACIO MAURICIO COLÓN</v>
          </cell>
        </row>
        <row r="4829">
          <cell r="C4829" t="str">
            <v>0803927888</v>
          </cell>
          <cell r="AT4829" t="str">
            <v>SOSA ESTACIO MAURICIO COLÓN</v>
          </cell>
        </row>
        <row r="4830">
          <cell r="C4830" t="str">
            <v>0802349712</v>
          </cell>
          <cell r="AT4830" t="str">
            <v>QUINDE CHILA DAYANA IVETTE</v>
          </cell>
        </row>
        <row r="4831">
          <cell r="C4831" t="str">
            <v>0802349712</v>
          </cell>
          <cell r="AT4831" t="str">
            <v>QUINDE CHILA DAYANA IVETTE</v>
          </cell>
        </row>
        <row r="4832">
          <cell r="C4832" t="str">
            <v>0802349712</v>
          </cell>
          <cell r="AT4832" t="str">
            <v>QUINDE CHILA DAYANA IVETTE</v>
          </cell>
        </row>
        <row r="4833">
          <cell r="C4833" t="str">
            <v>0804451607</v>
          </cell>
          <cell r="AT4833" t="str">
            <v>PINCAY SALAZAR HELIAN FARITH</v>
          </cell>
        </row>
        <row r="4834">
          <cell r="C4834" t="str">
            <v>0850050626</v>
          </cell>
          <cell r="AT4834" t="str">
            <v>ANDRADE TAFUR ANDREA JUDITH</v>
          </cell>
        </row>
        <row r="4835">
          <cell r="C4835" t="str">
            <v>0850050626</v>
          </cell>
          <cell r="AT4835" t="str">
            <v>ANDRADE TAFUR ANDREA JUDITH</v>
          </cell>
        </row>
        <row r="4836">
          <cell r="C4836" t="str">
            <v>0804440071</v>
          </cell>
          <cell r="AT4836" t="str">
            <v>TONATO CHILUISA JOEL ANDRES</v>
          </cell>
        </row>
        <row r="4837">
          <cell r="C4837" t="str">
            <v>0802263152</v>
          </cell>
          <cell r="AT4837" t="str">
            <v>BARCIA GAROFALO ANGEL RENE</v>
          </cell>
        </row>
        <row r="4838">
          <cell r="C4838" t="str">
            <v>1727177733</v>
          </cell>
          <cell r="AT4838" t="str">
            <v>DUEÑAS MENDOZA FERNANDA PAOLA</v>
          </cell>
        </row>
        <row r="4839">
          <cell r="C4839" t="str">
            <v>0803925882</v>
          </cell>
          <cell r="AT4839" t="str">
            <v>BAZURTO MURILLO KAREN DANIELA</v>
          </cell>
        </row>
        <row r="4840">
          <cell r="C4840" t="str">
            <v>0803925882</v>
          </cell>
          <cell r="AT4840" t="str">
            <v>BAZURTO MURILLO KAREN DANIELA</v>
          </cell>
        </row>
        <row r="4841">
          <cell r="C4841" t="str">
            <v>1310371404</v>
          </cell>
          <cell r="AT4841" t="str">
            <v>PIGUAVE REYES JOSE MANUEL</v>
          </cell>
        </row>
        <row r="4842">
          <cell r="C4842" t="str">
            <v>1310371404</v>
          </cell>
          <cell r="AT4842" t="str">
            <v>PIGUAVE REYES JOSE MANUEL</v>
          </cell>
        </row>
        <row r="4843">
          <cell r="C4843" t="str">
            <v>1310371404</v>
          </cell>
          <cell r="AT4843" t="str">
            <v>PIGUAVE REYES JOSE MANUEL</v>
          </cell>
        </row>
        <row r="4844">
          <cell r="C4844" t="str">
            <v>0803452952</v>
          </cell>
          <cell r="AT4844" t="str">
            <v>DEL CASTILLO CAICEDO NATALIA VIVIANA</v>
          </cell>
        </row>
        <row r="4845">
          <cell r="C4845" t="str">
            <v>1759758558</v>
          </cell>
          <cell r="AT4845" t="str">
            <v>VALBUENA ROMERO PAUL DAVID</v>
          </cell>
        </row>
        <row r="4846">
          <cell r="C4846" t="str">
            <v>0102107919</v>
          </cell>
          <cell r="AT4846" t="str">
            <v>CABRERA AVILA JULIA CARMITA</v>
          </cell>
        </row>
        <row r="4847">
          <cell r="C4847" t="str">
            <v>1758534661</v>
          </cell>
          <cell r="AT4847" t="str">
            <v>AVILAN VALLENILLA MANUEL ANTONIO JOSE</v>
          </cell>
        </row>
        <row r="4848">
          <cell r="C4848" t="str">
            <v>1758534661</v>
          </cell>
          <cell r="AT4848" t="str">
            <v>AVILAN VALLENILLA MANUEL ANTONIO JOSE</v>
          </cell>
        </row>
        <row r="4849">
          <cell r="C4849" t="str">
            <v>0502058266</v>
          </cell>
          <cell r="AT4849" t="str">
            <v>ANDRADE VARGAS ANGELICA MARIA</v>
          </cell>
        </row>
        <row r="4850">
          <cell r="C4850" t="str">
            <v>1758613259</v>
          </cell>
          <cell r="AT4850" t="str">
            <v>PEREZ ROJAS FRANCO ANTONIO</v>
          </cell>
        </row>
        <row r="4851">
          <cell r="C4851" t="str">
            <v>1758613259</v>
          </cell>
          <cell r="AT4851" t="str">
            <v>PEREZ ROJAS FRANCO ANTONIO</v>
          </cell>
        </row>
        <row r="4852">
          <cell r="C4852" t="str">
            <v>1758613259</v>
          </cell>
          <cell r="AT4852" t="str">
            <v>PEREZ ROJAS FRANCO ANTONIO</v>
          </cell>
        </row>
        <row r="4853">
          <cell r="C4853" t="str">
            <v>1758613259</v>
          </cell>
          <cell r="AT4853" t="str">
            <v>PEREZ ROJAS FRANCO ANTONIO</v>
          </cell>
        </row>
        <row r="4854">
          <cell r="C4854" t="str">
            <v>1804250486</v>
          </cell>
          <cell r="AT4854" t="str">
            <v>TORRES MULLO JORGE HUMBERTO</v>
          </cell>
        </row>
        <row r="4855">
          <cell r="C4855" t="str">
            <v>1804250486</v>
          </cell>
          <cell r="AT4855" t="str">
            <v>TORRES MULLO JORGE HUMBERTO</v>
          </cell>
        </row>
        <row r="4856">
          <cell r="C4856" t="str">
            <v>1004109474</v>
          </cell>
          <cell r="AT4856" t="str">
            <v>RAMS  KEVIN TIMOTHY</v>
          </cell>
        </row>
        <row r="4857">
          <cell r="C4857" t="str">
            <v>0802094086</v>
          </cell>
          <cell r="AT4857" t="str">
            <v>ARAUJO QUIÑONEZ MERCEDES ALEJANDRA</v>
          </cell>
        </row>
        <row r="4858">
          <cell r="C4858" t="str">
            <v>0801539495</v>
          </cell>
          <cell r="AT4858" t="str">
            <v>VERDUGA ALVAREZ MARIANA DE JESUS</v>
          </cell>
        </row>
        <row r="4859">
          <cell r="C4859" t="str">
            <v>1103823447</v>
          </cell>
          <cell r="AT4859" t="str">
            <v>CASTILLO MERINO FRANCISCO ELOY</v>
          </cell>
        </row>
        <row r="4860">
          <cell r="C4860" t="str">
            <v>0803261866</v>
          </cell>
          <cell r="AT4860" t="str">
            <v>ORTIZ GONZALEZ IVONNE ISABEL</v>
          </cell>
        </row>
        <row r="4861">
          <cell r="C4861" t="str">
            <v>1001592581</v>
          </cell>
          <cell r="AT4861" t="str">
            <v>VINUEZA TERAN ANA CRISTINA</v>
          </cell>
        </row>
        <row r="4862">
          <cell r="C4862" t="str">
            <v>1714614946</v>
          </cell>
          <cell r="AT4862" t="str">
            <v>GAVILANES JIJON CHRISTIAN GEOVANNY</v>
          </cell>
        </row>
        <row r="4863">
          <cell r="C4863" t="str">
            <v>1759090200</v>
          </cell>
          <cell r="AT4863" t="str">
            <v>JONES  BENJAMIN DAVID</v>
          </cell>
        </row>
        <row r="4864">
          <cell r="C4864" t="str">
            <v>1712629870</v>
          </cell>
          <cell r="AT4864" t="str">
            <v>MONTEROS ALTAMIRANO IVANOVA MERCEDES</v>
          </cell>
        </row>
        <row r="4865">
          <cell r="C4865" t="str">
            <v>0850041500</v>
          </cell>
          <cell r="AT4865" t="str">
            <v>POZO QUIÑONEZ GEORGE ALEXANDER</v>
          </cell>
        </row>
        <row r="4866">
          <cell r="C4866" t="str">
            <v>0850041500</v>
          </cell>
          <cell r="AT4866" t="str">
            <v>POZO QUIÑONEZ GEORGE ALEXANDER</v>
          </cell>
        </row>
        <row r="4867">
          <cell r="C4867" t="str">
            <v>1755921622</v>
          </cell>
          <cell r="AT4867" t="str">
            <v xml:space="preserve">CORRALES GAITERO CARLOS </v>
          </cell>
        </row>
        <row r="4868">
          <cell r="C4868" t="str">
            <v>0802206326</v>
          </cell>
          <cell r="AT4868" t="str">
            <v>CEDEÑO RODRIGUEZ NOÉ MARÍA</v>
          </cell>
        </row>
        <row r="4869">
          <cell r="C4869" t="str">
            <v>0802206326</v>
          </cell>
          <cell r="AT4869" t="str">
            <v>CEDEÑO RODRIGUEZ NOÉ MARÍA</v>
          </cell>
        </row>
        <row r="4870">
          <cell r="C4870" t="str">
            <v>1802999365</v>
          </cell>
          <cell r="AT4870" t="str">
            <v>MATUTE MINGA OSCAR VINICIO</v>
          </cell>
        </row>
        <row r="4871">
          <cell r="C4871" t="str">
            <v>1802999365</v>
          </cell>
          <cell r="AT4871" t="str">
            <v>MATUTE MINGA OSCAR VINICIO</v>
          </cell>
        </row>
        <row r="4872">
          <cell r="C4872" t="str">
            <v>0802909044</v>
          </cell>
          <cell r="AT4872" t="str">
            <v>CORTEZ PEREA HILLARY TAIS</v>
          </cell>
        </row>
        <row r="4873">
          <cell r="C4873" t="str">
            <v>0802909044</v>
          </cell>
          <cell r="AT4873" t="str">
            <v>CORTEZ PEREA HILLARY TAIS</v>
          </cell>
        </row>
        <row r="4874">
          <cell r="C4874" t="str">
            <v>0803489178</v>
          </cell>
          <cell r="AT4874" t="str">
            <v>MEZA BATALLA VERONICA JACQUELIN</v>
          </cell>
        </row>
        <row r="4875">
          <cell r="C4875" t="str">
            <v>0850953803</v>
          </cell>
          <cell r="AT4875" t="str">
            <v>RECALDE ARDILA KATLIN DASIEL</v>
          </cell>
        </row>
        <row r="4876">
          <cell r="C4876" t="str">
            <v>0850953803</v>
          </cell>
          <cell r="AT4876" t="str">
            <v>RECALDE ARDILA KATLIN DASIEL</v>
          </cell>
        </row>
        <row r="4877">
          <cell r="C4877" t="str">
            <v>0850953803</v>
          </cell>
          <cell r="AT4877" t="str">
            <v>RECALDE ARDILA KATLIN DASIEL</v>
          </cell>
        </row>
        <row r="4878">
          <cell r="C4878" t="str">
            <v>0850953803</v>
          </cell>
          <cell r="AT4878" t="str">
            <v>RECALDE ARDILA KATLIN DASIEL</v>
          </cell>
        </row>
        <row r="4879">
          <cell r="C4879" t="str">
            <v>0802645168</v>
          </cell>
          <cell r="AT4879" t="str">
            <v>PORTILLA CORTEZ RICARDO ALFREDO</v>
          </cell>
        </row>
        <row r="4880">
          <cell r="C4880" t="str">
            <v>1802434959</v>
          </cell>
          <cell r="AT4880" t="str">
            <v>PINOS MONTENEGRO JUDITH ELIZABETH</v>
          </cell>
        </row>
        <row r="4881">
          <cell r="C4881" t="str">
            <v>0151478724</v>
          </cell>
          <cell r="AT4881" t="str">
            <v>MARTINEZ SUAREZ PEDRO CARLOS</v>
          </cell>
        </row>
        <row r="4882">
          <cell r="C4882" t="str">
            <v>1717153454</v>
          </cell>
          <cell r="AT4882" t="str">
            <v>CASTRO CENTENO MAURICIO ANDRES</v>
          </cell>
        </row>
        <row r="4883">
          <cell r="C4883" t="str">
            <v>1717153454</v>
          </cell>
          <cell r="AT4883" t="str">
            <v>CASTRO CENTENO MAURICIO ANDRES</v>
          </cell>
        </row>
        <row r="4884">
          <cell r="C4884" t="str">
            <v>177740093</v>
          </cell>
          <cell r="AT4884" t="str">
            <v>MARMOL DE HERRERA RAIZA COROMOTO</v>
          </cell>
        </row>
        <row r="4885">
          <cell r="C4885" t="str">
            <v>XDCO13427</v>
          </cell>
          <cell r="AT4885" t="str">
            <v>DOMINGUEZ ALFARO ISABEL CRISTINA</v>
          </cell>
        </row>
        <row r="4886">
          <cell r="C4886" t="str">
            <v>120770650</v>
          </cell>
          <cell r="AT4886" t="str">
            <v>CONDOR CAMARA DANIEL FLAVIO</v>
          </cell>
        </row>
        <row r="4887">
          <cell r="C4887" t="str">
            <v>0962444642</v>
          </cell>
          <cell r="AT4887" t="str">
            <v>REBOLLEDO MALPICA DINORA MARGARITA</v>
          </cell>
        </row>
        <row r="4888">
          <cell r="C4888" t="str">
            <v>0802772848</v>
          </cell>
          <cell r="AT4888" t="str">
            <v>ZAMBRANO TRUJILLO STEFANY LISSETTE</v>
          </cell>
        </row>
        <row r="4889">
          <cell r="C4889" t="str">
            <v>1723001853</v>
          </cell>
          <cell r="AT4889" t="str">
            <v xml:space="preserve">DOMINGUEZ DAVILA CAROLINA </v>
          </cell>
        </row>
        <row r="4890">
          <cell r="C4890" t="str">
            <v>0850025727</v>
          </cell>
          <cell r="AT4890" t="str">
            <v>MARTINEZ ALCIVAR EVELYN IVANA</v>
          </cell>
        </row>
        <row r="4891">
          <cell r="C4891" t="str">
            <v>0802488197</v>
          </cell>
          <cell r="AT4891" t="str">
            <v>VERNAZA QUIÑONEZ VICTORIA EDILMA</v>
          </cell>
        </row>
        <row r="4892">
          <cell r="C4892" t="str">
            <v>1717544058</v>
          </cell>
          <cell r="AT4892" t="str">
            <v>BRAVO CASTAÑEDA CLAUDIA JENNY</v>
          </cell>
        </row>
        <row r="4893">
          <cell r="C4893" t="str">
            <v>1001677895</v>
          </cell>
          <cell r="AT4893" t="str">
            <v>PANCHANO MIDEROS MANUEL RAÚL</v>
          </cell>
        </row>
        <row r="4894">
          <cell r="C4894" t="str">
            <v>1756903751</v>
          </cell>
          <cell r="AT4894" t="str">
            <v>PLATA GALLEGOS ERVIN JOSE</v>
          </cell>
        </row>
        <row r="4895">
          <cell r="C4895" t="str">
            <v>0804563401</v>
          </cell>
          <cell r="AT4895" t="str">
            <v>PISCO ZAMBRANO ELIANA VIVIANA</v>
          </cell>
        </row>
        <row r="4896">
          <cell r="C4896" t="str">
            <v>0850254897</v>
          </cell>
          <cell r="AT4896" t="str">
            <v>ZAMBRANO SEGURA STEFANY DIGNA</v>
          </cell>
        </row>
        <row r="4897">
          <cell r="C4897" t="str">
            <v>1900341502</v>
          </cell>
          <cell r="AT4897" t="str">
            <v>OBACO SOTO EDGAR EFRAIN</v>
          </cell>
        </row>
        <row r="4898">
          <cell r="C4898" t="str">
            <v>AAJ474694</v>
          </cell>
          <cell r="AT4898" t="str">
            <v>BERMEO  DIEGO FERNANDO</v>
          </cell>
        </row>
        <row r="4899">
          <cell r="C4899" t="str">
            <v>1002126710</v>
          </cell>
          <cell r="AT4899" t="str">
            <v>RUALES QUELAL LUIS EDUARDO</v>
          </cell>
        </row>
        <row r="4900">
          <cell r="C4900" t="str">
            <v>AY986892</v>
          </cell>
          <cell r="AT4900" t="str">
            <v xml:space="preserve">PEREZ GAVIRIA YULIANA </v>
          </cell>
        </row>
        <row r="4901">
          <cell r="C4901" t="str">
            <v>0804169910</v>
          </cell>
          <cell r="AT4901" t="str">
            <v>MOREIRA MACIAS ANTONIO ALEJANDRO</v>
          </cell>
        </row>
        <row r="4902">
          <cell r="C4902" t="str">
            <v>0850348012</v>
          </cell>
          <cell r="AT4902" t="str">
            <v>BORJA PIÑEIROS BRAYAN GUILLERMO</v>
          </cell>
        </row>
        <row r="4903">
          <cell r="C4903" t="str">
            <v>0850348012</v>
          </cell>
          <cell r="AT4903" t="str">
            <v>BORJA PIÑEIROS BRAYAN GUILLERMO</v>
          </cell>
        </row>
        <row r="4904">
          <cell r="C4904" t="str">
            <v>0850348012</v>
          </cell>
          <cell r="AT4904" t="str">
            <v>BORJA PIÑEIROS BRAYAN GUILLERMO</v>
          </cell>
        </row>
        <row r="4905">
          <cell r="C4905" t="str">
            <v>1600947624</v>
          </cell>
          <cell r="AT4905" t="str">
            <v>RUEDA CASTILLO YAJAIRA MARILIN</v>
          </cell>
        </row>
        <row r="4906">
          <cell r="C4906" t="str">
            <v>1718538653</v>
          </cell>
          <cell r="AT4906" t="str">
            <v>CHAVEZ ENRIQUEZ GRACIELA VIVIANA</v>
          </cell>
        </row>
        <row r="4907">
          <cell r="C4907" t="str">
            <v>0850504572</v>
          </cell>
          <cell r="AT4907" t="str">
            <v>DELGADO CUNNIGHAN NOEMI CRISTINA</v>
          </cell>
        </row>
        <row r="4908">
          <cell r="C4908" t="str">
            <v>1711003309</v>
          </cell>
          <cell r="AT4908" t="str">
            <v>DE LA TORRE LASCANO CARLOS MAURICIO</v>
          </cell>
        </row>
        <row r="4909">
          <cell r="C4909" t="str">
            <v>1802914539</v>
          </cell>
          <cell r="AT4909" t="str">
            <v>HEREDIA GALVEZ SONNIA ALEXANDRA</v>
          </cell>
        </row>
        <row r="4910">
          <cell r="C4910" t="str">
            <v>0801864828</v>
          </cell>
          <cell r="AT4910" t="str">
            <v>APARICIO DIAZ CARLOS LENIN</v>
          </cell>
        </row>
        <row r="4911">
          <cell r="C4911" t="str">
            <v>0801816208</v>
          </cell>
          <cell r="AT4911" t="str">
            <v xml:space="preserve">BALLESTEROS MEZA MARCOS </v>
          </cell>
        </row>
        <row r="4912">
          <cell r="C4912" t="str">
            <v>0802223404</v>
          </cell>
          <cell r="AT4912" t="str">
            <v>COROZO PRADO FRICSON ORLANDO</v>
          </cell>
        </row>
        <row r="4913">
          <cell r="C4913" t="str">
            <v>0801960014</v>
          </cell>
          <cell r="AT4913" t="str">
            <v>FAJARDO PARRAGA DIOMEDES MONCERRATE</v>
          </cell>
        </row>
        <row r="4914">
          <cell r="C4914" t="str">
            <v>0803291848</v>
          </cell>
          <cell r="AT4914" t="str">
            <v>SARANGO ROBINZON SAMANTHA DAYANA</v>
          </cell>
        </row>
        <row r="4915">
          <cell r="C4915" t="str">
            <v>0803291848</v>
          </cell>
          <cell r="AT4915" t="str">
            <v>SARANGO ROBINZON SAMANTHA DAYANA</v>
          </cell>
        </row>
        <row r="4916">
          <cell r="C4916" t="str">
            <v>0803291848</v>
          </cell>
          <cell r="AT4916" t="str">
            <v>SARANGO ROBINZON SAMANTHA DAYANA</v>
          </cell>
        </row>
        <row r="4917">
          <cell r="C4917" t="str">
            <v>0803435312</v>
          </cell>
          <cell r="AT4917" t="str">
            <v>BARREZUETA MOLINA KERLY VANESSA</v>
          </cell>
        </row>
        <row r="4918">
          <cell r="C4918" t="str">
            <v>0803435312</v>
          </cell>
          <cell r="AT4918" t="str">
            <v>BARREZUETA MOLINA KERLY VANESSA</v>
          </cell>
        </row>
        <row r="4919">
          <cell r="C4919" t="str">
            <v>0803435312</v>
          </cell>
          <cell r="AT4919" t="str">
            <v>BARREZUETA MOLINA KERLY VANESSA</v>
          </cell>
        </row>
        <row r="4920">
          <cell r="C4920" t="str">
            <v>0850483322</v>
          </cell>
          <cell r="AT4920" t="str">
            <v>VITE TAMAYO LUIS STEVEN</v>
          </cell>
        </row>
        <row r="4921">
          <cell r="C4921" t="str">
            <v>0850483322</v>
          </cell>
          <cell r="AT4921" t="str">
            <v>VITE TAMAYO LUIS STEVEN</v>
          </cell>
        </row>
        <row r="4922">
          <cell r="C4922" t="str">
            <v>0803041656</v>
          </cell>
          <cell r="AT4922" t="str">
            <v>VELEZ VICHE MARIA EUGENIA</v>
          </cell>
        </row>
        <row r="4923">
          <cell r="C4923" t="str">
            <v>0802972356</v>
          </cell>
          <cell r="AT4923" t="str">
            <v>CABEZA BAZAN GRIGSON ALEXANDER</v>
          </cell>
        </row>
        <row r="4924">
          <cell r="C4924" t="str">
            <v>0802972356</v>
          </cell>
          <cell r="AT4924" t="str">
            <v>CABEZA BAZAN GRIGSON ALEXANDER</v>
          </cell>
        </row>
        <row r="4925">
          <cell r="C4925" t="str">
            <v>0930556188</v>
          </cell>
          <cell r="AT4925" t="str">
            <v>CAMACHO GODOY SHIRLEY MARIAN</v>
          </cell>
        </row>
        <row r="4926">
          <cell r="C4926" t="str">
            <v>0930556188</v>
          </cell>
          <cell r="AT4926" t="str">
            <v>CAMACHO GODOY SHIRLEY MARIAN</v>
          </cell>
        </row>
        <row r="4927">
          <cell r="C4927" t="str">
            <v>0503564296</v>
          </cell>
          <cell r="AT4927" t="str">
            <v>GUANOLUISA PLASENCIA ANDRES RICARDO</v>
          </cell>
        </row>
        <row r="4928">
          <cell r="C4928" t="str">
            <v>0503564296</v>
          </cell>
          <cell r="AT4928" t="str">
            <v>GUANOLUISA PLASENCIA ANDRES RICARDO</v>
          </cell>
        </row>
        <row r="4929">
          <cell r="C4929" t="str">
            <v>1709204372</v>
          </cell>
          <cell r="AT4929" t="str">
            <v>ALVAREZ CALDERON DARIO HERNAN</v>
          </cell>
        </row>
        <row r="4930">
          <cell r="C4930" t="str">
            <v>0701736738</v>
          </cell>
          <cell r="AT4930" t="str">
            <v>CAÑARTE JURADO TERESA DE JESÚS</v>
          </cell>
        </row>
        <row r="4931">
          <cell r="C4931" t="str">
            <v>0911055853</v>
          </cell>
          <cell r="AT4931" t="str">
            <v>ESPINOZA ANDALUZ LORENA DEL PILAR</v>
          </cell>
        </row>
        <row r="4932">
          <cell r="C4932" t="str">
            <v>1758974586</v>
          </cell>
          <cell r="AT4932" t="str">
            <v xml:space="preserve">LAUCIRICA RUBIO NEREA </v>
          </cell>
        </row>
        <row r="4933">
          <cell r="C4933" t="str">
            <v>0801978941</v>
          </cell>
          <cell r="AT4933" t="str">
            <v>MACIAS EGÜEZ SIMON GABRIEL</v>
          </cell>
        </row>
        <row r="4934">
          <cell r="C4934" t="str">
            <v>1802333276</v>
          </cell>
          <cell r="AT4934" t="str">
            <v>MEDINA CHICAIZA RICARDO PATRICIO</v>
          </cell>
        </row>
        <row r="4935">
          <cell r="C4935" t="str">
            <v>0800617391</v>
          </cell>
          <cell r="AT4935" t="str">
            <v>MINA RIOS NANCY MERCEDES</v>
          </cell>
        </row>
        <row r="4936">
          <cell r="C4936" t="str">
            <v>1761291937</v>
          </cell>
          <cell r="AT4936" t="str">
            <v>MORALES DE CARDOZO ELEIDI DEL CARMEN</v>
          </cell>
        </row>
        <row r="4937">
          <cell r="C4937" t="str">
            <v>0800923252</v>
          </cell>
          <cell r="AT4937" t="str">
            <v>MOREIRA PROAÑO GIL EDILBERTO</v>
          </cell>
        </row>
        <row r="4938">
          <cell r="C4938" t="str">
            <v>0800923252</v>
          </cell>
          <cell r="AT4938" t="str">
            <v>MOREIRA PROAÑO GIL EDILBERTO</v>
          </cell>
        </row>
        <row r="4939">
          <cell r="C4939" t="str">
            <v>1759052861</v>
          </cell>
          <cell r="AT4939" t="str">
            <v>MORENO VALLEJO JAIME RODRIGO</v>
          </cell>
        </row>
        <row r="4940">
          <cell r="C4940" t="str">
            <v>1003453865</v>
          </cell>
          <cell r="AT4940" t="str">
            <v>PEREZ ORTIZ CESAR STALIN</v>
          </cell>
        </row>
        <row r="4941">
          <cell r="C4941" t="str">
            <v>1003453865</v>
          </cell>
          <cell r="AT4941" t="str">
            <v>PEREZ ORTIZ CESAR STALIN</v>
          </cell>
        </row>
        <row r="4942">
          <cell r="C4942" t="str">
            <v>1720982766</v>
          </cell>
          <cell r="AT4942" t="str">
            <v>ENRIQUEZ ROMO PABLO MAURICIO</v>
          </cell>
        </row>
        <row r="4943">
          <cell r="C4943" t="str">
            <v>1712498300</v>
          </cell>
          <cell r="AT4943" t="str">
            <v>GUAMAN CALVOPIÑA MIGUEL MARCELO</v>
          </cell>
        </row>
        <row r="4944">
          <cell r="C4944" t="str">
            <v>1716332752</v>
          </cell>
          <cell r="AT4944" t="str">
            <v>ALVAREZ TORRES JONATHAN PAUL</v>
          </cell>
        </row>
        <row r="4945">
          <cell r="C4945" t="str">
            <v>1308582103</v>
          </cell>
          <cell r="AT4945" t="str">
            <v>GONZALEZ ARTEAGA CARLOS ENRIQUE</v>
          </cell>
        </row>
        <row r="4946">
          <cell r="C4946" t="str">
            <v>0302185053</v>
          </cell>
          <cell r="AT4946" t="str">
            <v>RAMIREZ CORONEL ANDRES ALEXIS</v>
          </cell>
        </row>
        <row r="4947">
          <cell r="C4947" t="str">
            <v>0803231745</v>
          </cell>
          <cell r="AT4947" t="str">
            <v>RAMIREZ OLIVO HEIDY KATHERINE</v>
          </cell>
        </row>
        <row r="4948">
          <cell r="C4948" t="str">
            <v>0804012300</v>
          </cell>
          <cell r="AT4948" t="str">
            <v>REVILLA ESCOBAR KAROL YANNELA</v>
          </cell>
        </row>
        <row r="4949">
          <cell r="C4949" t="str">
            <v>0804012300</v>
          </cell>
          <cell r="AT4949" t="str">
            <v>REVILLA ESCOBAR KAROL YANNELA</v>
          </cell>
        </row>
        <row r="4950">
          <cell r="C4950" t="str">
            <v>0803114859</v>
          </cell>
          <cell r="AT4950" t="str">
            <v>ANGULO FERRIN ALEXANDRA KATHERINE</v>
          </cell>
        </row>
        <row r="4951">
          <cell r="C4951" t="str">
            <v>0802949651</v>
          </cell>
          <cell r="AT4951" t="str">
            <v>MENDOZA SEGOVIA JOEL ALEJANDRO</v>
          </cell>
        </row>
        <row r="4952">
          <cell r="C4952" t="str">
            <v>1805004338</v>
          </cell>
          <cell r="AT4952" t="str">
            <v>PALIZ IBARRA SANTIAGO JAVIER</v>
          </cell>
        </row>
        <row r="4953">
          <cell r="C4953" t="str">
            <v>0850232612</v>
          </cell>
          <cell r="AT4953" t="str">
            <v>HERNANDEZ CRUZ JULIANNA MERCEDES</v>
          </cell>
        </row>
        <row r="4954">
          <cell r="C4954" t="str">
            <v>0800346215</v>
          </cell>
          <cell r="AT4954" t="str">
            <v>SUAREZ YAGUANA JORGE ENRIQUE</v>
          </cell>
        </row>
        <row r="4955">
          <cell r="C4955" t="str">
            <v>1313623116</v>
          </cell>
          <cell r="AT4955" t="str">
            <v>VASQUEZ HARO FRANCELY ALEXANDRA</v>
          </cell>
        </row>
        <row r="4956">
          <cell r="C4956" t="str">
            <v>0802308981</v>
          </cell>
          <cell r="AT4956" t="str">
            <v>ESTUPIÑAN SANCHEZ ALFREDO SANDINO</v>
          </cell>
        </row>
        <row r="4957">
          <cell r="C4957" t="str">
            <v>0951578707</v>
          </cell>
          <cell r="AT4957" t="str">
            <v>CARRASQUILLA CORREA VELKY GIULIANA</v>
          </cell>
        </row>
        <row r="4958">
          <cell r="C4958" t="str">
            <v>0951578707</v>
          </cell>
          <cell r="AT4958" t="str">
            <v>CARRASQUILLA CORREA VELKY GIULIANA</v>
          </cell>
        </row>
        <row r="4959">
          <cell r="C4959" t="str">
            <v>0951578707</v>
          </cell>
          <cell r="AT4959" t="str">
            <v>CARRASQUILLA CORREA VELKY GIULIANA</v>
          </cell>
        </row>
        <row r="4960">
          <cell r="C4960" t="str">
            <v>0929977098</v>
          </cell>
          <cell r="AT4960" t="str">
            <v>BARZOLA BAQUE KERLY PAMELA</v>
          </cell>
        </row>
        <row r="4961">
          <cell r="C4961" t="str">
            <v>0929977098</v>
          </cell>
          <cell r="AT4961" t="str">
            <v>BARZOLA BAQUE KERLY PAMELA</v>
          </cell>
        </row>
        <row r="4962">
          <cell r="C4962" t="str">
            <v>0929977098</v>
          </cell>
          <cell r="AT4962" t="str">
            <v>BARZOLA BAQUE KERLY PAMELA</v>
          </cell>
        </row>
        <row r="4963">
          <cell r="C4963" t="str">
            <v>1712086279</v>
          </cell>
          <cell r="AT4963" t="str">
            <v>CALDERON RUIZ PAOLA ALEXANDRA</v>
          </cell>
        </row>
        <row r="4964">
          <cell r="C4964" t="str">
            <v>0803119916</v>
          </cell>
          <cell r="AT4964" t="str">
            <v>LOPEZ ROMERO LISSETTE CAROLINA</v>
          </cell>
        </row>
        <row r="4965">
          <cell r="C4965" t="str">
            <v>0803119916</v>
          </cell>
          <cell r="AT4965" t="str">
            <v>LOPEZ ROMERO LISSETTE CAROLINA</v>
          </cell>
        </row>
        <row r="4966">
          <cell r="C4966" t="str">
            <v>0803119916</v>
          </cell>
          <cell r="AT4966" t="str">
            <v>LOPEZ ROMERO LISSETTE CAROLINA</v>
          </cell>
        </row>
        <row r="4967">
          <cell r="C4967" t="str">
            <v>0604762625</v>
          </cell>
          <cell r="AT4967" t="str">
            <v>LLAMUCA PASHMAY VERONICA ELIZABETH</v>
          </cell>
        </row>
        <row r="4968">
          <cell r="C4968" t="str">
            <v>0802155770</v>
          </cell>
          <cell r="AT4968" t="str">
            <v xml:space="preserve">VALENCIA COROZO ELIZABETH </v>
          </cell>
        </row>
        <row r="4969">
          <cell r="C4969" t="str">
            <v>0801138090</v>
          </cell>
          <cell r="AT4969" t="str">
            <v>ARBOLEDA AYOVI PEDRO VICENTE</v>
          </cell>
        </row>
        <row r="4970">
          <cell r="C4970" t="str">
            <v>0802368167</v>
          </cell>
          <cell r="AT4970" t="str">
            <v>CEDEÑO IBAÑEZ KRIZIA SALOME</v>
          </cell>
        </row>
        <row r="4971">
          <cell r="C4971" t="str">
            <v>1753973195</v>
          </cell>
          <cell r="AT4971" t="str">
            <v>BASTIDAS ALMEIDA MACARENA NIKOL</v>
          </cell>
        </row>
        <row r="4972">
          <cell r="C4972" t="str">
            <v>0802256636</v>
          </cell>
          <cell r="AT4972" t="str">
            <v>MENDOZA MACIAS ALAN JAVIER</v>
          </cell>
        </row>
        <row r="4973">
          <cell r="C4973" t="str">
            <v>1722902499</v>
          </cell>
          <cell r="AT4973" t="str">
            <v>ATIENCIA ROBLES AGUSTIN ALEXANDER</v>
          </cell>
        </row>
        <row r="4974">
          <cell r="C4974" t="str">
            <v>0803049782</v>
          </cell>
          <cell r="AT4974" t="str">
            <v>CAÑOLA QUIÑONEZ MARIEN ANTONELLA</v>
          </cell>
        </row>
        <row r="4975">
          <cell r="C4975" t="str">
            <v>1312616558</v>
          </cell>
          <cell r="AT4975" t="str">
            <v>CEVALLOS BAZURTO GEN ALEJANDRO</v>
          </cell>
        </row>
        <row r="4976">
          <cell r="C4976" t="str">
            <v>2350599649</v>
          </cell>
          <cell r="AT4976" t="str">
            <v>CEDEÑO LOOR MARITZA ISABEL</v>
          </cell>
        </row>
        <row r="4977">
          <cell r="C4977" t="str">
            <v>2350599649</v>
          </cell>
          <cell r="AT4977" t="str">
            <v>CEDEÑO LOOR MARITZA ISABEL</v>
          </cell>
        </row>
        <row r="4978">
          <cell r="C4978" t="str">
            <v>1312772872</v>
          </cell>
          <cell r="AT4978" t="str">
            <v>GONZALEZ QUIROZ JESSICA TATIANA</v>
          </cell>
        </row>
        <row r="4979">
          <cell r="C4979" t="str">
            <v>1312772872</v>
          </cell>
          <cell r="AT4979" t="str">
            <v>GONZALEZ QUIROZ JESSICA TATIANA</v>
          </cell>
        </row>
        <row r="4980">
          <cell r="C4980" t="str">
            <v>0802698787</v>
          </cell>
          <cell r="AT4980" t="str">
            <v>DIAZ MORALES AMY RENATA</v>
          </cell>
        </row>
        <row r="4981">
          <cell r="C4981" t="str">
            <v>0800758682</v>
          </cell>
          <cell r="AT4981" t="str">
            <v>CEVALLOS BONE GUILLERMO SEGUNDO</v>
          </cell>
        </row>
        <row r="4982">
          <cell r="C4982" t="str">
            <v>0803202043</v>
          </cell>
          <cell r="AT4982" t="str">
            <v>ANDRADE OYARVIDE CARLOS ARMANDO</v>
          </cell>
        </row>
        <row r="4983">
          <cell r="C4983" t="str">
            <v>0803141803</v>
          </cell>
          <cell r="AT4983" t="str">
            <v>NARANJO VERA JHISAC JOSUE</v>
          </cell>
        </row>
        <row r="4984">
          <cell r="C4984" t="str">
            <v>0803141803</v>
          </cell>
          <cell r="AT4984" t="str">
            <v>NARANJO VERA JHISAC JOSUE</v>
          </cell>
        </row>
        <row r="4985">
          <cell r="C4985" t="str">
            <v>0802309286</v>
          </cell>
          <cell r="AT4985" t="str">
            <v>QUINTERO MOSQUERA DARIO JAVIER</v>
          </cell>
        </row>
        <row r="4986">
          <cell r="C4986" t="str">
            <v>0802779389</v>
          </cell>
          <cell r="AT4986" t="str">
            <v>ORTIZ CAMPOS JESSICA MALENA</v>
          </cell>
        </row>
        <row r="4987">
          <cell r="C4987" t="str">
            <v>1313288829</v>
          </cell>
          <cell r="AT4987" t="str">
            <v>RIVADENEIRA MUÑOZ JUAN ERNESTO</v>
          </cell>
        </row>
        <row r="4988">
          <cell r="C4988" t="str">
            <v>0800751232</v>
          </cell>
          <cell r="AT4988" t="str">
            <v>ZAMBRANO DUEÑAS JOSE MARIA</v>
          </cell>
        </row>
        <row r="4989">
          <cell r="C4989" t="str">
            <v>1721823167</v>
          </cell>
          <cell r="AT4989" t="str">
            <v>MOYANO ALBAN ANDRE DAVID</v>
          </cell>
        </row>
        <row r="4990">
          <cell r="C4990" t="str">
            <v>0604545749</v>
          </cell>
          <cell r="AT4990" t="str">
            <v>AVECILLA TORRES LIZBETH PAOLA</v>
          </cell>
        </row>
        <row r="4991">
          <cell r="C4991" t="str">
            <v>0604545749</v>
          </cell>
          <cell r="AT4991" t="str">
            <v>AVECILLA TORRES LIZBETH PAOLA</v>
          </cell>
        </row>
        <row r="4992">
          <cell r="C4992" t="str">
            <v>0801394271</v>
          </cell>
          <cell r="AT4992" t="str">
            <v>MINA MERCADO MAIRA MARIELA</v>
          </cell>
        </row>
        <row r="4993">
          <cell r="C4993" t="str">
            <v>0802546143</v>
          </cell>
          <cell r="AT4993" t="str">
            <v>REYES HURTADO ANGEL SANTIAGO</v>
          </cell>
        </row>
        <row r="4994">
          <cell r="C4994" t="str">
            <v>0803103845</v>
          </cell>
          <cell r="AT4994" t="str">
            <v>SOLORZANO GARCES GIRABEL YADIRA</v>
          </cell>
        </row>
        <row r="4995">
          <cell r="C4995" t="str">
            <v>0802806067</v>
          </cell>
          <cell r="AT4995" t="str">
            <v>TOMALA RAMOS ANGELA ELIZABETH</v>
          </cell>
        </row>
        <row r="4996">
          <cell r="C4996" t="str">
            <v>0802650010</v>
          </cell>
          <cell r="AT4996" t="str">
            <v>ARROYO CASIERRA CARLOS ALBERTO</v>
          </cell>
        </row>
        <row r="4997">
          <cell r="C4997" t="str">
            <v>0803247410</v>
          </cell>
          <cell r="AT4997" t="str">
            <v>MORENO VINCES GABRIELA AZUCENA</v>
          </cell>
        </row>
        <row r="4998">
          <cell r="C4998" t="str">
            <v>0802306605</v>
          </cell>
          <cell r="AT4998" t="str">
            <v>COBA PROAÑO DAVID ENRIQUE</v>
          </cell>
        </row>
        <row r="4999">
          <cell r="C4999" t="str">
            <v>0850832932</v>
          </cell>
          <cell r="AT4999" t="str">
            <v>LOPEZ VERA ANGIE SUSANA</v>
          </cell>
        </row>
        <row r="5000">
          <cell r="C5000" t="str">
            <v>0802010975</v>
          </cell>
          <cell r="AT5000" t="str">
            <v>CEDEÑO RODRIGUEZ ALBA EVELINA</v>
          </cell>
        </row>
        <row r="5001">
          <cell r="C5001" t="str">
            <v>0802010975</v>
          </cell>
          <cell r="AT5001" t="str">
            <v>CEDEÑO RODRIGUEZ ALBA EVELINA</v>
          </cell>
        </row>
        <row r="5002">
          <cell r="C5002" t="str">
            <v>0802010975</v>
          </cell>
          <cell r="AT5002" t="str">
            <v>CEDEÑO RODRIGUEZ ALBA EVELINA</v>
          </cell>
        </row>
        <row r="5003">
          <cell r="C5003" t="str">
            <v>0803291814</v>
          </cell>
          <cell r="AT5003" t="str">
            <v>VACA PEÑA DIANA KATHERINE</v>
          </cell>
        </row>
        <row r="5004">
          <cell r="C5004" t="str">
            <v>0803291814</v>
          </cell>
          <cell r="AT5004" t="str">
            <v>VACA PEÑA DIANA KATHERINE</v>
          </cell>
        </row>
        <row r="5005">
          <cell r="C5005" t="str">
            <v>0803291814</v>
          </cell>
          <cell r="AT5005" t="str">
            <v>VACA PEÑA DIANA KATHERINE</v>
          </cell>
        </row>
        <row r="5006">
          <cell r="C5006" t="str">
            <v>0802284166</v>
          </cell>
          <cell r="AT5006" t="str">
            <v>LARA ESPIN JUSTIN SAYURI</v>
          </cell>
        </row>
        <row r="5007">
          <cell r="C5007" t="str">
            <v>1312507476</v>
          </cell>
          <cell r="AT5007" t="str">
            <v>SANTOS ZAMBRANO JESSENIA ESPERANZA</v>
          </cell>
        </row>
        <row r="5008">
          <cell r="C5008" t="str">
            <v>0803151497</v>
          </cell>
          <cell r="AT5008" t="str">
            <v>ZAMBRANO DELGADO GLORIA JACQUELINE</v>
          </cell>
        </row>
        <row r="5009">
          <cell r="C5009" t="str">
            <v>0803151497</v>
          </cell>
          <cell r="AT5009" t="str">
            <v>ZAMBRANO DELGADO GLORIA JACQUELINE</v>
          </cell>
        </row>
        <row r="5010">
          <cell r="C5010" t="str">
            <v>0850251182</v>
          </cell>
          <cell r="AT5010" t="str">
            <v>MAFFARE COROZO JOSELYN IVONNE</v>
          </cell>
        </row>
        <row r="5011">
          <cell r="C5011" t="str">
            <v>0850251182</v>
          </cell>
          <cell r="AT5011" t="str">
            <v>MAFFARE COROZO JOSELYN IVONNE</v>
          </cell>
        </row>
        <row r="5012">
          <cell r="C5012" t="str">
            <v>1721480927</v>
          </cell>
          <cell r="AT5012" t="str">
            <v>PANCHI VERGARA DAVID MAURICIO</v>
          </cell>
        </row>
        <row r="5013">
          <cell r="C5013" t="str">
            <v>0105091912</v>
          </cell>
          <cell r="AT5013" t="str">
            <v>LOJA TACURI HECTOR JACINTO</v>
          </cell>
        </row>
        <row r="5014">
          <cell r="C5014" t="str">
            <v>0803472406</v>
          </cell>
          <cell r="AT5014" t="str">
            <v>RUEDA PANCHANO TATIANA ESTEFANIA</v>
          </cell>
        </row>
        <row r="5015">
          <cell r="C5015" t="str">
            <v>0928927144</v>
          </cell>
          <cell r="AT5015" t="str">
            <v>BRIONES SALDARRIAGA CHRISTOPHER ALEXANDER</v>
          </cell>
        </row>
        <row r="5016">
          <cell r="C5016" t="str">
            <v>0917707960</v>
          </cell>
          <cell r="AT5016" t="str">
            <v>MENDEZ SIBRI LUCIA ALEXANDRA</v>
          </cell>
        </row>
        <row r="5017">
          <cell r="C5017" t="str">
            <v>1713551339</v>
          </cell>
          <cell r="AT5017" t="str">
            <v>TORRES JIMENEZ GERMAN RICARDO</v>
          </cell>
        </row>
        <row r="5018">
          <cell r="C5018" t="str">
            <v>0850341223</v>
          </cell>
          <cell r="AT5018" t="str">
            <v xml:space="preserve">NAZARENO ANGULO JAVIER </v>
          </cell>
        </row>
        <row r="5019">
          <cell r="C5019" t="str">
            <v>0803391846</v>
          </cell>
          <cell r="AT5019" t="str">
            <v>ESTUPIÑAN ARROYO JENIFFER GABRIELA</v>
          </cell>
        </row>
        <row r="5020">
          <cell r="C5020" t="str">
            <v>0850788357</v>
          </cell>
          <cell r="AT5020" t="str">
            <v>LEMA GAVILANES MELANIE DAYANA</v>
          </cell>
        </row>
        <row r="5021">
          <cell r="C5021" t="str">
            <v>1104047095</v>
          </cell>
          <cell r="AT5021" t="str">
            <v>BRAVO JIMENEZ ARTURO JOSE</v>
          </cell>
        </row>
        <row r="5022">
          <cell r="C5022" t="str">
            <v>1104047095</v>
          </cell>
          <cell r="AT5022" t="str">
            <v>BRAVO JIMENEZ ARTURO JOSE</v>
          </cell>
        </row>
        <row r="5023">
          <cell r="C5023" t="str">
            <v>1050087285</v>
          </cell>
          <cell r="AT5023" t="str">
            <v>CETRE CORTES MARY ELENA</v>
          </cell>
        </row>
        <row r="5024">
          <cell r="C5024" t="str">
            <v>1725636946</v>
          </cell>
          <cell r="AT5024" t="str">
            <v>DE LA VEGA GRANIZO ESTEFANIA BELEN</v>
          </cell>
        </row>
        <row r="5025">
          <cell r="C5025" t="str">
            <v>0850023573</v>
          </cell>
          <cell r="AT5025" t="str">
            <v>MORAN CAICEDO IVETTE NATHALIA</v>
          </cell>
        </row>
        <row r="5026">
          <cell r="C5026" t="str">
            <v>1805212154</v>
          </cell>
          <cell r="AT5026" t="str">
            <v>NUÑEZ HERNANDEZ ERIKA TATIANA</v>
          </cell>
        </row>
        <row r="5027">
          <cell r="C5027" t="str">
            <v>1703386746</v>
          </cell>
          <cell r="AT5027" t="str">
            <v>YEPEZ PRIETO GLORIA AMERICA</v>
          </cell>
        </row>
        <row r="5028">
          <cell r="C5028" t="str">
            <v>0803842350</v>
          </cell>
          <cell r="AT5028" t="str">
            <v>RUBIO MARIN SAMARI YASMIN</v>
          </cell>
        </row>
        <row r="5029">
          <cell r="C5029" t="str">
            <v>1003473889</v>
          </cell>
          <cell r="AT5029" t="str">
            <v>ZUMARRAGA ALARCON CAROLINA ESTEFANIA</v>
          </cell>
        </row>
        <row r="5030">
          <cell r="C5030" t="str">
            <v>0802898288</v>
          </cell>
          <cell r="AT5030" t="str">
            <v>ARBOLEDA QUINDE KATIUSKA ANDREINA</v>
          </cell>
        </row>
        <row r="5031">
          <cell r="C5031" t="str">
            <v>0802343343</v>
          </cell>
          <cell r="AT5031" t="str">
            <v>GASPAR SANTOS MANACES ESAUD</v>
          </cell>
        </row>
        <row r="5032">
          <cell r="C5032" t="str">
            <v>1762295960</v>
          </cell>
          <cell r="AT5032" t="str">
            <v>GOMES RAMOS JENNY DE LOS ANGELES</v>
          </cell>
        </row>
        <row r="5033">
          <cell r="C5033" t="str">
            <v>0706282373</v>
          </cell>
          <cell r="AT5033" t="str">
            <v>GONZABAY JIMENEZ ESTEBAN FABRICIO</v>
          </cell>
        </row>
        <row r="5034">
          <cell r="C5034" t="str">
            <v>1312100686</v>
          </cell>
          <cell r="AT5034" t="str">
            <v>MERO SALAZAR DARWIN ELOY</v>
          </cell>
        </row>
        <row r="5035">
          <cell r="C5035" t="str">
            <v>0803552702</v>
          </cell>
          <cell r="AT5035" t="str">
            <v>SORNOZA CRESPO SHARINA ELIZABETH</v>
          </cell>
        </row>
        <row r="5036">
          <cell r="C5036" t="str">
            <v>1803131190</v>
          </cell>
          <cell r="AT5036" t="str">
            <v>VARGAS MACHUCA DEL SALTO ADRIAN GABRIEL</v>
          </cell>
        </row>
        <row r="5037">
          <cell r="C5037" t="str">
            <v>0804138394</v>
          </cell>
          <cell r="AT5037" t="str">
            <v>VARGAS PALACIOS ANNY SOFIA</v>
          </cell>
        </row>
        <row r="5038">
          <cell r="C5038" t="str">
            <v>0805317112</v>
          </cell>
          <cell r="AT5038" t="str">
            <v>ZAMBRANO GRUEZO DAYANA NICOLE</v>
          </cell>
        </row>
        <row r="5039">
          <cell r="C5039" t="str">
            <v>0850913971</v>
          </cell>
          <cell r="AT5039" t="str">
            <v>QUIÑONEZ RAMIREZ DAYSON MARCELO</v>
          </cell>
        </row>
        <row r="5040">
          <cell r="C5040" t="str">
            <v>0803805415</v>
          </cell>
          <cell r="AT5040" t="str">
            <v>ARCE CASTILLO YOSTIN STIVEN</v>
          </cell>
        </row>
        <row r="5041">
          <cell r="C5041" t="str">
            <v>0802891135</v>
          </cell>
          <cell r="AT5041" t="str">
            <v>ARROYO GUITERREZ ALDO JAVIER</v>
          </cell>
        </row>
        <row r="5042">
          <cell r="C5042" t="str">
            <v>0803719889</v>
          </cell>
          <cell r="AT5042" t="str">
            <v>MURILLO MACIAS JEAN CARLOS</v>
          </cell>
        </row>
        <row r="5043">
          <cell r="C5043" t="str">
            <v>1718981267</v>
          </cell>
          <cell r="AT5043" t="str">
            <v>CORTEZ ESPINOZA JORGE OSWALDO</v>
          </cell>
        </row>
        <row r="5044">
          <cell r="C5044" t="str">
            <v>1715232102</v>
          </cell>
          <cell r="AT5044" t="str">
            <v>ESPINOSA JACOME VICTOR AUGUSTO</v>
          </cell>
        </row>
        <row r="5045">
          <cell r="C5045" t="str">
            <v>K416566</v>
          </cell>
          <cell r="AT5045" t="str">
            <v xml:space="preserve">RODRIGUEZ MESTRE ARELYS </v>
          </cell>
        </row>
        <row r="5046">
          <cell r="C5046" t="str">
            <v>1710879675</v>
          </cell>
          <cell r="AT5046" t="str">
            <v>RONQUILLO BOLAÑOS CARLOS LEONARDO</v>
          </cell>
        </row>
        <row r="5047">
          <cell r="C5047" t="str">
            <v>0803488576</v>
          </cell>
          <cell r="AT5047" t="str">
            <v>VERNAZA QUIÑONEZ CARLA ALEXANDRA</v>
          </cell>
        </row>
        <row r="5048">
          <cell r="C5048" t="str">
            <v>1313257907</v>
          </cell>
          <cell r="AT5048" t="str">
            <v>TALLEDO VILLACRESES DARWIN FRANCISCO</v>
          </cell>
        </row>
        <row r="5049">
          <cell r="C5049" t="str">
            <v>0917304032</v>
          </cell>
          <cell r="AT5049" t="str">
            <v xml:space="preserve">MEDINA VILLAVICENCIO RODRIGO </v>
          </cell>
        </row>
        <row r="5050">
          <cell r="C5050" t="str">
            <v>0802550467</v>
          </cell>
          <cell r="AT5050" t="str">
            <v>CAMPOVERDE ALEXANDER ANGELINA VANESSA</v>
          </cell>
        </row>
        <row r="5051">
          <cell r="C5051" t="str">
            <v>0802388793</v>
          </cell>
          <cell r="AT5051" t="str">
            <v>BERMUDES DELGADO PABLO ANTONIO</v>
          </cell>
        </row>
        <row r="5052">
          <cell r="C5052" t="str">
            <v>0804414324</v>
          </cell>
          <cell r="AT5052" t="str">
            <v>MONTAÑO VIVAS JUAN CARLOS</v>
          </cell>
        </row>
        <row r="5053">
          <cell r="C5053" t="str">
            <v>0803021914</v>
          </cell>
          <cell r="AT5053" t="str">
            <v>FRANCIS QUINDE ROSA IMELDA</v>
          </cell>
        </row>
        <row r="5054">
          <cell r="C5054" t="str">
            <v>0802779876</v>
          </cell>
          <cell r="AT5054" t="str">
            <v>LUNA DELGADO MARIEN JANINA</v>
          </cell>
        </row>
        <row r="5055">
          <cell r="C5055" t="str">
            <v>0802259317</v>
          </cell>
          <cell r="AT5055" t="str">
            <v>REASCO VERA MIRIAN AURA</v>
          </cell>
        </row>
        <row r="5056">
          <cell r="C5056" t="str">
            <v>2100384441</v>
          </cell>
          <cell r="AT5056" t="str">
            <v>VALENCIA MINA ADRIAN ANDRES</v>
          </cell>
        </row>
        <row r="5057">
          <cell r="C5057" t="str">
            <v>1757773005</v>
          </cell>
          <cell r="AT5057" t="str">
            <v xml:space="preserve">MEDINA BETANCOURT OLDY </v>
          </cell>
        </row>
        <row r="5058">
          <cell r="C5058" t="str">
            <v>1310727449</v>
          </cell>
          <cell r="AT5058" t="str">
            <v>BARRE LOVATON ANGEL LEONARDO</v>
          </cell>
        </row>
        <row r="5059">
          <cell r="C5059" t="str">
            <v>0917723694</v>
          </cell>
          <cell r="AT5059" t="str">
            <v>GARCIA MARTINEZ MARIA ARACELI</v>
          </cell>
        </row>
        <row r="5060">
          <cell r="C5060" t="str">
            <v>1711842128</v>
          </cell>
          <cell r="AT5060" t="str">
            <v>ESPARZA YANEZ WILMER DANILO</v>
          </cell>
        </row>
        <row r="5061">
          <cell r="C5061" t="str">
            <v>1721694584</v>
          </cell>
          <cell r="AT5061" t="str">
            <v>VILLAMEDIANA CARRO VIRGINIA PATRICIA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vo"/>
      <sheetName val="Tabla 1"/>
      <sheetName val="Codif. CINE"/>
      <sheetName val="Ejemplo"/>
      <sheetName val="Matriz"/>
      <sheetName val="Matriz nueva"/>
    </sheetNames>
    <sheetDataSet>
      <sheetData sheetId="0"/>
      <sheetData sheetId="1"/>
      <sheetData sheetId="2"/>
      <sheetData sheetId="3"/>
      <sheetData sheetId="4">
        <row r="7">
          <cell r="B7" t="str">
            <v>NÚMERO IDENTIFICACIÓN</v>
          </cell>
          <cell r="G7" t="str">
            <v>SEXO ID</v>
          </cell>
          <cell r="J7" t="str">
            <v>EDAD</v>
          </cell>
          <cell r="AD7" t="str">
            <v>ANTIGÜEDAD</v>
          </cell>
          <cell r="AG7" t="str">
            <v>TIEMPO DEDICACION ID</v>
          </cell>
          <cell r="AH7" t="str">
            <v>NOMBRE UNIDAD ACADEMICA</v>
          </cell>
          <cell r="BG7" t="str">
            <v>NIVEL (FT)</v>
          </cell>
        </row>
        <row r="8">
          <cell r="B8" t="str">
            <v>0800728735</v>
          </cell>
          <cell r="G8" t="str">
            <v>MUJER</v>
          </cell>
          <cell r="J8">
            <v>61</v>
          </cell>
          <cell r="AD8" t="str">
            <v>9 AÑOS 1 MESES</v>
          </cell>
          <cell r="AG8" t="str">
            <v>TIEMPO COMPLETO</v>
          </cell>
          <cell r="AH8" t="str">
            <v>CONTABILIDAD Y AUDITORIA CPA</v>
          </cell>
          <cell r="BG8" t="str">
            <v>CUARTO NIVEL</v>
          </cell>
        </row>
        <row r="9">
          <cell r="B9" t="str">
            <v>0802946301</v>
          </cell>
          <cell r="G9" t="str">
            <v>HOMBRE</v>
          </cell>
          <cell r="J9">
            <v>37</v>
          </cell>
          <cell r="AD9" t="str">
            <v>0 AÑOS 8 MESES</v>
          </cell>
          <cell r="AG9" t="str">
            <v>TIEMPO PARCIAL</v>
          </cell>
          <cell r="AH9" t="str">
            <v>GESTIÓN CULINARIA (TECNOLOGÍA)</v>
          </cell>
          <cell r="BG9" t="str">
            <v>CUARTO NIVEL</v>
          </cell>
        </row>
        <row r="10">
          <cell r="B10" t="str">
            <v>1250036082</v>
          </cell>
          <cell r="G10" t="str">
            <v>HOMBRE</v>
          </cell>
          <cell r="J10">
            <v>28</v>
          </cell>
          <cell r="AD10" t="str">
            <v>0 AÑOS 7 MESES</v>
          </cell>
          <cell r="AG10" t="str">
            <v>TIEMPO COMPLETO</v>
          </cell>
          <cell r="AH10" t="str">
            <v>LABORATORIO CLINICO</v>
          </cell>
          <cell r="BG10" t="str">
            <v>CUARTO NIVEL</v>
          </cell>
        </row>
        <row r="11">
          <cell r="B11">
            <v>1803528049</v>
          </cell>
          <cell r="G11" t="str">
            <v>MUJER</v>
          </cell>
          <cell r="J11">
            <v>35</v>
          </cell>
          <cell r="AD11" t="str">
            <v>1 AÑOS 1 MESES</v>
          </cell>
          <cell r="AG11" t="str">
            <v>TIEMPO COMPLETO</v>
          </cell>
          <cell r="AH11" t="str">
            <v>LABORATORIO CLINICO</v>
          </cell>
          <cell r="BG11" t="str">
            <v>CUARTO NIVEL</v>
          </cell>
        </row>
        <row r="12">
          <cell r="B12" t="str">
            <v>0802885665</v>
          </cell>
          <cell r="G12" t="str">
            <v>MUJER</v>
          </cell>
          <cell r="J12">
            <v>39</v>
          </cell>
          <cell r="AD12" t="str">
            <v>1 AÑOS 7 MESES</v>
          </cell>
          <cell r="AG12" t="str">
            <v>TIEMPO COMPLETO</v>
          </cell>
          <cell r="AH12" t="str">
            <v>CONTABILIDAD Y AUDITORIA CPA</v>
          </cell>
          <cell r="BG12" t="str">
            <v>CUARTO NIVEL</v>
          </cell>
        </row>
        <row r="13">
          <cell r="B13" t="str">
            <v>0802669531</v>
          </cell>
          <cell r="G13" t="str">
            <v>HOMBRE</v>
          </cell>
          <cell r="J13">
            <v>41</v>
          </cell>
          <cell r="AD13" t="str">
            <v>1 AÑOS 3 MESES</v>
          </cell>
          <cell r="AG13" t="str">
            <v>TIEMPO COMPLETO</v>
          </cell>
          <cell r="AH13" t="str">
            <v>CONTABILIDAD Y AUDITORIA CPA</v>
          </cell>
          <cell r="BG13" t="str">
            <v>CUARTO NIVEL</v>
          </cell>
        </row>
        <row r="14">
          <cell r="B14" t="str">
            <v>0802190868</v>
          </cell>
          <cell r="G14" t="str">
            <v>HOMBRE</v>
          </cell>
          <cell r="J14">
            <v>38</v>
          </cell>
          <cell r="AD14" t="str">
            <v>0 AÑOS 7 MESES</v>
          </cell>
          <cell r="AG14" t="str">
            <v>TIEMPO PARCIAL</v>
          </cell>
          <cell r="AH14" t="str">
            <v>AGROINDUSTRIA</v>
          </cell>
          <cell r="BG14" t="str">
            <v>CUARTO NIVEL</v>
          </cell>
        </row>
        <row r="15">
          <cell r="B15" t="str">
            <v>0962658753</v>
          </cell>
          <cell r="G15" t="str">
            <v>MUJER</v>
          </cell>
          <cell r="J15">
            <v>43</v>
          </cell>
          <cell r="AD15" t="str">
            <v>0 AÑOS 7 MESES</v>
          </cell>
          <cell r="AG15" t="str">
            <v>TIEMPO PARCIAL</v>
          </cell>
          <cell r="AH15" t="str">
            <v>EDUCACIÓN BÁSICA PRESENCIAL</v>
          </cell>
          <cell r="BG15" t="str">
            <v>CUARTO NIVEL</v>
          </cell>
        </row>
        <row r="16">
          <cell r="B16" t="str">
            <v>0800436495</v>
          </cell>
          <cell r="G16" t="str">
            <v>HOMBRE</v>
          </cell>
          <cell r="J16">
            <v>66</v>
          </cell>
          <cell r="AD16" t="str">
            <v>0 AÑOS 7 MESES</v>
          </cell>
          <cell r="AG16" t="str">
            <v>MEDIO TIEMPO</v>
          </cell>
          <cell r="AH16" t="str">
            <v>TECNOLOGÍAS DE LA INFORMACIÓN</v>
          </cell>
          <cell r="BG16" t="str">
            <v>CUARTO NIVEL</v>
          </cell>
        </row>
        <row r="17">
          <cell r="B17" t="str">
            <v>0802345413</v>
          </cell>
          <cell r="G17" t="str">
            <v>MUJER</v>
          </cell>
          <cell r="J17">
            <v>42</v>
          </cell>
          <cell r="AD17" t="str">
            <v>0 AÑOS 7 MESES</v>
          </cell>
          <cell r="AG17" t="str">
            <v>TIEMPO PARCIAL</v>
          </cell>
          <cell r="AH17" t="str">
            <v>TECNOLOGÍAS DE LA INFORMACIÓN</v>
          </cell>
          <cell r="BG17" t="str">
            <v>CUARTO NIVEL</v>
          </cell>
        </row>
        <row r="18">
          <cell r="B18" t="str">
            <v>0801445107</v>
          </cell>
          <cell r="G18" t="str">
            <v>MUJER</v>
          </cell>
          <cell r="J18">
            <v>55</v>
          </cell>
          <cell r="AD18" t="str">
            <v>9 AÑOS 9 MESES</v>
          </cell>
          <cell r="AG18" t="str">
            <v>TIEMPO COMPLETO</v>
          </cell>
          <cell r="AH18" t="str">
            <v>ENFERMERÍA</v>
          </cell>
          <cell r="BG18" t="str">
            <v>CUARTO NIVEL</v>
          </cell>
        </row>
        <row r="19">
          <cell r="B19" t="str">
            <v>0801912221</v>
          </cell>
          <cell r="G19" t="str">
            <v>MUJER</v>
          </cell>
          <cell r="J19">
            <v>49</v>
          </cell>
          <cell r="AD19" t="str">
            <v>0 AÑOS 8 MESES</v>
          </cell>
          <cell r="AG19" t="str">
            <v>TIEMPO COMPLETO</v>
          </cell>
          <cell r="AH19" t="str">
            <v>PSICOLOGÍA</v>
          </cell>
          <cell r="BG19" t="str">
            <v>CUARTO NIVEL</v>
          </cell>
        </row>
        <row r="20">
          <cell r="B20" t="str">
            <v>0802855734</v>
          </cell>
          <cell r="G20" t="str">
            <v>MUJER</v>
          </cell>
          <cell r="J20">
            <v>34</v>
          </cell>
          <cell r="AD20" t="str">
            <v>0 AÑOS 8 MESES</v>
          </cell>
          <cell r="AG20" t="str">
            <v>TIEMPO PARCIAL</v>
          </cell>
          <cell r="AH20" t="str">
            <v>ENFERMERÍA (TECNOLOGÍA)</v>
          </cell>
          <cell r="BG20" t="str">
            <v>TERCER NIVEL</v>
          </cell>
        </row>
        <row r="21">
          <cell r="B21" t="str">
            <v>1760560027</v>
          </cell>
          <cell r="G21" t="str">
            <v>MUJER</v>
          </cell>
          <cell r="J21">
            <v>38</v>
          </cell>
          <cell r="AD21" t="str">
            <v>0 AÑOS 5 MESES</v>
          </cell>
          <cell r="AG21" t="str">
            <v>TIEMPO PARCIAL</v>
          </cell>
          <cell r="AH21" t="str">
            <v>DERECHO</v>
          </cell>
          <cell r="BG21" t="str">
            <v>CUARTO NIVEL</v>
          </cell>
        </row>
        <row r="22">
          <cell r="B22" t="str">
            <v>0803503176</v>
          </cell>
          <cell r="G22" t="str">
            <v>HOMBRE</v>
          </cell>
          <cell r="J22">
            <v>32</v>
          </cell>
          <cell r="AD22" t="str">
            <v>0 AÑOS 7 MESES</v>
          </cell>
          <cell r="AG22" t="str">
            <v>TIEMPO COMPLETO</v>
          </cell>
          <cell r="AH22" t="str">
            <v>AGROINDUSTRIA</v>
          </cell>
          <cell r="BG22" t="str">
            <v>CUARTO NIVEL</v>
          </cell>
        </row>
        <row r="23">
          <cell r="B23" t="str">
            <v>0503270506</v>
          </cell>
          <cell r="G23" t="str">
            <v>HOMBRE</v>
          </cell>
          <cell r="J23">
            <v>35</v>
          </cell>
          <cell r="AD23" t="str">
            <v>0 AÑOS 11 MESES</v>
          </cell>
          <cell r="AG23" t="str">
            <v>TIEMPO COMPLETO</v>
          </cell>
          <cell r="AH23" t="str">
            <v>NEGOCIOS INTERNACIONALES</v>
          </cell>
          <cell r="BG23" t="str">
            <v>CUARTO NIVEL</v>
          </cell>
        </row>
        <row r="24">
          <cell r="B24" t="str">
            <v>0801771437</v>
          </cell>
          <cell r="G24" t="str">
            <v>MUJER</v>
          </cell>
          <cell r="J24">
            <v>42</v>
          </cell>
          <cell r="AD24" t="str">
            <v>1 AÑOS 3 MESES</v>
          </cell>
          <cell r="AG24" t="str">
            <v>TIEMPO COMPLETO</v>
          </cell>
          <cell r="AH24" t="str">
            <v>EDUCACIÓN INICIAL</v>
          </cell>
          <cell r="BG24" t="str">
            <v>CUARTO NIVEL</v>
          </cell>
        </row>
        <row r="25">
          <cell r="B25" t="str">
            <v>0802127670</v>
          </cell>
          <cell r="G25" t="str">
            <v>MUJER</v>
          </cell>
          <cell r="J25">
            <v>45</v>
          </cell>
          <cell r="AD25" t="str">
            <v>0 AÑOS 8 MESES</v>
          </cell>
          <cell r="AG25" t="str">
            <v>TIEMPO PARCIAL</v>
          </cell>
          <cell r="AH25" t="str">
            <v>ENFERMERÍA (TECNOLOGÍA)</v>
          </cell>
          <cell r="BG25" t="str">
            <v>TERCER NIVEL</v>
          </cell>
        </row>
        <row r="26">
          <cell r="B26" t="str">
            <v>0801683863</v>
          </cell>
          <cell r="G26" t="str">
            <v>HOMBRE</v>
          </cell>
          <cell r="J26">
            <v>45</v>
          </cell>
          <cell r="AD26" t="str">
            <v>0 AÑOS 5 MESES</v>
          </cell>
          <cell r="AG26" t="str">
            <v>TIEMPO PARCIAL</v>
          </cell>
          <cell r="AH26" t="str">
            <v>ENFERMERÍA</v>
          </cell>
          <cell r="BG26" t="str">
            <v>CUARTO NIVEL</v>
          </cell>
        </row>
        <row r="27">
          <cell r="B27" t="str">
            <v>0703875393</v>
          </cell>
          <cell r="G27" t="str">
            <v>HOMBRE</v>
          </cell>
          <cell r="J27">
            <v>37</v>
          </cell>
          <cell r="AD27" t="str">
            <v>0 AÑOS 7 MESES</v>
          </cell>
          <cell r="AG27" t="str">
            <v>TIEMPO PARCIAL</v>
          </cell>
          <cell r="AH27" t="str">
            <v>MAESTRÍA EN ELECTRICIDAD MENCIÓN ENERGÍAS RENOVABLES Y EFICIENCIA ENERGÉTICA</v>
          </cell>
          <cell r="BG27" t="str">
            <v>CUARTO NIVEL</v>
          </cell>
        </row>
        <row r="28">
          <cell r="B28" t="str">
            <v>1803467131</v>
          </cell>
          <cell r="G28" t="str">
            <v>HOMBRE</v>
          </cell>
          <cell r="J28">
            <v>40</v>
          </cell>
          <cell r="AD28" t="str">
            <v>0 AÑOS 6 MESES</v>
          </cell>
          <cell r="AG28" t="str">
            <v>TIEMPO PARCIAL</v>
          </cell>
          <cell r="AH28" t="str">
            <v>MAESTRÍA EN PEDOGAGÍA DEL INGLÉS COMO LENGUA EXTRANJERA</v>
          </cell>
          <cell r="BG28" t="str">
            <v>CUARTO NIVEL</v>
          </cell>
        </row>
        <row r="29">
          <cell r="B29" t="str">
            <v>0802909861</v>
          </cell>
          <cell r="G29" t="str">
            <v>HOMBRE</v>
          </cell>
          <cell r="J29">
            <v>32</v>
          </cell>
          <cell r="AD29" t="str">
            <v>0 AÑOS 7 MESES</v>
          </cell>
          <cell r="AG29" t="str">
            <v>TIEMPO PARCIAL</v>
          </cell>
          <cell r="AH29" t="str">
            <v>PSICOLOGÍA</v>
          </cell>
          <cell r="BG29" t="str">
            <v>CUARTO NIVEL</v>
          </cell>
        </row>
        <row r="30">
          <cell r="B30" t="str">
            <v>0801539396</v>
          </cell>
          <cell r="G30" t="str">
            <v>HOMBRE</v>
          </cell>
          <cell r="J30">
            <v>53</v>
          </cell>
          <cell r="AD30" t="str">
            <v>10 AÑOS 2 MESES</v>
          </cell>
          <cell r="AG30" t="str">
            <v>TIEMPO PARCIAL</v>
          </cell>
          <cell r="AH30" t="str">
            <v>GESTIÓN AMBIENTAL</v>
          </cell>
          <cell r="BG30" t="str">
            <v>CUARTO NIVEL</v>
          </cell>
        </row>
        <row r="31">
          <cell r="B31" t="str">
            <v>0801577297</v>
          </cell>
          <cell r="G31" t="str">
            <v>HOMBRE</v>
          </cell>
          <cell r="J31">
            <v>51</v>
          </cell>
          <cell r="AD31" t="str">
            <v>6 AÑOS 3 MESES</v>
          </cell>
          <cell r="AG31" t="str">
            <v>TIEMPO PARCIAL</v>
          </cell>
          <cell r="AH31" t="str">
            <v>EDUCACIÓN BÁSICA SEMIPRESENCIAL</v>
          </cell>
          <cell r="BG31" t="str">
            <v>CUARTO NIVEL</v>
          </cell>
        </row>
        <row r="32">
          <cell r="B32" t="str">
            <v>0802916130</v>
          </cell>
          <cell r="G32" t="str">
            <v>MUJER</v>
          </cell>
          <cell r="J32">
            <v>33</v>
          </cell>
          <cell r="AD32" t="str">
            <v>0 AÑOS 7 MESES</v>
          </cell>
          <cell r="AG32" t="str">
            <v>TIEMPO PARCIAL</v>
          </cell>
          <cell r="AH32" t="str">
            <v>EDUCACIÓN BÁSICA PRESENCIAL</v>
          </cell>
          <cell r="BG32" t="str">
            <v>CUARTO NIVEL</v>
          </cell>
        </row>
        <row r="33">
          <cell r="B33" t="str">
            <v>0800627523</v>
          </cell>
          <cell r="G33" t="str">
            <v>HOMBRE</v>
          </cell>
          <cell r="J33">
            <v>62</v>
          </cell>
          <cell r="AD33" t="str">
            <v>0 AÑOS 7 MESES</v>
          </cell>
          <cell r="AG33" t="str">
            <v>TIEMPO PARCIAL</v>
          </cell>
          <cell r="AH33" t="str">
            <v>FISIOTERAPIA</v>
          </cell>
          <cell r="BG33" t="str">
            <v>CUARTO NIVEL</v>
          </cell>
        </row>
        <row r="34">
          <cell r="B34" t="str">
            <v>0800461311</v>
          </cell>
          <cell r="G34" t="str">
            <v>MUJER</v>
          </cell>
          <cell r="J34">
            <v>66</v>
          </cell>
          <cell r="AD34" t="str">
            <v>0 AÑOS 8 MESES</v>
          </cell>
          <cell r="AG34" t="str">
            <v>TIEMPO PARCIAL</v>
          </cell>
          <cell r="AH34" t="str">
            <v>ENFERMERÍA (TECNOLOGÍA)</v>
          </cell>
          <cell r="BG34" t="str">
            <v>CUARTO NIVEL</v>
          </cell>
        </row>
        <row r="35">
          <cell r="B35">
            <v>1725949851</v>
          </cell>
          <cell r="G35" t="str">
            <v>MUJER</v>
          </cell>
          <cell r="J35">
            <v>30</v>
          </cell>
          <cell r="AD35" t="str">
            <v>0 AÑOS 7 MESES</v>
          </cell>
          <cell r="AG35" t="str">
            <v>TIEMPO PARCIAL</v>
          </cell>
          <cell r="AH35" t="str">
            <v>ENFERMERÍA</v>
          </cell>
          <cell r="BG35" t="str">
            <v>CUARTO NIVEL</v>
          </cell>
        </row>
        <row r="36">
          <cell r="B36">
            <v>1750819565</v>
          </cell>
          <cell r="G36" t="str">
            <v>MUJER</v>
          </cell>
          <cell r="J36">
            <v>54</v>
          </cell>
          <cell r="AD36" t="str">
            <v>1 AÑOS 0 MESES</v>
          </cell>
          <cell r="AG36" t="str">
            <v>TIEMPO COMPLETO</v>
          </cell>
          <cell r="AH36" t="str">
            <v>EDUCACIÓN BÁSICA SEMIPRESENCIAL</v>
          </cell>
          <cell r="BG36" t="str">
            <v>CUARTO NIVEL</v>
          </cell>
        </row>
        <row r="37">
          <cell r="B37" t="str">
            <v>0801786245</v>
          </cell>
          <cell r="G37" t="str">
            <v>HOMBRE</v>
          </cell>
          <cell r="J37">
            <v>50</v>
          </cell>
          <cell r="AD37" t="str">
            <v>0 AÑOS 8 MESES</v>
          </cell>
          <cell r="AG37" t="str">
            <v>TIEMPO COMPLETO</v>
          </cell>
          <cell r="AH37" t="str">
            <v>GESTIÓN CULINARIA (TECNOLOGÍA)</v>
          </cell>
          <cell r="BG37" t="str">
            <v>CUARTO NIVEL</v>
          </cell>
        </row>
        <row r="38">
          <cell r="B38" t="str">
            <v>AP007916</v>
          </cell>
          <cell r="G38" t="str">
            <v>HOMBRE</v>
          </cell>
          <cell r="J38">
            <v>41</v>
          </cell>
          <cell r="AD38" t="str">
            <v>0 AÑOS 5 MESES</v>
          </cell>
          <cell r="AG38" t="str">
            <v>TIEMPO PARCIAL</v>
          </cell>
          <cell r="AH38" t="str">
            <v>MAESTRÍA EN INNOVACIÓN EN EDUCACIÓN</v>
          </cell>
          <cell r="BG38" t="str">
            <v>CUARTO NIVEL</v>
          </cell>
        </row>
        <row r="39">
          <cell r="B39" t="str">
            <v>0801907197</v>
          </cell>
          <cell r="G39" t="str">
            <v>HOMBRE</v>
          </cell>
          <cell r="J39">
            <v>35</v>
          </cell>
          <cell r="AD39" t="str">
            <v>0 AÑOS 8 MESES</v>
          </cell>
          <cell r="AG39" t="str">
            <v>TIEMPO COMPLETO</v>
          </cell>
          <cell r="AH39" t="str">
            <v>AGROINDUSTRIA</v>
          </cell>
          <cell r="BG39" t="str">
            <v>CUARTO NIVEL</v>
          </cell>
        </row>
        <row r="40">
          <cell r="B40" t="str">
            <v>0801095050</v>
          </cell>
          <cell r="G40" t="str">
            <v>HOMBRE</v>
          </cell>
          <cell r="J40">
            <v>58</v>
          </cell>
          <cell r="AD40" t="str">
            <v>5 AÑOS 8 MESES</v>
          </cell>
          <cell r="AG40" t="str">
            <v>TIEMPO PARCIAL</v>
          </cell>
          <cell r="AH40" t="str">
            <v>TECNOLOGÍAS DE LA INFORMACIÓN</v>
          </cell>
          <cell r="BG40" t="str">
            <v>CUARTO NIVEL</v>
          </cell>
        </row>
        <row r="41">
          <cell r="B41" t="str">
            <v>0803140623</v>
          </cell>
          <cell r="G41" t="str">
            <v>MUJER</v>
          </cell>
          <cell r="J41">
            <v>34</v>
          </cell>
          <cell r="AD41" t="str">
            <v>0 AÑOS 8 MESES</v>
          </cell>
          <cell r="AG41" t="str">
            <v>TIEMPO PARCIAL</v>
          </cell>
          <cell r="AH41" t="str">
            <v>ENFERMERÍA (TECNOLOGÍA)</v>
          </cell>
          <cell r="BG41" t="str">
            <v>TERCER NIVEL</v>
          </cell>
        </row>
        <row r="42">
          <cell r="B42" t="str">
            <v>0803766518</v>
          </cell>
          <cell r="G42" t="str">
            <v>MUJER</v>
          </cell>
          <cell r="J42">
            <v>31</v>
          </cell>
          <cell r="AD42" t="str">
            <v>0 AÑOS 8 MESES</v>
          </cell>
          <cell r="AG42" t="str">
            <v>TIEMPO PARCIAL</v>
          </cell>
          <cell r="AH42" t="str">
            <v>ENFERMERÍA (TECNOLOGÍA)</v>
          </cell>
          <cell r="BG42" t="str">
            <v>TERCER NIVEL</v>
          </cell>
        </row>
        <row r="43">
          <cell r="B43" t="str">
            <v>0963349907</v>
          </cell>
          <cell r="G43" t="str">
            <v>MUJER</v>
          </cell>
          <cell r="J43">
            <v>64</v>
          </cell>
          <cell r="AD43" t="str">
            <v>0 AÑOS 7 MESES</v>
          </cell>
          <cell r="AG43" t="str">
            <v>TIEMPO COMPLETO</v>
          </cell>
          <cell r="AH43" t="str">
            <v>LABORATORIO CLINICO</v>
          </cell>
          <cell r="BG43" t="str">
            <v>CUARTO NIVEL</v>
          </cell>
        </row>
        <row r="44">
          <cell r="B44" t="str">
            <v>0959775016</v>
          </cell>
          <cell r="G44" t="str">
            <v>HOMBRE</v>
          </cell>
          <cell r="J44">
            <v>44</v>
          </cell>
          <cell r="AD44" t="str">
            <v>0 AÑOS 7 MESES</v>
          </cell>
          <cell r="AG44" t="str">
            <v>TIEMPO PARCIAL</v>
          </cell>
          <cell r="AH44" t="str">
            <v>MAESTRÍA EN PEDAGOGÍA MENCIÓN EDUCACCIÓN TÉCNICA Y TECNOLÓGICA</v>
          </cell>
          <cell r="BG44" t="str">
            <v>CUARTO NIVEL</v>
          </cell>
        </row>
        <row r="45">
          <cell r="B45" t="str">
            <v>0800851024</v>
          </cell>
          <cell r="G45" t="str">
            <v>MUJER</v>
          </cell>
          <cell r="J45">
            <v>59</v>
          </cell>
          <cell r="AD45" t="str">
            <v>0 AÑOS 7 MESES</v>
          </cell>
          <cell r="AG45" t="str">
            <v>TIEMPO PARCIAL</v>
          </cell>
          <cell r="AH45" t="str">
            <v>TECNOLOGÍAS DE LA INFORMACIÓN</v>
          </cell>
          <cell r="BG45" t="str">
            <v>CUARTO NIVEL</v>
          </cell>
        </row>
        <row r="46">
          <cell r="B46" t="str">
            <v>0802476374</v>
          </cell>
          <cell r="G46" t="str">
            <v>HOMBRE</v>
          </cell>
          <cell r="J46">
            <v>41</v>
          </cell>
          <cell r="AD46" t="str">
            <v>10 AÑOS 2 MESES</v>
          </cell>
          <cell r="AG46" t="str">
            <v>TIEMPO COMPLETO</v>
          </cell>
          <cell r="AH46" t="str">
            <v>TECNOLOGÍAS DE LA INFORMACIÓN</v>
          </cell>
          <cell r="BG46" t="str">
            <v>CUARTO NIVEL</v>
          </cell>
        </row>
        <row r="47">
          <cell r="B47" t="str">
            <v>0801924200</v>
          </cell>
          <cell r="G47" t="str">
            <v>MUJER</v>
          </cell>
          <cell r="J47">
            <v>44</v>
          </cell>
          <cell r="AD47" t="str">
            <v>0 AÑOS 7 MESES</v>
          </cell>
          <cell r="AG47" t="str">
            <v>TIEMPO PARCIAL</v>
          </cell>
          <cell r="AH47" t="str">
            <v>PEDAGOGÍA DE LOS IDIOMAS NACIONALES Y EXTRANJEROS</v>
          </cell>
          <cell r="BG47" t="str">
            <v>CUARTO NIVEL</v>
          </cell>
        </row>
        <row r="48">
          <cell r="B48" t="str">
            <v>0802971069</v>
          </cell>
          <cell r="G48" t="str">
            <v>HOMBRE</v>
          </cell>
          <cell r="J48">
            <v>29</v>
          </cell>
          <cell r="AD48" t="str">
            <v>0 AÑOS 10 MESES</v>
          </cell>
          <cell r="AG48" t="str">
            <v>TIEMPO COMPLETO</v>
          </cell>
          <cell r="AH48" t="str">
            <v>LABORATORIO CLINICO</v>
          </cell>
          <cell r="BG48" t="str">
            <v>CUARTO NIVEL</v>
          </cell>
        </row>
        <row r="49">
          <cell r="B49" t="str">
            <v>0802278408</v>
          </cell>
          <cell r="G49" t="str">
            <v>HOMBRE</v>
          </cell>
          <cell r="J49">
            <v>38</v>
          </cell>
          <cell r="AD49" t="str">
            <v>0 AÑOS 7 MESES</v>
          </cell>
          <cell r="AG49" t="str">
            <v>TIEMPO PARCIAL</v>
          </cell>
          <cell r="AH49" t="str">
            <v>ADMINISTRACIÓN DE EMPRESAS</v>
          </cell>
          <cell r="BG49" t="str">
            <v>CUARTO NIVEL</v>
          </cell>
        </row>
        <row r="50">
          <cell r="B50" t="str">
            <v>0801739673</v>
          </cell>
          <cell r="G50" t="str">
            <v>MUJER</v>
          </cell>
          <cell r="J50">
            <v>50</v>
          </cell>
          <cell r="AD50" t="str">
            <v>0 AÑOS 7 MESES</v>
          </cell>
          <cell r="AG50" t="str">
            <v>TIEMPO PARCIAL</v>
          </cell>
          <cell r="AH50" t="str">
            <v>CONTABILIDAD Y AUDITORIA CPA</v>
          </cell>
          <cell r="BG50" t="str">
            <v>CUARTO NIVEL</v>
          </cell>
        </row>
        <row r="51">
          <cell r="B51" t="str">
            <v>0803116334</v>
          </cell>
          <cell r="G51" t="str">
            <v>MUJER</v>
          </cell>
          <cell r="J51">
            <v>55</v>
          </cell>
          <cell r="AD51" t="str">
            <v>1 AÑOS 0 MESES</v>
          </cell>
          <cell r="AG51" t="str">
            <v>TIEMPO COMPLETO</v>
          </cell>
          <cell r="AH51" t="str">
            <v>CONTABILIDAD Y AUDITORIA CPA</v>
          </cell>
          <cell r="BG51" t="str">
            <v>CUARTO NIVEL</v>
          </cell>
        </row>
        <row r="52">
          <cell r="B52">
            <v>1302921018</v>
          </cell>
          <cell r="G52" t="str">
            <v>HOMBRE</v>
          </cell>
          <cell r="J52">
            <v>65</v>
          </cell>
          <cell r="AD52" t="str">
            <v>0 AÑOS 7 MESES</v>
          </cell>
          <cell r="AG52" t="str">
            <v>TIEMPO PARCIAL</v>
          </cell>
          <cell r="AH52" t="str">
            <v>ENFERMERÍA</v>
          </cell>
          <cell r="BG52" t="str">
            <v>CUARTO NIVEL</v>
          </cell>
        </row>
        <row r="53">
          <cell r="B53">
            <v>1103694434</v>
          </cell>
          <cell r="G53" t="str">
            <v>HOMBRE</v>
          </cell>
          <cell r="J53">
            <v>41</v>
          </cell>
          <cell r="AD53" t="str">
            <v>0 AÑOS 6 MESES</v>
          </cell>
          <cell r="AG53" t="str">
            <v>TIEMPO PARCIAL</v>
          </cell>
          <cell r="AH53" t="str">
            <v>MAESTRÍA EN ELECTRICIDAD MENCIÓN ENERGÍAS RENOVABLES Y EFICIENCIA ENERGÉTICA</v>
          </cell>
          <cell r="BG53" t="str">
            <v>CUARTO NIVEL</v>
          </cell>
        </row>
        <row r="54">
          <cell r="B54">
            <v>1803126679</v>
          </cell>
          <cell r="G54" t="str">
            <v>HOMBRE</v>
          </cell>
          <cell r="J54">
            <v>46</v>
          </cell>
          <cell r="AD54" t="str">
            <v>0 AÑOS 7 MESES</v>
          </cell>
          <cell r="AG54" t="str">
            <v>TIEMPO PARCIAL</v>
          </cell>
          <cell r="AH54" t="str">
            <v>MAESTRÍA EN TECNOLOGÍAS DE LA INFORMACIÓN</v>
          </cell>
          <cell r="BG54" t="str">
            <v>CUARTO NIVEL</v>
          </cell>
        </row>
        <row r="55">
          <cell r="B55" t="str">
            <v>1002100046</v>
          </cell>
          <cell r="G55" t="str">
            <v>HOMBRE</v>
          </cell>
          <cell r="J55">
            <v>45</v>
          </cell>
          <cell r="AD55" t="str">
            <v>0 AÑOS 6 MESES</v>
          </cell>
          <cell r="AG55" t="str">
            <v>TIEMPO PARCIAL</v>
          </cell>
          <cell r="AH55" t="str">
            <v>MAESTRÍA EN GESTIÓN DE RIESGOS LABORALES</v>
          </cell>
          <cell r="BG55" t="str">
            <v>CUARTO NIVEL</v>
          </cell>
        </row>
        <row r="56">
          <cell r="B56" t="str">
            <v>0800638306</v>
          </cell>
          <cell r="G56" t="str">
            <v>MUJER</v>
          </cell>
          <cell r="J56">
            <v>57</v>
          </cell>
          <cell r="AD56" t="str">
            <v>0 AÑOS 7 MESES</v>
          </cell>
          <cell r="AG56" t="str">
            <v>TIEMPO PARCIAL</v>
          </cell>
          <cell r="AH56" t="str">
            <v>NEGOCIOS INTERNACIONALES</v>
          </cell>
          <cell r="BG56" t="str">
            <v>CUARTO NIVEL</v>
          </cell>
        </row>
        <row r="57">
          <cell r="B57" t="str">
            <v>0803554831</v>
          </cell>
          <cell r="G57" t="str">
            <v>MUJER</v>
          </cell>
          <cell r="J57">
            <v>31</v>
          </cell>
          <cell r="AD57" t="str">
            <v>0 AÑOS 7 MESES</v>
          </cell>
          <cell r="AG57" t="str">
            <v>TIEMPO PARCIAL</v>
          </cell>
          <cell r="AH57" t="str">
            <v>LABORATORIO CLINICO</v>
          </cell>
          <cell r="BG57" t="str">
            <v>CUARTO NIVEL</v>
          </cell>
        </row>
        <row r="58">
          <cell r="B58" t="str">
            <v>0803496900</v>
          </cell>
          <cell r="G58" t="str">
            <v>HOMBRE</v>
          </cell>
          <cell r="J58">
            <v>32</v>
          </cell>
          <cell r="AD58" t="str">
            <v>0 AÑOS 7 MESES</v>
          </cell>
          <cell r="AG58" t="str">
            <v>TIEMPO PARCIAL</v>
          </cell>
          <cell r="AH58" t="str">
            <v>AGROINDUSTRIA</v>
          </cell>
          <cell r="BG58" t="str">
            <v>CUARTO NIVEL</v>
          </cell>
        </row>
        <row r="59">
          <cell r="B59" t="str">
            <v>0401632534</v>
          </cell>
          <cell r="G59" t="str">
            <v>HOMBRE</v>
          </cell>
          <cell r="J59">
            <v>32</v>
          </cell>
          <cell r="AD59" t="str">
            <v>0 AÑOS 7 MESES</v>
          </cell>
          <cell r="AG59" t="str">
            <v>TIEMPO PARCIAL</v>
          </cell>
          <cell r="AH59" t="str">
            <v>MAESTRÍA EN ELECTRICIDAD MENCIÓN ENERGÍAS RENOVABLES Y EFICIENCIA ENERGÉTICA</v>
          </cell>
          <cell r="BG59" t="str">
            <v>CUARTO NIVEL</v>
          </cell>
        </row>
        <row r="60">
          <cell r="B60" t="str">
            <v>0803077577</v>
          </cell>
          <cell r="G60" t="str">
            <v>MUJER</v>
          </cell>
          <cell r="J60">
            <v>34</v>
          </cell>
          <cell r="AD60" t="str">
            <v>0 AÑOS 7 MESES</v>
          </cell>
          <cell r="AG60" t="str">
            <v>TIEMPO PARCIAL</v>
          </cell>
          <cell r="AH60" t="str">
            <v>PSICOLOGÍA</v>
          </cell>
          <cell r="BG60" t="str">
            <v>CUARTO NIVEL</v>
          </cell>
        </row>
        <row r="61">
          <cell r="B61" t="str">
            <v>0703783738</v>
          </cell>
          <cell r="G61" t="str">
            <v>MUJER</v>
          </cell>
          <cell r="J61">
            <v>45</v>
          </cell>
          <cell r="AD61" t="str">
            <v>0 AÑOS 7 MESES</v>
          </cell>
          <cell r="AG61" t="str">
            <v>TIEMPO PARCIAL</v>
          </cell>
          <cell r="AH61" t="str">
            <v>PSICOLOGÍA</v>
          </cell>
          <cell r="BG61" t="str">
            <v>CUARTO NIVEL</v>
          </cell>
        </row>
        <row r="62">
          <cell r="B62" t="str">
            <v>0104947692</v>
          </cell>
          <cell r="G62" t="str">
            <v>HOMBRE</v>
          </cell>
          <cell r="J62">
            <v>35</v>
          </cell>
          <cell r="AD62" t="str">
            <v>0 AÑOS 7 MESES</v>
          </cell>
          <cell r="AG62" t="str">
            <v>TIEMPO PARCIAL</v>
          </cell>
          <cell r="AH62" t="str">
            <v>MAESTRÍA EN ELECTRICIDAD MENCIÓN ENERGÍAS RENOVABLES Y EFICIENCIA ENERGÉTICA</v>
          </cell>
          <cell r="BG62" t="str">
            <v>CUARTO NIVEL</v>
          </cell>
        </row>
        <row r="63">
          <cell r="B63">
            <v>1757306087</v>
          </cell>
          <cell r="G63" t="str">
            <v>HOMBRE</v>
          </cell>
          <cell r="J63">
            <v>55</v>
          </cell>
          <cell r="AD63" t="str">
            <v>5 AÑOS 7 MESES</v>
          </cell>
          <cell r="AG63" t="str">
            <v>TIEMPO COMPLETO</v>
          </cell>
          <cell r="AH63" t="str">
            <v>ENFERMERÍA</v>
          </cell>
          <cell r="BG63" t="str">
            <v>CUARTO NIVEL</v>
          </cell>
        </row>
        <row r="64">
          <cell r="B64" t="str">
            <v>0803846682</v>
          </cell>
          <cell r="G64" t="str">
            <v>HOMBRE</v>
          </cell>
          <cell r="J64">
            <v>32</v>
          </cell>
          <cell r="AD64" t="str">
            <v>0 AÑOS 7 MESES</v>
          </cell>
          <cell r="AG64" t="str">
            <v>TIEMPO PARCIAL</v>
          </cell>
          <cell r="AH64" t="str">
            <v>TECNOLOGÍAS DE LA INFORMACIÓN</v>
          </cell>
          <cell r="BG64" t="str">
            <v>CUARTO NIVEL</v>
          </cell>
        </row>
        <row r="65">
          <cell r="B65">
            <v>1753114006</v>
          </cell>
          <cell r="G65" t="str">
            <v>HOMBRE</v>
          </cell>
          <cell r="J65">
            <v>38</v>
          </cell>
          <cell r="AD65" t="str">
            <v>0 AÑOS 7 MESES</v>
          </cell>
          <cell r="AG65" t="str">
            <v>TIEMPO PARCIAL</v>
          </cell>
          <cell r="AH65" t="str">
            <v>MAESTRÍA EN INCLUSIÓN EDUCATIVA</v>
          </cell>
          <cell r="BG65" t="str">
            <v>CUARTO NIVEL</v>
          </cell>
        </row>
        <row r="66">
          <cell r="B66" t="str">
            <v>0803558253</v>
          </cell>
          <cell r="G66" t="str">
            <v>MUJER</v>
          </cell>
          <cell r="J66">
            <v>34</v>
          </cell>
          <cell r="AD66" t="str">
            <v>0 AÑOS 7 MESES</v>
          </cell>
          <cell r="AG66" t="str">
            <v>TIEMPO COMPLETO</v>
          </cell>
          <cell r="AH66" t="str">
            <v>NEGOCIOS INTERNACIONALES</v>
          </cell>
          <cell r="BG66" t="str">
            <v>CUARTO NIVEL</v>
          </cell>
        </row>
        <row r="67">
          <cell r="B67" t="str">
            <v>0803026913</v>
          </cell>
          <cell r="G67" t="str">
            <v>MUJER</v>
          </cell>
          <cell r="J67">
            <v>36</v>
          </cell>
          <cell r="AD67" t="str">
            <v>0 AÑOS 7 MESES</v>
          </cell>
          <cell r="AG67" t="str">
            <v>TIEMPO PARCIAL</v>
          </cell>
          <cell r="AH67" t="str">
            <v>DERECHO</v>
          </cell>
          <cell r="BG67" t="str">
            <v>CUARTO NIVEL</v>
          </cell>
        </row>
        <row r="68">
          <cell r="B68" t="str">
            <v>0803026939</v>
          </cell>
          <cell r="G68" t="str">
            <v>MUJER</v>
          </cell>
          <cell r="J68">
            <v>30</v>
          </cell>
          <cell r="AD68" t="str">
            <v>0 AÑOS 7 MESES</v>
          </cell>
          <cell r="AG68" t="str">
            <v>TIEMPO PARCIAL</v>
          </cell>
          <cell r="AH68" t="str">
            <v>DERECHO</v>
          </cell>
          <cell r="BG68" t="str">
            <v>CUARTO NIVEL</v>
          </cell>
        </row>
        <row r="69">
          <cell r="B69">
            <v>1600335739</v>
          </cell>
          <cell r="G69" t="str">
            <v>HOMBRE</v>
          </cell>
          <cell r="J69">
            <v>41</v>
          </cell>
          <cell r="AD69" t="str">
            <v>0 AÑOS 10 MESES</v>
          </cell>
          <cell r="AG69" t="str">
            <v>TIEMPO PARCIAL</v>
          </cell>
          <cell r="AH69" t="str">
            <v>MAESTRÍA EN ELECTRICIDAD MENCIÓN ENERGÍAS RENOVABLES Y EFICIENCIA ENERGÉTICA</v>
          </cell>
          <cell r="BG69" t="str">
            <v>CUARTO NIVEL</v>
          </cell>
        </row>
        <row r="70">
          <cell r="B70" t="str">
            <v>1706733167</v>
          </cell>
          <cell r="G70" t="str">
            <v>HOMBRE</v>
          </cell>
          <cell r="J70">
            <v>61</v>
          </cell>
          <cell r="AD70" t="str">
            <v>0 AÑOS 6 MESES</v>
          </cell>
          <cell r="AG70" t="str">
            <v>TIEMPO PARCIAL</v>
          </cell>
          <cell r="AH70" t="str">
            <v>MAESTRÍA EN TECNOLOGÍAS DE LA INFORMACIÓN</v>
          </cell>
          <cell r="BG70" t="str">
            <v>CUARTO NIVEL</v>
          </cell>
        </row>
        <row r="71">
          <cell r="B71">
            <v>1202812549</v>
          </cell>
          <cell r="G71" t="str">
            <v>HOMBRE</v>
          </cell>
          <cell r="J71">
            <v>52</v>
          </cell>
          <cell r="AD71" t="str">
            <v>0 AÑOS 4 MESES</v>
          </cell>
          <cell r="AG71" t="str">
            <v>TIEMPO PARCIAL</v>
          </cell>
          <cell r="AH71" t="str">
            <v>MAESTRÍA EN TECNOLOGÍAS DE LA INFORMACIÓN</v>
          </cell>
          <cell r="BG71" t="str">
            <v>CUARTO NIVEL</v>
          </cell>
        </row>
        <row r="72">
          <cell r="B72" t="str">
            <v>0802782615</v>
          </cell>
          <cell r="G72" t="str">
            <v>MUJER</v>
          </cell>
          <cell r="J72">
            <v>39</v>
          </cell>
          <cell r="AD72" t="str">
            <v>0 AÑOS 6 MESES</v>
          </cell>
          <cell r="AG72" t="str">
            <v>TIEMPO PARCIAL</v>
          </cell>
          <cell r="AH72" t="str">
            <v>ENFERMERÍA</v>
          </cell>
          <cell r="BG72" t="str">
            <v>CUARTO NIVEL</v>
          </cell>
        </row>
        <row r="73">
          <cell r="B73" t="str">
            <v>0912544780</v>
          </cell>
          <cell r="G73" t="str">
            <v>MUJER</v>
          </cell>
          <cell r="J73">
            <v>51</v>
          </cell>
          <cell r="AD73" t="str">
            <v>3 AÑOS 5 MESES</v>
          </cell>
          <cell r="AG73" t="str">
            <v>TIEMPO COMPLETO</v>
          </cell>
          <cell r="AH73" t="str">
            <v>LABORATORIO CLINICO</v>
          </cell>
          <cell r="BG73" t="str">
            <v>CUARTO NIVEL</v>
          </cell>
        </row>
        <row r="74">
          <cell r="B74" t="str">
            <v>0803181320</v>
          </cell>
          <cell r="G74" t="str">
            <v>HOMBRE</v>
          </cell>
          <cell r="J74">
            <v>32</v>
          </cell>
          <cell r="AD74" t="str">
            <v>4 AÑOS 2 MESES</v>
          </cell>
          <cell r="AG74" t="str">
            <v>TIEMPO COMPLETO</v>
          </cell>
          <cell r="AH74" t="str">
            <v>EDUCACIÓN BÁSICA SEMIPRESENCIAL</v>
          </cell>
          <cell r="BG74" t="str">
            <v>CUARTO NIVEL</v>
          </cell>
        </row>
        <row r="75">
          <cell r="B75" t="str">
            <v>0850031030</v>
          </cell>
          <cell r="G75" t="str">
            <v>MUJER</v>
          </cell>
          <cell r="J75">
            <v>29</v>
          </cell>
          <cell r="AD75" t="str">
            <v>1 AÑOS 0 MESES</v>
          </cell>
          <cell r="AG75" t="str">
            <v>TIEMPO COMPLETO</v>
          </cell>
          <cell r="AH75" t="str">
            <v>CONTABILIDAD Y AUDITORIA CPA</v>
          </cell>
          <cell r="BG75" t="str">
            <v>CUARTO NIVEL</v>
          </cell>
        </row>
        <row r="76">
          <cell r="B76" t="str">
            <v>1715929293</v>
          </cell>
          <cell r="G76" t="str">
            <v>HOMBRE</v>
          </cell>
          <cell r="J76">
            <v>42</v>
          </cell>
          <cell r="AD76" t="str">
            <v>0 AÑOS 7 MESES</v>
          </cell>
          <cell r="AG76" t="str">
            <v>TIEMPO COMPLETO</v>
          </cell>
          <cell r="AH76" t="str">
            <v>DERECHO</v>
          </cell>
          <cell r="BG76" t="str">
            <v>CUARTO NIVEL</v>
          </cell>
        </row>
        <row r="77">
          <cell r="B77" t="str">
            <v>0800968869</v>
          </cell>
          <cell r="G77" t="str">
            <v>MUJER</v>
          </cell>
          <cell r="J77">
            <v>58</v>
          </cell>
          <cell r="AD77" t="str">
            <v>1 AÑOS 2 MESES</v>
          </cell>
          <cell r="AG77" t="str">
            <v>TIEMPO COMPLETO</v>
          </cell>
          <cell r="AH77" t="str">
            <v>ENFERMERÍA</v>
          </cell>
          <cell r="BG77" t="str">
            <v>CUARTO NIVEL</v>
          </cell>
        </row>
        <row r="78">
          <cell r="B78" t="str">
            <v>0802863415</v>
          </cell>
          <cell r="G78" t="str">
            <v>HOMBRE</v>
          </cell>
          <cell r="J78">
            <v>36</v>
          </cell>
          <cell r="AD78" t="str">
            <v>0 AÑOS 7 MESES</v>
          </cell>
          <cell r="AG78" t="str">
            <v>TIEMPO PARCIAL</v>
          </cell>
          <cell r="AH78" t="str">
            <v>ENFERMERÍA</v>
          </cell>
          <cell r="BG78" t="str">
            <v>CUARTO NIVEL</v>
          </cell>
        </row>
        <row r="79">
          <cell r="B79" t="str">
            <v>0960650489</v>
          </cell>
          <cell r="G79" t="str">
            <v>MUJER</v>
          </cell>
          <cell r="J79">
            <v>56</v>
          </cell>
          <cell r="AD79" t="str">
            <v>0 AÑOS 5 MESES</v>
          </cell>
          <cell r="AG79" t="str">
            <v>TIEMPO PARCIAL</v>
          </cell>
          <cell r="AH79" t="str">
            <v>MAESTRÍA EN GÉNERO Y DESARROLLO</v>
          </cell>
          <cell r="BG79" t="str">
            <v>CUARTO NIVEL</v>
          </cell>
        </row>
        <row r="80">
          <cell r="B80">
            <v>1759701830</v>
          </cell>
          <cell r="G80" t="str">
            <v>HOMBRE</v>
          </cell>
          <cell r="J80">
            <v>36</v>
          </cell>
          <cell r="AD80" t="str">
            <v>1 AÑOS 3 MESES</v>
          </cell>
          <cell r="AG80" t="str">
            <v>TIEMPO PARCIAL</v>
          </cell>
          <cell r="AH80" t="str">
            <v>MAESTRÍA EN INCLUSIÓN EDUCATIVA</v>
          </cell>
          <cell r="BG80" t="str">
            <v>CUARTO NIVEL</v>
          </cell>
        </row>
        <row r="81">
          <cell r="B81" t="str">
            <v>0804318970</v>
          </cell>
          <cell r="G81" t="str">
            <v>HOMBRE</v>
          </cell>
          <cell r="J81">
            <v>28</v>
          </cell>
          <cell r="AD81" t="str">
            <v>0 AÑOS 8 MESES</v>
          </cell>
          <cell r="AG81" t="str">
            <v>TIEMPO PARCIAL</v>
          </cell>
          <cell r="AH81" t="str">
            <v>ENFERMERÍA (TECNOLOGÍA)</v>
          </cell>
          <cell r="BG81" t="str">
            <v>TERCER NIVEL</v>
          </cell>
        </row>
        <row r="82">
          <cell r="B82" t="str">
            <v>0803228600</v>
          </cell>
          <cell r="G82" t="str">
            <v>MUJER</v>
          </cell>
          <cell r="J82">
            <v>36</v>
          </cell>
          <cell r="AD82" t="str">
            <v>2 AÑOS 0 MESES</v>
          </cell>
          <cell r="AG82" t="str">
            <v>TIEMPO COMPLETO</v>
          </cell>
          <cell r="AH82" t="str">
            <v>ENFERMERÍA</v>
          </cell>
          <cell r="BG82" t="str">
            <v>CUARTO NIVEL</v>
          </cell>
        </row>
        <row r="83">
          <cell r="B83">
            <v>1720151503</v>
          </cell>
          <cell r="G83" t="str">
            <v>HOMBRE</v>
          </cell>
          <cell r="J83">
            <v>48</v>
          </cell>
          <cell r="AD83" t="str">
            <v>0 AÑOS 7 MESES</v>
          </cell>
          <cell r="AG83" t="str">
            <v>TIEMPO PARCIAL</v>
          </cell>
          <cell r="AH83" t="str">
            <v>MAESTRÍA EN GESTIÓN DEL TALENTO HUMANO</v>
          </cell>
          <cell r="BG83" t="str">
            <v>CUARTO NIVEL</v>
          </cell>
        </row>
        <row r="84">
          <cell r="B84">
            <v>1758755209</v>
          </cell>
          <cell r="G84" t="str">
            <v>HOMBRE</v>
          </cell>
          <cell r="J84">
            <v>63</v>
          </cell>
          <cell r="AD84" t="str">
            <v>1 AÑOS 1 MESES</v>
          </cell>
          <cell r="AG84" t="str">
            <v>TIEMPO COMPLETO</v>
          </cell>
          <cell r="AH84" t="str">
            <v>DERECHO</v>
          </cell>
          <cell r="BG84" t="str">
            <v>CUARTO NIVEL</v>
          </cell>
        </row>
        <row r="85">
          <cell r="B85">
            <v>1310851009</v>
          </cell>
          <cell r="G85" t="str">
            <v>HOMBRE</v>
          </cell>
          <cell r="J85">
            <v>33</v>
          </cell>
          <cell r="AD85" t="str">
            <v>1 AÑOS 0 MESES</v>
          </cell>
          <cell r="AG85" t="str">
            <v>TIEMPO COMPLETO</v>
          </cell>
          <cell r="AH85" t="str">
            <v>DERECHO</v>
          </cell>
          <cell r="BG85" t="str">
            <v>CUARTO NIVEL</v>
          </cell>
        </row>
        <row r="86">
          <cell r="B86" t="str">
            <v>0804267904</v>
          </cell>
          <cell r="G86" t="str">
            <v>MUJER</v>
          </cell>
          <cell r="J86">
            <v>28</v>
          </cell>
          <cell r="AD86" t="str">
            <v>1 AÑOS 0 MESES</v>
          </cell>
          <cell r="AG86" t="str">
            <v>TIEMPO COMPLETO</v>
          </cell>
          <cell r="AH86" t="str">
            <v>ADMINISTRACIÓN DE EMPRESAS</v>
          </cell>
          <cell r="BG86" t="str">
            <v>CUARTO NIVEL</v>
          </cell>
        </row>
        <row r="87">
          <cell r="B87" t="str">
            <v>1715009500</v>
          </cell>
          <cell r="G87" t="str">
            <v>HOMBRE</v>
          </cell>
          <cell r="J87">
            <v>36</v>
          </cell>
          <cell r="AD87" t="str">
            <v>0 AÑOS 9 MESES</v>
          </cell>
          <cell r="AG87" t="str">
            <v>TIEMPO COMPLETO</v>
          </cell>
          <cell r="AH87" t="str">
            <v>DERECHO</v>
          </cell>
          <cell r="BG87" t="str">
            <v>CUARTO NIVEL</v>
          </cell>
        </row>
        <row r="88">
          <cell r="B88" t="str">
            <v>0801328733</v>
          </cell>
          <cell r="G88" t="str">
            <v>HOMBRE</v>
          </cell>
          <cell r="J88">
            <v>48</v>
          </cell>
          <cell r="AD88" t="str">
            <v>0 AÑOS 7 MESES</v>
          </cell>
          <cell r="AG88" t="str">
            <v>TIEMPO PARCIAL</v>
          </cell>
          <cell r="AH88" t="str">
            <v>DERECHO</v>
          </cell>
          <cell r="BG88" t="str">
            <v>CUARTO NIVEL</v>
          </cell>
        </row>
        <row r="89">
          <cell r="B89" t="str">
            <v>1758460826</v>
          </cell>
          <cell r="G89" t="str">
            <v>MUJER</v>
          </cell>
          <cell r="J89">
            <v>44</v>
          </cell>
          <cell r="AD89" t="str">
            <v>0 AÑOS 6 MESES</v>
          </cell>
          <cell r="AG89" t="str">
            <v>TIEMPO PARCIAL</v>
          </cell>
          <cell r="AH89" t="str">
            <v>MAESTRÍA EN GESTIÓN DEL CUIDADO</v>
          </cell>
          <cell r="BG89" t="str">
            <v>CUARTO NIVEL</v>
          </cell>
        </row>
        <row r="90">
          <cell r="B90" t="str">
            <v>0803786680</v>
          </cell>
          <cell r="G90" t="str">
            <v>HOMBRE</v>
          </cell>
          <cell r="J90">
            <v>30</v>
          </cell>
          <cell r="AD90" t="str">
            <v>0 AÑOS 5 MESES</v>
          </cell>
          <cell r="AG90" t="str">
            <v>TIEMPO PARCIAL</v>
          </cell>
          <cell r="AH90" t="str">
            <v>MAESTRÍA EN TECNOLOGÍAS DE LA INFORMACIÓN</v>
          </cell>
          <cell r="BG90" t="str">
            <v>CUARTO NIVEL</v>
          </cell>
        </row>
        <row r="91">
          <cell r="B91" t="str">
            <v>0801692823</v>
          </cell>
          <cell r="G91" t="str">
            <v>HOMBRE</v>
          </cell>
          <cell r="J91">
            <v>47</v>
          </cell>
          <cell r="AD91" t="str">
            <v>1 AÑOS 7 MESES</v>
          </cell>
          <cell r="AG91" t="str">
            <v>MEDIO TIEMPO</v>
          </cell>
          <cell r="AH91" t="str">
            <v>TECNOLOGÍAS DE LA INFORMACIÓN</v>
          </cell>
          <cell r="BG91" t="str">
            <v>CUARTO NIVEL</v>
          </cell>
        </row>
        <row r="92">
          <cell r="B92" t="str">
            <v>0704748946</v>
          </cell>
          <cell r="G92" t="str">
            <v>HOMBRE</v>
          </cell>
          <cell r="J92">
            <v>39</v>
          </cell>
          <cell r="AD92" t="str">
            <v>2 AÑOS 2 MESES</v>
          </cell>
          <cell r="AG92" t="str">
            <v>TIEMPO COMPLETO</v>
          </cell>
          <cell r="AH92" t="str">
            <v>LABORATORIO CLINICO</v>
          </cell>
          <cell r="BG92" t="str">
            <v>CUARTO NIVEL</v>
          </cell>
        </row>
        <row r="93">
          <cell r="B93" t="str">
            <v>0801558446</v>
          </cell>
          <cell r="G93" t="str">
            <v>MUJER</v>
          </cell>
          <cell r="J93">
            <v>35</v>
          </cell>
          <cell r="AD93" t="str">
            <v>1 AÑOS 0 MESES</v>
          </cell>
          <cell r="AG93" t="str">
            <v>TIEMPO COMPLETO</v>
          </cell>
          <cell r="AH93" t="str">
            <v>NEGOCIOS INTERNACIONALES</v>
          </cell>
          <cell r="BG93" t="str">
            <v>CUARTO NIVEL</v>
          </cell>
        </row>
        <row r="94">
          <cell r="B94">
            <v>1804317582</v>
          </cell>
          <cell r="G94" t="str">
            <v>HOMBRE</v>
          </cell>
          <cell r="J94">
            <v>32</v>
          </cell>
          <cell r="AD94" t="str">
            <v>2 AÑOS 2 MESES</v>
          </cell>
          <cell r="AG94" t="str">
            <v>TIEMPO COMPLETO</v>
          </cell>
          <cell r="AH94" t="str">
            <v>LABORATORIO CLINICO</v>
          </cell>
          <cell r="BG94" t="str">
            <v>CUARTO NIVEL</v>
          </cell>
        </row>
        <row r="95">
          <cell r="B95" t="str">
            <v>0503131807</v>
          </cell>
          <cell r="G95" t="str">
            <v>HOMBRE</v>
          </cell>
          <cell r="J95">
            <v>32</v>
          </cell>
          <cell r="AD95" t="str">
            <v>0 AÑOS 5 MESES</v>
          </cell>
          <cell r="AG95" t="str">
            <v>TIEMPO PARCIAL</v>
          </cell>
          <cell r="AH95" t="str">
            <v>MAESTRÍA EN GESTIÓN DEL TALENTO HUMANO</v>
          </cell>
          <cell r="BG95" t="str">
            <v>CUARTO NIVEL</v>
          </cell>
        </row>
        <row r="96">
          <cell r="B96" t="str">
            <v>0801921677</v>
          </cell>
          <cell r="G96" t="str">
            <v>HOMBRE</v>
          </cell>
          <cell r="J96">
            <v>39</v>
          </cell>
          <cell r="AD96" t="str">
            <v>0 AÑOS 7 MESES</v>
          </cell>
          <cell r="AG96" t="str">
            <v>TIEMPO PARCIAL</v>
          </cell>
          <cell r="AH96" t="str">
            <v>MAESTRÍA EN GESTIÓN DEL TALENTO HUMANO</v>
          </cell>
          <cell r="BG96" t="str">
            <v>CUARTO NIVEL</v>
          </cell>
        </row>
        <row r="97">
          <cell r="B97" t="str">
            <v>0802423889</v>
          </cell>
          <cell r="G97" t="str">
            <v>HOMBRE</v>
          </cell>
          <cell r="J97">
            <v>39</v>
          </cell>
          <cell r="AD97" t="str">
            <v>1 AÑOS 1 MESES</v>
          </cell>
          <cell r="AG97" t="str">
            <v>TIEMPO COMPLETO</v>
          </cell>
          <cell r="AH97" t="str">
            <v>EDUCACIÓN BÁSICA SEMIPRESENCIAL</v>
          </cell>
          <cell r="BG97" t="str">
            <v>CUARTO NIVEL</v>
          </cell>
        </row>
        <row r="98">
          <cell r="B98" t="str">
            <v>1803823986</v>
          </cell>
          <cell r="G98" t="str">
            <v>HOMBRE</v>
          </cell>
          <cell r="J98">
            <v>32</v>
          </cell>
          <cell r="AD98" t="str">
            <v>0 AÑOS 8 MESES</v>
          </cell>
          <cell r="AG98" t="str">
            <v>TIEMPO PARCIAL</v>
          </cell>
          <cell r="AH98" t="str">
            <v>ACCIÓN PASTORAL (TECNOLOGÍA)</v>
          </cell>
          <cell r="BG98" t="str">
            <v>CUARTO NIVEL</v>
          </cell>
        </row>
        <row r="99">
          <cell r="B99" t="str">
            <v>P14807791</v>
          </cell>
          <cell r="G99" t="str">
            <v>HOMBRE</v>
          </cell>
          <cell r="J99">
            <v>41</v>
          </cell>
          <cell r="AD99" t="str">
            <v>0 AÑOS 7 MESES</v>
          </cell>
          <cell r="AG99" t="str">
            <v>TIEMPO PARCIAL</v>
          </cell>
          <cell r="AH99" t="str">
            <v>MAESTRÍA EN GÉNERO Y DESARROLLO</v>
          </cell>
          <cell r="BG99" t="str">
            <v>TERCER NIVEL</v>
          </cell>
        </row>
        <row r="100">
          <cell r="B100" t="str">
            <v>0801750720</v>
          </cell>
          <cell r="G100" t="str">
            <v>MUJER</v>
          </cell>
          <cell r="J100">
            <v>49</v>
          </cell>
          <cell r="AD100" t="str">
            <v>0 AÑOS 7 MESES</v>
          </cell>
          <cell r="AG100" t="str">
            <v>TIEMPO PARCIAL</v>
          </cell>
          <cell r="AH100" t="str">
            <v>EDUCACIÓN BÁSICA SEMIPRESENCIAL</v>
          </cell>
          <cell r="BG100" t="str">
            <v>CUARTO NIVEL</v>
          </cell>
        </row>
        <row r="101">
          <cell r="B101" t="str">
            <v>0802107243</v>
          </cell>
          <cell r="G101" t="str">
            <v>MUJER</v>
          </cell>
          <cell r="J101">
            <v>46</v>
          </cell>
          <cell r="AD101" t="str">
            <v>0 AÑOS 4 MESES</v>
          </cell>
          <cell r="AG101" t="str">
            <v>TIEMPO PARCIAL</v>
          </cell>
          <cell r="AH101" t="str">
            <v>ENFERMERÍA</v>
          </cell>
          <cell r="BG101" t="str">
            <v>CUARTO NIVEL</v>
          </cell>
        </row>
        <row r="102">
          <cell r="B102" t="str">
            <v>0502662455</v>
          </cell>
          <cell r="G102" t="str">
            <v>HOMBRE</v>
          </cell>
          <cell r="J102">
            <v>41</v>
          </cell>
          <cell r="AD102" t="str">
            <v>0 AÑOS 4 MESES</v>
          </cell>
          <cell r="AG102" t="str">
            <v>TIEMPO PARCIAL</v>
          </cell>
          <cell r="AH102" t="str">
            <v>MAESTRÍA EN ELECTRICIDAD MENCIÓN ENERGÍAS RENOVABLES Y EFICIENCIA ENERGÉTICA</v>
          </cell>
          <cell r="BG102" t="str">
            <v>CUARTO NIVEL</v>
          </cell>
        </row>
        <row r="103">
          <cell r="B103" t="str">
            <v>0603167917</v>
          </cell>
          <cell r="G103" t="str">
            <v>HOMBRE</v>
          </cell>
          <cell r="J103">
            <v>47</v>
          </cell>
          <cell r="AD103" t="str">
            <v>0 AÑOS 10 MESES</v>
          </cell>
          <cell r="AG103" t="str">
            <v>TIEMPO COMPLETO</v>
          </cell>
          <cell r="AH103" t="str">
            <v>DISEÑO GRAFICO</v>
          </cell>
          <cell r="BG103" t="str">
            <v>CUARTO NIVEL</v>
          </cell>
        </row>
        <row r="104">
          <cell r="B104" t="str">
            <v>0803716430</v>
          </cell>
          <cell r="G104" t="str">
            <v>HOMBRE</v>
          </cell>
          <cell r="J104">
            <v>31</v>
          </cell>
          <cell r="AD104" t="str">
            <v>0 AÑOS 7 MESES</v>
          </cell>
          <cell r="AG104" t="str">
            <v>TIEMPO PARCIAL</v>
          </cell>
          <cell r="AH104" t="str">
            <v>PEDAGOGÍA DE LOS IDIOMAS NACIONALES Y EXTRANJEROS</v>
          </cell>
          <cell r="BG104" t="str">
            <v>CUARTO NIVEL</v>
          </cell>
        </row>
        <row r="105">
          <cell r="B105">
            <v>1757534357</v>
          </cell>
          <cell r="G105" t="str">
            <v>MUJER</v>
          </cell>
          <cell r="J105">
            <v>56</v>
          </cell>
          <cell r="AD105" t="str">
            <v>1 AÑOS 3 MESES</v>
          </cell>
          <cell r="AG105" t="str">
            <v>MEDIO TIEMPO</v>
          </cell>
          <cell r="AH105" t="str">
            <v>TURISMO</v>
          </cell>
          <cell r="BG105" t="str">
            <v>CUARTO NIVEL</v>
          </cell>
        </row>
        <row r="106">
          <cell r="B106" t="str">
            <v>1803456738</v>
          </cell>
          <cell r="G106" t="str">
            <v>MUJER</v>
          </cell>
          <cell r="J106">
            <v>42</v>
          </cell>
          <cell r="AD106" t="str">
            <v>0 AÑOS 7 MESES</v>
          </cell>
          <cell r="AG106" t="str">
            <v>TIEMPO PARCIAL</v>
          </cell>
          <cell r="AH106" t="str">
            <v>ENFERMERÍA</v>
          </cell>
          <cell r="BG106" t="str">
            <v>CUARTO NIVEL</v>
          </cell>
        </row>
        <row r="107">
          <cell r="B107">
            <v>1723725642</v>
          </cell>
          <cell r="G107" t="str">
            <v>MUJER</v>
          </cell>
          <cell r="J107">
            <v>35</v>
          </cell>
          <cell r="AD107" t="str">
            <v>0 AÑOS 9 MESES</v>
          </cell>
          <cell r="AG107" t="str">
            <v>TIEMPO COMPLETO</v>
          </cell>
          <cell r="AH107" t="str">
            <v>FISIOTERAPIA</v>
          </cell>
          <cell r="BG107" t="str">
            <v>CUARTO NIVEL</v>
          </cell>
        </row>
        <row r="108">
          <cell r="B108" t="str">
            <v>0958485963</v>
          </cell>
          <cell r="G108" t="str">
            <v>MUJER</v>
          </cell>
          <cell r="J108">
            <v>26</v>
          </cell>
          <cell r="AD108" t="str">
            <v>0 AÑOS 8 MESES</v>
          </cell>
          <cell r="AG108" t="str">
            <v>TIEMPO PARCIAL</v>
          </cell>
          <cell r="AH108" t="str">
            <v>ENFERMERÍA (TECNOLOGÍA)</v>
          </cell>
          <cell r="BG108" t="str">
            <v>TERCER NIVEL</v>
          </cell>
        </row>
        <row r="109">
          <cell r="B109" t="str">
            <v>0802870139</v>
          </cell>
          <cell r="G109" t="str">
            <v>MUJER</v>
          </cell>
          <cell r="J109">
            <v>39</v>
          </cell>
          <cell r="AD109" t="str">
            <v>0 AÑOS 7 MESES</v>
          </cell>
          <cell r="AG109" t="str">
            <v>TIEMPO PARCIAL</v>
          </cell>
          <cell r="AH109" t="str">
            <v>DISEÑO GRAFICO</v>
          </cell>
          <cell r="BG109" t="str">
            <v>CUARTO NIVEL</v>
          </cell>
        </row>
        <row r="110">
          <cell r="B110" t="str">
            <v>0800839177</v>
          </cell>
          <cell r="G110" t="str">
            <v>MUJER</v>
          </cell>
          <cell r="J110">
            <v>60</v>
          </cell>
          <cell r="AD110" t="str">
            <v>0 AÑOS 8 MESES</v>
          </cell>
          <cell r="AG110" t="str">
            <v>TIEMPO COMPLETO</v>
          </cell>
          <cell r="AH110" t="str">
            <v>ENFERMERÍA</v>
          </cell>
          <cell r="BG110" t="str">
            <v>CUARTO NIVEL</v>
          </cell>
        </row>
        <row r="111">
          <cell r="B111" t="str">
            <v>1713736294</v>
          </cell>
          <cell r="G111" t="str">
            <v>HOMBRE</v>
          </cell>
          <cell r="J111">
            <v>44</v>
          </cell>
          <cell r="AD111" t="str">
            <v>0 AÑOS 7 MESES</v>
          </cell>
          <cell r="AG111" t="str">
            <v>TIEMPO PARCIAL</v>
          </cell>
          <cell r="AH111" t="str">
            <v>MAESTRÍA EN GESTIÓN DE RIESGOS LABORALES</v>
          </cell>
          <cell r="BG111" t="str">
            <v>CUARTO NIVEL</v>
          </cell>
        </row>
        <row r="112">
          <cell r="B112" t="str">
            <v>0802247734</v>
          </cell>
          <cell r="G112" t="str">
            <v>MUJER</v>
          </cell>
          <cell r="J112">
            <v>44</v>
          </cell>
          <cell r="AD112" t="str">
            <v>8 AÑOS 7 MESES</v>
          </cell>
          <cell r="AG112" t="str">
            <v>TIEMPO COMPLETO</v>
          </cell>
          <cell r="AH112" t="str">
            <v>DISEÑO GRAFICO</v>
          </cell>
          <cell r="BG112" t="str">
            <v>CUARTO NIVEL</v>
          </cell>
        </row>
        <row r="113">
          <cell r="B113" t="str">
            <v>0802524082</v>
          </cell>
          <cell r="G113" t="str">
            <v>MUJER</v>
          </cell>
          <cell r="J113">
            <v>43</v>
          </cell>
          <cell r="AD113" t="str">
            <v>3 AÑOS 2 MESES</v>
          </cell>
          <cell r="AG113" t="str">
            <v>TIEMPO COMPLETO</v>
          </cell>
          <cell r="AH113" t="str">
            <v>EDUCACIÓN INICIAL</v>
          </cell>
          <cell r="BG113" t="str">
            <v>CUARTO NIVEL</v>
          </cell>
        </row>
        <row r="114">
          <cell r="B114" t="str">
            <v>0801663758</v>
          </cell>
          <cell r="G114" t="str">
            <v>MUJER</v>
          </cell>
          <cell r="J114">
            <v>51</v>
          </cell>
          <cell r="AD114" t="str">
            <v>0 AÑOS 8 MESES</v>
          </cell>
          <cell r="AG114" t="str">
            <v>TIEMPO PARCIAL</v>
          </cell>
          <cell r="AH114" t="str">
            <v>GESTIÓN CULINARIA (TECNOLOGÍA)</v>
          </cell>
          <cell r="BG114" t="str">
            <v>TERCER NIVEL</v>
          </cell>
        </row>
        <row r="115">
          <cell r="B115" t="str">
            <v>0802202853</v>
          </cell>
          <cell r="G115" t="str">
            <v>MUJER</v>
          </cell>
          <cell r="J115">
            <v>46</v>
          </cell>
          <cell r="AD115" t="str">
            <v>5 AÑOS 7 MESES</v>
          </cell>
          <cell r="AG115" t="str">
            <v>TIEMPO COMPLETO</v>
          </cell>
          <cell r="AH115" t="str">
            <v>EDUCACIÓN INICIAL</v>
          </cell>
          <cell r="BG115" t="str">
            <v>CUARTO NIVEL</v>
          </cell>
        </row>
        <row r="116">
          <cell r="B116" t="str">
            <v>0801826546</v>
          </cell>
          <cell r="G116" t="str">
            <v>MUJER</v>
          </cell>
          <cell r="J116">
            <v>49</v>
          </cell>
          <cell r="AD116" t="str">
            <v>0 AÑOS 7 MESES</v>
          </cell>
          <cell r="AG116" t="str">
            <v>TIEMPO PARCIAL</v>
          </cell>
          <cell r="AH116" t="str">
            <v>EDUCACIÓN BÁSICA SEMIPRESENCIAL</v>
          </cell>
          <cell r="BG116" t="str">
            <v>CUARTO NIVEL</v>
          </cell>
        </row>
        <row r="117">
          <cell r="B117" t="str">
            <v>1758933202</v>
          </cell>
          <cell r="G117" t="str">
            <v>MUJER</v>
          </cell>
          <cell r="J117">
            <v>50</v>
          </cell>
          <cell r="AD117" t="str">
            <v>0 AÑOS 6 MESES</v>
          </cell>
          <cell r="AG117" t="str">
            <v>TIEMPO PARCIAL</v>
          </cell>
          <cell r="AH117" t="str">
            <v>MAESTRÍA EN GÉNERO Y DESARROLLO</v>
          </cell>
          <cell r="BG117" t="str">
            <v>CUARTO NIVEL</v>
          </cell>
        </row>
        <row r="118">
          <cell r="B118" t="str">
            <v>0803210863</v>
          </cell>
          <cell r="G118" t="str">
            <v>HOMBRE</v>
          </cell>
          <cell r="J118">
            <v>31</v>
          </cell>
          <cell r="AD118" t="str">
            <v>0 AÑOS 8 MESES</v>
          </cell>
          <cell r="AG118" t="str">
            <v>TIEMPO PARCIAL</v>
          </cell>
          <cell r="AH118" t="str">
            <v>GESTIÓN CULINARIA (TECNOLOGÍA)</v>
          </cell>
          <cell r="BG118" t="str">
            <v>CUARTO NIVEL</v>
          </cell>
        </row>
        <row r="119">
          <cell r="B119" t="str">
            <v>0801432998</v>
          </cell>
          <cell r="G119" t="str">
            <v>MUJER</v>
          </cell>
          <cell r="J119">
            <v>51</v>
          </cell>
          <cell r="AD119" t="str">
            <v>0 AÑOS 8 MESES</v>
          </cell>
          <cell r="AG119" t="str">
            <v>TIEMPO COMPLETO</v>
          </cell>
          <cell r="AH119" t="str">
            <v>ADMINISTRACIÓN DE EMPRESAS</v>
          </cell>
          <cell r="BG119" t="str">
            <v>CUARTO NIVEL</v>
          </cell>
        </row>
        <row r="120">
          <cell r="B120" t="str">
            <v>0801722778</v>
          </cell>
          <cell r="G120" t="str">
            <v>MUJER</v>
          </cell>
          <cell r="J120">
            <v>52</v>
          </cell>
          <cell r="AD120" t="str">
            <v>2 AÑOS 3 MESES</v>
          </cell>
          <cell r="AG120" t="str">
            <v>TIEMPO COMPLETO</v>
          </cell>
          <cell r="AH120" t="str">
            <v>DERECHO</v>
          </cell>
          <cell r="BG120" t="str">
            <v>CUARTO NIVEL</v>
          </cell>
        </row>
        <row r="121">
          <cell r="B121" t="str">
            <v>0803181858</v>
          </cell>
          <cell r="G121" t="str">
            <v>MUJER</v>
          </cell>
          <cell r="J121">
            <v>27</v>
          </cell>
          <cell r="AD121" t="str">
            <v>0 AÑOS 7 MESES</v>
          </cell>
          <cell r="AG121" t="str">
            <v>TIEMPO PARCIAL</v>
          </cell>
          <cell r="AH121" t="str">
            <v>GESTIÓN AMBIENTAL</v>
          </cell>
          <cell r="BG121" t="str">
            <v>CUARTO NIVEL</v>
          </cell>
        </row>
        <row r="122">
          <cell r="B122" t="str">
            <v>0802472969</v>
          </cell>
          <cell r="G122" t="str">
            <v>HOMBRE</v>
          </cell>
          <cell r="J122">
            <v>42</v>
          </cell>
          <cell r="AD122" t="str">
            <v>3 AÑOS 5 MESES</v>
          </cell>
          <cell r="AG122" t="str">
            <v>TIEMPO COMPLETO</v>
          </cell>
          <cell r="AH122" t="str">
            <v>NEGOCIOS INTERNACIONALES</v>
          </cell>
          <cell r="BG122" t="str">
            <v>CUARTO NIVEL</v>
          </cell>
        </row>
        <row r="123">
          <cell r="B123" t="str">
            <v>0802321364</v>
          </cell>
          <cell r="G123" t="str">
            <v>MUJER</v>
          </cell>
          <cell r="J123">
            <v>42</v>
          </cell>
          <cell r="AD123" t="str">
            <v>0 AÑOS 6 MESES</v>
          </cell>
          <cell r="AG123" t="str">
            <v>TIEMPO PARCIAL</v>
          </cell>
          <cell r="AH123" t="str">
            <v>ENFERMERÍA</v>
          </cell>
          <cell r="BG123" t="str">
            <v>CUARTO NIVEL</v>
          </cell>
        </row>
        <row r="124">
          <cell r="B124" t="str">
            <v>1001591955</v>
          </cell>
          <cell r="G124" t="str">
            <v>MUJER</v>
          </cell>
          <cell r="J124">
            <v>58</v>
          </cell>
          <cell r="AD124" t="str">
            <v>0 AÑOS 4 MESES</v>
          </cell>
          <cell r="AG124" t="str">
            <v>TIEMPO PARCIAL</v>
          </cell>
          <cell r="AH124" t="str">
            <v>MAESTRÍA EN INNOVACIÓN EN EDUCACIÓN</v>
          </cell>
          <cell r="BG124" t="str">
            <v>CUARTO NIVEL</v>
          </cell>
        </row>
        <row r="125">
          <cell r="B125" t="str">
            <v>0804348290</v>
          </cell>
          <cell r="G125" t="str">
            <v>MUJER</v>
          </cell>
          <cell r="J125">
            <v>42</v>
          </cell>
          <cell r="AD125" t="str">
            <v>0 AÑOS 5 MESES</v>
          </cell>
          <cell r="AG125" t="str">
            <v>TIEMPO PARCIAL</v>
          </cell>
          <cell r="AH125" t="str">
            <v>MAESTRÍA EN INCLUSIÓN EDUCATIVA</v>
          </cell>
          <cell r="BG125" t="str">
            <v>CUARTO NIVEL</v>
          </cell>
        </row>
        <row r="126">
          <cell r="B126">
            <v>1802852572</v>
          </cell>
          <cell r="G126" t="str">
            <v>HOMBRE</v>
          </cell>
          <cell r="J126">
            <v>49</v>
          </cell>
          <cell r="AD126" t="str">
            <v>1 AÑOS 0 MESES</v>
          </cell>
          <cell r="AG126" t="str">
            <v>TIEMPO COMPLETO</v>
          </cell>
          <cell r="AH126" t="str">
            <v>TECNOLOGÍAS DE LA INFORMACIÓN</v>
          </cell>
          <cell r="BG126" t="str">
            <v>CUARTO NIVEL</v>
          </cell>
        </row>
        <row r="127">
          <cell r="B127">
            <v>1711888154</v>
          </cell>
          <cell r="G127" t="str">
            <v>HOMBRE</v>
          </cell>
          <cell r="J127">
            <v>44</v>
          </cell>
          <cell r="AD127" t="str">
            <v>0 AÑOS 7 MESES</v>
          </cell>
          <cell r="AG127" t="str">
            <v>TIEMPO PARCIAL</v>
          </cell>
          <cell r="AH127" t="str">
            <v>ENFERMERÍA</v>
          </cell>
          <cell r="BG127" t="str">
            <v>CUARTO NIVEL</v>
          </cell>
        </row>
        <row r="128">
          <cell r="B128">
            <v>1757374770</v>
          </cell>
          <cell r="G128" t="str">
            <v>MUJER</v>
          </cell>
          <cell r="J128">
            <v>62</v>
          </cell>
          <cell r="AD128" t="str">
            <v>1 AÑOS 3 MESES</v>
          </cell>
          <cell r="AG128" t="str">
            <v>MEDIO TIEMPO</v>
          </cell>
          <cell r="AH128" t="str">
            <v>PEDAGOGÍA DE LOS IDIOMAS NACIONALES Y EXTRANJEROS</v>
          </cell>
          <cell r="BG128" t="str">
            <v>CUARTO NIVEL</v>
          </cell>
        </row>
        <row r="129">
          <cell r="B129" t="str">
            <v>0802490722</v>
          </cell>
          <cell r="G129" t="str">
            <v>HOMBRE</v>
          </cell>
          <cell r="J129">
            <v>42</v>
          </cell>
          <cell r="AD129" t="str">
            <v>1 AÑOS 3 MESES</v>
          </cell>
          <cell r="AG129" t="str">
            <v>TIEMPO COMPLETO</v>
          </cell>
          <cell r="AH129" t="str">
            <v>TECNOLOGÍAS DE LA INFORMACIÓN</v>
          </cell>
          <cell r="BG129" t="str">
            <v>CUARTO NIVEL</v>
          </cell>
        </row>
        <row r="130">
          <cell r="B130" t="str">
            <v>0802460782</v>
          </cell>
          <cell r="G130" t="str">
            <v>HOMBRE</v>
          </cell>
          <cell r="J130">
            <v>31</v>
          </cell>
          <cell r="AD130" t="str">
            <v>3 AÑOS 5 MESES</v>
          </cell>
          <cell r="AG130" t="str">
            <v>TIEMPO COMPLETO</v>
          </cell>
          <cell r="AH130" t="str">
            <v>CONTABILIDAD Y AUDITORIA CPA</v>
          </cell>
          <cell r="BG130" t="str">
            <v>CUARTO NIVEL</v>
          </cell>
        </row>
        <row r="131">
          <cell r="B131" t="str">
            <v>0850095191</v>
          </cell>
          <cell r="G131" t="str">
            <v>HOMBRE</v>
          </cell>
          <cell r="J131">
            <v>29</v>
          </cell>
          <cell r="AD131" t="str">
            <v>0 AÑOS 8 MESES</v>
          </cell>
          <cell r="AG131" t="str">
            <v>TIEMPO PARCIAL</v>
          </cell>
          <cell r="AH131" t="str">
            <v>ENFERMERÍA (TECNOLOGÍA)</v>
          </cell>
          <cell r="BG131" t="str">
            <v>TERCER NIVEL</v>
          </cell>
        </row>
        <row r="132">
          <cell r="B132" t="str">
            <v>PAE159759</v>
          </cell>
          <cell r="G132" t="str">
            <v>MUJER</v>
          </cell>
          <cell r="J132">
            <v>41</v>
          </cell>
          <cell r="AD132" t="str">
            <v>21 AÑOS 6 MESES</v>
          </cell>
          <cell r="AG132" t="str">
            <v>TIEMPO PARCIAL</v>
          </cell>
          <cell r="AH132" t="str">
            <v>MAESTRÍA EN GÉNERO Y DESARROLLO</v>
          </cell>
          <cell r="BG132" t="str">
            <v>CUARTO NIVEL</v>
          </cell>
        </row>
        <row r="133">
          <cell r="B133" t="str">
            <v>0803468107</v>
          </cell>
          <cell r="G133" t="str">
            <v>MUJER</v>
          </cell>
          <cell r="J133">
            <v>29</v>
          </cell>
          <cell r="AD133" t="str">
            <v>1 AÑOS 5 MESES</v>
          </cell>
          <cell r="AG133" t="str">
            <v>TIEMPO COMPLETO</v>
          </cell>
          <cell r="AH133" t="str">
            <v>GESTIÓN AMBIENTAL</v>
          </cell>
          <cell r="BG133" t="str">
            <v>CUARTO NIVEL</v>
          </cell>
        </row>
        <row r="134">
          <cell r="B134" t="str">
            <v>0802608141</v>
          </cell>
          <cell r="G134" t="str">
            <v>HOMBRE</v>
          </cell>
          <cell r="J134">
            <v>37</v>
          </cell>
          <cell r="AD134" t="str">
            <v>4 AÑOS 7 MESES</v>
          </cell>
          <cell r="AG134" t="str">
            <v>TIEMPO PARCIAL</v>
          </cell>
          <cell r="AH134" t="str">
            <v>ENFERMERÍA</v>
          </cell>
          <cell r="BG134" t="str">
            <v>CUARTO NIVEL</v>
          </cell>
        </row>
        <row r="135">
          <cell r="B135" t="str">
            <v>0804154300</v>
          </cell>
          <cell r="G135" t="str">
            <v>MUJER</v>
          </cell>
          <cell r="J135">
            <v>32</v>
          </cell>
          <cell r="AD135" t="str">
            <v>2 AÑOS 0 MESES</v>
          </cell>
          <cell r="AG135" t="str">
            <v>TIEMPO COMPLETO</v>
          </cell>
          <cell r="AH135" t="str">
            <v>ENFERMERÍA</v>
          </cell>
          <cell r="BG135" t="str">
            <v>CUARTO NIVEL</v>
          </cell>
        </row>
        <row r="136">
          <cell r="B136" t="str">
            <v>0962373544</v>
          </cell>
          <cell r="G136" t="str">
            <v>MUJER</v>
          </cell>
          <cell r="J136">
            <v>56</v>
          </cell>
          <cell r="AD136" t="str">
            <v>1 AÑOS 3 MESES</v>
          </cell>
          <cell r="AG136" t="str">
            <v>TIEMPO COMPLETO</v>
          </cell>
          <cell r="AH136" t="str">
            <v>DERECHO</v>
          </cell>
          <cell r="BG136" t="str">
            <v>CUARTO NIVEL</v>
          </cell>
        </row>
        <row r="137">
          <cell r="B137" t="str">
            <v>0800774465</v>
          </cell>
          <cell r="G137" t="str">
            <v>MUJER</v>
          </cell>
          <cell r="J137">
            <v>58</v>
          </cell>
          <cell r="AD137" t="str">
            <v>2 AÑOS 1 MESES</v>
          </cell>
          <cell r="AG137" t="str">
            <v>TIEMPO COMPLETO</v>
          </cell>
          <cell r="AH137" t="str">
            <v>ENFERMERÍA</v>
          </cell>
          <cell r="BG137" t="str">
            <v>CUARTO NIVEL</v>
          </cell>
        </row>
        <row r="138">
          <cell r="B138" t="str">
            <v>0918753716</v>
          </cell>
          <cell r="G138" t="str">
            <v>HOMBRE</v>
          </cell>
          <cell r="J138">
            <v>38</v>
          </cell>
          <cell r="AD138" t="str">
            <v>0 AÑOS 7 MESES</v>
          </cell>
          <cell r="AG138" t="str">
            <v>TIEMPO PARCIAL</v>
          </cell>
          <cell r="AH138" t="str">
            <v>MAESTRÍA EN TECNOLOGÍAS DE LA INFORMACIÓN</v>
          </cell>
          <cell r="BG138" t="str">
            <v>CUARTO NIVEL</v>
          </cell>
        </row>
        <row r="139">
          <cell r="B139" t="str">
            <v>0803036672</v>
          </cell>
          <cell r="G139" t="str">
            <v>MUJER</v>
          </cell>
          <cell r="J139">
            <v>36</v>
          </cell>
          <cell r="AD139" t="str">
            <v>5 AÑOS 8 MESES</v>
          </cell>
          <cell r="AG139" t="str">
            <v>TIEMPO PARCIAL</v>
          </cell>
          <cell r="AH139" t="str">
            <v>LABORATORIO CLINICO</v>
          </cell>
          <cell r="BG139" t="str">
            <v>CUARTO NIVEL</v>
          </cell>
        </row>
        <row r="140">
          <cell r="B140" t="str">
            <v>1718422353</v>
          </cell>
          <cell r="G140" t="str">
            <v>HOMBRE</v>
          </cell>
          <cell r="J140">
            <v>35</v>
          </cell>
          <cell r="AD140" t="str">
            <v>0 AÑOS 7 MESES</v>
          </cell>
          <cell r="AG140" t="str">
            <v>TIEMPO PARCIAL</v>
          </cell>
          <cell r="AH140" t="str">
            <v>MAESTRÍA EN ELECTRICIDAD MENCIÓN ENERGÍAS RENOVABLES Y EFICIENCIA ENERGÉTICA</v>
          </cell>
          <cell r="BG140" t="str">
            <v>CUARTO NIVEL</v>
          </cell>
        </row>
        <row r="141">
          <cell r="B141" t="str">
            <v>0962929295</v>
          </cell>
          <cell r="G141" t="str">
            <v>MUJER</v>
          </cell>
          <cell r="J141">
            <v>68</v>
          </cell>
          <cell r="AD141" t="str">
            <v>5 AÑOS 2 MESES</v>
          </cell>
          <cell r="AG141" t="str">
            <v>TIEMPO COMPLETO</v>
          </cell>
          <cell r="AH141" t="str">
            <v>LABORATORIO CLINICO</v>
          </cell>
          <cell r="BG141" t="str">
            <v>CUARTO NIVEL</v>
          </cell>
        </row>
        <row r="142">
          <cell r="B142" t="str">
            <v>0922109616</v>
          </cell>
          <cell r="G142" t="str">
            <v>HOMBRE</v>
          </cell>
          <cell r="J142">
            <v>41</v>
          </cell>
          <cell r="AD142" t="str">
            <v>0 AÑOS 8 MESES</v>
          </cell>
          <cell r="AG142" t="str">
            <v>TIEMPO COMPLETO</v>
          </cell>
          <cell r="AH142" t="str">
            <v>ACCIÓN PASTORAL (TECNOLOGÍA)</v>
          </cell>
          <cell r="BG142" t="str">
            <v>CUARTO NIVEL</v>
          </cell>
        </row>
        <row r="143">
          <cell r="B143" t="str">
            <v>0959881327</v>
          </cell>
          <cell r="G143" t="str">
            <v>MUJER</v>
          </cell>
          <cell r="J143">
            <v>43</v>
          </cell>
          <cell r="AD143" t="str">
            <v>0 AÑOS 8 MESES</v>
          </cell>
          <cell r="AG143" t="str">
            <v>TIEMPO PARCIAL</v>
          </cell>
          <cell r="AH143" t="str">
            <v>ENFERMERÍA (TECNOLOGÍA)</v>
          </cell>
          <cell r="BG143" t="str">
            <v>CUARTO NIVEL</v>
          </cell>
        </row>
        <row r="144">
          <cell r="B144" t="str">
            <v>0801601790</v>
          </cell>
          <cell r="G144" t="str">
            <v>MUJER</v>
          </cell>
          <cell r="J144">
            <v>52</v>
          </cell>
          <cell r="AD144" t="str">
            <v>0 AÑOS 8 MESES</v>
          </cell>
          <cell r="AG144" t="str">
            <v>TIEMPO COMPLETO</v>
          </cell>
          <cell r="AH144" t="str">
            <v>EDUCACIÓN BÁSICA SEMIPRESENCIAL</v>
          </cell>
          <cell r="BG144" t="str">
            <v>CUARTO NIVEL</v>
          </cell>
        </row>
        <row r="145">
          <cell r="B145" t="str">
            <v>0915138614</v>
          </cell>
          <cell r="G145" t="str">
            <v>MUJER</v>
          </cell>
          <cell r="J145">
            <v>50</v>
          </cell>
          <cell r="AD145" t="str">
            <v>3 AÑOS 2 MESES</v>
          </cell>
          <cell r="AG145" t="str">
            <v>TIEMPO COMPLETO</v>
          </cell>
          <cell r="AH145" t="str">
            <v>PEDAGOGÍA DE LOS IDIOMAS NACIONALES Y EXTRANJEROS</v>
          </cell>
          <cell r="BG145" t="str">
            <v>CUARTO NIVEL</v>
          </cell>
        </row>
        <row r="146">
          <cell r="B146" t="str">
            <v>0803223593</v>
          </cell>
          <cell r="G146" t="str">
            <v>MUJER</v>
          </cell>
          <cell r="J146">
            <v>34</v>
          </cell>
          <cell r="AD146" t="str">
            <v>1 AÑOS 0 MESES</v>
          </cell>
          <cell r="AG146" t="str">
            <v>MEDIO TIEMPO</v>
          </cell>
          <cell r="AH146" t="str">
            <v>EDUCACIÓN BÁSICA SEMIPRESENCIAL</v>
          </cell>
          <cell r="BG146" t="str">
            <v>CUARTO NIVEL</v>
          </cell>
        </row>
        <row r="147">
          <cell r="B147" t="str">
            <v>0802616730</v>
          </cell>
          <cell r="G147" t="str">
            <v>HOMBRE</v>
          </cell>
          <cell r="J147">
            <v>39</v>
          </cell>
          <cell r="AD147" t="str">
            <v>0 AÑOS 11 MESES</v>
          </cell>
          <cell r="AG147" t="str">
            <v>TIEMPO COMPLETO</v>
          </cell>
          <cell r="AH147" t="str">
            <v>TECNOLOGÍAS DE LA INFORMACIÓN</v>
          </cell>
          <cell r="BG147" t="str">
            <v>CUARTO NIVEL</v>
          </cell>
        </row>
        <row r="148">
          <cell r="B148" t="str">
            <v>0802937011</v>
          </cell>
          <cell r="G148" t="str">
            <v>MUJER</v>
          </cell>
          <cell r="J148">
            <v>37</v>
          </cell>
          <cell r="AD148" t="str">
            <v>1 AÑOS 2 MESES</v>
          </cell>
          <cell r="AG148" t="str">
            <v>MEDIO TIEMPO</v>
          </cell>
          <cell r="AH148" t="str">
            <v>ENFERMERÍA</v>
          </cell>
          <cell r="BG148" t="str">
            <v>CUARTO NIVEL</v>
          </cell>
        </row>
        <row r="149">
          <cell r="B149" t="str">
            <v>0801762469</v>
          </cell>
          <cell r="G149" t="str">
            <v>HOMBRE</v>
          </cell>
          <cell r="J149">
            <v>48</v>
          </cell>
          <cell r="AD149" t="str">
            <v>4 AÑOS 7 MESES</v>
          </cell>
          <cell r="AG149" t="str">
            <v>TIEMPO PARCIAL</v>
          </cell>
          <cell r="AH149" t="str">
            <v>TECNOLOGÍAS DE LA INFORMACIÓN</v>
          </cell>
          <cell r="BG149" t="str">
            <v>CUARTO NIVEL</v>
          </cell>
        </row>
        <row r="150">
          <cell r="B150" t="str">
            <v>0801552977</v>
          </cell>
          <cell r="G150" t="str">
            <v>MUJER</v>
          </cell>
          <cell r="J150">
            <v>51</v>
          </cell>
          <cell r="AD150" t="str">
            <v>0 AÑOS 7 MESES</v>
          </cell>
          <cell r="AG150" t="str">
            <v>TIEMPO PARCIAL</v>
          </cell>
          <cell r="AH150" t="str">
            <v>GESTIÓN AMBIENTAL</v>
          </cell>
          <cell r="BG150" t="str">
            <v>CUARTO NIVEL</v>
          </cell>
        </row>
        <row r="151">
          <cell r="B151" t="str">
            <v>0801905837</v>
          </cell>
          <cell r="G151" t="str">
            <v>HOMBRE</v>
          </cell>
          <cell r="J151">
            <v>48</v>
          </cell>
          <cell r="AD151" t="str">
            <v>0 AÑOS 7 MESES</v>
          </cell>
          <cell r="AG151" t="str">
            <v>TIEMPO PARCIAL</v>
          </cell>
          <cell r="AH151" t="str">
            <v>TECNOLOGÍAS DE LA INFORMACIÓN</v>
          </cell>
          <cell r="BG151" t="str">
            <v>CUARTO NIVEL</v>
          </cell>
        </row>
        <row r="152">
          <cell r="B152">
            <v>1756846521</v>
          </cell>
          <cell r="G152" t="str">
            <v>MUJER</v>
          </cell>
          <cell r="J152">
            <v>48</v>
          </cell>
          <cell r="AD152" t="str">
            <v>2 AÑOS 6 MESES</v>
          </cell>
          <cell r="AG152" t="str">
            <v>TIEMPO COMPLETO</v>
          </cell>
          <cell r="AH152" t="str">
            <v>ENFERMERÍA</v>
          </cell>
          <cell r="BG152" t="str">
            <v>CUARTO NIVEL</v>
          </cell>
        </row>
        <row r="153">
          <cell r="B153" t="str">
            <v>0603230269</v>
          </cell>
          <cell r="G153" t="str">
            <v>HOMBRE</v>
          </cell>
          <cell r="J153">
            <v>38</v>
          </cell>
          <cell r="AD153" t="str">
            <v>0 AÑOS 11 MESES</v>
          </cell>
          <cell r="AG153" t="str">
            <v>TIEMPO COMPLETO</v>
          </cell>
          <cell r="AH153" t="str">
            <v>DISEÑO GRAFICO</v>
          </cell>
          <cell r="BG153" t="str">
            <v>CUARTO NIVEL</v>
          </cell>
        </row>
        <row r="154">
          <cell r="B154">
            <v>1757398837</v>
          </cell>
          <cell r="G154" t="str">
            <v>HOMBRE</v>
          </cell>
          <cell r="J154">
            <v>51</v>
          </cell>
          <cell r="AD154" t="str">
            <v>0 AÑOS 8 MESES</v>
          </cell>
          <cell r="AG154" t="str">
            <v>TIEMPO COMPLETO</v>
          </cell>
          <cell r="AH154" t="str">
            <v>ENFERMERÍA</v>
          </cell>
          <cell r="BG154" t="str">
            <v>CUARTO NIVEL</v>
          </cell>
        </row>
        <row r="155">
          <cell r="B155" t="str">
            <v>1104871148</v>
          </cell>
          <cell r="G155" t="str">
            <v>HOMBRE</v>
          </cell>
          <cell r="J155">
            <v>35</v>
          </cell>
          <cell r="AD155" t="str">
            <v>0 AÑOS 8 MESES</v>
          </cell>
          <cell r="AG155" t="str">
            <v>TIEMPO PARCIAL</v>
          </cell>
          <cell r="AH155" t="str">
            <v>ACCIÓN PASTORAL (TECNOLOGÍA)</v>
          </cell>
          <cell r="BG155" t="str">
            <v>TERCER NIVEL</v>
          </cell>
        </row>
        <row r="156">
          <cell r="B156" t="str">
            <v>0603274846</v>
          </cell>
          <cell r="G156" t="str">
            <v>HOMBRE</v>
          </cell>
          <cell r="J156">
            <v>39</v>
          </cell>
          <cell r="AD156" t="str">
            <v>0 AÑOS 7 MESES</v>
          </cell>
          <cell r="AG156" t="str">
            <v>TIEMPO PARCIAL</v>
          </cell>
          <cell r="AH156" t="str">
            <v>PSICOLOGÍA</v>
          </cell>
          <cell r="BG156" t="str">
            <v>CUARTO NIVEL</v>
          </cell>
        </row>
        <row r="157">
          <cell r="B157" t="str">
            <v>0800924011</v>
          </cell>
          <cell r="G157" t="str">
            <v>HOMBRE</v>
          </cell>
          <cell r="J157">
            <v>59</v>
          </cell>
          <cell r="AD157" t="str">
            <v>1 AÑOS 0 MESES</v>
          </cell>
          <cell r="AG157" t="str">
            <v>TIEMPO COMPLETO</v>
          </cell>
          <cell r="AH157" t="str">
            <v>ENFERMERÍA</v>
          </cell>
          <cell r="BG157" t="str">
            <v>CUARTO NIVEL</v>
          </cell>
        </row>
        <row r="158">
          <cell r="B158" t="str">
            <v>0802127373</v>
          </cell>
          <cell r="G158" t="str">
            <v>MUJER</v>
          </cell>
          <cell r="J158">
            <v>46</v>
          </cell>
          <cell r="AD158" t="str">
            <v>0 AÑOS 7 MESES</v>
          </cell>
          <cell r="AG158" t="str">
            <v>TIEMPO PARCIAL</v>
          </cell>
          <cell r="AH158" t="str">
            <v>EDUCACIÓN BÁSICA PRESENCIAL</v>
          </cell>
          <cell r="BG158" t="str">
            <v>CUARTO NIVEL</v>
          </cell>
        </row>
        <row r="159">
          <cell r="B159" t="str">
            <v>0801134032</v>
          </cell>
          <cell r="G159" t="str">
            <v>MUJER</v>
          </cell>
          <cell r="J159">
            <v>53</v>
          </cell>
          <cell r="AD159" t="str">
            <v>0 AÑOS 7 MESES</v>
          </cell>
          <cell r="AG159" t="str">
            <v>TIEMPO PARCIAL</v>
          </cell>
          <cell r="AH159" t="str">
            <v>ADMINISTRACIÓN DE EMPRESAS</v>
          </cell>
          <cell r="BG159" t="str">
            <v>CUARTO NIVEL</v>
          </cell>
        </row>
        <row r="160">
          <cell r="B160" t="str">
            <v>0801628207</v>
          </cell>
          <cell r="G160" t="str">
            <v>HOMBRE</v>
          </cell>
          <cell r="J160">
            <v>45</v>
          </cell>
          <cell r="AD160" t="str">
            <v>0 AÑOS 8 MESES</v>
          </cell>
          <cell r="AG160" t="str">
            <v>TIEMPO COMPLETO</v>
          </cell>
          <cell r="AH160" t="str">
            <v>TECNOLOGÍAS DE LA INFORMACIÓN</v>
          </cell>
          <cell r="BG160" t="str">
            <v>CUARTO NIVEL</v>
          </cell>
        </row>
        <row r="161">
          <cell r="B161" t="str">
            <v>0802662726</v>
          </cell>
          <cell r="G161" t="str">
            <v>MUJER</v>
          </cell>
          <cell r="J161">
            <v>40</v>
          </cell>
          <cell r="AD161" t="str">
            <v>2 AÑOS 2 MESES</v>
          </cell>
          <cell r="AG161" t="str">
            <v>TIEMPO COMPLETO</v>
          </cell>
          <cell r="AH161" t="str">
            <v>ENFERMERÍA</v>
          </cell>
          <cell r="BG161" t="str">
            <v>CUARTO NIVEL</v>
          </cell>
        </row>
        <row r="162">
          <cell r="B162" t="str">
            <v>0801581935</v>
          </cell>
          <cell r="G162" t="str">
            <v>HOMBRE</v>
          </cell>
          <cell r="J162">
            <v>52</v>
          </cell>
          <cell r="AD162" t="str">
            <v>0 AÑOS 7 MESES</v>
          </cell>
          <cell r="AG162" t="str">
            <v>TIEMPO PARCIAL</v>
          </cell>
          <cell r="AH162" t="str">
            <v>MAESTRÍA EN PEDAGOGÍA MENCIÓN EDUCACCIÓN TÉCNICA Y TECNOLÓGICA</v>
          </cell>
          <cell r="BG162" t="str">
            <v>CUARTO NIVEL</v>
          </cell>
        </row>
        <row r="163">
          <cell r="B163" t="str">
            <v>0802351148</v>
          </cell>
          <cell r="G163" t="str">
            <v>HOMBRE</v>
          </cell>
          <cell r="J163">
            <v>43</v>
          </cell>
          <cell r="AD163" t="str">
            <v>0 AÑOS 7 MESES</v>
          </cell>
          <cell r="AG163" t="str">
            <v>TIEMPO PARCIAL</v>
          </cell>
          <cell r="AH163" t="str">
            <v>AGROINDUSTRIA</v>
          </cell>
          <cell r="BG163" t="str">
            <v>CUARTO NIVEL</v>
          </cell>
        </row>
        <row r="164">
          <cell r="B164">
            <v>1720814373</v>
          </cell>
          <cell r="G164" t="str">
            <v>HOMBRE</v>
          </cell>
          <cell r="J164">
            <v>31</v>
          </cell>
          <cell r="AD164" t="str">
            <v>0 AÑOS 7 MESES</v>
          </cell>
          <cell r="AG164" t="str">
            <v>TIEMPO PARCIAL</v>
          </cell>
          <cell r="AH164" t="str">
            <v>FISIOTERAPIA</v>
          </cell>
          <cell r="BG164" t="str">
            <v>CUARTO NIVEL</v>
          </cell>
        </row>
        <row r="165">
          <cell r="B165" t="str">
            <v>0802826362</v>
          </cell>
          <cell r="G165" t="str">
            <v>MUJER</v>
          </cell>
          <cell r="J165">
            <v>35</v>
          </cell>
          <cell r="AD165" t="str">
            <v>3 AÑOS 2 MESES</v>
          </cell>
          <cell r="AG165" t="str">
            <v>MEDIO TIEMPO</v>
          </cell>
          <cell r="AH165" t="str">
            <v>ENFERMERÍA</v>
          </cell>
          <cell r="BG165" t="str">
            <v>CUARTO NIVEL</v>
          </cell>
        </row>
        <row r="166">
          <cell r="B166">
            <v>1755930375</v>
          </cell>
          <cell r="G166" t="str">
            <v>MUJER</v>
          </cell>
          <cell r="J166">
            <v>64</v>
          </cell>
          <cell r="AD166" t="str">
            <v>3 AÑOS 5 MESES</v>
          </cell>
          <cell r="AG166" t="str">
            <v>TIEMPO COMPLETO</v>
          </cell>
          <cell r="AH166" t="str">
            <v>PEDAGOGÍA DE LOS IDIOMAS NACIONALES Y EXTRANJEROS</v>
          </cell>
          <cell r="BG166" t="str">
            <v>CUARTO NIVEL</v>
          </cell>
        </row>
        <row r="167">
          <cell r="B167" t="str">
            <v>0501389217</v>
          </cell>
          <cell r="G167" t="str">
            <v>MUJER</v>
          </cell>
          <cell r="J167">
            <v>48</v>
          </cell>
          <cell r="AD167" t="str">
            <v>2 AÑOS 3 MESES</v>
          </cell>
          <cell r="AG167" t="str">
            <v>TIEMPO COMPLETO</v>
          </cell>
          <cell r="AH167" t="str">
            <v>PSICOLOGÍA</v>
          </cell>
          <cell r="BG167" t="str">
            <v>CUARTO NIVEL</v>
          </cell>
        </row>
        <row r="168">
          <cell r="B168" t="str">
            <v>0802099713</v>
          </cell>
          <cell r="G168" t="str">
            <v>HOMBRE</v>
          </cell>
          <cell r="J168">
            <v>30</v>
          </cell>
          <cell r="AD168" t="str">
            <v>0 AÑOS 7 MESES</v>
          </cell>
          <cell r="AG168" t="str">
            <v>TIEMPO PARCIAL</v>
          </cell>
          <cell r="AH168" t="str">
            <v>AGROINDUSTRIA</v>
          </cell>
          <cell r="BG168" t="str">
            <v>CUARTO NIVEL</v>
          </cell>
        </row>
        <row r="169">
          <cell r="B169" t="str">
            <v>PAC232532</v>
          </cell>
          <cell r="G169" t="str">
            <v>MUJER</v>
          </cell>
          <cell r="J169">
            <v>41</v>
          </cell>
          <cell r="AD169" t="str">
            <v>0 AÑOS 7 MESES</v>
          </cell>
          <cell r="AG169" t="str">
            <v>TIEMPO PARCIAL</v>
          </cell>
          <cell r="AH169" t="str">
            <v>MAESTRÍA EN INCLUSIÓN EDUCATIVA</v>
          </cell>
          <cell r="BG169" t="str">
            <v>CUARTO NIVEL</v>
          </cell>
        </row>
        <row r="170">
          <cell r="B170" t="str">
            <v>0801466277</v>
          </cell>
          <cell r="G170" t="str">
            <v>MUJER</v>
          </cell>
          <cell r="J170">
            <v>54</v>
          </cell>
          <cell r="AD170" t="str">
            <v>0 AÑOS 7 MESES</v>
          </cell>
          <cell r="AG170" t="str">
            <v>TIEMPO PARCIAL</v>
          </cell>
          <cell r="AH170" t="str">
            <v>ENFERMERÍA</v>
          </cell>
          <cell r="BG170" t="str">
            <v>CUARTO NIVEL</v>
          </cell>
        </row>
        <row r="171">
          <cell r="B171">
            <v>1721571709</v>
          </cell>
          <cell r="G171" t="str">
            <v>HOMBRE</v>
          </cell>
          <cell r="J171">
            <v>52</v>
          </cell>
          <cell r="AD171" t="str">
            <v>8 AÑOS 0 MESES</v>
          </cell>
          <cell r="AG171" t="str">
            <v>TIEMPO COMPLETO</v>
          </cell>
          <cell r="AH171" t="str">
            <v>GESTIÓN AMBIENTAL</v>
          </cell>
          <cell r="BG171" t="str">
            <v>CUARTO NIVEL</v>
          </cell>
        </row>
        <row r="172">
          <cell r="B172">
            <v>1309960597</v>
          </cell>
          <cell r="G172" t="str">
            <v>HOMBRE</v>
          </cell>
          <cell r="J172">
            <v>39</v>
          </cell>
          <cell r="AD172" t="str">
            <v>0 AÑOS 7 MESES</v>
          </cell>
          <cell r="AG172" t="str">
            <v>TIEMPO PARCIAL</v>
          </cell>
          <cell r="AH172" t="str">
            <v>AGROINDUSTRIA</v>
          </cell>
          <cell r="BG172" t="str">
            <v>CUARTO NIVEL</v>
          </cell>
        </row>
        <row r="173">
          <cell r="B173" t="str">
            <v>0803521848</v>
          </cell>
          <cell r="G173" t="str">
            <v>MUJER</v>
          </cell>
          <cell r="J173">
            <v>31</v>
          </cell>
          <cell r="AD173" t="str">
            <v>0 AÑOS 8 MESES</v>
          </cell>
          <cell r="AG173" t="str">
            <v>TIEMPO PARCIAL</v>
          </cell>
          <cell r="AH173" t="str">
            <v>ENFERMERÍA (TECNOLOGÍA)</v>
          </cell>
          <cell r="BG173" t="str">
            <v>CUARTO NIVEL</v>
          </cell>
        </row>
        <row r="174">
          <cell r="B174" t="str">
            <v>0804315661</v>
          </cell>
          <cell r="G174" t="str">
            <v>MUJER</v>
          </cell>
          <cell r="J174">
            <v>30</v>
          </cell>
          <cell r="AD174" t="str">
            <v>2 AÑOS 2 MESES</v>
          </cell>
          <cell r="AG174" t="str">
            <v>TIEMPO COMPLETO</v>
          </cell>
          <cell r="AH174" t="str">
            <v>ENFERMERÍA</v>
          </cell>
          <cell r="BG174" t="str">
            <v>CUARTO NIVEL</v>
          </cell>
        </row>
        <row r="175">
          <cell r="B175" t="str">
            <v>0801762345</v>
          </cell>
          <cell r="G175" t="str">
            <v>HOMBRE</v>
          </cell>
          <cell r="J175">
            <v>50</v>
          </cell>
          <cell r="AD175" t="str">
            <v>4 AÑOS 7 MESES</v>
          </cell>
          <cell r="AG175" t="str">
            <v>TIEMPO PARCIAL</v>
          </cell>
          <cell r="AH175" t="str">
            <v>TECNOLOGÍAS DE LA INFORMACIÓN</v>
          </cell>
          <cell r="BG175" t="str">
            <v>CUARTO NIVEL</v>
          </cell>
        </row>
        <row r="176">
          <cell r="B176" t="str">
            <v>0803822816</v>
          </cell>
          <cell r="G176" t="str">
            <v>MUJER</v>
          </cell>
          <cell r="J176">
            <v>31</v>
          </cell>
          <cell r="AD176" t="str">
            <v>0 AÑOS 7 MESES</v>
          </cell>
          <cell r="AG176" t="str">
            <v>TIEMPO PARCIAL</v>
          </cell>
          <cell r="AH176" t="str">
            <v>PEDAGOGÍA DE LOS IDIOMAS NACIONALES Y EXTRANJEROS</v>
          </cell>
          <cell r="BG176" t="str">
            <v>CUARTO NIVEL</v>
          </cell>
        </row>
        <row r="177">
          <cell r="B177" t="str">
            <v>0802761676</v>
          </cell>
          <cell r="G177" t="str">
            <v>MUJER</v>
          </cell>
          <cell r="J177">
            <v>38</v>
          </cell>
          <cell r="AD177" t="str">
            <v>0 AÑOS 7 MESES</v>
          </cell>
          <cell r="AG177" t="str">
            <v>TIEMPO PARCIAL</v>
          </cell>
          <cell r="AH177" t="str">
            <v>DERECHO</v>
          </cell>
          <cell r="BG177" t="str">
            <v>CUARTO NIVEL</v>
          </cell>
        </row>
        <row r="178">
          <cell r="B178" t="str">
            <v>0801634304</v>
          </cell>
          <cell r="G178" t="str">
            <v>HOMBRE</v>
          </cell>
          <cell r="J178">
            <v>51</v>
          </cell>
          <cell r="AD178" t="str">
            <v>0 AÑOS 7 MESES</v>
          </cell>
          <cell r="AG178" t="str">
            <v>TIEMPO PARCIAL</v>
          </cell>
          <cell r="AH178" t="str">
            <v>PEDAGOGÍA DE LOS IDIOMAS NACIONALES Y EXTRANJEROS</v>
          </cell>
          <cell r="BG178" t="str">
            <v>CUARTO NIVEL</v>
          </cell>
        </row>
        <row r="179">
          <cell r="B179" t="str">
            <v>1714595186</v>
          </cell>
          <cell r="G179" t="str">
            <v>HOMBRE</v>
          </cell>
          <cell r="J179">
            <v>41</v>
          </cell>
          <cell r="AD179" t="str">
            <v>0 AÑOS 5 MESES</v>
          </cell>
          <cell r="AG179" t="str">
            <v>TIEMPO PARCIAL</v>
          </cell>
          <cell r="AH179" t="str">
            <v>MAESTRÍA EN INCLUSIÓN EDUCATIVA</v>
          </cell>
          <cell r="BG179" t="str">
            <v>CUARTO NIVEL</v>
          </cell>
        </row>
        <row r="180">
          <cell r="B180">
            <v>1714731203</v>
          </cell>
          <cell r="G180" t="str">
            <v>HOMBRE</v>
          </cell>
          <cell r="J180">
            <v>43</v>
          </cell>
          <cell r="AD180" t="str">
            <v>0 AÑOS 4 MESES</v>
          </cell>
          <cell r="AG180" t="str">
            <v>TIEMPO PARCIAL</v>
          </cell>
          <cell r="AH180" t="str">
            <v>MAESTRÍA EN ELECTRICIDAD MENCIÓN ENERGÍAS RENOVABLES Y EFICIENCIA ENERGÉTICA</v>
          </cell>
          <cell r="BG180" t="str">
            <v>CUARTO NIVEL</v>
          </cell>
        </row>
        <row r="181">
          <cell r="B181" t="str">
            <v>0802931329</v>
          </cell>
          <cell r="G181" t="str">
            <v>HOMBRE</v>
          </cell>
          <cell r="J181">
            <v>38</v>
          </cell>
          <cell r="AD181" t="str">
            <v>0 AÑOS 7 MESES</v>
          </cell>
          <cell r="AG181" t="str">
            <v>TIEMPO PARCIAL</v>
          </cell>
          <cell r="AH181" t="str">
            <v>DISEÑO GRAFICO</v>
          </cell>
          <cell r="BG181" t="str">
            <v>CUARTO NIVEL</v>
          </cell>
        </row>
        <row r="182">
          <cell r="B182" t="str">
            <v>0802600510</v>
          </cell>
          <cell r="G182" t="str">
            <v>HOMBRE</v>
          </cell>
          <cell r="J182">
            <v>38</v>
          </cell>
          <cell r="AD182" t="str">
            <v>0 AÑOS 6 MESES</v>
          </cell>
          <cell r="AG182" t="str">
            <v>TIEMPO PARCIAL</v>
          </cell>
          <cell r="AH182" t="str">
            <v>MAESTRÍA EN ELECTRICIDAD MENCIÓN ENERGÍAS RENOVABLES Y EFICIENCIA ENERGÉTICA</v>
          </cell>
          <cell r="BG182" t="str">
            <v>CUARTO NIVEL</v>
          </cell>
        </row>
        <row r="183">
          <cell r="B183" t="str">
            <v>0801772278</v>
          </cell>
          <cell r="G183" t="str">
            <v>HOMBRE</v>
          </cell>
          <cell r="J183">
            <v>49</v>
          </cell>
          <cell r="AD183" t="str">
            <v>0 AÑOS 10 MESES</v>
          </cell>
          <cell r="AG183" t="str">
            <v>TIEMPO COMPLETO</v>
          </cell>
          <cell r="AH183" t="str">
            <v>ADMINISTRACIÓN DE EMPRESAS</v>
          </cell>
          <cell r="BG183" t="str">
            <v>CUARTO NIVEL</v>
          </cell>
        </row>
        <row r="184">
          <cell r="B184" t="str">
            <v>1720145232</v>
          </cell>
          <cell r="G184" t="str">
            <v>HOMBRE</v>
          </cell>
          <cell r="J184">
            <v>33</v>
          </cell>
          <cell r="AD184" t="str">
            <v>0 AÑOS 5 MESES</v>
          </cell>
          <cell r="AG184" t="str">
            <v>TIEMPO PARCIAL</v>
          </cell>
          <cell r="AH184" t="str">
            <v>MAESTRÍA EN GESTIÓN DEL CUIDADO</v>
          </cell>
          <cell r="BG184" t="str">
            <v>CUARTO NIVEL</v>
          </cell>
        </row>
        <row r="185">
          <cell r="B185" t="str">
            <v>0801713298</v>
          </cell>
          <cell r="G185" t="str">
            <v>MUJER</v>
          </cell>
          <cell r="J185">
            <v>46</v>
          </cell>
          <cell r="AD185" t="str">
            <v>1 AÑOS 0 MESES</v>
          </cell>
          <cell r="AG185" t="str">
            <v>TIEMPO COMPLETO</v>
          </cell>
          <cell r="AH185" t="str">
            <v>CONTABILIDAD Y AUDITORIA CPA</v>
          </cell>
          <cell r="BG185" t="str">
            <v>CUARTO NIVEL</v>
          </cell>
        </row>
        <row r="186">
          <cell r="B186" t="str">
            <v>0103034963</v>
          </cell>
          <cell r="G186" t="str">
            <v>HOMBRE</v>
          </cell>
          <cell r="J186">
            <v>37</v>
          </cell>
          <cell r="AD186" t="str">
            <v>0 AÑOS 7 MESES</v>
          </cell>
          <cell r="AG186" t="str">
            <v>TIEMPO PARCIAL</v>
          </cell>
          <cell r="AH186" t="str">
            <v>RECURSOS NATURALES</v>
          </cell>
          <cell r="BG186" t="str">
            <v>CUARTO NIVEL</v>
          </cell>
        </row>
        <row r="187">
          <cell r="B187" t="str">
            <v>0801399353</v>
          </cell>
          <cell r="G187" t="str">
            <v>MUJER</v>
          </cell>
          <cell r="J187">
            <v>53</v>
          </cell>
          <cell r="AD187" t="str">
            <v>0 AÑOS 6 MESES</v>
          </cell>
          <cell r="AG187" t="str">
            <v>TIEMPO PARCIAL</v>
          </cell>
          <cell r="AH187" t="str">
            <v>MAESTRÍA EN GESTIÓN DE RIESGOS LABORALES</v>
          </cell>
          <cell r="BG187" t="str">
            <v>CUARTO NIVEL</v>
          </cell>
        </row>
        <row r="188">
          <cell r="B188" t="str">
            <v>AAF231229</v>
          </cell>
          <cell r="G188" t="str">
            <v>HOMBRE</v>
          </cell>
          <cell r="J188">
            <v>39</v>
          </cell>
          <cell r="AD188" t="str">
            <v>0 AÑOS 6 MESES</v>
          </cell>
          <cell r="AG188" t="str">
            <v>TIEMPO PARCIAL</v>
          </cell>
          <cell r="AH188" t="str">
            <v>MAESTRÍA EN INCLUSIÓN EDUCATIVA</v>
          </cell>
          <cell r="BG188" t="str">
            <v>CUARTO NIVEL</v>
          </cell>
        </row>
        <row r="189">
          <cell r="B189">
            <v>1760052272</v>
          </cell>
          <cell r="G189" t="str">
            <v>HOMBRE</v>
          </cell>
          <cell r="J189">
            <v>28</v>
          </cell>
          <cell r="AD189" t="str">
            <v>0 AÑOS 7 MESES</v>
          </cell>
          <cell r="AG189" t="str">
            <v>TIEMPO PARCIAL</v>
          </cell>
          <cell r="AH189" t="str">
            <v>EDUCACIÓN BÁSICA SEMIPRESENCIAL</v>
          </cell>
          <cell r="BG189" t="str">
            <v>CUARTO NIVEL</v>
          </cell>
        </row>
        <row r="190">
          <cell r="B190" t="str">
            <v>0801381179</v>
          </cell>
          <cell r="G190" t="str">
            <v>HOMBRE</v>
          </cell>
          <cell r="J190">
            <v>48</v>
          </cell>
          <cell r="AD190" t="str">
            <v>0 AÑOS 7 MESES</v>
          </cell>
          <cell r="AG190" t="str">
            <v>TIEMPO PARCIAL</v>
          </cell>
          <cell r="AH190" t="str">
            <v>CONTABILIDAD Y AUDITORIA CPA</v>
          </cell>
          <cell r="BG190" t="str">
            <v>cUARTO NIVEL</v>
          </cell>
        </row>
        <row r="191">
          <cell r="B191" t="str">
            <v>0603231101</v>
          </cell>
          <cell r="G191" t="str">
            <v>MUJER</v>
          </cell>
          <cell r="J191">
            <v>31</v>
          </cell>
          <cell r="AD191" t="str">
            <v>0 AÑOS 7 MESES</v>
          </cell>
          <cell r="AG191" t="str">
            <v>TIEMPO COMPLETO</v>
          </cell>
          <cell r="AH191" t="str">
            <v>FISIOTERAPIA</v>
          </cell>
          <cell r="BG191" t="str">
            <v>CUARTO NIVEL</v>
          </cell>
        </row>
        <row r="192">
          <cell r="B192" t="str">
            <v>AT214051</v>
          </cell>
          <cell r="G192" t="str">
            <v>MUJER</v>
          </cell>
          <cell r="J192">
            <v>53</v>
          </cell>
          <cell r="AD192" t="str">
            <v>0 AÑOS 6 MESES</v>
          </cell>
          <cell r="AG192" t="str">
            <v>TIEMPO PARCIAL</v>
          </cell>
          <cell r="AH192" t="str">
            <v>MAESTRÍA EN GESTIÓN DEL TALENTO HUMANO</v>
          </cell>
          <cell r="BG192" t="str">
            <v>CUARTO NIVEL</v>
          </cell>
        </row>
        <row r="193">
          <cell r="B193" t="str">
            <v>0301435012</v>
          </cell>
          <cell r="G193" t="str">
            <v>HOMBRE</v>
          </cell>
          <cell r="J193">
            <v>41</v>
          </cell>
          <cell r="AD193" t="str">
            <v>6 AÑOS 3 MESES</v>
          </cell>
          <cell r="AG193" t="str">
            <v>TIEMPO COMPLETO</v>
          </cell>
          <cell r="AH193" t="str">
            <v>TECNOLOGÍAS DE LA INFORMACIÓN</v>
          </cell>
          <cell r="BG193" t="str">
            <v>CUARTO NIVEL</v>
          </cell>
        </row>
        <row r="194">
          <cell r="B194" t="str">
            <v>1758831687</v>
          </cell>
          <cell r="G194" t="str">
            <v>MUJER</v>
          </cell>
          <cell r="J194">
            <v>35</v>
          </cell>
          <cell r="AD194" t="str">
            <v>0 AÑOS 6 MESES</v>
          </cell>
          <cell r="AG194" t="str">
            <v>TIEMPO PARCIAL</v>
          </cell>
          <cell r="AH194" t="str">
            <v>MAESTRÍA EN PEDOGAGÍA DEL INGLÉS COMO LENGUA EXTRANJERA</v>
          </cell>
          <cell r="BG194" t="str">
            <v>CUARTO NIVEL</v>
          </cell>
        </row>
        <row r="195">
          <cell r="B195" t="str">
            <v>0850556259</v>
          </cell>
          <cell r="G195" t="str">
            <v>MUJER</v>
          </cell>
          <cell r="J195">
            <v>27</v>
          </cell>
          <cell r="AD195" t="str">
            <v>0 AÑOS 8 MESES</v>
          </cell>
          <cell r="AG195" t="str">
            <v>TIEMPO PARCIAL</v>
          </cell>
          <cell r="AH195" t="str">
            <v>ENFERMERÍA (TECNOLOGÍA)</v>
          </cell>
          <cell r="BG195" t="str">
            <v>CUARTO NIVEL</v>
          </cell>
        </row>
        <row r="196">
          <cell r="B196">
            <v>1721366399</v>
          </cell>
          <cell r="G196" t="str">
            <v>HOMBRE</v>
          </cell>
          <cell r="J196">
            <v>30</v>
          </cell>
          <cell r="AD196" t="str">
            <v>0 AÑOS 8 MESES</v>
          </cell>
          <cell r="AG196" t="str">
            <v>TIEMPO COMPLETO</v>
          </cell>
          <cell r="AH196" t="str">
            <v>FISIOTERAPIA</v>
          </cell>
          <cell r="BG196" t="str">
            <v>CUARTO NIVEL</v>
          </cell>
        </row>
        <row r="197">
          <cell r="B197" t="str">
            <v>0105998181</v>
          </cell>
          <cell r="G197" t="str">
            <v>HOMBRE</v>
          </cell>
          <cell r="J197">
            <v>31</v>
          </cell>
          <cell r="AD197" t="str">
            <v>1 AÑOS 3 MESES</v>
          </cell>
          <cell r="AG197" t="str">
            <v>TIEMPO COMPLETO</v>
          </cell>
          <cell r="AH197" t="str">
            <v>PSICOLOGÍA</v>
          </cell>
          <cell r="BG197" t="str">
            <v>CUARTO NIVEL</v>
          </cell>
        </row>
        <row r="198">
          <cell r="B198" t="str">
            <v>0803512599</v>
          </cell>
          <cell r="G198" t="str">
            <v>MUJER</v>
          </cell>
          <cell r="J198">
            <v>33</v>
          </cell>
          <cell r="AD198" t="str">
            <v>0 AÑOS 8 MESES</v>
          </cell>
          <cell r="AG198" t="str">
            <v>TIEMPO PARCIAL</v>
          </cell>
          <cell r="AH198" t="str">
            <v>ENFERMERÍA (TECNOLOGÍA)</v>
          </cell>
          <cell r="BG198" t="str">
            <v>TERCER NIVEL</v>
          </cell>
        </row>
        <row r="199">
          <cell r="B199" t="str">
            <v>0802912832</v>
          </cell>
          <cell r="G199" t="str">
            <v>MUJER</v>
          </cell>
          <cell r="J199">
            <v>37</v>
          </cell>
          <cell r="AD199" t="str">
            <v>3 AÑOS 5 MESES</v>
          </cell>
          <cell r="AG199" t="str">
            <v>TIEMPO COMPLETO</v>
          </cell>
          <cell r="AH199" t="str">
            <v>GESTIÓN AMBIENTAL</v>
          </cell>
          <cell r="BG199" t="str">
            <v>CUARTO NIVEL</v>
          </cell>
        </row>
        <row r="200">
          <cell r="B200" t="str">
            <v>0801853904</v>
          </cell>
          <cell r="G200" t="str">
            <v>MUJER</v>
          </cell>
          <cell r="J200">
            <v>48</v>
          </cell>
          <cell r="AD200" t="str">
            <v>9 AÑOS 11 MESES</v>
          </cell>
          <cell r="AG200" t="str">
            <v>TIEMPO COMPLETO</v>
          </cell>
          <cell r="AH200" t="str">
            <v>ADMINISTRACIÓN DE EMPRESAS</v>
          </cell>
          <cell r="BG200" t="str">
            <v>CUARTO NIVEL</v>
          </cell>
        </row>
        <row r="201">
          <cell r="B201" t="str">
            <v>0801165317</v>
          </cell>
          <cell r="G201" t="str">
            <v>MUJER</v>
          </cell>
          <cell r="J201">
            <v>58</v>
          </cell>
          <cell r="AD201" t="str">
            <v>4 AÑOS 7 MESES</v>
          </cell>
          <cell r="AG201" t="str">
            <v>TIEMPO COMPLETO</v>
          </cell>
          <cell r="AH201" t="str">
            <v>ENFERMERÍA</v>
          </cell>
          <cell r="BG201" t="str">
            <v>CUARTO NIVEL</v>
          </cell>
        </row>
        <row r="202">
          <cell r="B202">
            <v>1757374788</v>
          </cell>
          <cell r="G202" t="str">
            <v>HOMBRE</v>
          </cell>
          <cell r="J202">
            <v>67</v>
          </cell>
          <cell r="AD202" t="str">
            <v>5 AÑOS 8 MESES</v>
          </cell>
          <cell r="AG202" t="str">
            <v>TIEMPO COMPLETO</v>
          </cell>
          <cell r="AH202" t="str">
            <v>ENFERMERÍA</v>
          </cell>
          <cell r="BG202" t="str">
            <v>CUARTO NIVEL</v>
          </cell>
        </row>
        <row r="203">
          <cell r="B203">
            <v>1756488555</v>
          </cell>
          <cell r="G203" t="str">
            <v>MUJER</v>
          </cell>
          <cell r="J203">
            <v>55</v>
          </cell>
          <cell r="AD203" t="str">
            <v>0 AÑOS 6 MESES</v>
          </cell>
          <cell r="AG203" t="str">
            <v>TIEMPO PARCIAL</v>
          </cell>
          <cell r="AH203" t="str">
            <v>MAESTRÍA EN PEDAGOGÍA MENCIÓN EDUCACCIÓN TÉCNICA Y TECNOLÓGICA</v>
          </cell>
          <cell r="BG203" t="str">
            <v>CUARTO NIVEL</v>
          </cell>
        </row>
        <row r="204">
          <cell r="B204" t="str">
            <v>0801526740</v>
          </cell>
          <cell r="G204" t="str">
            <v>MUJER</v>
          </cell>
          <cell r="J204">
            <v>52</v>
          </cell>
          <cell r="AD204" t="str">
            <v>0 AÑOS 7 MESES</v>
          </cell>
          <cell r="AG204" t="str">
            <v>TIEMPO PARCIAL</v>
          </cell>
          <cell r="AH204" t="str">
            <v>EDUCACIÓN BÁSICA PRESENCIAL</v>
          </cell>
          <cell r="BG204" t="str">
            <v>CUARTO NIVEL</v>
          </cell>
        </row>
        <row r="205">
          <cell r="B205" t="str">
            <v>0802325134</v>
          </cell>
          <cell r="G205" t="str">
            <v>MUJER</v>
          </cell>
          <cell r="J205">
            <v>43</v>
          </cell>
          <cell r="AD205" t="str">
            <v>0 AÑOS 8 MESES</v>
          </cell>
          <cell r="AG205" t="str">
            <v>TIEMPO PARCIAL</v>
          </cell>
          <cell r="AH205" t="str">
            <v>ENFERMERÍA (TECNOLOGÍA)</v>
          </cell>
          <cell r="BG205" t="str">
            <v>TERCER NIVEL</v>
          </cell>
        </row>
        <row r="206">
          <cell r="B206" t="str">
            <v>0802800755</v>
          </cell>
          <cell r="G206" t="str">
            <v>MUJER</v>
          </cell>
          <cell r="J206">
            <v>40</v>
          </cell>
          <cell r="AD206" t="str">
            <v>0 AÑOS 8 MESES</v>
          </cell>
          <cell r="AG206" t="str">
            <v>TIEMPO PARCIAL</v>
          </cell>
          <cell r="AH206" t="str">
            <v>ENFERMERÍA (TECNOLOGÍA)</v>
          </cell>
          <cell r="BG206" t="str">
            <v>TERCER NIVEL</v>
          </cell>
        </row>
        <row r="207">
          <cell r="B207" t="str">
            <v>0800626913</v>
          </cell>
          <cell r="G207" t="str">
            <v>MUJER</v>
          </cell>
          <cell r="J207">
            <v>62</v>
          </cell>
          <cell r="AD207" t="str">
            <v>0 AÑOS 7 MESES</v>
          </cell>
          <cell r="AG207" t="str">
            <v>TIEMPO PARCIAL</v>
          </cell>
          <cell r="AH207" t="str">
            <v>DERECHO</v>
          </cell>
          <cell r="BG207" t="str">
            <v>CUARTO NIVEL</v>
          </cell>
        </row>
        <row r="208">
          <cell r="B208" t="str">
            <v>0801415126</v>
          </cell>
          <cell r="G208" t="str">
            <v>MUJER</v>
          </cell>
          <cell r="J208">
            <v>54</v>
          </cell>
          <cell r="AD208" t="str">
            <v>8 AÑOS 3 MESES</v>
          </cell>
          <cell r="AG208" t="str">
            <v>TIEMPO COMPLETO</v>
          </cell>
          <cell r="AH208" t="str">
            <v>ENFERMERÍA</v>
          </cell>
          <cell r="BG208" t="str">
            <v>CUARTO NIVEL</v>
          </cell>
        </row>
        <row r="209">
          <cell r="B209" t="str">
            <v>0923864540</v>
          </cell>
          <cell r="G209" t="str">
            <v>HOMBRE</v>
          </cell>
          <cell r="J209">
            <v>32</v>
          </cell>
          <cell r="AD209" t="str">
            <v>0 AÑOS 5 MESES</v>
          </cell>
          <cell r="AG209" t="str">
            <v>TIEMPO PARCIAL</v>
          </cell>
          <cell r="AH209" t="str">
            <v>MAESTRÍA EN ELECTRICIDAD MENCIÓN ENERGÍAS RENOVABLES Y EFICIENCIA ENERGÉTICA</v>
          </cell>
          <cell r="BG209" t="str">
            <v>CUARTO NIVEL</v>
          </cell>
        </row>
        <row r="210">
          <cell r="B210" t="str">
            <v>0803028307</v>
          </cell>
          <cell r="G210" t="str">
            <v>HOMBRE</v>
          </cell>
          <cell r="J210">
            <v>30</v>
          </cell>
          <cell r="AD210" t="str">
            <v>0 AÑOS 7 MESES</v>
          </cell>
          <cell r="AG210" t="str">
            <v>TIEMPO PARCIAL</v>
          </cell>
          <cell r="AH210" t="str">
            <v>LABORATORIO CLINICO</v>
          </cell>
          <cell r="BG210" t="str">
            <v>CUARTO NIVEL</v>
          </cell>
        </row>
        <row r="211">
          <cell r="B211" t="str">
            <v>080223719</v>
          </cell>
          <cell r="G211" t="str">
            <v>MUJER</v>
          </cell>
          <cell r="J211">
            <v>43</v>
          </cell>
          <cell r="AD211" t="str">
            <v>0 AÑOS 5 MESES</v>
          </cell>
          <cell r="AG211" t="str">
            <v>TIEMPO PARCIAL</v>
          </cell>
          <cell r="AH211" t="str">
            <v>EDUCACIÓN BÁSICA SEMIPRESENCIAL</v>
          </cell>
          <cell r="BG211" t="str">
            <v>CUARTO NIVEL</v>
          </cell>
        </row>
        <row r="212">
          <cell r="B212" t="str">
            <v>1716654296</v>
          </cell>
          <cell r="G212" t="str">
            <v>HOMBRE</v>
          </cell>
          <cell r="J212">
            <v>37</v>
          </cell>
          <cell r="AD212" t="str">
            <v>0 AÑOS 7 MESES</v>
          </cell>
          <cell r="AG212" t="str">
            <v>TIEMPO PARCIAL</v>
          </cell>
          <cell r="AH212" t="str">
            <v>DERECHO</v>
          </cell>
          <cell r="BG212" t="str">
            <v>CUARTO NIVEL</v>
          </cell>
        </row>
        <row r="213">
          <cell r="B213">
            <v>1708222409</v>
          </cell>
          <cell r="G213" t="str">
            <v>HOMBRE</v>
          </cell>
          <cell r="J213">
            <v>47</v>
          </cell>
          <cell r="AD213" t="str">
            <v>0 AÑOS 7 MESES</v>
          </cell>
          <cell r="AG213" t="str">
            <v>TIEMPO PARCIAL</v>
          </cell>
          <cell r="AH213" t="str">
            <v>DERECHO</v>
          </cell>
          <cell r="BG213" t="str">
            <v>CUARTO NIVEL</v>
          </cell>
        </row>
        <row r="214">
          <cell r="B214" t="str">
            <v>0922338553</v>
          </cell>
          <cell r="G214" t="str">
            <v>HOMBRE</v>
          </cell>
          <cell r="J214">
            <v>39</v>
          </cell>
          <cell r="AD214" t="str">
            <v>0 AÑOS 5 MESES</v>
          </cell>
          <cell r="AG214" t="str">
            <v>TIEMPO PARCIAL</v>
          </cell>
          <cell r="AH214" t="str">
            <v>MAESTRÍA EN ELECTRICIDAD MENCIÓN ENERGÍAS RENOVABLES Y EFICIENCIA ENERGÉTICA</v>
          </cell>
          <cell r="BG214" t="str">
            <v>CUARTO NIVEL</v>
          </cell>
        </row>
        <row r="215">
          <cell r="B215" t="str">
            <v>0802464032</v>
          </cell>
          <cell r="G215" t="str">
            <v>MUJER</v>
          </cell>
          <cell r="J215">
            <v>42</v>
          </cell>
          <cell r="AD215" t="str">
            <v>0 AÑOS 10 MESES</v>
          </cell>
          <cell r="AG215" t="str">
            <v>TIEMPO COMPLETO</v>
          </cell>
          <cell r="AH215" t="str">
            <v>DISEÑO GRAFICO</v>
          </cell>
          <cell r="BG215" t="str">
            <v>CUARTO NIVEL</v>
          </cell>
        </row>
        <row r="216">
          <cell r="B216" t="str">
            <v>1721148961</v>
          </cell>
          <cell r="G216" t="str">
            <v>MUJER</v>
          </cell>
          <cell r="J216">
            <v>34</v>
          </cell>
          <cell r="AD216" t="str">
            <v>0 AÑOS 4 MESES</v>
          </cell>
          <cell r="AG216" t="str">
            <v>TIEMPO PARCIAL</v>
          </cell>
          <cell r="AH216" t="str">
            <v>MAESTRÍA EN PEDOGAGÍA DEL INGLÉS COMO LENGUA EXTRANJERA</v>
          </cell>
          <cell r="BG216" t="str">
            <v>CUARTO NIVEL</v>
          </cell>
        </row>
        <row r="217">
          <cell r="B217" t="str">
            <v>0801574864</v>
          </cell>
          <cell r="G217" t="str">
            <v>MUJER</v>
          </cell>
          <cell r="J217">
            <v>50</v>
          </cell>
          <cell r="AD217" t="str">
            <v>10 AÑOS 2 MESES</v>
          </cell>
          <cell r="AG217" t="str">
            <v>MEDIO TIEMPO</v>
          </cell>
          <cell r="AH217" t="str">
            <v>CONTABILIDAD Y AUDITORIA CPA</v>
          </cell>
          <cell r="BG217" t="str">
            <v>CUARTO NIVEL</v>
          </cell>
        </row>
        <row r="218">
          <cell r="B218">
            <v>1804326534</v>
          </cell>
          <cell r="G218" t="str">
            <v>HOMBRE</v>
          </cell>
          <cell r="J218">
            <v>31</v>
          </cell>
          <cell r="AD218" t="str">
            <v>1 AÑOS 1 MESES</v>
          </cell>
          <cell r="AG218" t="str">
            <v>TIEMPO COMPLETO</v>
          </cell>
          <cell r="AH218" t="str">
            <v>TECNOLOGÍAS DE LA INFORMACIÓN</v>
          </cell>
          <cell r="BG218" t="str">
            <v>CUARTO NIVEL</v>
          </cell>
        </row>
        <row r="219">
          <cell r="B219" t="str">
            <v>0802997049</v>
          </cell>
          <cell r="G219" t="str">
            <v>MUJER</v>
          </cell>
          <cell r="J219">
            <v>36</v>
          </cell>
          <cell r="AD219" t="str">
            <v>0 AÑOS 7 MESES</v>
          </cell>
          <cell r="AG219" t="str">
            <v>TIEMPO PARCIAL</v>
          </cell>
          <cell r="AH219" t="str">
            <v>EDUCACIÓN BÁSICA SEMIPRESENCIAL</v>
          </cell>
          <cell r="BG219" t="str">
            <v>CUARTO NIVEL</v>
          </cell>
        </row>
        <row r="220">
          <cell r="B220">
            <v>1717178824</v>
          </cell>
          <cell r="G220" t="str">
            <v>HOMBRE</v>
          </cell>
          <cell r="J220">
            <v>41</v>
          </cell>
          <cell r="AD220" t="str">
            <v>0 AÑOS 7 MESES</v>
          </cell>
          <cell r="AG220" t="str">
            <v>TIEMPO PARCIAL</v>
          </cell>
          <cell r="AH220" t="str">
            <v>NEGOCIOS INTERNACIONALES</v>
          </cell>
          <cell r="BG220" t="str">
            <v>CUARTO NIVEL</v>
          </cell>
        </row>
        <row r="221">
          <cell r="B221" t="str">
            <v>0800894586</v>
          </cell>
          <cell r="G221" t="str">
            <v>MUJER</v>
          </cell>
          <cell r="J221">
            <v>59</v>
          </cell>
          <cell r="AD221" t="str">
            <v>10 AÑOS 2 MESES</v>
          </cell>
          <cell r="AG221" t="str">
            <v>MEDIO TIEMPO</v>
          </cell>
          <cell r="AH221" t="str">
            <v>EDUCACIÓN INICIAL</v>
          </cell>
          <cell r="BG221" t="str">
            <v>CUARTO NIVEL</v>
          </cell>
        </row>
        <row r="222">
          <cell r="B222">
            <v>1757108871</v>
          </cell>
          <cell r="G222" t="str">
            <v>MUJER</v>
          </cell>
          <cell r="J222">
            <v>39</v>
          </cell>
          <cell r="AD222" t="str">
            <v>2 AÑOS 10 MESES</v>
          </cell>
          <cell r="AG222" t="str">
            <v>TIEMPO COMPLETO</v>
          </cell>
          <cell r="AH222" t="str">
            <v>NEGOCIOS INTERNACIONALES</v>
          </cell>
          <cell r="BG222" t="str">
            <v>CUARTO NIVEL</v>
          </cell>
        </row>
        <row r="223">
          <cell r="B223" t="str">
            <v>0803129360</v>
          </cell>
          <cell r="G223" t="str">
            <v>MUJER</v>
          </cell>
          <cell r="J223">
            <v>35</v>
          </cell>
          <cell r="AD223" t="str">
            <v>1 AÑOS 3 MESES</v>
          </cell>
          <cell r="AG223" t="str">
            <v>MEDIO TIEMPO</v>
          </cell>
          <cell r="AH223" t="str">
            <v>GESTIÓN AMBIENTAL</v>
          </cell>
          <cell r="BG223" t="str">
            <v>CUARTO NIVEL</v>
          </cell>
        </row>
        <row r="224">
          <cell r="B224" t="str">
            <v>0801187089</v>
          </cell>
          <cell r="G224" t="str">
            <v>MUJER</v>
          </cell>
          <cell r="J224">
            <v>58</v>
          </cell>
          <cell r="AD224" t="str">
            <v>9 AÑOS 9 MESES</v>
          </cell>
          <cell r="AG224" t="str">
            <v>TIEMPO COMPLETO</v>
          </cell>
          <cell r="AH224" t="str">
            <v>ENFERMERÍA</v>
          </cell>
          <cell r="BG224" t="str">
            <v>CUARTO NIVEL</v>
          </cell>
        </row>
        <row r="225">
          <cell r="B225">
            <v>1724550163</v>
          </cell>
          <cell r="G225" t="str">
            <v>HOMBRE</v>
          </cell>
          <cell r="J225">
            <v>33</v>
          </cell>
          <cell r="AD225" t="str">
            <v>3 AÑOS 5 MESES</v>
          </cell>
          <cell r="AG225" t="str">
            <v>TIEMPO COMPLETO</v>
          </cell>
          <cell r="AH225" t="str">
            <v>EDUCACIÓN BÁSICA SEMIPRESENCIAL</v>
          </cell>
          <cell r="BG225" t="str">
            <v>CUARTO NIVEL</v>
          </cell>
        </row>
        <row r="226">
          <cell r="B226" t="str">
            <v>0603967308</v>
          </cell>
          <cell r="G226" t="str">
            <v>MUJER</v>
          </cell>
          <cell r="J226">
            <v>35</v>
          </cell>
          <cell r="AD226" t="str">
            <v>0 AÑOS 7 MESES</v>
          </cell>
          <cell r="AG226" t="str">
            <v>TIEMPO COMPLETO</v>
          </cell>
          <cell r="AH226" t="str">
            <v>LABORATORIO CLINICO</v>
          </cell>
          <cell r="BG226" t="str">
            <v>CUARTO NIVEL</v>
          </cell>
        </row>
        <row r="227">
          <cell r="B227" t="str">
            <v>0601492267</v>
          </cell>
          <cell r="G227" t="str">
            <v>HOMBRE</v>
          </cell>
          <cell r="J227">
            <v>54</v>
          </cell>
          <cell r="AD227" t="str">
            <v>0 AÑOS 4 MESES</v>
          </cell>
          <cell r="AG227" t="str">
            <v>TIEMPO PARCIAL</v>
          </cell>
          <cell r="AH227" t="str">
            <v>MAESTRÍA EN GESTIÓN DEL TALENTO HUMANO</v>
          </cell>
          <cell r="BG227" t="str">
            <v>CUARTO NIVEL</v>
          </cell>
        </row>
        <row r="228">
          <cell r="B228" t="str">
            <v>0801966748</v>
          </cell>
          <cell r="G228" t="str">
            <v>MUJER</v>
          </cell>
          <cell r="J228">
            <v>44</v>
          </cell>
          <cell r="AD228" t="str">
            <v>0 AÑOS 7 MESES</v>
          </cell>
          <cell r="AG228" t="str">
            <v>TIEMPO PARCIAL</v>
          </cell>
          <cell r="AH228" t="str">
            <v>LABORATORIO CLINICO</v>
          </cell>
          <cell r="BG228" t="str">
            <v>CUARTO NIVEL</v>
          </cell>
        </row>
        <row r="229">
          <cell r="B229">
            <v>1760898609</v>
          </cell>
          <cell r="G229" t="str">
            <v>HOMBRE</v>
          </cell>
          <cell r="J229">
            <v>40</v>
          </cell>
          <cell r="AD229" t="str">
            <v>0 AÑOS 7 MESES</v>
          </cell>
          <cell r="AG229" t="str">
            <v>TIEMPO PARCIAL</v>
          </cell>
          <cell r="AH229" t="str">
            <v>EDUCACIÓN BÁSICA PRESENCIAL</v>
          </cell>
          <cell r="BG229" t="str">
            <v>CUARTO NIVEL</v>
          </cell>
        </row>
        <row r="230">
          <cell r="B230" t="str">
            <v>0801752296</v>
          </cell>
          <cell r="G230" t="str">
            <v>MUJER</v>
          </cell>
          <cell r="J230">
            <v>50</v>
          </cell>
          <cell r="AD230" t="str">
            <v>10 AÑOS 2 MESES</v>
          </cell>
          <cell r="AG230" t="str">
            <v>TIEMPO COMPLETO</v>
          </cell>
          <cell r="AH230" t="str">
            <v>PSICOLOGÍA</v>
          </cell>
          <cell r="BG230" t="str">
            <v>CUARTO NIVEL</v>
          </cell>
        </row>
        <row r="231">
          <cell r="B231" t="str">
            <v>0803484161</v>
          </cell>
          <cell r="G231" t="str">
            <v>MUJER</v>
          </cell>
          <cell r="J231">
            <v>32</v>
          </cell>
          <cell r="AD231" t="str">
            <v>1 AÑOS 10 MESES</v>
          </cell>
          <cell r="AG231" t="str">
            <v>TIEMPO COMPLETO</v>
          </cell>
          <cell r="AH231" t="str">
            <v>LABORATORIO CLINICO</v>
          </cell>
          <cell r="BG231" t="str">
            <v>CUARTO NIVEL</v>
          </cell>
        </row>
        <row r="232">
          <cell r="B232"/>
          <cell r="G232"/>
          <cell r="J232"/>
          <cell r="AD232"/>
          <cell r="AG232"/>
          <cell r="AH232"/>
          <cell r="BG232"/>
        </row>
        <row r="233">
          <cell r="B233"/>
          <cell r="G233"/>
          <cell r="J233"/>
          <cell r="AD233"/>
          <cell r="AG233"/>
          <cell r="AH233"/>
          <cell r="BG233"/>
        </row>
        <row r="234">
          <cell r="B234"/>
          <cell r="G234"/>
          <cell r="J234"/>
          <cell r="AD234"/>
          <cell r="AG234"/>
          <cell r="AH234"/>
          <cell r="BG234"/>
        </row>
        <row r="235">
          <cell r="B235"/>
          <cell r="G235"/>
          <cell r="J235"/>
          <cell r="AD235"/>
          <cell r="AG235"/>
          <cell r="AH235"/>
          <cell r="BG235"/>
        </row>
        <row r="236">
          <cell r="B236"/>
          <cell r="G236"/>
          <cell r="J236"/>
          <cell r="AD236"/>
          <cell r="AG236"/>
          <cell r="AH236"/>
          <cell r="BG236"/>
        </row>
        <row r="237">
          <cell r="B237"/>
          <cell r="G237"/>
          <cell r="J237"/>
          <cell r="AD237"/>
          <cell r="AG237"/>
          <cell r="AH237"/>
          <cell r="BG237"/>
        </row>
      </sheetData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ia Jackeline Zambrano Delgado" refreshedDate="45789.618631365738" createdVersion="8" refreshedVersion="8" minRefreshableVersion="3" recordCount="155" xr:uid="{E631592F-5957-4E07-B167-DD9D56977C27}">
  <cacheSource type="worksheet">
    <worksheetSource ref="A1:P1048576" sheet="Worksheet"/>
  </cacheSource>
  <cacheFields count="16">
    <cacheField name="Período Evaluado" numFmtId="0">
      <sharedItems containsBlank="1" count="2">
        <s v="Primer P. Ord. 2023 Grado 202361"/>
        <m/>
      </sharedItems>
    </cacheField>
    <cacheField name="Cédula" numFmtId="0">
      <sharedItems containsBlank="1"/>
    </cacheField>
    <cacheField name="Apellidos y Nombres" numFmtId="0">
      <sharedItems containsBlank="1" count="155">
        <s v="Achilie Valencia Tahimi "/>
        <s v="Acosta Ganan Michael Andres"/>
        <s v="Agreda Egas Eylen Amanda"/>
        <s v="Aguilar Quiñonez Veronica Elizabeth"/>
        <s v="Alava Chila Orlin Eladio"/>
        <s v="Alencastro Guerrero Nelson Junior"/>
        <s v="Altman Peña Barbara"/>
        <s v="Anchundia Ortiz Angel"/>
        <s v="Andrade Perea Jane Verónica"/>
        <s v="Angulo Alegria Memi Victoria"/>
        <s v="Angulo Castillo Jacinta Veronica"/>
        <s v="Araujo Albarran Karen Eloina"/>
        <s v="Arguello Cedeño Jonathan Alexander"/>
        <s v="Armas Arias Mario Javier"/>
        <s v="Armijos Porozo Irlanda Magaly"/>
        <s v="Arroyo Mercado Edwin Raul"/>
        <s v="Ballesteros Chica Guillermo Alexander"/>
        <s v="Bautista Cotera Javier Geovanny"/>
        <s v="Bautista Mejia Katiuska Maria"/>
        <s v="Becerra Posligua Carlos Ramón"/>
        <s v="Benitez Barro Andrea Carolina"/>
        <s v="Bernabe Lillo Maria De Los Lirios"/>
        <s v="Betancourt Aguilar Freddy Leonardo"/>
        <s v="Burbano Salazar Javier Enrique"/>
        <s v="Bustos Vera Rhay Pablo"/>
        <s v="Callejas De Valero Diana Estela"/>
        <s v="Carvache Franco Zully Betty"/>
        <s v="Carvajal Carvajal Jose Luis"/>
        <s v="Castillo Quiñonez Zulinda Susy"/>
        <s v="Castro Demera Dicke Alejandro"/>
        <s v="Cedeño Barrezueta Darío Andrés"/>
        <s v="Cedeño Lastra Susana Elizabeth"/>
        <s v="Cervantes Intriago Jenny Cristina"/>
        <s v="Cevallos Arteaga Ramon Marcos"/>
        <s v="Chichande Mora Mirna Monserrate"/>
        <s v="Chila Garcia Karen Carolina"/>
        <s v="Coimen Marquez Boris Guillermo"/>
        <s v="Cuero Bennett Maria Jose"/>
        <s v="Cunha Romero Luz Elena"/>
        <s v="De La Rosa Ferrera Jose Manuel"/>
        <s v="Delgado Gonzalez Cristhian David"/>
        <s v="Dueñas Mendoza Andrea Stefania"/>
        <s v="Duque Jironza Karen Julissa"/>
        <s v="Duque Jironza Laura Zulima"/>
        <s v="España Francis Nelfa Elizabeth"/>
        <s v="Espinoza Avila Manuel Eduardo"/>
        <s v="Estupiñan Hurtado Ivannova Stefania"/>
        <s v="Estupiñan Plaza Marcos Ignacio"/>
        <s v="Falcones Benalcazar Mercy Janeth"/>
        <s v="Garcia Rezabala David Alexander"/>
        <s v="Gracia Ortiz Karina Elizabeth"/>
        <s v="Guaira Ramos Wiliam Jose"/>
        <s v="Guashpa Gómez Alex David"/>
        <s v="Guerrero Veliz Antonieta Madeley"/>
        <s v="Heredia Alvear Andres Sebastian"/>
        <s v="Hernandez Pazmiño César Ernesto"/>
        <s v="Hidalgo Solorzano Luis Enrique"/>
        <s v="Hidalgo Tapia Cosme Enrique"/>
        <s v="Intriago Ferrin Ana Sariah"/>
        <s v="Ipiales Miranda Gabriel Alejandro"/>
        <s v="Jijon Motato Jose Ivan"/>
        <s v="Lara Calderon Elsa Maria"/>
        <s v="Lastre Cuellar Mariuxi Ivonne"/>
        <s v="Lluilema  Luis Alberto"/>
        <s v="Lopez Estupiñán Boris Paul"/>
        <s v="Maldonado Roman Isabel Cristina"/>
        <s v="Maliza Chasi Blanca Cecilia"/>
        <s v="Mancero Mayacela Ximena Paola"/>
        <s v="Marcillo Murillo Diana Sabrina"/>
        <s v="Marines Batalla Bona Patricia"/>
        <s v="Mariny Valencia Mariela Katherine"/>
        <s v="Marmolejo Cueva Melba Cristina"/>
        <s v="Marquez Arboleda Viviana Mercedes"/>
        <s v="Medina Godoy Alba Annabelle"/>
        <s v="Medina Godoy Kathya Bolivia"/>
        <s v="Mendoza Macias Cristina Alexandra"/>
        <s v="Mendoza Pita Priscila Del Rocio"/>
        <s v="Mera Carranza Joseelyn Genesis"/>
        <s v="Mila Carvajal Dionicio Francisco"/>
        <s v="Mina Bone Elis Mariuxi"/>
        <s v="Morales Guamán Klever Patricio"/>
        <s v="Muela Gonzalez Nelson Alejandro"/>
        <s v="Naranjo Corria Rebeca "/>
        <s v="Nevarez Toledo Manuel Rogelio"/>
        <s v="Ocampo Erazo Hugo Paúl"/>
        <s v="Ortiz Castro Merida Elizabeth"/>
        <s v="Ortiz Diaz Marcos David"/>
        <s v="Ortiz Orobio Mayra Leticia"/>
        <s v="Palencia Gutierrez Esperanza Marbella"/>
        <s v="Patiño Cagua Celeste Anne"/>
        <s v="Paz Moran Veronica Alexandra"/>
        <s v="Perdomo Guerron Juan Carlos"/>
        <s v="Perlaza Muñoz Dolores Eulofia"/>
        <s v="Perlaza Rodriguez Marjorie Katherine"/>
        <s v="Peña Rosas Gloria Del Valle"/>
        <s v="Pico Valencia Pablo Antonio"/>
        <s v="Pineda Caicedo Andrea Estefania"/>
        <s v="Plata Cabrera Carlos Simon"/>
        <s v="Plaza Ordoñez Maria De Lourdes"/>
        <s v="Posligua Flores Kleber Rolando"/>
        <s v="Prieto Fuenmayor Julia Rosa"/>
        <s v="Pupo Suñol Angel Eduardo"/>
        <s v="Quintanilla Pazmiño Pedro Daniel"/>
        <s v="Quintero Rosales Francisco Jhonny"/>
        <s v="Quiroz Ponce Freddy Hernan"/>
        <s v="Quishpe Vallejo Jefferson Xavier"/>
        <s v="Quiñonez Castillo Carmen Rosario"/>
        <s v="Quiñonez Ku Victor Xavier"/>
        <s v="Quiñonez Perlaza Guadalupe "/>
        <s v="Ramirez Castillo Damaris Paulette"/>
        <s v="Ramirez Lozada Haydee "/>
        <s v="Ramirez Rubira Elio "/>
        <s v="Realpe Vivas Ketty Marlene"/>
        <s v="Rebolledo Monsalve Eduardo Rodolfo"/>
        <s v="Rengifo Alava Yandry Javier"/>
        <s v="Reyes Arboleda Paulett Stefania"/>
        <s v="Rivera Bone Carlos Alejandro"/>
        <s v="Rodas Luque Maria Jose"/>
        <s v="Rodriguez Castillo Nadia Mariuxi"/>
        <s v="Rodriguez Mafla Tony Wilmar"/>
        <s v="Romero Nazareno Jose Luis"/>
        <s v="Samaniego Garcia Rosa Paola"/>
        <s v="Sampietro Saquicela Jose Luis"/>
        <s v="Sanchez Guerra Iñigo "/>
        <s v="Sanchez Jaramillo Efrain Asdrubal"/>
        <s v="Sanchez Robalino Andrea Nicole"/>
        <s v="Sayago Heredia Jaime Paul"/>
        <s v="Simbaña Bastidas Christian Mauricio"/>
        <s v="Sinchi Sinchi Hugo Fernando"/>
        <s v="Solis Charcopa Karla Fernanda"/>
        <s v="Solis Murillo Maria De Lourdes"/>
        <s v="Sosa Bone Mirna Patricia"/>
        <s v="Suarez Lezcano Jose "/>
        <s v="Tarira España Monica Del Rocio"/>
        <s v="Toledo Gutierrez Murat Lorena"/>
        <s v="Torres Rodriguez Maria Teresa"/>
        <s v="Valdez Rosales Saul David"/>
        <s v="Valencia Cortez Marta Lucia"/>
        <s v="Vallejo Espinoza Jose Raul"/>
        <s v="Vallejo Galárraga Wilson Santiago"/>
        <s v="Vasquez Coisme Ladys Diana"/>
        <s v="Velasco Angulo Cecilia Esther"/>
        <s v="Velastegui Izurieta Homero Javier"/>
        <s v="Veliz Cordova Ana Cristina"/>
        <s v="Vera Moran Freddy Paul"/>
        <s v="Vera Pinargote Sinay Celeste"/>
        <s v="Vergara Toro Monica Angelina"/>
        <s v="Vernaza Quiñonez Lucia Margarita"/>
        <s v="Vila Maffare Marilyn Marivel"/>
        <s v="Villarreal Puga Josue "/>
        <s v="Vinueza Ramón Diana Paola"/>
        <s v="Vizcaino Ordoñez Laura Del Rocio "/>
        <s v="Woldehawariat Kidanemariam Ghebrezghiabiher "/>
        <s v="Zambrano Araujo Genova Elisa"/>
        <m/>
      </sharedItems>
    </cacheField>
    <cacheField name="Edad" numFmtId="0">
      <sharedItems containsString="0" containsBlank="1" containsNumber="1" containsInteger="1" minValue="25" maxValue="68" count="43">
        <n v="61"/>
        <n v="28"/>
        <n v="35"/>
        <n v="39"/>
        <n v="41"/>
        <n v="38"/>
        <n v="43"/>
        <n v="66"/>
        <n v="42"/>
        <n v="55"/>
        <n v="49"/>
        <n v="32"/>
        <n v="45"/>
        <n v="51"/>
        <n v="33"/>
        <n v="62"/>
        <n v="30"/>
        <n v="54"/>
        <n v="50"/>
        <n v="58"/>
        <n v="64"/>
        <n v="59"/>
        <n v="44"/>
        <n v="29"/>
        <n v="65"/>
        <n v="57"/>
        <n v="31"/>
        <n v="34"/>
        <n v="36"/>
        <n v="63"/>
        <n v="48"/>
        <n v="47"/>
        <n v="46"/>
        <n v="56"/>
        <n v="25"/>
        <n v="60"/>
        <n v="52"/>
        <n v="27"/>
        <n v="37"/>
        <n v="68"/>
        <n v="40"/>
        <n v="67"/>
        <m/>
      </sharedItems>
    </cacheField>
    <cacheField name="Tiempo de Servicio" numFmtId="0">
      <sharedItems containsBlank="1"/>
    </cacheField>
    <cacheField name="Genero" numFmtId="0">
      <sharedItems containsBlank="1" count="3">
        <s v="MUJER"/>
        <s v="HOMBRE"/>
        <m/>
      </sharedItems>
    </cacheField>
    <cacheField name="Nivel de estudio" numFmtId="0">
      <sharedItems containsBlank="1" count="2">
        <s v="CUARTO NIVEL"/>
        <m/>
      </sharedItems>
    </cacheField>
    <cacheField name="Grado" numFmtId="0">
      <sharedItems containsBlank="1"/>
    </cacheField>
    <cacheField name="Modalidad de Trabajo" numFmtId="0">
      <sharedItems containsBlank="1" count="4">
        <s v="TIEMPO COMPLETO"/>
        <s v="TIEMPO PARCIAL"/>
        <s v="MEDIO TIEMPO"/>
        <m/>
      </sharedItems>
    </cacheField>
    <cacheField name="Carrera" numFmtId="0">
      <sharedItems containsBlank="1" count="19">
        <s v="CONTABILIDAD Y AUDITORIA CPA"/>
        <s v="LABORATORIO CLINICO"/>
        <s v="AGROINDUSTRIA"/>
        <s v="EDUCACIÓN BÁSICA SEMIPRESENCIAL"/>
        <s v="TECNOLOGÍAS DE LA INFORMACIÓN"/>
        <s v="ENFERMERÍA"/>
        <s v="PSICOLOGÍA"/>
        <s v="DERECHO"/>
        <s v="NEGOCIOS INTERNACIONALES"/>
        <s v="EDUCACIÓN INICIAL"/>
        <s v="FISIOTERAPIA"/>
        <s v="ADMINISTRACIÓN DE EMPRESAS"/>
        <s v="PEDAGOGÍA DE LOS IDIOMAS NACIONALES Y EXTRANJEROS"/>
        <s v="DISEÑO GRAFICO"/>
        <s v="TURISMO"/>
        <s v="GESTIÓN AMBIENTAL"/>
        <s v="EDUCACIÓN BÁSICA PRESENCIAL"/>
        <s v="RECURSOS NATURALES"/>
        <m/>
      </sharedItems>
    </cacheField>
    <cacheField name="Estud a Doc" numFmtId="0">
      <sharedItems containsString="0" containsBlank="1" containsNumber="1" minValue="1.34" maxValue="2"/>
    </cacheField>
    <cacheField name="Autoeval" numFmtId="0">
      <sharedItems containsString="0" containsBlank="1" containsNumber="1" minValue="0" maxValue="1"/>
    </cacheField>
    <cacheField name="Coord a Docente" numFmtId="0">
      <sharedItems containsString="0" containsBlank="1" containsNumber="1" minValue="0.76" maxValue="1"/>
    </cacheField>
    <cacheField name="Eval pares" numFmtId="0">
      <sharedItems containsString="0" containsBlank="1" containsNumber="1" minValue="0.67" maxValue="1"/>
    </cacheField>
    <cacheField name="Total sobre 5" numFmtId="0">
      <sharedItems containsString="0" containsBlank="1" containsNumber="1" minValue="3.71" maxValue="4.99"/>
    </cacheField>
    <cacheField name="TOTAL SOBRE 100" numFmtId="0">
      <sharedItems containsString="0" containsBlank="1" containsNumber="1" minValue="74.2" maxValue="9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ia Jackeline Zambrano Delgado" refreshedDate="45789.61863449074" createdVersion="8" refreshedVersion="8" minRefreshableVersion="3" recordCount="154" xr:uid="{DCFBD47C-D553-4C4C-A6E0-9D0D1E3A26F4}">
  <cacheSource type="worksheet">
    <worksheetSource ref="A1:P155" sheet="Worksheet"/>
  </cacheSource>
  <cacheFields count="16">
    <cacheField name="Período Evaluado" numFmtId="0">
      <sharedItems count="1">
        <s v="Primer P. Ord. 2023 Grado 202361"/>
      </sharedItems>
    </cacheField>
    <cacheField name="Cédula" numFmtId="0">
      <sharedItems/>
    </cacheField>
    <cacheField name="Apellidos y Nombres" numFmtId="0">
      <sharedItems/>
    </cacheField>
    <cacheField name="Edad" numFmtId="0">
      <sharedItems containsSemiMixedTypes="0" containsString="0" containsNumber="1" containsInteger="1" minValue="25" maxValue="68"/>
    </cacheField>
    <cacheField name="Tiempo de Servicio" numFmtId="0">
      <sharedItems/>
    </cacheField>
    <cacheField name="Genero" numFmtId="0">
      <sharedItems/>
    </cacheField>
    <cacheField name="Nivel de estudio" numFmtId="0">
      <sharedItems/>
    </cacheField>
    <cacheField name="Grado" numFmtId="0">
      <sharedItems/>
    </cacheField>
    <cacheField name="Modalidad de Trabajo" numFmtId="0">
      <sharedItems/>
    </cacheField>
    <cacheField name="Carrera" numFmtId="0">
      <sharedItems count="18">
        <s v="CONTABILIDAD Y AUDITORIA CPA"/>
        <s v="LABORATORIO CLINICO"/>
        <s v="AGROINDUSTRIA"/>
        <s v="EDUCACIÓN BÁSICA SEMIPRESENCIAL"/>
        <s v="TECNOLOGÍAS DE LA INFORMACIÓN"/>
        <s v="ENFERMERÍA"/>
        <s v="PSICOLOGÍA"/>
        <s v="DERECHO"/>
        <s v="NEGOCIOS INTERNACIONALES"/>
        <s v="EDUCACIÓN INICIAL"/>
        <s v="FISIOTERAPIA"/>
        <s v="ADMINISTRACIÓN DE EMPRESAS"/>
        <s v="PEDAGOGÍA DE LOS IDIOMAS NACIONALES Y EXTRANJEROS"/>
        <s v="DISEÑO GRAFICO"/>
        <s v="TURISMO"/>
        <s v="GESTIÓN AMBIENTAL"/>
        <s v="EDUCACIÓN BÁSICA PRESENCIAL"/>
        <s v="RECURSOS NATURALES"/>
      </sharedItems>
    </cacheField>
    <cacheField name="Estud a Doc" numFmtId="0">
      <sharedItems containsSemiMixedTypes="0" containsString="0" containsNumber="1" minValue="1.34" maxValue="2"/>
    </cacheField>
    <cacheField name="Autoeval" numFmtId="0">
      <sharedItems containsSemiMixedTypes="0" containsString="0" containsNumber="1" minValue="0" maxValue="1"/>
    </cacheField>
    <cacheField name="Coord a Docente" numFmtId="0">
      <sharedItems containsSemiMixedTypes="0" containsString="0" containsNumber="1" minValue="0.76" maxValue="1"/>
    </cacheField>
    <cacheField name="Eval pares" numFmtId="0">
      <sharedItems containsSemiMixedTypes="0" containsString="0" containsNumber="1" minValue="0.67" maxValue="1"/>
    </cacheField>
    <cacheField name="Total sobre 5" numFmtId="0">
      <sharedItems containsSemiMixedTypes="0" containsString="0" containsNumber="1" minValue="3.71" maxValue="4.99"/>
    </cacheField>
    <cacheField name="TOTAL SOBRE 100" numFmtId="0">
      <sharedItems containsSemiMixedTypes="0" containsString="0" containsNumber="1" minValue="74.2" maxValue="9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ia Jackeline Zambrano Delgado" refreshedDate="45789.618635300925" createdVersion="8" refreshedVersion="8" minRefreshableVersion="3" recordCount="154" xr:uid="{D84EAFB8-EA42-4078-82C3-17D2DE500BA3}">
  <cacheSource type="worksheet">
    <worksheetSource ref="C1:P155" sheet="Worksheet"/>
  </cacheSource>
  <cacheFields count="14">
    <cacheField name="Apellidos y Nombres" numFmtId="0">
      <sharedItems count="224">
        <s v="Achilie Valencia Tahimi "/>
        <s v="Acosta Ganan Michael Andres"/>
        <s v="Agreda Egas Eylen Amanda"/>
        <s v="Aguilar Quiñonez Veronica Elizabeth"/>
        <s v="Alava Chila Orlin Eladio"/>
        <s v="Alencastro Guerrero Nelson Junior"/>
        <s v="Altman Peña Barbara"/>
        <s v="Anchundia Ortiz Angel"/>
        <s v="Andrade Perea Jane Verónica"/>
        <s v="Angulo Alegria Memi Victoria"/>
        <s v="Angulo Castillo Jacinta Veronica"/>
        <s v="Araujo Albarran Karen Eloina"/>
        <s v="Arguello Cedeño Jonathan Alexander"/>
        <s v="Armas Arias Mario Javier"/>
        <s v="Armijos Porozo Irlanda Magaly"/>
        <s v="Arroyo Mercado Edwin Raul"/>
        <s v="Ballesteros Chica Guillermo Alexander"/>
        <s v="Bautista Cotera Javier Geovanny"/>
        <s v="Bautista Mejia Katiuska Maria"/>
        <s v="Becerra Posligua Carlos Ramón"/>
        <s v="Benitez Barro Andrea Carolina"/>
        <s v="Bernabe Lillo Maria De Los Lirios"/>
        <s v="Betancourt Aguilar Freddy Leonardo"/>
        <s v="Burbano Salazar Javier Enrique"/>
        <s v="Bustos Vera Rhay Pablo"/>
        <s v="Callejas De Valero Diana Estela"/>
        <s v="Carvache Franco Zully Betty"/>
        <s v="Carvajal Carvajal Jose Luis"/>
        <s v="Castillo Quiñonez Zulinda Susy"/>
        <s v="Castro Demera Dicke Alejandro"/>
        <s v="Cedeño Barrezueta Darío Andrés"/>
        <s v="Cedeño Lastra Susana Elizabeth"/>
        <s v="Cervantes Intriago Jenny Cristina"/>
        <s v="Cevallos Arteaga Ramon Marcos"/>
        <s v="Chichande Mora Mirna Monserrate"/>
        <s v="Chila Garcia Karen Carolina"/>
        <s v="Coimen Marquez Boris Guillermo"/>
        <s v="Cuero Bennett Maria Jose"/>
        <s v="Cunha Romero Luz Elena"/>
        <s v="De La Rosa Ferrera Jose Manuel"/>
        <s v="Delgado Gonzalez Cristhian David"/>
        <s v="Dueñas Mendoza Andrea Stefania"/>
        <s v="Duque Jironza Karen Julissa"/>
        <s v="Duque Jironza Laura Zulima"/>
        <s v="España Francis Nelfa Elizabeth"/>
        <s v="Espinoza Avila Manuel Eduardo"/>
        <s v="Estupiñan Hurtado Ivannova Stefania"/>
        <s v="Estupiñan Plaza Marcos Ignacio"/>
        <s v="Falcones Benalcazar Mercy Janeth"/>
        <s v="Garcia Rezabala David Alexander"/>
        <s v="Gracia Ortiz Karina Elizabeth"/>
        <s v="Guaira Ramos Wiliam Jose"/>
        <s v="Guashpa Gómez Alex David"/>
        <s v="Guerrero Veliz Antonieta Madeley"/>
        <s v="Heredia Alvear Andres Sebastian"/>
        <s v="Hernandez Pazmiño César Ernesto"/>
        <s v="Hidalgo Solorzano Luis Enrique"/>
        <s v="Hidalgo Tapia Cosme Enrique"/>
        <s v="Intriago Ferrin Ana Sariah"/>
        <s v="Ipiales Miranda Gabriel Alejandro"/>
        <s v="Jijon Motato Jose Ivan"/>
        <s v="Lara Calderon Elsa Maria"/>
        <s v="Lastre Cuellar Mariuxi Ivonne"/>
        <s v="Lluilema  Luis Alberto"/>
        <s v="Lopez Estupiñán Boris Paul"/>
        <s v="Maldonado Roman Isabel Cristina"/>
        <s v="Maliza Chasi Blanca Cecilia"/>
        <s v="Mancero Mayacela Ximena Paola"/>
        <s v="Marcillo Murillo Diana Sabrina"/>
        <s v="Marines Batalla Bona Patricia"/>
        <s v="Mariny Valencia Mariela Katherine"/>
        <s v="Marmolejo Cueva Melba Cristina"/>
        <s v="Marquez Arboleda Viviana Mercedes"/>
        <s v="Medina Godoy Alba Annabelle"/>
        <s v="Medina Godoy Kathya Bolivia"/>
        <s v="Mendoza Macias Cristina Alexandra"/>
        <s v="Mendoza Pita Priscila Del Rocio"/>
        <s v="Mera Carranza Joseelyn Genesis"/>
        <s v="Mila Carvajal Dionicio Francisco"/>
        <s v="Mina Bone Elis Mariuxi"/>
        <s v="Morales Guamán Klever Patricio"/>
        <s v="Muela Gonzalez Nelson Alejandro"/>
        <s v="Naranjo Corria Rebeca "/>
        <s v="Nevarez Toledo Manuel Rogelio"/>
        <s v="Ocampo Erazo Hugo Paúl"/>
        <s v="Ortiz Castro Merida Elizabeth"/>
        <s v="Ortiz Diaz Marcos David"/>
        <s v="Ortiz Orobio Mayra Leticia"/>
        <s v="Palencia Gutierrez Esperanza Marbella"/>
        <s v="Patiño Cagua Celeste Anne"/>
        <s v="Paz Moran Veronica Alexandra"/>
        <s v="Perdomo Guerron Juan Carlos"/>
        <s v="Perlaza Muñoz Dolores Eulofia"/>
        <s v="Perlaza Rodriguez Marjorie Katherine"/>
        <s v="Peña Rosas Gloria Del Valle"/>
        <s v="Pico Valencia Pablo Antonio"/>
        <s v="Pineda Caicedo Andrea Estefania"/>
        <s v="Plata Cabrera Carlos Simon"/>
        <s v="Plaza Ordoñez Maria De Lourdes"/>
        <s v="Posligua Flores Kleber Rolando"/>
        <s v="Prieto Fuenmayor Julia Rosa"/>
        <s v="Pupo Suñol Angel Eduardo"/>
        <s v="Quintanilla Pazmiño Pedro Daniel"/>
        <s v="Quintero Rosales Francisco Jhonny"/>
        <s v="Quiroz Ponce Freddy Hernan"/>
        <s v="Quishpe Vallejo Jefferson Xavier"/>
        <s v="Quiñonez Castillo Carmen Rosario"/>
        <s v="Quiñonez Ku Victor Xavier"/>
        <s v="Quiñonez Perlaza Guadalupe "/>
        <s v="Ramirez Castillo Damaris Paulette"/>
        <s v="Ramirez Lozada Haydee "/>
        <s v="Ramirez Rubira Elio "/>
        <s v="Realpe Vivas Ketty Marlene"/>
        <s v="Rebolledo Monsalve Eduardo Rodolfo"/>
        <s v="Rengifo Alava Yandry Javier"/>
        <s v="Reyes Arboleda Paulett Stefania"/>
        <s v="Rivera Bone Carlos Alejandro"/>
        <s v="Rodas Luque Maria Jose"/>
        <s v="Rodriguez Castillo Nadia Mariuxi"/>
        <s v="Rodriguez Mafla Tony Wilmar"/>
        <s v="Romero Nazareno Jose Luis"/>
        <s v="Samaniego Garcia Rosa Paola"/>
        <s v="Sampietro Saquicela Jose Luis"/>
        <s v="Sanchez Guerra Iñigo "/>
        <s v="Sanchez Jaramillo Efrain Asdrubal"/>
        <s v="Sanchez Robalino Andrea Nicole"/>
        <s v="Sayago Heredia Jaime Paul"/>
        <s v="Simbaña Bastidas Christian Mauricio"/>
        <s v="Sinchi Sinchi Hugo Fernando"/>
        <s v="Solis Charcopa Karla Fernanda"/>
        <s v="Solis Murillo Maria De Lourdes"/>
        <s v="Sosa Bone Mirna Patricia"/>
        <s v="Suarez Lezcano Jose "/>
        <s v="Tarira España Monica Del Rocio"/>
        <s v="Toledo Gutierrez Murat Lorena"/>
        <s v="Torres Rodriguez Maria Teresa"/>
        <s v="Valdez Rosales Saul David"/>
        <s v="Valencia Cortez Marta Lucia"/>
        <s v="Vallejo Espinoza Jose Raul"/>
        <s v="Vallejo Galárraga Wilson Santiago"/>
        <s v="Vasquez Coisme Ladys Diana"/>
        <s v="Velasco Angulo Cecilia Esther"/>
        <s v="Velastegui Izurieta Homero Javier"/>
        <s v="Veliz Cordova Ana Cristina"/>
        <s v="Vera Moran Freddy Paul"/>
        <s v="Vera Pinargote Sinay Celeste"/>
        <s v="Vergara Toro Monica Angelina"/>
        <s v="Vernaza Quiñonez Lucia Margarita"/>
        <s v="Vila Maffare Marilyn Marivel"/>
        <s v="Villarreal Puga Josue "/>
        <s v="Vinueza Ramón Diana Paola"/>
        <s v="Vizcaino Ordoñez Laura Del Rocio "/>
        <s v="Woldehawariat Kidanemariam Ghebrezghiabiher "/>
        <s v="Zambrano Araujo Genova Elisa"/>
        <s v="ACOSTA CERVANTES JORGE LUIS" u="1"/>
        <s v="ALTMAN PEÑA BARBARA " u="1"/>
        <s v="ALVAREZ REYNA ANISLEY " u="1"/>
        <s v="ANCHUNDIA ORTIZ ANGEL " u="1"/>
        <s v="ARANA ESPINOZA ANDREA STEFANIA" u="1"/>
        <s v="ARROYO HIDALGO SONIA ALEXANDRA" u="1"/>
        <s v="ARROYO MERCADO EDWIN RAÚL" u="1"/>
        <s v="ASANZA ARMIJOS VICTOR MANUEL" u="1"/>
        <s v="AVILA HERRERA STALYN ALEJANDRO" u="1"/>
        <s v="BARROS GRUEZO GALO THOMAS" u="1"/>
        <s v="BEDON PATA MALENA CEMIRAMIS" u="1"/>
        <s v="BUENO CASTELLANOS MAURICIO ANDRES" u="1"/>
        <s v="BUSTOS MERCHAN YASMIN DEL ROCIO" u="1"/>
        <s v="CAICEDO CASTILLO LEISY LILIBET" u="1"/>
        <s v="CAICEDO MINA VERONICA CRISTINA" u="1"/>
        <s v="CANO DE LA CRUZ YULLIO " u="1"/>
        <s v="CEDEÑO BARREZUETA DARIO ANDRES" u="1"/>
        <s v="CHAMBA LEÓN MARLON SANTIAGO" u="1"/>
        <s v="CHAVEZ VACA JORGE STALIN" u="1"/>
        <s v="CUASAPAZ ESCOBAR DARWIN ANDRES" u="1"/>
        <s v="DAVILA SACOTO MIGUEL ALBERTO" u="1"/>
        <s v="DELGADO MENDOZA HISHOCHY " u="1"/>
        <s v="ECHEVERRIA JURADO DIEGO ERNESTO" u="1"/>
        <s v="EGAS ACOSTA CARLOS ROBERTO" u="1"/>
        <s v="ESPAÑA ARBOLEDA DALIA CECILIA" u="1"/>
        <s v="GOMEZ MENDOZA MARÍA JOSÉ" u="1"/>
        <s v="GONZALEZ BERRUGA MANUEL ANGEL" u="1"/>
        <s v="GONZALEZ LANDAZURI JERRY GEOVANNY" u="1"/>
        <s v="GROB  MARC " u="1"/>
        <s v="HERNANDEZ ZAMBRANO YARINTZA COROMOTO" u="1"/>
        <s v="HERRERA IZQUIERDO LUIS ALBERTO" u="1"/>
        <s v="JACOME CARRERA JUAN PABLO" u="1"/>
        <s v="JIMENEZ BOSQUEZ DIEGO ARMANDO" u="1"/>
        <s v="LAGUA GAVILANES ANDRES SEBASTIAN" u="1"/>
        <s v="LAVERDE ALBARRACIN CRISTIAN SAMUEL" u="1"/>
        <s v="MANZABA OLIVO ROMINA ANABELLE" u="1"/>
        <s v="MARIÑO ANDRADE HENRY GEOVANNY" u="1"/>
        <s v="MARQUEZ FIGUEROA ALEXANDRA VERONICA" u="1"/>
        <s v="MEDINA MALDONADO VENUS ELIZABETH" u="1"/>
        <s v="MENDOZA ALMEIDA JOHNNY JESUS" u="1"/>
        <s v="MINA MINDA ALICIA DOLORES" u="1"/>
        <s v="MONCAYO FIUSA ZORAIDA " u="1"/>
        <s v="ORELLANA VILA JORGE DAVID" u="1"/>
        <s v="ORTEGA GAITE SONIA " u="1"/>
        <s v="PATIÑO SANCHEZ JOSE ROBERTO" u="1"/>
        <s v="PAZMIÑO ORDOÑEZ IVÁN PATRICIO" u="1"/>
        <s v="PEREZ PEREZ YENICEY ROSA" u="1"/>
        <s v="PUENTE HOLGUIN WASHINGTON DAVID" u="1"/>
        <s v="QUINDE GUAMAN EDWIN RENE" u="1"/>
        <s v="QUIÑONEZ CASTILLO RHUT YANET" u="1"/>
        <s v="QUIÑONEZ QUIÑONEZ ANGEL FERNANDO" u="1"/>
        <s v="RAMIREZ NARANJO ROSA ELVIRA" u="1"/>
        <s v="RESTREPO LEMACHE SANDRA LISBETH" u="1"/>
        <s v="REYES ARBOLEDA PAULETT STEFANÍA" u="1"/>
        <s v="ROJAS LONDOÑO ORLANDO DAVID" u="1"/>
        <s v="ROMERO MEJIA LUIS GEOVANNY" u="1"/>
        <s v="RUEDA PANCHANO CARLOS IVÁN" u="1"/>
        <s v="SALAZAR DONOSO ELIAS HUMBERTO" u="1"/>
        <s v="SALAZAR HIDALGO DIEGO SEBASTIAN" u="1"/>
        <s v="SANCHEZ FUENTES SERGIO " u="1"/>
        <s v="SERRANO PRATO GABRIELA PETRUSKA" u="1"/>
        <s v="SEVILLA ERAZO FABIOLA " u="1"/>
        <s v="SOLIS CAICEDO LISSETTE ANNABELLE" u="1"/>
        <s v="SÁNCHEZ BARROS MERCEDES VIVIANA" u="1"/>
        <s v="TAPIA DELGADO ISABEL DEL PILAR" u="1"/>
        <s v="TIPANTUÑA SANTANDER MARICELA VANESSA" u="1"/>
        <s v="TOALA MAZO DENISE MABEL" u="1"/>
        <s v="TRELLES CABRERA FLAVIO DANIEL" u="1"/>
        <s v="VARGAS CONTRERAS WALTER ALBERTO" u="1"/>
        <s v="VITERI MONTESDEOCA JOSE FABRICIO" u="1"/>
      </sharedItems>
    </cacheField>
    <cacheField name="Edad" numFmtId="0">
      <sharedItems containsSemiMixedTypes="0" containsString="0" containsNumber="1" containsInteger="1" minValue="25" maxValue="68"/>
    </cacheField>
    <cacheField name="Tiempo de Servicio" numFmtId="0">
      <sharedItems/>
    </cacheField>
    <cacheField name="Genero" numFmtId="0">
      <sharedItems/>
    </cacheField>
    <cacheField name="Nivel de estudio" numFmtId="0">
      <sharedItems/>
    </cacheField>
    <cacheField name="Grado" numFmtId="0">
      <sharedItems/>
    </cacheField>
    <cacheField name="Modalidad de Trabajo" numFmtId="0">
      <sharedItems/>
    </cacheField>
    <cacheField name="Carrera" numFmtId="0">
      <sharedItems/>
    </cacheField>
    <cacheField name="Estud a Doc" numFmtId="0">
      <sharedItems containsSemiMixedTypes="0" containsString="0" containsNumber="1" minValue="1.34" maxValue="2"/>
    </cacheField>
    <cacheField name="Autoeval" numFmtId="0">
      <sharedItems containsSemiMixedTypes="0" containsString="0" containsNumber="1" minValue="0" maxValue="1"/>
    </cacheField>
    <cacheField name="Coord a Docente" numFmtId="0">
      <sharedItems containsSemiMixedTypes="0" containsString="0" containsNumber="1" minValue="0.76" maxValue="1"/>
    </cacheField>
    <cacheField name="Eval pares" numFmtId="0">
      <sharedItems containsSemiMixedTypes="0" containsString="0" containsNumber="1" minValue="0.67" maxValue="1"/>
    </cacheField>
    <cacheField name="Total sobre 5" numFmtId="0">
      <sharedItems containsSemiMixedTypes="0" containsString="0" containsNumber="1" minValue="3.71" maxValue="4.99"/>
    </cacheField>
    <cacheField name="TOTAL SOBRE 100" numFmtId="0">
      <sharedItems containsSemiMixedTypes="0" containsString="0" containsNumber="1" minValue="74.2" maxValue="9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oria Jackeline Zambrano Delgado" refreshedDate="45797.652504513891" createdVersion="8" refreshedVersion="8" minRefreshableVersion="3" recordCount="426" xr:uid="{501E47CA-7C5A-4B17-A860-6DA9CFD9777D}">
  <cacheSource type="worksheet">
    <worksheetSource ref="A1:N1048576" sheet="Worksheet (2)"/>
  </cacheSource>
  <cacheFields count="14">
    <cacheField name="Período Evaluado" numFmtId="0">
      <sharedItems containsBlank="1" count="4">
        <s v="Primer P. Ord. 2023 Grado 202361"/>
        <s v="Segundo P. Ord. 2023 Grado 202366"/>
        <s v="Primer P. Ord. 2024 Grado 202461"/>
        <m/>
      </sharedItems>
    </cacheField>
    <cacheField name="Cédula" numFmtId="0">
      <sharedItems containsBlank="1" containsMixedTypes="1" containsNumber="1" containsInteger="1" minValue="1803528049" maxValue="1803528049"/>
    </cacheField>
    <cacheField name="Apellidos y Nombres" numFmtId="0">
      <sharedItems containsBlank="1" count="213">
        <s v="Achilie Valencia Tahimi "/>
        <s v="Acosta Ganan Michael Andres"/>
        <s v="Agreda Egas Eylen Amanda"/>
        <s v="Aguilar Quiñonez Veronica Elizabeth"/>
        <s v="Alava Chila Orlin Eladio"/>
        <s v="Alencastro Guerrero Nelson Junior"/>
        <s v="Altman Peña Barbara"/>
        <s v="Anchundia Ortiz Angel"/>
        <s v="Andrade Perea Jane Verónica"/>
        <s v="Angulo Alegria Memi Victoria"/>
        <s v="Angulo Castillo Jacinta Veronica"/>
        <s v="Araujo Albarran Karen Eloina"/>
        <s v="Arguello Cedeño Jonathan Alexander"/>
        <s v="Armas Arias Mario Javier"/>
        <s v="Armijos Porozo Irlanda Magaly"/>
        <s v="Arroyo Mercado Edwin Raul"/>
        <s v="Ballesteros Chica Guillermo Alexander"/>
        <s v="Bautista Cotera Javier Geovanny"/>
        <s v="Bautista Mejia Katiuska Maria"/>
        <s v="Becerra Posligua Carlos Ramón"/>
        <s v="Benitez Barro Andrea Carolina"/>
        <s v="Bernabe Lillo Maria De Los Lirios"/>
        <s v="Betancourt Aguilar Freddy Leonardo"/>
        <s v="Burbano Salazar Javier Enrique"/>
        <s v="Bustos Vera Rhay Pablo"/>
        <s v="Callejas De Valero Diana Estela"/>
        <s v="Carvache Franco Zully Betty"/>
        <s v="Carvajal Carvajal Jose Luis"/>
        <s v="Castillo Quiñonez Zulinda Susy"/>
        <s v="Castro Demera Dicke Alejandro"/>
        <s v="Cedeño Barrezueta Darío Andrés"/>
        <s v="Cedeño Lastra Susana Elizabeth"/>
        <s v="Cervantes Intriago Jenny Cristina"/>
        <s v="Cevallos Arteaga Ramon Marcos"/>
        <s v="Chichande Mora Mirna Monserrate"/>
        <s v="Chila Garcia Karen Carolina"/>
        <s v="Coimen Marquez Boris Guillermo"/>
        <s v="Cuero Bennett Maria Jose"/>
        <s v="Cunha Romero Luz Elena"/>
        <s v="De La Rosa Ferrera Jose Manuel"/>
        <s v="Delgado Gonzalez Cristhian David"/>
        <s v="Dueñas Mendoza Andrea Stefania"/>
        <s v="Duque Jironza Karen Julissa"/>
        <s v="Duque Jironza Laura Zulima"/>
        <s v="España Francis Nelfa Elizabeth"/>
        <s v="Espinoza Avila Manuel Eduardo"/>
        <s v="Estupiñan Hurtado Ivannova Stefania"/>
        <s v="Estupiñan Plaza Marcos Ignacio"/>
        <s v="Falcones Benalcazar Mercy Janeth"/>
        <s v="Garcia Rezabala David Alexander"/>
        <s v="Gracia Ortiz Karina Elizabeth"/>
        <s v="Guaira Ramos Wiliam Jose"/>
        <s v="Guashpa Gómez Alex David"/>
        <s v="Guerrero Veliz Antonieta Madeley"/>
        <s v="Heredia Alvear Andres Sebastian"/>
        <s v="Hernandez Pazmiño César Ernesto"/>
        <s v="Hidalgo Solorzano Luis Enrique"/>
        <s v="Hidalgo Tapia Cosme Enrique"/>
        <s v="Intriago Ferrin Ana Sariah"/>
        <s v="Ipiales Miranda Gabriel Alejandro"/>
        <s v="Jijon Motato Jose Ivan"/>
        <s v="Lara Calderon Elsa Maria"/>
        <s v="Lastre Cuellar Mariuxi Ivonne"/>
        <s v="Lluilema  Luis Alberto"/>
        <s v="Lopez Estupiñán Boris Paul"/>
        <s v="Maldonado Roman Isabel Cristina"/>
        <s v="Maliza Chasi Blanca Cecilia"/>
        <s v="Mancero Mayacela Ximena Paola"/>
        <s v="Marcillo Murillo Diana Sabrina"/>
        <s v="Marines Batalla Bona Patricia"/>
        <s v="Mariny Valencia Mariela Katherine"/>
        <s v="Marmolejo Cueva Melba Cristina"/>
        <s v="Marquez Arboleda Viviana Mercedes"/>
        <s v="Medina Godoy Alba Annabelle"/>
        <s v="Medina Godoy Kathya Bolivia"/>
        <s v="Mendoza Macias Cristina Alexandra"/>
        <s v="Mendoza Pita Priscila Del Rocio"/>
        <s v="Mera Carranza Joseelyn Genesis"/>
        <s v="Mila Carvajal Dionicio Francisco"/>
        <s v="Mina Bone Elis Mariuxi"/>
        <s v="Morales Guamán Klever Patricio"/>
        <s v="Muela Gonzalez Nelson Alejandro"/>
        <s v="Naranjo Corria Rebeca "/>
        <s v="Nevarez Toledo Manuel Rogelio"/>
        <s v="Ocampo Erazo Hugo Paúl"/>
        <s v="Ortiz Castro Merida Elizabeth"/>
        <s v="Ortiz Diaz Marcos David"/>
        <s v="Ortiz Orobio Mayra Leticia"/>
        <s v="Palencia Gutierrez Esperanza Marbella"/>
        <s v="Patiño Cagua Celeste Anne"/>
        <s v="Paz Moran Veronica Alexandra"/>
        <s v="Perdomo Guerron Juan Carlos"/>
        <s v="Perlaza Muñoz Dolores Eulofia"/>
        <s v="Perlaza Rodriguez Marjorie Katherine"/>
        <s v="Peña Rosas Gloria Del Valle"/>
        <s v="Pico Valencia Pablo Antonio"/>
        <s v="Pineda Caicedo Andrea Estefania"/>
        <s v="Plata Cabrera Carlos Simon"/>
        <s v="Plaza Ordoñez Maria De Lourdes"/>
        <s v="Posligua Flores Kleber Rolando"/>
        <s v="Prieto Fuenmayor Julia Rosa"/>
        <s v="Pupo Suñol Angel Eduardo"/>
        <s v="Quintanilla Pazmiño Pedro Daniel"/>
        <s v="Quintero Rosales Francisco Jhonny"/>
        <s v="Quiroz Ponce Freddy Hernan"/>
        <s v="Quishpe Vallejo Jefferson Xavier"/>
        <s v="Quiñonez Castillo Carmen Rosario"/>
        <s v="Quiñonez Ku Victor Xavier"/>
        <s v="Quiñonez Perlaza Guadalupe "/>
        <s v="Ramirez Castillo Damaris Paulette"/>
        <s v="Ramirez Lozada Haydee "/>
        <s v="Ramirez Rubira Elio "/>
        <s v="Realpe Vivas Ketty Marlene"/>
        <s v="Rebolledo Monsalve Eduardo Rodolfo"/>
        <s v="Rengifo Alava Yandry Javier"/>
        <s v="Reyes Arboleda Paulett Stefania"/>
        <s v="Rivera Bone Carlos Alejandro"/>
        <s v="Rodas Luque Maria Jose"/>
        <s v="Rodriguez Castillo Nadia Mariuxi"/>
        <s v="Rodriguez Mafla Tony Wilmar"/>
        <s v="Romero Nazareno Jose Luis"/>
        <s v="Samaniego Garcia Rosa Paola"/>
        <s v="Sampietro Saquicela Jose Luis"/>
        <s v="Sanchez Guerra Iñigo "/>
        <s v="Sanchez Jaramillo Efrain Asdrubal"/>
        <s v="Sanchez Robalino Andrea Nicole"/>
        <s v="Sayago Heredia Jaime Paul"/>
        <s v="Simbaña Bastidas Christian Mauricio"/>
        <s v="Sinchi Sinchi Hugo Fernando"/>
        <s v="Solis Charcopa Karla Fernanda"/>
        <s v="Solis Murillo Maria De Lourdes"/>
        <s v="Sosa Bone Mirna Patricia"/>
        <s v="Suarez Lezcano Jose "/>
        <s v="Tarira España Monica Del Rocio"/>
        <s v="Toledo Gutierrez Murat Lorena"/>
        <s v="Torres Rodriguez Maria Teresa"/>
        <s v="Valdez Rosales Saul David"/>
        <s v="Valencia Cortez Marta Lucia"/>
        <s v="Vallejo Espinoza Jose Raul"/>
        <s v="Vallejo Galárraga Wilson Santiago"/>
        <s v="Vasquez Coisme Ladys Diana"/>
        <s v="Velasco Angulo Cecilia Esther"/>
        <s v="Velastegui Izurieta Homero Javier"/>
        <s v="Veliz Cordova Ana Cristina"/>
        <s v="Vera Moran Freddy Paul"/>
        <s v="Vera Pinargote Sinay Celeste"/>
        <s v="Vergara Toro Monica Angelina"/>
        <s v="Vernaza Quiñonez Lucia Margarita"/>
        <s v="Vila Maffare Marilyn Marivel"/>
        <s v="Villarreal Puga Josue "/>
        <s v="Vinueza Ramón Diana Paola"/>
        <s v="Vizcaino Ordoñez Laura Del Rocio "/>
        <s v="Woldehawariat Kidanemariam Ghebrezghiabiher "/>
        <s v="Zambrano Araujo Genova Elisa"/>
        <s v="ALTMAN PEÑA BARBARA "/>
        <s v="ANCHUNDIA ORTIZ ANGEL "/>
        <s v="AVILAN VALLENILLA MANUEL ANTONIO JOSE"/>
        <s v="BARROS GRUEZO GALO THOMAS"/>
        <s v="CEDEÑO SALAZAR ANDRES RODOLFO"/>
        <s v="FERNANDEZ SANABRIA BARBARA "/>
        <s v="MEZA BATALLA VERONICA JACQUELIN"/>
        <s v="ORTIZ GONZALEZ IVONNE ISABEL"/>
        <s v="PIGUAVE REYES JOSE MANUEL"/>
        <s v="PUENTE HOLGUIN WASHINGTON DAVID"/>
        <s v="REYES ARBOLEDA PAULETT STEFANÍA"/>
        <s v="RODRIGUEZ ESTACIO JOHANNA PATRICIA"/>
        <s v="SALAZAR DONOSO ELIAS HUMBERTO"/>
        <s v="VALBUENA ROMERO PAUL DAVID"/>
        <s v="VERDUGA ALVAREZ MARIANA DE JESUS"/>
        <s v="ZUÑIGA SOSA EVELIN ALEXANDRA"/>
        <s v="ALVAREZ TORRES JONATHAN PAUL"/>
        <s v="ANDRADE OYARVIDE CARLOS ARMANDO"/>
        <s v="ANGULO FERRIN ALEXANDRA KATHERINE"/>
        <s v="ARAUJO QUIÑONEZ MERCEDES ALEJANDRA"/>
        <s v="ARROYO MERCADO EDWIN RAÚL"/>
        <s v="BLANCO LÓPEZ YASMÍN TERESA"/>
        <s v="CABALLERO MOREIRA JAIRON ADRIAN"/>
        <s v="CABEZA BAZAN GRIGSON ALEXANDER"/>
        <s v="CALDERON RUIZ PAOLA ALEXANDRA"/>
        <s v="CAÑOLA QUIÑONEZ MARIEN ANTONELLA"/>
        <s v="CEDEÑO LOOR MARITZA ISABEL"/>
        <s v="CEVALLOS BAZURTO GEN ALEJANDRO"/>
        <s v="CEVALLOS BONE GUILLERMO SEGUNDO"/>
        <s v="COBA PROAÑO DAVID ENRIQUE"/>
        <s v="ESTUPIÑAN SANCHEZ ALFREDO SANDINO"/>
        <s v="GOMEZ LANDAZURI JORGE FIDEL"/>
        <s v="GONZALEZ ARTEAGA CARLOS ENRIQUE"/>
        <s v="GONZALEZ QUIROZ JESSICA TATIANA"/>
        <s v="LLAMUCA PASHMAY VERONICA ELIZABETH"/>
        <s v="MENDOZA SEGOVIA JOEL ALEJANDRO"/>
        <s v="MINA MERCADO MAIRA MARIELA"/>
        <s v="NARANJO VERA JHISAC JOSUE"/>
        <s v="ORTIZ CAMPOS JESSICA MALENA"/>
        <s v="PALIZ IBARRA SANTIAGO JAVIER"/>
        <s v="PLATA GALLEGOS ERVIN JOSE"/>
        <s v="QUINTERO MERLIN JONATHAN MIGUEL"/>
        <s v="QUINTERO MOSQUERA DARIO JAVIER"/>
        <s v="RAMIREZ CORONEL ANDRES ALEXIS"/>
        <s v="RAMIREZ NARANJO ROSA ELVIRA"/>
        <s v="RAMIREZ OLIVO HEIDY KATHERINE"/>
        <s v="RECALDE ARDILA KATLIN DASIEL"/>
        <s v="REVILLA ESCOBAR KAROL YANNELA"/>
        <s v="REYES HURTADO ANGEL SANTIAGO"/>
        <s v="RIVADENEIRA MUÑOZ JUAN ERNESTO"/>
        <s v="RUEDA CASTILLO YAJAIRA MARILIN"/>
        <s v="SOLORZANO GARCES GIRABEL YADIRA"/>
        <s v="SUAREZ YAGUANA JORGE ENRIQUE"/>
        <s v="TOMALA RAMOS ANGELA ELIZABETH"/>
        <s v="VALENCIA COROZO ELIZABETH "/>
        <s v="VASQUEZ HARO FRANCELY ALEXANDRA"/>
        <s v="VELEZ VICHE MARIA EUGENIA"/>
        <s v="ZAMBRANO DUEÑAS JOSE MARIA"/>
        <m/>
      </sharedItems>
    </cacheField>
    <cacheField name="Genero" numFmtId="0">
      <sharedItems containsBlank="1" count="5">
        <s v="MUJER"/>
        <s v="HOMBRE"/>
        <m/>
        <s v="Femenino" u="1"/>
        <s v="Masculino" u="1"/>
      </sharedItems>
    </cacheField>
    <cacheField name="Nivel de estudio" numFmtId="0">
      <sharedItems containsBlank="1" count="3">
        <s v="CUARTO NIVEL"/>
        <s v="TERCER NIVEL"/>
        <m/>
      </sharedItems>
    </cacheField>
    <cacheField name="Grado" numFmtId="0">
      <sharedItems containsBlank="1" containsMixedTypes="1" containsNumber="1" containsInteger="1" minValue="0" maxValue="0" count="5">
        <s v="MAESTRÍA O EQUIVALENTE"/>
        <s v="DOCTOR (Ph.D)"/>
        <s v="ESPECIALISTA AREA SALUD"/>
        <n v="0"/>
        <m/>
      </sharedItems>
    </cacheField>
    <cacheField name="Modalidad de Trabajo" numFmtId="0">
      <sharedItems containsBlank="1" count="5">
        <s v="TIEMPO COMPLETO"/>
        <s v="TIEMPO PARCIAL"/>
        <s v="MEDIO TIEMPO"/>
        <m/>
        <s v="06" u="1"/>
      </sharedItems>
    </cacheField>
    <cacheField name="Carrera" numFmtId="0">
      <sharedItems containsBlank="1" count="25">
        <s v="CONTABILIDAD Y AUDITORIA CPA"/>
        <s v="LABORATORIO CLINICO"/>
        <s v="AGROINDUSTRIA"/>
        <s v="EDUCACIÓN BÁSICA SEMIPRESENCIAL"/>
        <s v="TECNOLOGÍAS DE LA INFORMACIÓN"/>
        <s v="ENFERMERÍA"/>
        <s v="PSICOLOGÍA"/>
        <s v="DERECHO"/>
        <s v="NEGOCIOS INTERNACIONALES"/>
        <s v="EDUCACIÓN INICIAL"/>
        <s v="FISIOTERAPIA"/>
        <s v="ADMINISTRACIÓN DE EMPRESAS"/>
        <s v="PEDAGOGÍA DE LOS IDIOMAS NACIONALES Y EXTRANJEROS"/>
        <s v="DISEÑO GRAFICO"/>
        <s v="TURISMO"/>
        <s v="GESTIÓN AMBIENTAL"/>
        <s v="EDUCACIÓN BÁSICA PRESENCIAL"/>
        <s v="RECURSOS NATURALES"/>
        <s v="LABORATORIO CLÍNICO"/>
        <s v="ENFERMERÍA (TECNOLOGÍA)"/>
        <s v="GESTIÓN CULINARIA (TECNOLOGÍA)"/>
        <s v="ACCIÓN PASTORAL (TECNOLOGÍA)"/>
        <s v="DISEÑO GRÁFICO"/>
        <s v="MEDICINA"/>
        <m/>
      </sharedItems>
    </cacheField>
    <cacheField name="Estud a Doc" numFmtId="0">
      <sharedItems containsString="0" containsBlank="1" containsNumber="1" minValue="1.25" maxValue="2"/>
    </cacheField>
    <cacheField name="Autoeval" numFmtId="0">
      <sharedItems containsString="0" containsBlank="1" containsNumber="1" minValue="0" maxValue="1"/>
    </cacheField>
    <cacheField name="Coord a Docente" numFmtId="0">
      <sharedItems containsString="0" containsBlank="1" containsNumber="1" minValue="0" maxValue="1.5"/>
    </cacheField>
    <cacheField name="Eval pares" numFmtId="0">
      <sharedItems containsString="0" containsBlank="1" containsNumber="1" minValue="0" maxValue="1"/>
    </cacheField>
    <cacheField name="Total sobre 5" numFmtId="0">
      <sharedItems containsString="0" containsBlank="1" containsNumber="1" minValue="2.3199999999999998" maxValue="4.99"/>
    </cacheField>
    <cacheField name="TOTAL SOBRE 100" numFmtId="0">
      <sharedItems containsString="0" containsBlank="1" containsNumber="1" minValue="46.399999999999991" maxValue="9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x v="0"/>
    <s v="0800728735"/>
    <x v="0"/>
    <x v="0"/>
    <s v="9 AÑOS 1 MESES"/>
    <x v="0"/>
    <x v="0"/>
    <s v="MAESTRÍA O EQUIVALENTE"/>
    <x v="0"/>
    <x v="0"/>
    <n v="1.84"/>
    <n v="0.99"/>
    <n v="0.97"/>
    <n v="1"/>
    <n v="4.8"/>
    <n v="96"/>
  </r>
  <r>
    <x v="0"/>
    <s v="1250036082"/>
    <x v="1"/>
    <x v="1"/>
    <s v="0 AÑOS 2 MESES"/>
    <x v="1"/>
    <x v="0"/>
    <s v="MAESTRÍA O EQUIVALENTE"/>
    <x v="0"/>
    <x v="1"/>
    <n v="1.68"/>
    <n v="0.86"/>
    <n v="1"/>
    <n v="0.93"/>
    <n v="4.47"/>
    <n v="89.4"/>
  </r>
  <r>
    <x v="0"/>
    <s v="1803528049"/>
    <x v="2"/>
    <x v="2"/>
    <s v="1 AÑOS 1 MESES"/>
    <x v="0"/>
    <x v="0"/>
    <s v="MAESTRÍA O EQUIVALENTE"/>
    <x v="0"/>
    <x v="1"/>
    <n v="1.72"/>
    <n v="1"/>
    <n v="1"/>
    <n v="1"/>
    <n v="4.72"/>
    <n v="94.4"/>
  </r>
  <r>
    <x v="0"/>
    <s v="0802885665"/>
    <x v="3"/>
    <x v="3"/>
    <s v="1 AÑOS 7 MESES"/>
    <x v="0"/>
    <x v="0"/>
    <s v="MAESTRÍA O EQUIVALENTE"/>
    <x v="0"/>
    <x v="0"/>
    <n v="1.94"/>
    <n v="1"/>
    <n v="0.94"/>
    <n v="0.91"/>
    <n v="4.79"/>
    <n v="95.8"/>
  </r>
  <r>
    <x v="0"/>
    <s v="0802669531"/>
    <x v="4"/>
    <x v="4"/>
    <s v="0 AÑOS 1 MESES"/>
    <x v="1"/>
    <x v="0"/>
    <s v="MAESTRÍA O EQUIVALENTE"/>
    <x v="0"/>
    <x v="0"/>
    <n v="1.91"/>
    <n v="1"/>
    <n v="1"/>
    <n v="0.98"/>
    <n v="4.8899999999999997"/>
    <n v="97.799999999999983"/>
  </r>
  <r>
    <x v="0"/>
    <s v="0802190868"/>
    <x v="5"/>
    <x v="5"/>
    <s v="0 AÑOS 7 MESES"/>
    <x v="1"/>
    <x v="0"/>
    <s v="MAESTRÍA O EQUIVALENTE"/>
    <x v="1"/>
    <x v="2"/>
    <n v="1.8"/>
    <n v="1"/>
    <n v="0.93"/>
    <n v="0.92"/>
    <n v="4.6500000000000004"/>
    <n v="93.000000000000014"/>
  </r>
  <r>
    <x v="0"/>
    <s v="0962658753"/>
    <x v="6"/>
    <x v="6"/>
    <s v="0 AÑOS 2 MESES"/>
    <x v="0"/>
    <x v="0"/>
    <s v="MAESTRÍA O EQUIVALENTE"/>
    <x v="1"/>
    <x v="3"/>
    <n v="1.83"/>
    <n v="0.96"/>
    <n v="1"/>
    <n v="1"/>
    <n v="4.79"/>
    <n v="95.8"/>
  </r>
  <r>
    <x v="0"/>
    <s v="0800436495"/>
    <x v="7"/>
    <x v="7"/>
    <s v="0 AÑOS 2 MESES"/>
    <x v="1"/>
    <x v="0"/>
    <s v="MAESTRÍA O EQUIVALENTE"/>
    <x v="2"/>
    <x v="4"/>
    <n v="1.83"/>
    <n v="1"/>
    <n v="0.98"/>
    <n v="1"/>
    <n v="4.8099999999999996"/>
    <n v="96.199999999999989"/>
  </r>
  <r>
    <x v="0"/>
    <s v="0802345413"/>
    <x v="8"/>
    <x v="8"/>
    <s v="0 AÑOS 7 MESES"/>
    <x v="0"/>
    <x v="0"/>
    <s v="MAESTRÍA O EQUIVALENTE"/>
    <x v="1"/>
    <x v="4"/>
    <n v="1.85"/>
    <n v="0"/>
    <n v="1"/>
    <n v="1"/>
    <n v="3.85"/>
    <n v="77"/>
  </r>
  <r>
    <x v="0"/>
    <s v="0801445107"/>
    <x v="9"/>
    <x v="9"/>
    <s v="9 AÑOS 9 MESES"/>
    <x v="0"/>
    <x v="0"/>
    <s v="MAESTRÍA O EQUIVALENTE"/>
    <x v="0"/>
    <x v="5"/>
    <n v="1.74"/>
    <n v="0.97"/>
    <n v="0.97"/>
    <n v="0.97"/>
    <n v="4.6500000000000004"/>
    <n v="93.000000000000014"/>
  </r>
  <r>
    <x v="0"/>
    <s v="0801912221"/>
    <x v="10"/>
    <x v="10"/>
    <s v="0 AÑOS 8 MESES"/>
    <x v="0"/>
    <x v="0"/>
    <s v="MAESTRÍA O EQUIVALENTE"/>
    <x v="0"/>
    <x v="6"/>
    <n v="1.84"/>
    <n v="1"/>
    <n v="1"/>
    <n v="1"/>
    <n v="4.84"/>
    <n v="96.8"/>
  </r>
  <r>
    <x v="0"/>
    <s v="1760560027"/>
    <x v="11"/>
    <x v="5"/>
    <s v="0 AÑOS 5 MESES"/>
    <x v="0"/>
    <x v="0"/>
    <s v="MAESTRÍA O EQUIVALENTE"/>
    <x v="1"/>
    <x v="7"/>
    <n v="1.96"/>
    <n v="0.92"/>
    <n v="0.94"/>
    <n v="1"/>
    <n v="4.82"/>
    <n v="96.4"/>
  </r>
  <r>
    <x v="0"/>
    <s v="0803503176"/>
    <x v="12"/>
    <x v="11"/>
    <s v="0 AÑOS 3 MESES"/>
    <x v="1"/>
    <x v="0"/>
    <s v="MAESTRÍA O EQUIVALENTE"/>
    <x v="0"/>
    <x v="2"/>
    <n v="1.95"/>
    <n v="0.99"/>
    <n v="1"/>
    <n v="1"/>
    <n v="4.9400000000000004"/>
    <n v="98.800000000000011"/>
  </r>
  <r>
    <x v="0"/>
    <s v="0503270506"/>
    <x v="13"/>
    <x v="2"/>
    <s v="123 AÑOS 11 MESES"/>
    <x v="1"/>
    <x v="0"/>
    <s v="MAESTRÍA O EQUIVALENTE"/>
    <x v="0"/>
    <x v="8"/>
    <n v="2"/>
    <n v="0.98"/>
    <n v="0.97"/>
    <n v="1"/>
    <n v="4.95"/>
    <n v="99"/>
  </r>
  <r>
    <x v="0"/>
    <s v="0801771437"/>
    <x v="14"/>
    <x v="8"/>
    <s v="8 AÑOS 5 MESES"/>
    <x v="0"/>
    <x v="0"/>
    <s v="MAESTRÍA O EQUIVALENTE"/>
    <x v="0"/>
    <x v="9"/>
    <n v="1.92"/>
    <n v="1"/>
    <n v="1"/>
    <n v="1"/>
    <n v="4.92"/>
    <n v="98.4"/>
  </r>
  <r>
    <x v="0"/>
    <s v="0801683863"/>
    <x v="15"/>
    <x v="12"/>
    <s v="0 AÑOS 2 MESES"/>
    <x v="1"/>
    <x v="0"/>
    <s v="MAESTRÍA O EQUIVALENTE"/>
    <x v="1"/>
    <x v="5"/>
    <n v="1.92"/>
    <n v="0"/>
    <n v="0.89"/>
    <n v="1"/>
    <n v="3.81"/>
    <n v="76.2"/>
  </r>
  <r>
    <x v="0"/>
    <s v="0802909861"/>
    <x v="16"/>
    <x v="11"/>
    <s v="0 AÑOS 7 MESES"/>
    <x v="1"/>
    <x v="0"/>
    <s v="MAESTRÍA O EQUIVALENTE"/>
    <x v="1"/>
    <x v="6"/>
    <n v="1.93"/>
    <n v="1"/>
    <n v="1"/>
    <n v="0.98"/>
    <n v="4.91"/>
    <n v="98.2"/>
  </r>
  <r>
    <x v="0"/>
    <s v="0801577297"/>
    <x v="17"/>
    <x v="13"/>
    <s v="6 AÑOS 3 MESES"/>
    <x v="1"/>
    <x v="0"/>
    <s v="MAESTRÍA O EQUIVALENTE"/>
    <x v="1"/>
    <x v="3"/>
    <n v="1.76"/>
    <n v="0.99"/>
    <n v="1"/>
    <n v="1"/>
    <n v="4.75"/>
    <n v="95"/>
  </r>
  <r>
    <x v="0"/>
    <s v="0802916130"/>
    <x v="18"/>
    <x v="14"/>
    <s v="0 AÑOS 2 MESES"/>
    <x v="0"/>
    <x v="0"/>
    <s v="MAESTRÍA O EQUIVALENTE"/>
    <x v="1"/>
    <x v="3"/>
    <n v="1.94"/>
    <n v="0"/>
    <n v="1"/>
    <n v="1"/>
    <n v="3.94"/>
    <n v="78.8"/>
  </r>
  <r>
    <x v="0"/>
    <s v="0800627523"/>
    <x v="19"/>
    <x v="15"/>
    <s v="0 AÑOS 7 MESES"/>
    <x v="1"/>
    <x v="0"/>
    <s v="MAESTRÍA O EQUIVALENTE"/>
    <x v="1"/>
    <x v="10"/>
    <n v="1.79"/>
    <n v="0.97"/>
    <n v="0.83"/>
    <n v="0.77"/>
    <n v="4.3600000000000003"/>
    <n v="87.200000000000017"/>
  </r>
  <r>
    <x v="0"/>
    <s v="1725949851"/>
    <x v="20"/>
    <x v="16"/>
    <s v="0 AÑOS 2 MESES"/>
    <x v="0"/>
    <x v="0"/>
    <s v="MAESTRÍA O EQUIVALENTE"/>
    <x v="1"/>
    <x v="5"/>
    <n v="1.91"/>
    <n v="1"/>
    <n v="0.95"/>
    <n v="0.93"/>
    <n v="4.79"/>
    <n v="95.8"/>
  </r>
  <r>
    <x v="0"/>
    <s v="1750819565"/>
    <x v="21"/>
    <x v="17"/>
    <s v="12 AÑOS 9 MESES"/>
    <x v="0"/>
    <x v="0"/>
    <s v="MAESTRÍA O EQUIVALENTE"/>
    <x v="0"/>
    <x v="3"/>
    <n v="1.95"/>
    <n v="0.98"/>
    <n v="1"/>
    <n v="1"/>
    <n v="4.93"/>
    <n v="98.6"/>
  </r>
  <r>
    <x v="0"/>
    <s v="0801786245"/>
    <x v="22"/>
    <x v="18"/>
    <s v="0 AÑOS 8 MESES"/>
    <x v="1"/>
    <x v="0"/>
    <s v="MAESTRÍA O EQUIVALENTE"/>
    <x v="0"/>
    <x v="11"/>
    <n v="1.86"/>
    <n v="0.97"/>
    <n v="0.97"/>
    <n v="1"/>
    <n v="4.8"/>
    <n v="96"/>
  </r>
  <r>
    <x v="0"/>
    <s v="0801907197"/>
    <x v="23"/>
    <x v="2"/>
    <s v="0 AÑOS 2 MESES"/>
    <x v="1"/>
    <x v="0"/>
    <s v="DOCTOR (Ph.D)"/>
    <x v="1"/>
    <x v="11"/>
    <n v="1.8"/>
    <n v="1"/>
    <n v="1"/>
    <n v="1"/>
    <n v="4.8"/>
    <n v="96"/>
  </r>
  <r>
    <x v="0"/>
    <s v="0801095050"/>
    <x v="24"/>
    <x v="19"/>
    <s v="5 AÑOS 8 MESES"/>
    <x v="1"/>
    <x v="0"/>
    <s v="MAESTRÍA O EQUIVALENTE"/>
    <x v="1"/>
    <x v="4"/>
    <n v="1.57"/>
    <n v="1"/>
    <n v="1"/>
    <n v="0.91"/>
    <n v="4.4800000000000004"/>
    <n v="89.600000000000009"/>
  </r>
  <r>
    <x v="0"/>
    <s v="0963349907"/>
    <x v="25"/>
    <x v="20"/>
    <s v="0 AÑOS 7 MESES"/>
    <x v="0"/>
    <x v="0"/>
    <s v="DOCTOR (Ph.D)"/>
    <x v="0"/>
    <x v="1"/>
    <n v="1.82"/>
    <n v="1"/>
    <n v="1"/>
    <n v="1"/>
    <n v="4.82"/>
    <n v="96.4"/>
  </r>
  <r>
    <x v="0"/>
    <s v="0800851024"/>
    <x v="26"/>
    <x v="21"/>
    <s v="0 AÑOS 7 MESES"/>
    <x v="0"/>
    <x v="0"/>
    <s v="MAESTRÍA O EQUIVALENTE"/>
    <x v="1"/>
    <x v="4"/>
    <n v="1.76"/>
    <n v="1"/>
    <n v="1"/>
    <n v="0.97"/>
    <n v="4.7300000000000004"/>
    <n v="94.600000000000009"/>
  </r>
  <r>
    <x v="0"/>
    <s v="0802476374"/>
    <x v="27"/>
    <x v="4"/>
    <s v="10 AÑOS 2 MESES"/>
    <x v="1"/>
    <x v="0"/>
    <s v="MAESTRÍA O EQUIVALENTE"/>
    <x v="0"/>
    <x v="4"/>
    <n v="1.8"/>
    <n v="1"/>
    <n v="1"/>
    <n v="0.97"/>
    <n v="4.7699999999999996"/>
    <n v="95.399999999999991"/>
  </r>
  <r>
    <x v="0"/>
    <s v="0801924200"/>
    <x v="28"/>
    <x v="22"/>
    <s v="0 AÑOS 2 MESES"/>
    <x v="0"/>
    <x v="0"/>
    <s v="MAESTRÍA O EQUIVALENTE"/>
    <x v="1"/>
    <x v="12"/>
    <n v="1.58"/>
    <n v="1"/>
    <n v="1"/>
    <n v="1"/>
    <n v="4.58"/>
    <n v="91.6"/>
  </r>
  <r>
    <x v="0"/>
    <s v="0802971069"/>
    <x v="29"/>
    <x v="23"/>
    <s v="3 AÑOS 2 MESES"/>
    <x v="1"/>
    <x v="0"/>
    <s v="MAESTRÍA O EQUIVALENTE"/>
    <x v="0"/>
    <x v="1"/>
    <n v="1.82"/>
    <n v="1"/>
    <n v="1"/>
    <n v="0.95"/>
    <n v="4.7699999999999996"/>
    <n v="95.399999999999991"/>
  </r>
  <r>
    <x v="0"/>
    <s v="0802278408"/>
    <x v="30"/>
    <x v="5"/>
    <s v="0 AÑOS 2 MESES"/>
    <x v="1"/>
    <x v="0"/>
    <s v="MAESTRÍA O EQUIVALENTE"/>
    <x v="1"/>
    <x v="11"/>
    <n v="1.95"/>
    <n v="1"/>
    <n v="1"/>
    <n v="1"/>
    <n v="4.95"/>
    <n v="99"/>
  </r>
  <r>
    <x v="0"/>
    <s v="0801739673"/>
    <x v="31"/>
    <x v="18"/>
    <s v="0 AÑOS 7 MESES"/>
    <x v="0"/>
    <x v="0"/>
    <s v="MAESTRÍA O EQUIVALENTE"/>
    <x v="1"/>
    <x v="0"/>
    <n v="1.86"/>
    <n v="1"/>
    <n v="0.94"/>
    <n v="0.8"/>
    <n v="4.5999999999999996"/>
    <n v="91.999999999999986"/>
  </r>
  <r>
    <x v="0"/>
    <s v="0803116334"/>
    <x v="32"/>
    <x v="9"/>
    <s v="1 AÑOS 0 MESES"/>
    <x v="0"/>
    <x v="0"/>
    <s v="MAESTRÍA O EQUIVALENTE"/>
    <x v="0"/>
    <x v="0"/>
    <n v="1.82"/>
    <n v="0.97"/>
    <n v="0.97"/>
    <n v="0.94"/>
    <n v="4.7"/>
    <n v="94"/>
  </r>
  <r>
    <x v="0"/>
    <s v="1302921018"/>
    <x v="33"/>
    <x v="24"/>
    <s v="0 AÑOS 2 MESES"/>
    <x v="1"/>
    <x v="0"/>
    <s v="MAESTRÍA O EQUIVALENTE"/>
    <x v="1"/>
    <x v="5"/>
    <n v="1.69"/>
    <n v="0.99"/>
    <n v="0.97"/>
    <n v="0.93"/>
    <n v="4.58"/>
    <n v="91.6"/>
  </r>
  <r>
    <x v="0"/>
    <s v="0800638306"/>
    <x v="34"/>
    <x v="25"/>
    <s v="0 AÑOS 1 MESES"/>
    <x v="0"/>
    <x v="0"/>
    <s v="MAESTRÍA O EQUIVALENTE"/>
    <x v="1"/>
    <x v="8"/>
    <n v="1.45"/>
    <n v="1"/>
    <n v="1"/>
    <n v="1"/>
    <n v="4.45"/>
    <n v="89"/>
  </r>
  <r>
    <x v="0"/>
    <s v="0803554831"/>
    <x v="35"/>
    <x v="26"/>
    <s v="0 AÑOS 2 MESES"/>
    <x v="0"/>
    <x v="0"/>
    <s v="MAESTRÍA O EQUIVALENTE"/>
    <x v="0"/>
    <x v="1"/>
    <n v="1.43"/>
    <n v="0.95"/>
    <n v="1"/>
    <n v="0.89"/>
    <n v="4.2699999999999996"/>
    <n v="85.399999999999991"/>
  </r>
  <r>
    <x v="0"/>
    <s v="0803496900"/>
    <x v="36"/>
    <x v="11"/>
    <s v="0 AÑOS 2 MESES"/>
    <x v="1"/>
    <x v="0"/>
    <s v="MAESTRÍA O EQUIVALENTE"/>
    <x v="1"/>
    <x v="2"/>
    <n v="1.85"/>
    <n v="1"/>
    <n v="1"/>
    <n v="0.94"/>
    <n v="4.79"/>
    <n v="95.8"/>
  </r>
  <r>
    <x v="0"/>
    <s v="0803077577"/>
    <x v="37"/>
    <x v="27"/>
    <s v="0 AÑOS 2 MESES"/>
    <x v="0"/>
    <x v="0"/>
    <s v="MAESTRÍA O EQUIVALENTE"/>
    <x v="1"/>
    <x v="6"/>
    <n v="1.94"/>
    <n v="0.98"/>
    <n v="1"/>
    <n v="1"/>
    <n v="4.92"/>
    <n v="98.4"/>
  </r>
  <r>
    <x v="0"/>
    <s v="0703783738"/>
    <x v="38"/>
    <x v="12"/>
    <s v="0 AÑOS 7 MESES"/>
    <x v="0"/>
    <x v="0"/>
    <s v="MAESTRÍA O EQUIVALENTE"/>
    <x v="1"/>
    <x v="6"/>
    <n v="1.82"/>
    <n v="0.87"/>
    <n v="1"/>
    <n v="1"/>
    <n v="4.6900000000000004"/>
    <n v="93.800000000000011"/>
  </r>
  <r>
    <x v="0"/>
    <s v="1757306087"/>
    <x v="39"/>
    <x v="9"/>
    <s v="5 AÑOS 7 MESES"/>
    <x v="1"/>
    <x v="0"/>
    <s v="MAESTRÍA O EQUIVALENTE"/>
    <x v="0"/>
    <x v="5"/>
    <n v="1.87"/>
    <n v="1"/>
    <n v="1"/>
    <n v="1"/>
    <n v="4.87"/>
    <n v="97.4"/>
  </r>
  <r>
    <x v="0"/>
    <s v="0803846682"/>
    <x v="40"/>
    <x v="11"/>
    <s v="0 AÑOS 2 MESES"/>
    <x v="1"/>
    <x v="0"/>
    <s v="MAESTRÍA O EQUIVALENTE"/>
    <x v="1"/>
    <x v="4"/>
    <n v="1.65"/>
    <n v="1"/>
    <n v="1"/>
    <n v="0.97"/>
    <n v="4.62"/>
    <n v="92.4"/>
  </r>
  <r>
    <x v="0"/>
    <s v="0803558253"/>
    <x v="41"/>
    <x v="27"/>
    <s v="123 AÑOS 11 MESES"/>
    <x v="0"/>
    <x v="0"/>
    <s v="MAESTRÍA O EQUIVALENTE"/>
    <x v="0"/>
    <x v="8"/>
    <n v="1.88"/>
    <n v="1"/>
    <n v="0.97"/>
    <n v="1"/>
    <n v="4.8499999999999996"/>
    <n v="96.999999999999986"/>
  </r>
  <r>
    <x v="0"/>
    <s v="0803026913"/>
    <x v="42"/>
    <x v="28"/>
    <s v="0 AÑOS 2 MESES"/>
    <x v="0"/>
    <x v="0"/>
    <s v="MAESTRÍA O EQUIVALENTE"/>
    <x v="1"/>
    <x v="7"/>
    <n v="1.99"/>
    <n v="1"/>
    <n v="1"/>
    <n v="0.91"/>
    <n v="4.9000000000000004"/>
    <n v="98.000000000000014"/>
  </r>
  <r>
    <x v="0"/>
    <s v="0803026939"/>
    <x v="43"/>
    <x v="16"/>
    <s v="0 AÑOS 2 MESES"/>
    <x v="0"/>
    <x v="0"/>
    <s v="MAESTRÍA O EQUIVALENTE"/>
    <x v="1"/>
    <x v="7"/>
    <n v="1.67"/>
    <n v="1"/>
    <n v="1"/>
    <n v="0.86"/>
    <n v="4.53"/>
    <n v="90.6"/>
  </r>
  <r>
    <x v="0"/>
    <s v="0912544780"/>
    <x v="44"/>
    <x v="13"/>
    <s v="3 AÑOS 5 MESES"/>
    <x v="0"/>
    <x v="0"/>
    <s v="MAESTRÍA O EQUIVALENTE"/>
    <x v="0"/>
    <x v="1"/>
    <n v="1.82"/>
    <n v="0.9"/>
    <n v="1"/>
    <n v="1"/>
    <n v="4.72"/>
    <n v="94.4"/>
  </r>
  <r>
    <x v="0"/>
    <s v="0803181320"/>
    <x v="45"/>
    <x v="11"/>
    <s v="4 AÑOS 2 MESES"/>
    <x v="1"/>
    <x v="0"/>
    <s v="MAESTRÍA O EQUIVALENTE"/>
    <x v="0"/>
    <x v="3"/>
    <n v="1.78"/>
    <n v="0"/>
    <n v="0.93"/>
    <n v="1"/>
    <n v="3.71"/>
    <n v="74.2"/>
  </r>
  <r>
    <x v="0"/>
    <s v="0850031030"/>
    <x v="46"/>
    <x v="23"/>
    <s v="1 AÑOS 0 MESES"/>
    <x v="0"/>
    <x v="0"/>
    <s v="MAESTRÍA O EQUIVALENTE"/>
    <x v="0"/>
    <x v="0"/>
    <n v="1.45"/>
    <n v="0.97"/>
    <n v="0.94"/>
    <n v="0.97"/>
    <n v="4.33"/>
    <n v="86.6"/>
  </r>
  <r>
    <x v="0"/>
    <s v="1715929293"/>
    <x v="47"/>
    <x v="8"/>
    <s v="0 AÑOS 2 MESES"/>
    <x v="1"/>
    <x v="0"/>
    <s v="MAESTRÍA O EQUIVALENTE"/>
    <x v="1"/>
    <x v="7"/>
    <n v="1.76"/>
    <n v="1"/>
    <n v="0.93"/>
    <n v="0.77"/>
    <n v="4.46"/>
    <n v="89.2"/>
  </r>
  <r>
    <x v="0"/>
    <s v="0800968869"/>
    <x v="48"/>
    <x v="19"/>
    <s v="1 AÑOS 2 MESES"/>
    <x v="0"/>
    <x v="0"/>
    <s v="MAESTRÍA O EQUIVALENTE"/>
    <x v="0"/>
    <x v="5"/>
    <n v="1.51"/>
    <n v="1"/>
    <n v="0.97"/>
    <n v="0.9"/>
    <n v="4.38"/>
    <n v="87.6"/>
  </r>
  <r>
    <x v="0"/>
    <s v="0802863415"/>
    <x v="49"/>
    <x v="28"/>
    <s v="0 AÑOS 7 MESES"/>
    <x v="1"/>
    <x v="0"/>
    <s v="MAESTRÍA O EQUIVALENTE"/>
    <x v="1"/>
    <x v="5"/>
    <n v="1.61"/>
    <n v="1"/>
    <n v="0.81"/>
    <n v="0.97"/>
    <n v="4.3899999999999997"/>
    <n v="87.799999999999983"/>
  </r>
  <r>
    <x v="0"/>
    <s v="0803228600"/>
    <x v="50"/>
    <x v="28"/>
    <s v="2 AÑOS 0 MESES"/>
    <x v="0"/>
    <x v="0"/>
    <s v="MAESTRÍA O EQUIVALENTE"/>
    <x v="1"/>
    <x v="5"/>
    <n v="1.92"/>
    <n v="1"/>
    <n v="1"/>
    <n v="1"/>
    <n v="4.92"/>
    <n v="98.4"/>
  </r>
  <r>
    <x v="0"/>
    <s v="1758755209"/>
    <x v="51"/>
    <x v="29"/>
    <s v="1 AÑOS 1 MESES"/>
    <x v="1"/>
    <x v="0"/>
    <s v="MAESTRÍA O EQUIVALENTE"/>
    <x v="0"/>
    <x v="7"/>
    <n v="1.88"/>
    <n v="1"/>
    <n v="0.95"/>
    <n v="0.95"/>
    <n v="4.78"/>
    <n v="95.6"/>
  </r>
  <r>
    <x v="0"/>
    <s v="1310851009"/>
    <x v="52"/>
    <x v="14"/>
    <s v="123 AÑOS 11 MESES"/>
    <x v="1"/>
    <x v="0"/>
    <s v="MAESTRÍA O EQUIVALENTE"/>
    <x v="0"/>
    <x v="7"/>
    <n v="1.95"/>
    <n v="0.96"/>
    <n v="0.96"/>
    <n v="1"/>
    <n v="4.87"/>
    <n v="97.4"/>
  </r>
  <r>
    <x v="0"/>
    <s v="0804267904"/>
    <x v="53"/>
    <x v="1"/>
    <s v="1 AÑOS 0 MESES"/>
    <x v="0"/>
    <x v="0"/>
    <s v="MAESTRÍA O EQUIVALENTE"/>
    <x v="0"/>
    <x v="11"/>
    <n v="1.91"/>
    <n v="1"/>
    <n v="1"/>
    <n v="1"/>
    <n v="4.91"/>
    <n v="98.2"/>
  </r>
  <r>
    <x v="0"/>
    <s v="1715009500"/>
    <x v="54"/>
    <x v="28"/>
    <s v="0 AÑOS 9 MESES"/>
    <x v="1"/>
    <x v="0"/>
    <s v="MAESTRÍA O EQUIVALENTE"/>
    <x v="0"/>
    <x v="7"/>
    <n v="1.54"/>
    <n v="0.93"/>
    <n v="1"/>
    <n v="0.96"/>
    <n v="4.43"/>
    <n v="88.6"/>
  </r>
  <r>
    <x v="0"/>
    <s v="0801328733"/>
    <x v="55"/>
    <x v="30"/>
    <s v="0 AÑOS 2 MESES"/>
    <x v="1"/>
    <x v="0"/>
    <s v="MAESTRÍA O EQUIVALENTE"/>
    <x v="1"/>
    <x v="7"/>
    <n v="1.95"/>
    <n v="1"/>
    <n v="0.94"/>
    <n v="0.94"/>
    <n v="4.83"/>
    <n v="96.6"/>
  </r>
  <r>
    <x v="0"/>
    <s v="0801692823"/>
    <x v="56"/>
    <x v="31"/>
    <s v="1 AÑOS 7 MESES"/>
    <x v="1"/>
    <x v="0"/>
    <s v="MAESTRÍA O EQUIVALENTE"/>
    <x v="2"/>
    <x v="4"/>
    <n v="1.82"/>
    <n v="1"/>
    <n v="0.99"/>
    <n v="1"/>
    <n v="4.8099999999999996"/>
    <n v="96.199999999999989"/>
  </r>
  <r>
    <x v="0"/>
    <s v="0704748946"/>
    <x v="57"/>
    <x v="3"/>
    <s v="2 AÑOS 2 MESES"/>
    <x v="1"/>
    <x v="0"/>
    <s v="MAESTRÍA O EQUIVALENTE"/>
    <x v="0"/>
    <x v="1"/>
    <n v="1.87"/>
    <n v="1"/>
    <n v="1"/>
    <n v="0.98"/>
    <n v="4.8499999999999996"/>
    <n v="96.999999999999986"/>
  </r>
  <r>
    <x v="0"/>
    <s v="0801558446"/>
    <x v="58"/>
    <x v="2"/>
    <s v="1 AÑOS 0 MESES"/>
    <x v="0"/>
    <x v="0"/>
    <s v="MAESTRÍA O EQUIVALENTE"/>
    <x v="0"/>
    <x v="8"/>
    <n v="2"/>
    <n v="0.94"/>
    <n v="1"/>
    <n v="0.98"/>
    <n v="4.92"/>
    <n v="98.4"/>
  </r>
  <r>
    <x v="0"/>
    <s v="1804317582"/>
    <x v="59"/>
    <x v="11"/>
    <s v="2 AÑOS 2 MESES"/>
    <x v="1"/>
    <x v="0"/>
    <s v="MAESTRÍA O EQUIVALENTE"/>
    <x v="0"/>
    <x v="1"/>
    <n v="1.77"/>
    <n v="1"/>
    <n v="1"/>
    <n v="1"/>
    <n v="4.7699999999999996"/>
    <n v="95.399999999999991"/>
  </r>
  <r>
    <x v="0"/>
    <s v="0801921677"/>
    <x v="60"/>
    <x v="3"/>
    <s v="0 AÑOS 2 MESES"/>
    <x v="1"/>
    <x v="0"/>
    <s v="MAESTRÍA O EQUIVALENTE"/>
    <x v="1"/>
    <x v="7"/>
    <n v="1.93"/>
    <n v="1"/>
    <n v="0.97"/>
    <n v="0.91"/>
    <n v="4.8099999999999996"/>
    <n v="96.199999999999989"/>
  </r>
  <r>
    <x v="0"/>
    <s v="0801750720"/>
    <x v="61"/>
    <x v="10"/>
    <s v="0 AÑOS 2 MESES"/>
    <x v="0"/>
    <x v="0"/>
    <s v="MAESTRÍA O EQUIVALENTE"/>
    <x v="1"/>
    <x v="3"/>
    <n v="1.84"/>
    <n v="1"/>
    <n v="1"/>
    <n v="1"/>
    <n v="4.84"/>
    <n v="96.8"/>
  </r>
  <r>
    <x v="0"/>
    <s v="0802107243"/>
    <x v="62"/>
    <x v="32"/>
    <s v="0 AÑOS 2 MESES"/>
    <x v="0"/>
    <x v="0"/>
    <s v="MAESTRÍA O EQUIVALENTE"/>
    <x v="1"/>
    <x v="5"/>
    <n v="1.89"/>
    <n v="1"/>
    <n v="0.92"/>
    <n v="0.97"/>
    <n v="4.78"/>
    <n v="95.6"/>
  </r>
  <r>
    <x v="0"/>
    <s v="0603167917"/>
    <x v="63"/>
    <x v="31"/>
    <s v="0 AÑOS 10 MESES"/>
    <x v="1"/>
    <x v="0"/>
    <s v="MAESTRÍA O EQUIVALENTE"/>
    <x v="0"/>
    <x v="13"/>
    <n v="1.6"/>
    <n v="0.88"/>
    <n v="0.92"/>
    <n v="1"/>
    <n v="4.4000000000000004"/>
    <n v="88.000000000000014"/>
  </r>
  <r>
    <x v="0"/>
    <s v="0803716430"/>
    <x v="64"/>
    <x v="26"/>
    <s v="0 AÑOS 2 MESES"/>
    <x v="1"/>
    <x v="0"/>
    <s v="MAESTRÍA O EQUIVALENTE"/>
    <x v="1"/>
    <x v="12"/>
    <n v="1.89"/>
    <n v="1"/>
    <n v="0.98"/>
    <n v="1"/>
    <n v="4.87"/>
    <n v="97.4"/>
  </r>
  <r>
    <x v="0"/>
    <s v="1757534357"/>
    <x v="65"/>
    <x v="33"/>
    <s v="1 AÑOS 3 MESES"/>
    <x v="0"/>
    <x v="0"/>
    <s v="MAESTRÍA O EQUIVALENTE"/>
    <x v="2"/>
    <x v="14"/>
    <n v="1.92"/>
    <n v="1"/>
    <n v="0.99"/>
    <n v="0.98"/>
    <n v="4.8899999999999997"/>
    <n v="97.799999999999983"/>
  </r>
  <r>
    <x v="0"/>
    <s v="1803456738"/>
    <x v="66"/>
    <x v="8"/>
    <s v="0 AÑOS 2 MESES"/>
    <x v="0"/>
    <x v="0"/>
    <s v="MAESTRÍA O EQUIVALENTE"/>
    <x v="1"/>
    <x v="5"/>
    <n v="1.96"/>
    <n v="1"/>
    <n v="0.92"/>
    <n v="0.96"/>
    <n v="4.84"/>
    <n v="96.8"/>
  </r>
  <r>
    <x v="0"/>
    <s v="1723725642"/>
    <x v="67"/>
    <x v="34"/>
    <s v="0 AÑOS 9 MESES"/>
    <x v="0"/>
    <x v="0"/>
    <s v="MAESTRÍA O EQUIVALENTE"/>
    <x v="0"/>
    <x v="10"/>
    <n v="1.93"/>
    <n v="0.99"/>
    <n v="1"/>
    <n v="0.99"/>
    <n v="4.91"/>
    <n v="98.2"/>
  </r>
  <r>
    <x v="0"/>
    <s v="0802870139"/>
    <x v="68"/>
    <x v="3"/>
    <s v="0 AÑOS 7 MESES"/>
    <x v="0"/>
    <x v="0"/>
    <s v="MAESTRÍA O EQUIVALENTE"/>
    <x v="1"/>
    <x v="13"/>
    <n v="1.34"/>
    <n v="1"/>
    <n v="0.97"/>
    <n v="0.96"/>
    <n v="4.2699999999999996"/>
    <n v="85.399999999999991"/>
  </r>
  <r>
    <x v="0"/>
    <s v="0800839177"/>
    <x v="69"/>
    <x v="35"/>
    <s v="0 AÑOS 3 MESES"/>
    <x v="0"/>
    <x v="0"/>
    <s v="MAESTRÍA O EQUIVALENTE"/>
    <x v="0"/>
    <x v="5"/>
    <n v="1.78"/>
    <n v="0.99"/>
    <n v="0.94"/>
    <n v="1"/>
    <n v="4.71"/>
    <n v="94.2"/>
  </r>
  <r>
    <x v="0"/>
    <s v="0803106608"/>
    <x v="70"/>
    <x v="27"/>
    <s v="0 AÑOS 2 MESES"/>
    <x v="0"/>
    <x v="0"/>
    <s v="MAESTRÍA O EQUIVALENTE"/>
    <x v="1"/>
    <x v="7"/>
    <n v="1.82"/>
    <n v="1"/>
    <n v="1"/>
    <n v="0.75"/>
    <n v="4.57"/>
    <n v="91.4"/>
  </r>
  <r>
    <x v="0"/>
    <s v="0802247734"/>
    <x v="71"/>
    <x v="22"/>
    <s v="8 AÑOS 7 MESES"/>
    <x v="0"/>
    <x v="0"/>
    <s v="MAESTRÍA O EQUIVALENTE"/>
    <x v="0"/>
    <x v="13"/>
    <n v="1.9"/>
    <n v="0.99"/>
    <n v="0.99"/>
    <n v="1"/>
    <n v="4.88"/>
    <n v="97.6"/>
  </r>
  <r>
    <x v="0"/>
    <s v="0802524082"/>
    <x v="72"/>
    <x v="6"/>
    <s v="3 AÑOS 2 MESES"/>
    <x v="0"/>
    <x v="0"/>
    <s v="MAESTRÍA O EQUIVALENTE"/>
    <x v="0"/>
    <x v="3"/>
    <n v="1.81"/>
    <n v="1"/>
    <n v="1"/>
    <n v="1"/>
    <n v="4.8099999999999996"/>
    <n v="96.199999999999989"/>
  </r>
  <r>
    <x v="0"/>
    <s v="0802202853"/>
    <x v="73"/>
    <x v="32"/>
    <s v="5 AÑOS 7 MESES"/>
    <x v="0"/>
    <x v="0"/>
    <s v="MAESTRÍA O EQUIVALENTE"/>
    <x v="0"/>
    <x v="9"/>
    <n v="1.93"/>
    <n v="1"/>
    <n v="0.98"/>
    <n v="1"/>
    <n v="4.91"/>
    <n v="98.2"/>
  </r>
  <r>
    <x v="0"/>
    <s v="0801826546"/>
    <x v="74"/>
    <x v="10"/>
    <s v="0 AÑOS 2 MESES"/>
    <x v="0"/>
    <x v="0"/>
    <s v="MAESTRÍA O EQUIVALENTE"/>
    <x v="1"/>
    <x v="3"/>
    <n v="1.84"/>
    <n v="1"/>
    <n v="1"/>
    <n v="1"/>
    <n v="4.84"/>
    <n v="96.8"/>
  </r>
  <r>
    <x v="0"/>
    <s v="0801432998"/>
    <x v="75"/>
    <x v="13"/>
    <s v="0 AÑOS 3 MESES"/>
    <x v="0"/>
    <x v="0"/>
    <s v="MAESTRÍA O EQUIVALENTE"/>
    <x v="0"/>
    <x v="11"/>
    <n v="1.87"/>
    <n v="1"/>
    <n v="0.97"/>
    <n v="0.96"/>
    <n v="4.8"/>
    <n v="96"/>
  </r>
  <r>
    <x v="0"/>
    <s v="0801722778"/>
    <x v="76"/>
    <x v="36"/>
    <s v="0 AÑOS 2 MESES"/>
    <x v="0"/>
    <x v="0"/>
    <s v="MAESTRÍA O EQUIVALENTE"/>
    <x v="1"/>
    <x v="7"/>
    <n v="1.87"/>
    <n v="1"/>
    <n v="1"/>
    <n v="0.9"/>
    <n v="4.7699999999999996"/>
    <n v="95.399999999999991"/>
  </r>
  <r>
    <x v="0"/>
    <s v="0803181858"/>
    <x v="77"/>
    <x v="37"/>
    <s v="0 AÑOS 7 MESES"/>
    <x v="0"/>
    <x v="0"/>
    <s v="MAESTRÍA O EQUIVALENTE"/>
    <x v="1"/>
    <x v="15"/>
    <n v="1.9"/>
    <n v="1"/>
    <n v="1"/>
    <n v="1"/>
    <n v="4.9000000000000004"/>
    <n v="98.000000000000014"/>
  </r>
  <r>
    <x v="0"/>
    <s v="0802472969"/>
    <x v="78"/>
    <x v="8"/>
    <s v="3 AÑOS 5 MESES"/>
    <x v="1"/>
    <x v="0"/>
    <s v="MAESTRÍA O EQUIVALENTE"/>
    <x v="0"/>
    <x v="8"/>
    <n v="1.87"/>
    <n v="0.99"/>
    <n v="1"/>
    <n v="1"/>
    <n v="4.8600000000000003"/>
    <n v="97.200000000000017"/>
  </r>
  <r>
    <x v="0"/>
    <s v="0802321364"/>
    <x v="79"/>
    <x v="8"/>
    <s v="0 AÑOS 2 MESES"/>
    <x v="0"/>
    <x v="0"/>
    <s v="MAESTRÍA O EQUIVALENTE"/>
    <x v="1"/>
    <x v="5"/>
    <n v="1.92"/>
    <n v="0"/>
    <n v="0.9"/>
    <n v="1"/>
    <n v="3.82"/>
    <n v="76.400000000000006"/>
  </r>
  <r>
    <x v="0"/>
    <s v="1802852572"/>
    <x v="80"/>
    <x v="10"/>
    <s v="1 AÑOS 0 MESES"/>
    <x v="1"/>
    <x v="0"/>
    <s v="MAESTRÍA O EQUIVALENTE"/>
    <x v="0"/>
    <x v="4"/>
    <n v="1.76"/>
    <n v="1"/>
    <n v="1"/>
    <n v="1"/>
    <n v="4.76"/>
    <n v="95.2"/>
  </r>
  <r>
    <x v="0"/>
    <s v="1711888154"/>
    <x v="81"/>
    <x v="22"/>
    <s v="0 AÑOS 7 MESES"/>
    <x v="1"/>
    <x v="0"/>
    <s v="MAESTRÍA O EQUIVALENTE"/>
    <x v="1"/>
    <x v="5"/>
    <n v="1.92"/>
    <n v="1"/>
    <n v="0.94"/>
    <n v="1"/>
    <n v="4.8600000000000003"/>
    <n v="97.200000000000017"/>
  </r>
  <r>
    <x v="0"/>
    <s v="1757374770"/>
    <x v="82"/>
    <x v="15"/>
    <s v="1 AÑOS 3 MESES"/>
    <x v="0"/>
    <x v="0"/>
    <s v="MAESTRÍA O EQUIVALENTE"/>
    <x v="2"/>
    <x v="12"/>
    <n v="1.78"/>
    <n v="1"/>
    <n v="1"/>
    <n v="0.97"/>
    <n v="4.75"/>
    <n v="95"/>
  </r>
  <r>
    <x v="0"/>
    <s v="0802490722"/>
    <x v="83"/>
    <x v="8"/>
    <s v="0 AÑOS 2 MESES"/>
    <x v="1"/>
    <x v="0"/>
    <s v="MAESTRÍA O EQUIVALENTE"/>
    <x v="0"/>
    <x v="4"/>
    <n v="1.82"/>
    <n v="1"/>
    <n v="1"/>
    <n v="1"/>
    <n v="4.82"/>
    <n v="96.4"/>
  </r>
  <r>
    <x v="0"/>
    <s v="0802460782"/>
    <x v="84"/>
    <x v="26"/>
    <s v="3 AÑOS 5 MESES"/>
    <x v="1"/>
    <x v="0"/>
    <s v="MAESTRÍA O EQUIVALENTE"/>
    <x v="0"/>
    <x v="0"/>
    <n v="1.99"/>
    <n v="0.98"/>
    <n v="1"/>
    <n v="1"/>
    <n v="4.97"/>
    <n v="99.4"/>
  </r>
  <r>
    <x v="0"/>
    <s v="0803468107"/>
    <x v="85"/>
    <x v="23"/>
    <s v="1 AÑOS 5 MESES"/>
    <x v="0"/>
    <x v="0"/>
    <s v="MAESTRÍA O EQUIVALENTE"/>
    <x v="0"/>
    <x v="15"/>
    <n v="1.79"/>
    <n v="0.99"/>
    <n v="1"/>
    <n v="1"/>
    <n v="4.78"/>
    <n v="95.6"/>
  </r>
  <r>
    <x v="0"/>
    <s v="0802608141"/>
    <x v="86"/>
    <x v="38"/>
    <s v="4 AÑOS 7 MESES"/>
    <x v="1"/>
    <x v="0"/>
    <s v="ESPECIALISTA AREA SALUD"/>
    <x v="1"/>
    <x v="5"/>
    <n v="1.89"/>
    <n v="0.99"/>
    <n v="0.94"/>
    <n v="1"/>
    <n v="4.82"/>
    <n v="96.4"/>
  </r>
  <r>
    <x v="0"/>
    <s v="0804154300"/>
    <x v="87"/>
    <x v="11"/>
    <s v="2 AÑOS 0 MESES"/>
    <x v="0"/>
    <x v="0"/>
    <s v="MAESTRÍA O EQUIVALENTE"/>
    <x v="0"/>
    <x v="5"/>
    <n v="1.9"/>
    <n v="1"/>
    <n v="1"/>
    <n v="0.94"/>
    <n v="4.84"/>
    <n v="96.8"/>
  </r>
  <r>
    <x v="0"/>
    <s v="0962373544"/>
    <x v="88"/>
    <x v="33"/>
    <s v="1 AÑOS 3 MESES"/>
    <x v="0"/>
    <x v="0"/>
    <s v="DOCTOR (Ph.D)"/>
    <x v="0"/>
    <x v="5"/>
    <n v="1.9"/>
    <n v="1"/>
    <n v="0.99"/>
    <n v="1"/>
    <n v="4.8899999999999997"/>
    <n v="97.799999999999983"/>
  </r>
  <r>
    <x v="0"/>
    <s v="0800774465"/>
    <x v="89"/>
    <x v="19"/>
    <s v="2 AÑOS 1 MESES"/>
    <x v="0"/>
    <x v="0"/>
    <s v="MAESTRÍA O EQUIVALENTE"/>
    <x v="0"/>
    <x v="5"/>
    <n v="1.86"/>
    <n v="1"/>
    <n v="0.97"/>
    <n v="0.98"/>
    <n v="4.8099999999999996"/>
    <n v="96.199999999999989"/>
  </r>
  <r>
    <x v="0"/>
    <s v="0803036672"/>
    <x v="90"/>
    <x v="28"/>
    <s v="0 AÑOS 2 MESES"/>
    <x v="0"/>
    <x v="0"/>
    <s v="MAESTRÍA O EQUIVALENTE"/>
    <x v="1"/>
    <x v="5"/>
    <n v="1.9"/>
    <n v="0.98"/>
    <n v="0.92"/>
    <n v="1"/>
    <n v="4.8"/>
    <n v="96"/>
  </r>
  <r>
    <x v="0"/>
    <s v="0922109616"/>
    <x v="91"/>
    <x v="4"/>
    <s v="0 AÑOS 8 MESES"/>
    <x v="1"/>
    <x v="0"/>
    <s v="MAESTRÍA O EQUIVALENTE"/>
    <x v="0"/>
    <x v="3"/>
    <n v="1.81"/>
    <n v="1"/>
    <n v="0.99"/>
    <n v="1"/>
    <n v="4.8"/>
    <n v="96"/>
  </r>
  <r>
    <x v="0"/>
    <s v="0801601790"/>
    <x v="92"/>
    <x v="36"/>
    <s v="0 AÑOS 8 MESES"/>
    <x v="0"/>
    <x v="0"/>
    <s v="MAESTRÍA O EQUIVALENTE"/>
    <x v="0"/>
    <x v="3"/>
    <n v="1.75"/>
    <n v="0.99"/>
    <n v="0.97"/>
    <n v="1"/>
    <n v="4.71"/>
    <n v="94.2"/>
  </r>
  <r>
    <x v="0"/>
    <s v="0915138614"/>
    <x v="93"/>
    <x v="18"/>
    <s v="3 AÑOS 2 MESES"/>
    <x v="0"/>
    <x v="0"/>
    <s v="MAESTRÍA O EQUIVALENTE"/>
    <x v="0"/>
    <x v="12"/>
    <n v="1.94"/>
    <n v="1"/>
    <n v="1"/>
    <n v="1"/>
    <n v="4.9400000000000004"/>
    <n v="98.800000000000011"/>
  </r>
  <r>
    <x v="0"/>
    <s v="0962929295"/>
    <x v="94"/>
    <x v="39"/>
    <s v="5 AÑOS 2 MESES"/>
    <x v="0"/>
    <x v="0"/>
    <s v="DOCTOR (Ph.D)"/>
    <x v="0"/>
    <x v="1"/>
    <n v="1.4"/>
    <n v="1"/>
    <n v="1"/>
    <n v="0.91"/>
    <n v="4.3099999999999996"/>
    <n v="86.199999999999989"/>
  </r>
  <r>
    <x v="0"/>
    <s v="0802616730"/>
    <x v="95"/>
    <x v="3"/>
    <s v="0 AÑOS 11 MESES"/>
    <x v="1"/>
    <x v="0"/>
    <s v="DOCTOR (Ph.D)"/>
    <x v="0"/>
    <x v="4"/>
    <n v="1.75"/>
    <n v="0.99"/>
    <n v="1"/>
    <n v="1"/>
    <n v="4.74"/>
    <n v="94.8"/>
  </r>
  <r>
    <x v="0"/>
    <s v="0802937011"/>
    <x v="96"/>
    <x v="38"/>
    <s v="1 AÑOS 2 MESES"/>
    <x v="0"/>
    <x v="0"/>
    <s v="MAESTRÍA O EQUIVALENTE"/>
    <x v="2"/>
    <x v="5"/>
    <n v="1.84"/>
    <n v="1"/>
    <n v="0.97"/>
    <n v="1"/>
    <n v="4.8099999999999996"/>
    <n v="96.199999999999989"/>
  </r>
  <r>
    <x v="0"/>
    <s v="0801762469"/>
    <x v="97"/>
    <x v="30"/>
    <s v="4 AÑOS 7 MESES"/>
    <x v="1"/>
    <x v="0"/>
    <s v="MAESTRÍA O EQUIVALENTE"/>
    <x v="1"/>
    <x v="4"/>
    <n v="1.93"/>
    <n v="1"/>
    <n v="1"/>
    <n v="1"/>
    <n v="4.93"/>
    <n v="98.6"/>
  </r>
  <r>
    <x v="0"/>
    <s v="0801552977"/>
    <x v="98"/>
    <x v="13"/>
    <s v="0 AÑOS 2 MESES"/>
    <x v="0"/>
    <x v="0"/>
    <s v="MAESTRÍA O EQUIVALENTE"/>
    <x v="1"/>
    <x v="15"/>
    <n v="1.99"/>
    <n v="0.94"/>
    <n v="0.96"/>
    <n v="0.97"/>
    <n v="4.8600000000000003"/>
    <n v="97.200000000000017"/>
  </r>
  <r>
    <x v="0"/>
    <s v="0801905837"/>
    <x v="99"/>
    <x v="30"/>
    <s v="0 AÑOS 2 MESES"/>
    <x v="1"/>
    <x v="0"/>
    <s v="MAESTRÍA O EQUIVALENTE"/>
    <x v="1"/>
    <x v="4"/>
    <n v="1.86"/>
    <n v="1"/>
    <n v="1"/>
    <n v="1"/>
    <n v="4.8600000000000003"/>
    <n v="97.200000000000017"/>
  </r>
  <r>
    <x v="0"/>
    <s v="1756846521"/>
    <x v="100"/>
    <x v="30"/>
    <s v="2 AÑOS 6 MESES"/>
    <x v="0"/>
    <x v="0"/>
    <s v="MAESTRÍA O EQUIVALENTE"/>
    <x v="0"/>
    <x v="5"/>
    <n v="1.87"/>
    <n v="1"/>
    <n v="0.98"/>
    <n v="0.97"/>
    <n v="4.82"/>
    <n v="96.4"/>
  </r>
  <r>
    <x v="0"/>
    <s v="1757398837"/>
    <x v="101"/>
    <x v="13"/>
    <s v="0 AÑOS 8 MESES"/>
    <x v="1"/>
    <x v="0"/>
    <s v="MAESTRÍA O EQUIVALENTE"/>
    <x v="0"/>
    <x v="5"/>
    <n v="1.92"/>
    <n v="1"/>
    <n v="1"/>
    <n v="1"/>
    <n v="4.92"/>
    <n v="98.4"/>
  </r>
  <r>
    <x v="0"/>
    <s v="0603274846"/>
    <x v="102"/>
    <x v="3"/>
    <s v="0 AÑOS 2 MESES"/>
    <x v="1"/>
    <x v="0"/>
    <s v="MAESTRÍA O EQUIVALENTE"/>
    <x v="1"/>
    <x v="6"/>
    <n v="1.8"/>
    <n v="0.96"/>
    <n v="0.97"/>
    <n v="0.97"/>
    <n v="4.7"/>
    <n v="94"/>
  </r>
  <r>
    <x v="0"/>
    <s v="0800924011"/>
    <x v="103"/>
    <x v="21"/>
    <s v="1 AÑOS 0 MESES"/>
    <x v="1"/>
    <x v="0"/>
    <s v="MAESTRÍA O EQUIVALENTE"/>
    <x v="0"/>
    <x v="5"/>
    <n v="1.63"/>
    <n v="1"/>
    <n v="0.94"/>
    <n v="0.98"/>
    <n v="4.55"/>
    <n v="91"/>
  </r>
  <r>
    <x v="0"/>
    <s v="0802351148"/>
    <x v="104"/>
    <x v="6"/>
    <s v="0 AÑOS 2 MESES"/>
    <x v="1"/>
    <x v="0"/>
    <s v="MAESTRÍA O EQUIVALENTE"/>
    <x v="1"/>
    <x v="2"/>
    <n v="1.73"/>
    <n v="1"/>
    <n v="1"/>
    <n v="0.96"/>
    <n v="4.6900000000000004"/>
    <n v="93.800000000000011"/>
  </r>
  <r>
    <x v="0"/>
    <s v="1720814373"/>
    <x v="105"/>
    <x v="26"/>
    <s v="123 AÑOS 11 MESES"/>
    <x v="1"/>
    <x v="0"/>
    <s v="MAESTRÍA O EQUIVALENTE"/>
    <x v="1"/>
    <x v="10"/>
    <n v="1.99"/>
    <n v="1"/>
    <n v="1"/>
    <n v="0.97"/>
    <n v="4.96"/>
    <n v="99.2"/>
  </r>
  <r>
    <x v="0"/>
    <s v="0802127373"/>
    <x v="106"/>
    <x v="32"/>
    <s v="0 AÑOS 7 MESES"/>
    <x v="0"/>
    <x v="0"/>
    <s v="MAESTRÍA O EQUIVALENTE"/>
    <x v="1"/>
    <x v="16"/>
    <n v="1.75"/>
    <n v="1"/>
    <n v="0.87"/>
    <n v="0.8"/>
    <n v="4.42"/>
    <n v="88.4"/>
  </r>
  <r>
    <x v="0"/>
    <s v="0801628207"/>
    <x v="107"/>
    <x v="12"/>
    <s v="0 AÑOS 8 MESES"/>
    <x v="1"/>
    <x v="0"/>
    <s v="MAESTRÍA O EQUIVALENTE"/>
    <x v="0"/>
    <x v="4"/>
    <n v="1.9"/>
    <n v="1"/>
    <n v="1"/>
    <n v="1"/>
    <n v="4.9000000000000004"/>
    <n v="98.000000000000014"/>
  </r>
  <r>
    <x v="0"/>
    <s v="0802662726"/>
    <x v="108"/>
    <x v="40"/>
    <s v="2 AÑOS 2 MESES"/>
    <x v="0"/>
    <x v="0"/>
    <s v="MAESTRÍA O EQUIVALENTE"/>
    <x v="0"/>
    <x v="5"/>
    <n v="1.79"/>
    <n v="0.99"/>
    <n v="0.97"/>
    <n v="0.97"/>
    <n v="4.72"/>
    <n v="94.4"/>
  </r>
  <r>
    <x v="0"/>
    <s v="0802826362"/>
    <x v="109"/>
    <x v="2"/>
    <s v="0 AÑOS 2 MESES"/>
    <x v="0"/>
    <x v="0"/>
    <s v="ESPECIALISTA AREA SALUD"/>
    <x v="1"/>
    <x v="5"/>
    <n v="1.84"/>
    <n v="0.99"/>
    <n v="0.87"/>
    <n v="0.83"/>
    <n v="4.53"/>
    <n v="90.6"/>
  </r>
  <r>
    <x v="0"/>
    <s v="1755930375"/>
    <x v="110"/>
    <x v="20"/>
    <s v="3 AÑOS 5 MESES"/>
    <x v="0"/>
    <x v="0"/>
    <s v="DOCTOR (Ph.D)"/>
    <x v="0"/>
    <x v="12"/>
    <n v="1.91"/>
    <n v="1"/>
    <n v="1"/>
    <n v="0.98"/>
    <n v="4.8899999999999997"/>
    <n v="97.799999999999983"/>
  </r>
  <r>
    <x v="0"/>
    <s v="0802099713"/>
    <x v="111"/>
    <x v="16"/>
    <s v="0 AÑOS 2 MESES"/>
    <x v="1"/>
    <x v="0"/>
    <s v="MAESTRÍA O EQUIVALENTE"/>
    <x v="1"/>
    <x v="5"/>
    <n v="1.94"/>
    <n v="1"/>
    <n v="0.99"/>
    <n v="0.99"/>
    <n v="4.92"/>
    <n v="98.4"/>
  </r>
  <r>
    <x v="0"/>
    <s v="0801466277"/>
    <x v="112"/>
    <x v="17"/>
    <s v="0 AÑOS 2 MESES"/>
    <x v="0"/>
    <x v="0"/>
    <s v="MAESTRÍA O EQUIVALENTE"/>
    <x v="1"/>
    <x v="5"/>
    <n v="1.71"/>
    <n v="1"/>
    <n v="0.95"/>
    <n v="0.97"/>
    <n v="4.63"/>
    <n v="92.6"/>
  </r>
  <r>
    <x v="0"/>
    <s v="1721571709"/>
    <x v="113"/>
    <x v="36"/>
    <s v="8 AÑOS 0 MESES"/>
    <x v="1"/>
    <x v="0"/>
    <s v="MAESTRÍA O EQUIVALENTE"/>
    <x v="0"/>
    <x v="15"/>
    <n v="1.59"/>
    <n v="0.96"/>
    <n v="1"/>
    <n v="0.92"/>
    <n v="4.47"/>
    <n v="89.4"/>
  </r>
  <r>
    <x v="0"/>
    <s v="1309960597"/>
    <x v="114"/>
    <x v="3"/>
    <s v="0 AÑOS 7 MESES"/>
    <x v="1"/>
    <x v="0"/>
    <s v="MAESTRÍA O EQUIVALENTE"/>
    <x v="1"/>
    <x v="2"/>
    <n v="1.95"/>
    <n v="1"/>
    <n v="1"/>
    <n v="0.98"/>
    <n v="4.93"/>
    <n v="98.6"/>
  </r>
  <r>
    <x v="0"/>
    <s v="0804315661"/>
    <x v="115"/>
    <x v="16"/>
    <s v="2 AÑOS 2 MESES"/>
    <x v="0"/>
    <x v="0"/>
    <s v="MAESTRÍA O EQUIVALENTE"/>
    <x v="0"/>
    <x v="5"/>
    <n v="1.75"/>
    <n v="0.94"/>
    <n v="0.95"/>
    <n v="0.97"/>
    <n v="4.6100000000000003"/>
    <n v="92.200000000000017"/>
  </r>
  <r>
    <x v="0"/>
    <s v="0801762345"/>
    <x v="116"/>
    <x v="18"/>
    <s v="4 AÑOS 7 MESES"/>
    <x v="1"/>
    <x v="0"/>
    <s v="MAESTRÍA O EQUIVALENTE"/>
    <x v="1"/>
    <x v="4"/>
    <n v="1.8"/>
    <n v="1"/>
    <n v="1"/>
    <n v="1"/>
    <n v="4.8"/>
    <n v="96"/>
  </r>
  <r>
    <x v="0"/>
    <s v="0803822816"/>
    <x v="117"/>
    <x v="26"/>
    <s v="0 AÑOS 2 MESES"/>
    <x v="0"/>
    <x v="0"/>
    <s v="MAESTRÍA O EQUIVALENTE"/>
    <x v="1"/>
    <x v="12"/>
    <n v="1.91"/>
    <n v="0.94"/>
    <n v="1"/>
    <n v="1"/>
    <n v="4.8499999999999996"/>
    <n v="96.999999999999986"/>
  </r>
  <r>
    <x v="0"/>
    <s v="0802761676"/>
    <x v="118"/>
    <x v="5"/>
    <s v="0 AÑOS 2 MESES"/>
    <x v="0"/>
    <x v="0"/>
    <s v="MAESTRÍA O EQUIVALENTE"/>
    <x v="1"/>
    <x v="7"/>
    <n v="1.91"/>
    <n v="1"/>
    <n v="1"/>
    <n v="0.97"/>
    <n v="4.88"/>
    <n v="97.6"/>
  </r>
  <r>
    <x v="0"/>
    <s v="0801634304"/>
    <x v="119"/>
    <x v="13"/>
    <s v="0 AÑOS 2 MESES"/>
    <x v="1"/>
    <x v="0"/>
    <s v="MAESTRÍA O EQUIVALENTE"/>
    <x v="1"/>
    <x v="12"/>
    <n v="1.88"/>
    <n v="0.99"/>
    <n v="1"/>
    <n v="1"/>
    <n v="4.87"/>
    <n v="97.4"/>
  </r>
  <r>
    <x v="0"/>
    <s v="0802931329"/>
    <x v="120"/>
    <x v="5"/>
    <s v="0 AÑOS 2 MESES"/>
    <x v="1"/>
    <x v="0"/>
    <s v="MAESTRÍA O EQUIVALENTE"/>
    <x v="1"/>
    <x v="13"/>
    <n v="1.88"/>
    <n v="0.94"/>
    <n v="1"/>
    <n v="1"/>
    <n v="4.82"/>
    <n v="96.4"/>
  </r>
  <r>
    <x v="0"/>
    <s v="0801713298"/>
    <x v="121"/>
    <x v="32"/>
    <s v="1 AÑOS 0 MESES"/>
    <x v="0"/>
    <x v="0"/>
    <s v="MAESTRÍA O EQUIVALENTE"/>
    <x v="0"/>
    <x v="0"/>
    <n v="1.93"/>
    <n v="0.99"/>
    <n v="0.94"/>
    <n v="1"/>
    <n v="4.8600000000000003"/>
    <n v="97.200000000000017"/>
  </r>
  <r>
    <x v="0"/>
    <s v="0103034963"/>
    <x v="122"/>
    <x v="38"/>
    <s v="0 AÑOS 7 MESES"/>
    <x v="1"/>
    <x v="0"/>
    <s v="MAESTRÍA O EQUIVALENTE"/>
    <x v="1"/>
    <x v="17"/>
    <n v="1.54"/>
    <n v="1"/>
    <n v="0.96"/>
    <n v="0.67"/>
    <n v="4.17"/>
    <n v="83.4"/>
  </r>
  <r>
    <x v="0"/>
    <s v="1760052272"/>
    <x v="123"/>
    <x v="1"/>
    <s v="0 AÑOS 2 MESES"/>
    <x v="1"/>
    <x v="0"/>
    <s v="MAESTRÍA O EQUIVALENTE"/>
    <x v="1"/>
    <x v="3"/>
    <n v="1.91"/>
    <n v="1"/>
    <n v="1"/>
    <n v="1"/>
    <n v="4.91"/>
    <n v="98.2"/>
  </r>
  <r>
    <x v="0"/>
    <s v="0801381179"/>
    <x v="124"/>
    <x v="30"/>
    <s v="0 AÑOS 7 MESES"/>
    <x v="1"/>
    <x v="0"/>
    <s v="MAESTRÍA O EQUIVALENTE"/>
    <x v="1"/>
    <x v="0"/>
    <n v="1.91"/>
    <n v="1"/>
    <n v="0.97"/>
    <n v="0.97"/>
    <n v="4.8499999999999996"/>
    <n v="96.999999999999986"/>
  </r>
  <r>
    <x v="0"/>
    <s v="0603231101"/>
    <x v="125"/>
    <x v="26"/>
    <s v="0 AÑOS 2 MESES"/>
    <x v="0"/>
    <x v="0"/>
    <s v="MAESTRÍA O EQUIVALENTE"/>
    <x v="0"/>
    <x v="10"/>
    <n v="1.91"/>
    <n v="0.99"/>
    <n v="0.76"/>
    <n v="0.92"/>
    <n v="4.58"/>
    <n v="91.6"/>
  </r>
  <r>
    <x v="0"/>
    <s v="0301435012"/>
    <x v="126"/>
    <x v="4"/>
    <s v="6 AÑOS 3 MESES"/>
    <x v="1"/>
    <x v="0"/>
    <s v="MAESTRÍA O EQUIVALENTE"/>
    <x v="0"/>
    <x v="4"/>
    <n v="1.59"/>
    <n v="1"/>
    <n v="1"/>
    <n v="0.97"/>
    <n v="4.5599999999999996"/>
    <n v="91.199999999999989"/>
  </r>
  <r>
    <x v="0"/>
    <s v="1721366399"/>
    <x v="127"/>
    <x v="16"/>
    <s v="0 AÑOS 8 MESES"/>
    <x v="1"/>
    <x v="0"/>
    <s v="MAESTRÍA O EQUIVALENTE"/>
    <x v="0"/>
    <x v="10"/>
    <n v="1.91"/>
    <n v="0.98"/>
    <n v="1"/>
    <n v="1"/>
    <n v="4.8899999999999997"/>
    <n v="97.799999999999983"/>
  </r>
  <r>
    <x v="0"/>
    <s v="0105998181"/>
    <x v="128"/>
    <x v="26"/>
    <s v="1 AÑOS 3 MESES"/>
    <x v="1"/>
    <x v="0"/>
    <s v="MAESTRÍA O EQUIVALENTE"/>
    <x v="0"/>
    <x v="6"/>
    <n v="1.7"/>
    <n v="0.99"/>
    <n v="1"/>
    <n v="1"/>
    <n v="4.6900000000000004"/>
    <n v="93.800000000000011"/>
  </r>
  <r>
    <x v="0"/>
    <s v="0802912832"/>
    <x v="129"/>
    <x v="38"/>
    <s v="3 AÑOS 5 MESES"/>
    <x v="0"/>
    <x v="0"/>
    <s v="MAESTRÍA O EQUIVALENTE"/>
    <x v="0"/>
    <x v="15"/>
    <n v="1.73"/>
    <n v="1"/>
    <n v="0.99"/>
    <n v="0.99"/>
    <n v="4.71"/>
    <n v="94.2"/>
  </r>
  <r>
    <x v="0"/>
    <s v="0801853904"/>
    <x v="130"/>
    <x v="30"/>
    <s v="9 AÑOS 11 MESES"/>
    <x v="0"/>
    <x v="0"/>
    <s v="MAESTRÍA O EQUIVALENTE"/>
    <x v="0"/>
    <x v="11"/>
    <n v="1.85"/>
    <n v="1"/>
    <n v="0.97"/>
    <n v="1"/>
    <n v="4.82"/>
    <n v="96.4"/>
  </r>
  <r>
    <x v="0"/>
    <s v="0801165317"/>
    <x v="131"/>
    <x v="19"/>
    <s v="4 AÑOS 7 MESES"/>
    <x v="0"/>
    <x v="0"/>
    <s v="MAESTRÍA O EQUIVALENTE"/>
    <x v="0"/>
    <x v="5"/>
    <n v="1.85"/>
    <n v="0.99"/>
    <n v="0.97"/>
    <n v="1"/>
    <n v="4.8099999999999996"/>
    <n v="96.199999999999989"/>
  </r>
  <r>
    <x v="0"/>
    <s v="1757374788"/>
    <x v="132"/>
    <x v="41"/>
    <s v="5 AÑOS 8 MESES"/>
    <x v="1"/>
    <x v="0"/>
    <s v="MAESTRÍA O EQUIVALENTE"/>
    <x v="0"/>
    <x v="5"/>
    <n v="1.8"/>
    <n v="1"/>
    <n v="1"/>
    <n v="0.98"/>
    <n v="4.78"/>
    <n v="95.6"/>
  </r>
  <r>
    <x v="0"/>
    <s v="0801526740"/>
    <x v="133"/>
    <x v="36"/>
    <s v="0 AÑOS 7 MESES"/>
    <x v="0"/>
    <x v="0"/>
    <s v="MAESTRÍA O EQUIVALENTE"/>
    <x v="1"/>
    <x v="16"/>
    <n v="1.75"/>
    <n v="1"/>
    <n v="0.98"/>
    <n v="1"/>
    <n v="4.7300000000000004"/>
    <n v="94.600000000000009"/>
  </r>
  <r>
    <x v="0"/>
    <s v="0800626913"/>
    <x v="134"/>
    <x v="15"/>
    <s v="0 AÑOS 2 MESES"/>
    <x v="0"/>
    <x v="0"/>
    <s v="MAESTRÍA O EQUIVALENTE"/>
    <x v="1"/>
    <x v="7"/>
    <n v="1.92"/>
    <n v="0.99"/>
    <n v="0.97"/>
    <n v="1"/>
    <n v="4.88"/>
    <n v="97.6"/>
  </r>
  <r>
    <x v="0"/>
    <s v="0801415126"/>
    <x v="135"/>
    <x v="17"/>
    <s v="8 AÑOS 3 MESES"/>
    <x v="0"/>
    <x v="0"/>
    <s v="MAESTRÍA O EQUIVALENTE"/>
    <x v="0"/>
    <x v="5"/>
    <n v="1.87"/>
    <n v="1"/>
    <n v="1"/>
    <n v="1"/>
    <n v="4.87"/>
    <n v="97.4"/>
  </r>
  <r>
    <x v="0"/>
    <s v="0803028307"/>
    <x v="136"/>
    <x v="16"/>
    <s v="0 AÑOS 2 MESES"/>
    <x v="1"/>
    <x v="0"/>
    <s v="MAESTRÍA O EQUIVALENTE"/>
    <x v="1"/>
    <x v="1"/>
    <n v="1.62"/>
    <n v="1"/>
    <n v="1"/>
    <n v="0.97"/>
    <n v="4.59"/>
    <n v="91.8"/>
  </r>
  <r>
    <x v="0"/>
    <s v="0802223719"/>
    <x v="137"/>
    <x v="6"/>
    <s v="0 AÑOS 5 MESES"/>
    <x v="0"/>
    <x v="0"/>
    <s v="MAESTRÍA O EQUIVALENTE"/>
    <x v="1"/>
    <x v="3"/>
    <n v="1.93"/>
    <n v="0"/>
    <n v="0.93"/>
    <n v="1"/>
    <n v="3.86"/>
    <n v="77.2"/>
  </r>
  <r>
    <x v="0"/>
    <s v="1716654296"/>
    <x v="138"/>
    <x v="38"/>
    <s v="0 AÑOS 2 MESES"/>
    <x v="1"/>
    <x v="0"/>
    <s v="MAESTRÍA O EQUIVALENTE"/>
    <x v="1"/>
    <x v="7"/>
    <n v="1.9"/>
    <n v="1"/>
    <n v="1"/>
    <n v="0.97"/>
    <n v="4.87"/>
    <n v="97.4"/>
  </r>
  <r>
    <x v="0"/>
    <s v="1708222409"/>
    <x v="139"/>
    <x v="31"/>
    <s v="0 AÑOS 2 MESES"/>
    <x v="1"/>
    <x v="0"/>
    <s v="MAESTRÍA O EQUIVALENTE"/>
    <x v="1"/>
    <x v="7"/>
    <n v="1.48"/>
    <n v="1"/>
    <n v="0.97"/>
    <n v="0.91"/>
    <n v="4.3600000000000003"/>
    <n v="87.200000000000017"/>
  </r>
  <r>
    <x v="0"/>
    <s v="0802464032"/>
    <x v="140"/>
    <x v="8"/>
    <s v="0 AÑOS 10 MESES"/>
    <x v="0"/>
    <x v="0"/>
    <s v="MAESTRÍA O EQUIVALENTE"/>
    <x v="0"/>
    <x v="13"/>
    <n v="1.61"/>
    <n v="0.98"/>
    <n v="1"/>
    <n v="1"/>
    <n v="4.59"/>
    <n v="91.8"/>
  </r>
  <r>
    <x v="0"/>
    <s v="0801574864"/>
    <x v="141"/>
    <x v="18"/>
    <s v="10 AÑOS 2 MESES"/>
    <x v="0"/>
    <x v="0"/>
    <s v="DOCTOR (Ph.D)"/>
    <x v="2"/>
    <x v="0"/>
    <n v="1.78"/>
    <n v="1"/>
    <n v="0.97"/>
    <n v="1"/>
    <n v="4.75"/>
    <n v="95"/>
  </r>
  <r>
    <x v="0"/>
    <s v="1804326534"/>
    <x v="142"/>
    <x v="26"/>
    <s v="0 AÑOS 3 MESES"/>
    <x v="1"/>
    <x v="0"/>
    <s v="MAESTRÍA O EQUIVALENTE"/>
    <x v="0"/>
    <x v="4"/>
    <n v="1.87"/>
    <n v="0.98"/>
    <n v="1"/>
    <n v="1"/>
    <n v="4.8499999999999996"/>
    <n v="96.999999999999986"/>
  </r>
  <r>
    <x v="0"/>
    <s v="0802997049"/>
    <x v="143"/>
    <x v="28"/>
    <s v="0 AÑOS 7 MESES"/>
    <x v="0"/>
    <x v="0"/>
    <s v="MAESTRÍA O EQUIVALENTE"/>
    <x v="1"/>
    <x v="3"/>
    <n v="1.8"/>
    <n v="1"/>
    <n v="1"/>
    <n v="1"/>
    <n v="4.8"/>
    <n v="96"/>
  </r>
  <r>
    <x v="0"/>
    <s v="1717178824"/>
    <x v="144"/>
    <x v="4"/>
    <s v="0 AÑOS 7 MESES"/>
    <x v="1"/>
    <x v="0"/>
    <s v="MAESTRÍA O EQUIVALENTE"/>
    <x v="1"/>
    <x v="8"/>
    <n v="1.98"/>
    <n v="1"/>
    <n v="1"/>
    <n v="1"/>
    <n v="4.9800000000000004"/>
    <n v="99.600000000000009"/>
  </r>
  <r>
    <x v="0"/>
    <s v="0800894586"/>
    <x v="145"/>
    <x v="21"/>
    <s v="10 AÑOS 2 MESES"/>
    <x v="0"/>
    <x v="0"/>
    <s v="MAESTRÍA O EQUIVALENTE"/>
    <x v="2"/>
    <x v="9"/>
    <n v="1.99"/>
    <n v="1"/>
    <n v="1"/>
    <n v="1"/>
    <n v="4.99"/>
    <n v="99.8"/>
  </r>
  <r>
    <x v="0"/>
    <s v="1757108871"/>
    <x v="146"/>
    <x v="3"/>
    <s v="2 AÑOS 10 MESES"/>
    <x v="0"/>
    <x v="0"/>
    <s v="MAESTRÍA O EQUIVALENTE"/>
    <x v="0"/>
    <x v="8"/>
    <n v="1.93"/>
    <n v="0.99"/>
    <n v="1"/>
    <n v="0.97"/>
    <n v="4.8899999999999997"/>
    <n v="97.799999999999983"/>
  </r>
  <r>
    <x v="0"/>
    <s v="0803129360"/>
    <x v="147"/>
    <x v="2"/>
    <s v="1 AÑOS 3 MESES"/>
    <x v="0"/>
    <x v="0"/>
    <s v="MAESTRÍA O EQUIVALENTE"/>
    <x v="2"/>
    <x v="15"/>
    <n v="1.66"/>
    <n v="1"/>
    <n v="1"/>
    <n v="1"/>
    <n v="4.66"/>
    <n v="93.2"/>
  </r>
  <r>
    <x v="0"/>
    <s v="0801187089"/>
    <x v="148"/>
    <x v="19"/>
    <s v="9 AÑOS 9 MESES"/>
    <x v="0"/>
    <x v="0"/>
    <s v="MAESTRÍA O EQUIVALENTE"/>
    <x v="0"/>
    <x v="5"/>
    <n v="1.74"/>
    <n v="1"/>
    <n v="1"/>
    <n v="0.97"/>
    <n v="4.71"/>
    <n v="94.2"/>
  </r>
  <r>
    <x v="0"/>
    <s v="1724550163"/>
    <x v="149"/>
    <x v="14"/>
    <s v="123 AÑOS 11 MESES"/>
    <x v="1"/>
    <x v="0"/>
    <s v="MAESTRÍA O EQUIVALENTE"/>
    <x v="1"/>
    <x v="3"/>
    <n v="1.76"/>
    <n v="0.93"/>
    <n v="0.96"/>
    <n v="1"/>
    <n v="4.6500000000000004"/>
    <n v="93.000000000000014"/>
  </r>
  <r>
    <x v="0"/>
    <s v="0603967308"/>
    <x v="150"/>
    <x v="2"/>
    <s v="0 AÑOS 7 MESES"/>
    <x v="0"/>
    <x v="0"/>
    <s v="MAESTRÍA O EQUIVALENTE"/>
    <x v="0"/>
    <x v="1"/>
    <n v="1.68"/>
    <n v="1"/>
    <n v="1"/>
    <n v="1"/>
    <n v="4.68"/>
    <n v="93.6"/>
  </r>
  <r>
    <x v="0"/>
    <s v="0801966748"/>
    <x v="151"/>
    <x v="22"/>
    <s v="0 AÑOS 2 MESES"/>
    <x v="0"/>
    <x v="0"/>
    <s v="MAESTRÍA O EQUIVALENTE"/>
    <x v="1"/>
    <x v="1"/>
    <n v="1.56"/>
    <n v="1"/>
    <n v="1"/>
    <n v="0.96"/>
    <n v="4.5199999999999996"/>
    <n v="90.399999999999991"/>
  </r>
  <r>
    <x v="0"/>
    <s v="1760898609"/>
    <x v="152"/>
    <x v="40"/>
    <s v="0 AÑOS 1 MESES"/>
    <x v="1"/>
    <x v="0"/>
    <s v="MAESTRÍA O EQUIVALENTE"/>
    <x v="2"/>
    <x v="3"/>
    <n v="1.73"/>
    <n v="1"/>
    <n v="0.99"/>
    <n v="1"/>
    <n v="4.72"/>
    <n v="94.4"/>
  </r>
  <r>
    <x v="0"/>
    <s v="0801752296"/>
    <x v="153"/>
    <x v="18"/>
    <s v="10 AÑOS 2 MESES"/>
    <x v="0"/>
    <x v="0"/>
    <s v="MAESTRÍA O EQUIVALENTE"/>
    <x v="0"/>
    <x v="6"/>
    <n v="1.96"/>
    <n v="1"/>
    <n v="1"/>
    <n v="0.95"/>
    <n v="4.91"/>
    <n v="98.2"/>
  </r>
  <r>
    <x v="1"/>
    <m/>
    <x v="154"/>
    <x v="42"/>
    <m/>
    <x v="2"/>
    <x v="1"/>
    <m/>
    <x v="3"/>
    <x v="18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x v="0"/>
    <s v="0800728735"/>
    <s v="Achilie Valencia Tahimi "/>
    <n v="61"/>
    <s v="9 AÑOS 1 MESES"/>
    <s v="MUJER"/>
    <s v="CUARTO NIVEL"/>
    <s v="MAESTRÍA O EQUIVALENTE"/>
    <s v="TIEMPO COMPLETO"/>
    <x v="0"/>
    <n v="1.84"/>
    <n v="0.99"/>
    <n v="0.97"/>
    <n v="1"/>
    <n v="4.8"/>
    <n v="96"/>
  </r>
  <r>
    <x v="0"/>
    <s v="1250036082"/>
    <s v="Acosta Ganan Michael Andres"/>
    <n v="28"/>
    <s v="0 AÑOS 2 MESES"/>
    <s v="HOMBRE"/>
    <s v="CUARTO NIVEL"/>
    <s v="MAESTRÍA O EQUIVALENTE"/>
    <s v="TIEMPO COMPLETO"/>
    <x v="1"/>
    <n v="1.68"/>
    <n v="0.86"/>
    <n v="1"/>
    <n v="0.93"/>
    <n v="4.47"/>
    <n v="89.4"/>
  </r>
  <r>
    <x v="0"/>
    <s v="1803528049"/>
    <s v="Agreda Egas Eylen Amanda"/>
    <n v="35"/>
    <s v="1 AÑOS 1 MESES"/>
    <s v="MUJER"/>
    <s v="CUARTO NIVEL"/>
    <s v="MAESTRÍA O EQUIVALENTE"/>
    <s v="TIEMPO COMPLETO"/>
    <x v="1"/>
    <n v="1.72"/>
    <n v="1"/>
    <n v="1"/>
    <n v="1"/>
    <n v="4.72"/>
    <n v="94.4"/>
  </r>
  <r>
    <x v="0"/>
    <s v="0802885665"/>
    <s v="Aguilar Quiñonez Veronica Elizabeth"/>
    <n v="39"/>
    <s v="1 AÑOS 7 MESES"/>
    <s v="MUJER"/>
    <s v="CUARTO NIVEL"/>
    <s v="MAESTRÍA O EQUIVALENTE"/>
    <s v="TIEMPO COMPLETO"/>
    <x v="0"/>
    <n v="1.94"/>
    <n v="1"/>
    <n v="0.94"/>
    <n v="0.91"/>
    <n v="4.79"/>
    <n v="95.8"/>
  </r>
  <r>
    <x v="0"/>
    <s v="0802669531"/>
    <s v="Alava Chila Orlin Eladio"/>
    <n v="41"/>
    <s v="0 AÑOS 1 MESES"/>
    <s v="HOMBRE"/>
    <s v="CUARTO NIVEL"/>
    <s v="MAESTRÍA O EQUIVALENTE"/>
    <s v="TIEMPO COMPLETO"/>
    <x v="0"/>
    <n v="1.91"/>
    <n v="1"/>
    <n v="1"/>
    <n v="0.98"/>
    <n v="4.8899999999999997"/>
    <n v="97.799999999999983"/>
  </r>
  <r>
    <x v="0"/>
    <s v="0802190868"/>
    <s v="Alencastro Guerrero Nelson Junior"/>
    <n v="38"/>
    <s v="0 AÑOS 7 MESES"/>
    <s v="HOMBRE"/>
    <s v="CUARTO NIVEL"/>
    <s v="MAESTRÍA O EQUIVALENTE"/>
    <s v="TIEMPO PARCIAL"/>
    <x v="2"/>
    <n v="1.8"/>
    <n v="1"/>
    <n v="0.93"/>
    <n v="0.92"/>
    <n v="4.6500000000000004"/>
    <n v="93.000000000000014"/>
  </r>
  <r>
    <x v="0"/>
    <s v="0962658753"/>
    <s v="Altman Peña Barbara"/>
    <n v="43"/>
    <s v="0 AÑOS 2 MESES"/>
    <s v="MUJER"/>
    <s v="CUARTO NIVEL"/>
    <s v="MAESTRÍA O EQUIVALENTE"/>
    <s v="TIEMPO PARCIAL"/>
    <x v="3"/>
    <n v="1.83"/>
    <n v="0.96"/>
    <n v="1"/>
    <n v="1"/>
    <n v="4.79"/>
    <n v="95.8"/>
  </r>
  <r>
    <x v="0"/>
    <s v="0800436495"/>
    <s v="Anchundia Ortiz Angel"/>
    <n v="66"/>
    <s v="0 AÑOS 2 MESES"/>
    <s v="HOMBRE"/>
    <s v="CUARTO NIVEL"/>
    <s v="MAESTRÍA O EQUIVALENTE"/>
    <s v="MEDIO TIEMPO"/>
    <x v="4"/>
    <n v="1.83"/>
    <n v="1"/>
    <n v="0.98"/>
    <n v="1"/>
    <n v="4.8099999999999996"/>
    <n v="96.199999999999989"/>
  </r>
  <r>
    <x v="0"/>
    <s v="0802345413"/>
    <s v="Andrade Perea Jane Verónica"/>
    <n v="42"/>
    <s v="0 AÑOS 7 MESES"/>
    <s v="MUJER"/>
    <s v="CUARTO NIVEL"/>
    <s v="MAESTRÍA O EQUIVALENTE"/>
    <s v="TIEMPO PARCIAL"/>
    <x v="4"/>
    <n v="1.85"/>
    <n v="0"/>
    <n v="1"/>
    <n v="1"/>
    <n v="3.85"/>
    <n v="77"/>
  </r>
  <r>
    <x v="0"/>
    <s v="0801445107"/>
    <s v="Angulo Alegria Memi Victoria"/>
    <n v="55"/>
    <s v="9 AÑOS 9 MESES"/>
    <s v="MUJER"/>
    <s v="CUARTO NIVEL"/>
    <s v="MAESTRÍA O EQUIVALENTE"/>
    <s v="TIEMPO COMPLETO"/>
    <x v="5"/>
    <n v="1.74"/>
    <n v="0.97"/>
    <n v="0.97"/>
    <n v="0.97"/>
    <n v="4.6500000000000004"/>
    <n v="93.000000000000014"/>
  </r>
  <r>
    <x v="0"/>
    <s v="0801912221"/>
    <s v="Angulo Castillo Jacinta Veronica"/>
    <n v="49"/>
    <s v="0 AÑOS 8 MESES"/>
    <s v="MUJER"/>
    <s v="CUARTO NIVEL"/>
    <s v="MAESTRÍA O EQUIVALENTE"/>
    <s v="TIEMPO COMPLETO"/>
    <x v="6"/>
    <n v="1.84"/>
    <n v="1"/>
    <n v="1"/>
    <n v="1"/>
    <n v="4.84"/>
    <n v="96.8"/>
  </r>
  <r>
    <x v="0"/>
    <s v="1760560027"/>
    <s v="Araujo Albarran Karen Eloina"/>
    <n v="38"/>
    <s v="0 AÑOS 5 MESES"/>
    <s v="MUJER"/>
    <s v="CUARTO NIVEL"/>
    <s v="MAESTRÍA O EQUIVALENTE"/>
    <s v="TIEMPO PARCIAL"/>
    <x v="7"/>
    <n v="1.96"/>
    <n v="0.92"/>
    <n v="0.94"/>
    <n v="1"/>
    <n v="4.82"/>
    <n v="96.4"/>
  </r>
  <r>
    <x v="0"/>
    <s v="0803503176"/>
    <s v="Arguello Cedeño Jonathan Alexander"/>
    <n v="32"/>
    <s v="0 AÑOS 3 MESES"/>
    <s v="HOMBRE"/>
    <s v="CUARTO NIVEL"/>
    <s v="MAESTRÍA O EQUIVALENTE"/>
    <s v="TIEMPO COMPLETO"/>
    <x v="2"/>
    <n v="1.95"/>
    <n v="0.99"/>
    <n v="1"/>
    <n v="1"/>
    <n v="4.9400000000000004"/>
    <n v="98.800000000000011"/>
  </r>
  <r>
    <x v="0"/>
    <s v="0503270506"/>
    <s v="Armas Arias Mario Javier"/>
    <n v="35"/>
    <s v="123 AÑOS 11 MESES"/>
    <s v="HOMBRE"/>
    <s v="CUARTO NIVEL"/>
    <s v="MAESTRÍA O EQUIVALENTE"/>
    <s v="TIEMPO COMPLETO"/>
    <x v="8"/>
    <n v="2"/>
    <n v="0.98"/>
    <n v="0.97"/>
    <n v="1"/>
    <n v="4.95"/>
    <n v="99"/>
  </r>
  <r>
    <x v="0"/>
    <s v="0801771437"/>
    <s v="Armijos Porozo Irlanda Magaly"/>
    <n v="42"/>
    <s v="8 AÑOS 5 MESES"/>
    <s v="MUJER"/>
    <s v="CUARTO NIVEL"/>
    <s v="MAESTRÍA O EQUIVALENTE"/>
    <s v="TIEMPO COMPLETO"/>
    <x v="9"/>
    <n v="1.92"/>
    <n v="1"/>
    <n v="1"/>
    <n v="1"/>
    <n v="4.92"/>
    <n v="98.4"/>
  </r>
  <r>
    <x v="0"/>
    <s v="0801683863"/>
    <s v="Arroyo Mercado Edwin Raul"/>
    <n v="45"/>
    <s v="0 AÑOS 2 MESES"/>
    <s v="HOMBRE"/>
    <s v="CUARTO NIVEL"/>
    <s v="MAESTRÍA O EQUIVALENTE"/>
    <s v="TIEMPO PARCIAL"/>
    <x v="5"/>
    <n v="1.92"/>
    <n v="0"/>
    <n v="0.89"/>
    <n v="1"/>
    <n v="3.81"/>
    <n v="76.2"/>
  </r>
  <r>
    <x v="0"/>
    <s v="0802909861"/>
    <s v="Ballesteros Chica Guillermo Alexander"/>
    <n v="32"/>
    <s v="0 AÑOS 7 MESES"/>
    <s v="HOMBRE"/>
    <s v="CUARTO NIVEL"/>
    <s v="MAESTRÍA O EQUIVALENTE"/>
    <s v="TIEMPO PARCIAL"/>
    <x v="6"/>
    <n v="1.93"/>
    <n v="1"/>
    <n v="1"/>
    <n v="0.98"/>
    <n v="4.91"/>
    <n v="98.2"/>
  </r>
  <r>
    <x v="0"/>
    <s v="0801577297"/>
    <s v="Bautista Cotera Javier Geovanny"/>
    <n v="51"/>
    <s v="6 AÑOS 3 MESES"/>
    <s v="HOMBRE"/>
    <s v="CUARTO NIVEL"/>
    <s v="MAESTRÍA O EQUIVALENTE"/>
    <s v="TIEMPO PARCIAL"/>
    <x v="3"/>
    <n v="1.76"/>
    <n v="0.99"/>
    <n v="1"/>
    <n v="1"/>
    <n v="4.75"/>
    <n v="95"/>
  </r>
  <r>
    <x v="0"/>
    <s v="0802916130"/>
    <s v="Bautista Mejia Katiuska Maria"/>
    <n v="33"/>
    <s v="0 AÑOS 2 MESES"/>
    <s v="MUJER"/>
    <s v="CUARTO NIVEL"/>
    <s v="MAESTRÍA O EQUIVALENTE"/>
    <s v="TIEMPO PARCIAL"/>
    <x v="3"/>
    <n v="1.94"/>
    <n v="0"/>
    <n v="1"/>
    <n v="1"/>
    <n v="3.94"/>
    <n v="78.8"/>
  </r>
  <r>
    <x v="0"/>
    <s v="0800627523"/>
    <s v="Becerra Posligua Carlos Ramón"/>
    <n v="62"/>
    <s v="0 AÑOS 7 MESES"/>
    <s v="HOMBRE"/>
    <s v="CUARTO NIVEL"/>
    <s v="MAESTRÍA O EQUIVALENTE"/>
    <s v="TIEMPO PARCIAL"/>
    <x v="10"/>
    <n v="1.79"/>
    <n v="0.97"/>
    <n v="0.83"/>
    <n v="0.77"/>
    <n v="4.3600000000000003"/>
    <n v="87.200000000000017"/>
  </r>
  <r>
    <x v="0"/>
    <s v="1725949851"/>
    <s v="Benitez Barro Andrea Carolina"/>
    <n v="30"/>
    <s v="0 AÑOS 2 MESES"/>
    <s v="MUJER"/>
    <s v="CUARTO NIVEL"/>
    <s v="MAESTRÍA O EQUIVALENTE"/>
    <s v="TIEMPO PARCIAL"/>
    <x v="5"/>
    <n v="1.91"/>
    <n v="1"/>
    <n v="0.95"/>
    <n v="0.93"/>
    <n v="4.79"/>
    <n v="95.8"/>
  </r>
  <r>
    <x v="0"/>
    <s v="1750819565"/>
    <s v="Bernabe Lillo Maria De Los Lirios"/>
    <n v="54"/>
    <s v="12 AÑOS 9 MESES"/>
    <s v="MUJER"/>
    <s v="CUARTO NIVEL"/>
    <s v="MAESTRÍA O EQUIVALENTE"/>
    <s v="TIEMPO COMPLETO"/>
    <x v="3"/>
    <n v="1.95"/>
    <n v="0.98"/>
    <n v="1"/>
    <n v="1"/>
    <n v="4.93"/>
    <n v="98.6"/>
  </r>
  <r>
    <x v="0"/>
    <s v="0801786245"/>
    <s v="Betancourt Aguilar Freddy Leonardo"/>
    <n v="50"/>
    <s v="0 AÑOS 8 MESES"/>
    <s v="HOMBRE"/>
    <s v="CUARTO NIVEL"/>
    <s v="MAESTRÍA O EQUIVALENTE"/>
    <s v="TIEMPO COMPLETO"/>
    <x v="11"/>
    <n v="1.86"/>
    <n v="0.97"/>
    <n v="0.97"/>
    <n v="1"/>
    <n v="4.8"/>
    <n v="96"/>
  </r>
  <r>
    <x v="0"/>
    <s v="0801907197"/>
    <s v="Burbano Salazar Javier Enrique"/>
    <n v="35"/>
    <s v="0 AÑOS 2 MESES"/>
    <s v="HOMBRE"/>
    <s v="CUARTO NIVEL"/>
    <s v="DOCTOR (Ph.D)"/>
    <s v="TIEMPO PARCIAL"/>
    <x v="11"/>
    <n v="1.8"/>
    <n v="1"/>
    <n v="1"/>
    <n v="1"/>
    <n v="4.8"/>
    <n v="96"/>
  </r>
  <r>
    <x v="0"/>
    <s v="0801095050"/>
    <s v="Bustos Vera Rhay Pablo"/>
    <n v="58"/>
    <s v="5 AÑOS 8 MESES"/>
    <s v="HOMBRE"/>
    <s v="CUARTO NIVEL"/>
    <s v="MAESTRÍA O EQUIVALENTE"/>
    <s v="TIEMPO PARCIAL"/>
    <x v="4"/>
    <n v="1.57"/>
    <n v="1"/>
    <n v="1"/>
    <n v="0.91"/>
    <n v="4.4800000000000004"/>
    <n v="89.600000000000009"/>
  </r>
  <r>
    <x v="0"/>
    <s v="0963349907"/>
    <s v="Callejas De Valero Diana Estela"/>
    <n v="64"/>
    <s v="0 AÑOS 7 MESES"/>
    <s v="MUJER"/>
    <s v="CUARTO NIVEL"/>
    <s v="DOCTOR (Ph.D)"/>
    <s v="TIEMPO COMPLETO"/>
    <x v="1"/>
    <n v="1.82"/>
    <n v="1"/>
    <n v="1"/>
    <n v="1"/>
    <n v="4.82"/>
    <n v="96.4"/>
  </r>
  <r>
    <x v="0"/>
    <s v="0800851024"/>
    <s v="Carvache Franco Zully Betty"/>
    <n v="59"/>
    <s v="0 AÑOS 7 MESES"/>
    <s v="MUJER"/>
    <s v="CUARTO NIVEL"/>
    <s v="MAESTRÍA O EQUIVALENTE"/>
    <s v="TIEMPO PARCIAL"/>
    <x v="4"/>
    <n v="1.76"/>
    <n v="1"/>
    <n v="1"/>
    <n v="0.97"/>
    <n v="4.7300000000000004"/>
    <n v="94.600000000000009"/>
  </r>
  <r>
    <x v="0"/>
    <s v="0802476374"/>
    <s v="Carvajal Carvajal Jose Luis"/>
    <n v="41"/>
    <s v="10 AÑOS 2 MESES"/>
    <s v="HOMBRE"/>
    <s v="CUARTO NIVEL"/>
    <s v="MAESTRÍA O EQUIVALENTE"/>
    <s v="TIEMPO COMPLETO"/>
    <x v="4"/>
    <n v="1.8"/>
    <n v="1"/>
    <n v="1"/>
    <n v="0.97"/>
    <n v="4.7699999999999996"/>
    <n v="95.399999999999991"/>
  </r>
  <r>
    <x v="0"/>
    <s v="0801924200"/>
    <s v="Castillo Quiñonez Zulinda Susy"/>
    <n v="44"/>
    <s v="0 AÑOS 2 MESES"/>
    <s v="MUJER"/>
    <s v="CUARTO NIVEL"/>
    <s v="MAESTRÍA O EQUIVALENTE"/>
    <s v="TIEMPO PARCIAL"/>
    <x v="12"/>
    <n v="1.58"/>
    <n v="1"/>
    <n v="1"/>
    <n v="1"/>
    <n v="4.58"/>
    <n v="91.6"/>
  </r>
  <r>
    <x v="0"/>
    <s v="0802971069"/>
    <s v="Castro Demera Dicke Alejandro"/>
    <n v="29"/>
    <s v="3 AÑOS 2 MESES"/>
    <s v="HOMBRE"/>
    <s v="CUARTO NIVEL"/>
    <s v="MAESTRÍA O EQUIVALENTE"/>
    <s v="TIEMPO COMPLETO"/>
    <x v="1"/>
    <n v="1.82"/>
    <n v="1"/>
    <n v="1"/>
    <n v="0.95"/>
    <n v="4.7699999999999996"/>
    <n v="95.399999999999991"/>
  </r>
  <r>
    <x v="0"/>
    <s v="0802278408"/>
    <s v="Cedeño Barrezueta Darío Andrés"/>
    <n v="38"/>
    <s v="0 AÑOS 2 MESES"/>
    <s v="HOMBRE"/>
    <s v="CUARTO NIVEL"/>
    <s v="MAESTRÍA O EQUIVALENTE"/>
    <s v="TIEMPO PARCIAL"/>
    <x v="11"/>
    <n v="1.95"/>
    <n v="1"/>
    <n v="1"/>
    <n v="1"/>
    <n v="4.95"/>
    <n v="99"/>
  </r>
  <r>
    <x v="0"/>
    <s v="0801739673"/>
    <s v="Cedeño Lastra Susana Elizabeth"/>
    <n v="50"/>
    <s v="0 AÑOS 7 MESES"/>
    <s v="MUJER"/>
    <s v="CUARTO NIVEL"/>
    <s v="MAESTRÍA O EQUIVALENTE"/>
    <s v="TIEMPO PARCIAL"/>
    <x v="0"/>
    <n v="1.86"/>
    <n v="1"/>
    <n v="0.94"/>
    <n v="0.8"/>
    <n v="4.5999999999999996"/>
    <n v="91.999999999999986"/>
  </r>
  <r>
    <x v="0"/>
    <s v="0803116334"/>
    <s v="Cervantes Intriago Jenny Cristina"/>
    <n v="55"/>
    <s v="1 AÑOS 0 MESES"/>
    <s v="MUJER"/>
    <s v="CUARTO NIVEL"/>
    <s v="MAESTRÍA O EQUIVALENTE"/>
    <s v="TIEMPO COMPLETO"/>
    <x v="0"/>
    <n v="1.82"/>
    <n v="0.97"/>
    <n v="0.97"/>
    <n v="0.94"/>
    <n v="4.7"/>
    <n v="94"/>
  </r>
  <r>
    <x v="0"/>
    <s v="1302921018"/>
    <s v="Cevallos Arteaga Ramon Marcos"/>
    <n v="65"/>
    <s v="0 AÑOS 2 MESES"/>
    <s v="HOMBRE"/>
    <s v="CUARTO NIVEL"/>
    <s v="MAESTRÍA O EQUIVALENTE"/>
    <s v="TIEMPO PARCIAL"/>
    <x v="5"/>
    <n v="1.69"/>
    <n v="0.99"/>
    <n v="0.97"/>
    <n v="0.93"/>
    <n v="4.58"/>
    <n v="91.6"/>
  </r>
  <r>
    <x v="0"/>
    <s v="0800638306"/>
    <s v="Chichande Mora Mirna Monserrate"/>
    <n v="57"/>
    <s v="0 AÑOS 1 MESES"/>
    <s v="MUJER"/>
    <s v="CUARTO NIVEL"/>
    <s v="MAESTRÍA O EQUIVALENTE"/>
    <s v="TIEMPO PARCIAL"/>
    <x v="8"/>
    <n v="1.45"/>
    <n v="1"/>
    <n v="1"/>
    <n v="1"/>
    <n v="4.45"/>
    <n v="89"/>
  </r>
  <r>
    <x v="0"/>
    <s v="0803554831"/>
    <s v="Chila Garcia Karen Carolina"/>
    <n v="31"/>
    <s v="0 AÑOS 2 MESES"/>
    <s v="MUJER"/>
    <s v="CUARTO NIVEL"/>
    <s v="MAESTRÍA O EQUIVALENTE"/>
    <s v="TIEMPO COMPLETO"/>
    <x v="1"/>
    <n v="1.43"/>
    <n v="0.95"/>
    <n v="1"/>
    <n v="0.89"/>
    <n v="4.2699999999999996"/>
    <n v="85.399999999999991"/>
  </r>
  <r>
    <x v="0"/>
    <s v="0803496900"/>
    <s v="Coimen Marquez Boris Guillermo"/>
    <n v="32"/>
    <s v="0 AÑOS 2 MESES"/>
    <s v="HOMBRE"/>
    <s v="CUARTO NIVEL"/>
    <s v="MAESTRÍA O EQUIVALENTE"/>
    <s v="TIEMPO PARCIAL"/>
    <x v="2"/>
    <n v="1.85"/>
    <n v="1"/>
    <n v="1"/>
    <n v="0.94"/>
    <n v="4.79"/>
    <n v="95.8"/>
  </r>
  <r>
    <x v="0"/>
    <s v="0803077577"/>
    <s v="Cuero Bennett Maria Jose"/>
    <n v="34"/>
    <s v="0 AÑOS 2 MESES"/>
    <s v="MUJER"/>
    <s v="CUARTO NIVEL"/>
    <s v="MAESTRÍA O EQUIVALENTE"/>
    <s v="TIEMPO PARCIAL"/>
    <x v="6"/>
    <n v="1.94"/>
    <n v="0.98"/>
    <n v="1"/>
    <n v="1"/>
    <n v="4.92"/>
    <n v="98.4"/>
  </r>
  <r>
    <x v="0"/>
    <s v="0703783738"/>
    <s v="Cunha Romero Luz Elena"/>
    <n v="45"/>
    <s v="0 AÑOS 7 MESES"/>
    <s v="MUJER"/>
    <s v="CUARTO NIVEL"/>
    <s v="MAESTRÍA O EQUIVALENTE"/>
    <s v="TIEMPO PARCIAL"/>
    <x v="6"/>
    <n v="1.82"/>
    <n v="0.87"/>
    <n v="1"/>
    <n v="1"/>
    <n v="4.6900000000000004"/>
    <n v="93.800000000000011"/>
  </r>
  <r>
    <x v="0"/>
    <s v="1757306087"/>
    <s v="De La Rosa Ferrera Jose Manuel"/>
    <n v="55"/>
    <s v="5 AÑOS 7 MESES"/>
    <s v="HOMBRE"/>
    <s v="CUARTO NIVEL"/>
    <s v="MAESTRÍA O EQUIVALENTE"/>
    <s v="TIEMPO COMPLETO"/>
    <x v="5"/>
    <n v="1.87"/>
    <n v="1"/>
    <n v="1"/>
    <n v="1"/>
    <n v="4.87"/>
    <n v="97.4"/>
  </r>
  <r>
    <x v="0"/>
    <s v="0803846682"/>
    <s v="Delgado Gonzalez Cristhian David"/>
    <n v="32"/>
    <s v="0 AÑOS 2 MESES"/>
    <s v="HOMBRE"/>
    <s v="CUARTO NIVEL"/>
    <s v="MAESTRÍA O EQUIVALENTE"/>
    <s v="TIEMPO PARCIAL"/>
    <x v="4"/>
    <n v="1.65"/>
    <n v="1"/>
    <n v="1"/>
    <n v="0.97"/>
    <n v="4.62"/>
    <n v="92.4"/>
  </r>
  <r>
    <x v="0"/>
    <s v="0803558253"/>
    <s v="Dueñas Mendoza Andrea Stefania"/>
    <n v="34"/>
    <s v="123 AÑOS 11 MESES"/>
    <s v="MUJER"/>
    <s v="CUARTO NIVEL"/>
    <s v="MAESTRÍA O EQUIVALENTE"/>
    <s v="TIEMPO COMPLETO"/>
    <x v="8"/>
    <n v="1.88"/>
    <n v="1"/>
    <n v="0.97"/>
    <n v="1"/>
    <n v="4.8499999999999996"/>
    <n v="96.999999999999986"/>
  </r>
  <r>
    <x v="0"/>
    <s v="0803026913"/>
    <s v="Duque Jironza Karen Julissa"/>
    <n v="36"/>
    <s v="0 AÑOS 2 MESES"/>
    <s v="MUJER"/>
    <s v="CUARTO NIVEL"/>
    <s v="MAESTRÍA O EQUIVALENTE"/>
    <s v="TIEMPO PARCIAL"/>
    <x v="7"/>
    <n v="1.99"/>
    <n v="1"/>
    <n v="1"/>
    <n v="0.91"/>
    <n v="4.9000000000000004"/>
    <n v="98.000000000000014"/>
  </r>
  <r>
    <x v="0"/>
    <s v="0803026939"/>
    <s v="Duque Jironza Laura Zulima"/>
    <n v="30"/>
    <s v="0 AÑOS 2 MESES"/>
    <s v="MUJER"/>
    <s v="CUARTO NIVEL"/>
    <s v="MAESTRÍA O EQUIVALENTE"/>
    <s v="TIEMPO PARCIAL"/>
    <x v="7"/>
    <n v="1.67"/>
    <n v="1"/>
    <n v="1"/>
    <n v="0.86"/>
    <n v="4.53"/>
    <n v="90.6"/>
  </r>
  <r>
    <x v="0"/>
    <s v="0912544780"/>
    <s v="España Francis Nelfa Elizabeth"/>
    <n v="51"/>
    <s v="3 AÑOS 5 MESES"/>
    <s v="MUJER"/>
    <s v="CUARTO NIVEL"/>
    <s v="MAESTRÍA O EQUIVALENTE"/>
    <s v="TIEMPO COMPLETO"/>
    <x v="1"/>
    <n v="1.82"/>
    <n v="0.9"/>
    <n v="1"/>
    <n v="1"/>
    <n v="4.72"/>
    <n v="94.4"/>
  </r>
  <r>
    <x v="0"/>
    <s v="0803181320"/>
    <s v="Espinoza Avila Manuel Eduardo"/>
    <n v="32"/>
    <s v="4 AÑOS 2 MESES"/>
    <s v="HOMBRE"/>
    <s v="CUARTO NIVEL"/>
    <s v="MAESTRÍA O EQUIVALENTE"/>
    <s v="TIEMPO COMPLETO"/>
    <x v="3"/>
    <n v="1.78"/>
    <n v="0"/>
    <n v="0.93"/>
    <n v="1"/>
    <n v="3.71"/>
    <n v="74.2"/>
  </r>
  <r>
    <x v="0"/>
    <s v="0850031030"/>
    <s v="Estupiñan Hurtado Ivannova Stefania"/>
    <n v="29"/>
    <s v="1 AÑOS 0 MESES"/>
    <s v="MUJER"/>
    <s v="CUARTO NIVEL"/>
    <s v="MAESTRÍA O EQUIVALENTE"/>
    <s v="TIEMPO COMPLETO"/>
    <x v="0"/>
    <n v="1.45"/>
    <n v="0.97"/>
    <n v="0.94"/>
    <n v="0.97"/>
    <n v="4.33"/>
    <n v="86.6"/>
  </r>
  <r>
    <x v="0"/>
    <s v="1715929293"/>
    <s v="Estupiñan Plaza Marcos Ignacio"/>
    <n v="42"/>
    <s v="0 AÑOS 2 MESES"/>
    <s v="HOMBRE"/>
    <s v="CUARTO NIVEL"/>
    <s v="MAESTRÍA O EQUIVALENTE"/>
    <s v="TIEMPO PARCIAL"/>
    <x v="7"/>
    <n v="1.76"/>
    <n v="1"/>
    <n v="0.93"/>
    <n v="0.77"/>
    <n v="4.46"/>
    <n v="89.2"/>
  </r>
  <r>
    <x v="0"/>
    <s v="0800968869"/>
    <s v="Falcones Benalcazar Mercy Janeth"/>
    <n v="58"/>
    <s v="1 AÑOS 2 MESES"/>
    <s v="MUJER"/>
    <s v="CUARTO NIVEL"/>
    <s v="MAESTRÍA O EQUIVALENTE"/>
    <s v="TIEMPO COMPLETO"/>
    <x v="5"/>
    <n v="1.51"/>
    <n v="1"/>
    <n v="0.97"/>
    <n v="0.9"/>
    <n v="4.38"/>
    <n v="87.6"/>
  </r>
  <r>
    <x v="0"/>
    <s v="0802863415"/>
    <s v="Garcia Rezabala David Alexander"/>
    <n v="36"/>
    <s v="0 AÑOS 7 MESES"/>
    <s v="HOMBRE"/>
    <s v="CUARTO NIVEL"/>
    <s v="MAESTRÍA O EQUIVALENTE"/>
    <s v="TIEMPO PARCIAL"/>
    <x v="5"/>
    <n v="1.61"/>
    <n v="1"/>
    <n v="0.81"/>
    <n v="0.97"/>
    <n v="4.3899999999999997"/>
    <n v="87.799999999999983"/>
  </r>
  <r>
    <x v="0"/>
    <s v="0803228600"/>
    <s v="Gracia Ortiz Karina Elizabeth"/>
    <n v="36"/>
    <s v="2 AÑOS 0 MESES"/>
    <s v="MUJER"/>
    <s v="CUARTO NIVEL"/>
    <s v="MAESTRÍA O EQUIVALENTE"/>
    <s v="TIEMPO PARCIAL"/>
    <x v="5"/>
    <n v="1.92"/>
    <n v="1"/>
    <n v="1"/>
    <n v="1"/>
    <n v="4.92"/>
    <n v="98.4"/>
  </r>
  <r>
    <x v="0"/>
    <s v="1758755209"/>
    <s v="Guaira Ramos Wiliam Jose"/>
    <n v="63"/>
    <s v="1 AÑOS 1 MESES"/>
    <s v="HOMBRE"/>
    <s v="CUARTO NIVEL"/>
    <s v="MAESTRÍA O EQUIVALENTE"/>
    <s v="TIEMPO COMPLETO"/>
    <x v="7"/>
    <n v="1.88"/>
    <n v="1"/>
    <n v="0.95"/>
    <n v="0.95"/>
    <n v="4.78"/>
    <n v="95.6"/>
  </r>
  <r>
    <x v="0"/>
    <s v="1310851009"/>
    <s v="Guashpa Gómez Alex David"/>
    <n v="33"/>
    <s v="123 AÑOS 11 MESES"/>
    <s v="HOMBRE"/>
    <s v="CUARTO NIVEL"/>
    <s v="MAESTRÍA O EQUIVALENTE"/>
    <s v="TIEMPO COMPLETO"/>
    <x v="7"/>
    <n v="1.95"/>
    <n v="0.96"/>
    <n v="0.96"/>
    <n v="1"/>
    <n v="4.87"/>
    <n v="97.4"/>
  </r>
  <r>
    <x v="0"/>
    <s v="0804267904"/>
    <s v="Guerrero Veliz Antonieta Madeley"/>
    <n v="28"/>
    <s v="1 AÑOS 0 MESES"/>
    <s v="MUJER"/>
    <s v="CUARTO NIVEL"/>
    <s v="MAESTRÍA O EQUIVALENTE"/>
    <s v="TIEMPO COMPLETO"/>
    <x v="11"/>
    <n v="1.91"/>
    <n v="1"/>
    <n v="1"/>
    <n v="1"/>
    <n v="4.91"/>
    <n v="98.2"/>
  </r>
  <r>
    <x v="0"/>
    <s v="1715009500"/>
    <s v="Heredia Alvear Andres Sebastian"/>
    <n v="36"/>
    <s v="0 AÑOS 9 MESES"/>
    <s v="HOMBRE"/>
    <s v="CUARTO NIVEL"/>
    <s v="MAESTRÍA O EQUIVALENTE"/>
    <s v="TIEMPO COMPLETO"/>
    <x v="7"/>
    <n v="1.54"/>
    <n v="0.93"/>
    <n v="1"/>
    <n v="0.96"/>
    <n v="4.43"/>
    <n v="88.6"/>
  </r>
  <r>
    <x v="0"/>
    <s v="0801328733"/>
    <s v="Hernandez Pazmiño César Ernesto"/>
    <n v="48"/>
    <s v="0 AÑOS 2 MESES"/>
    <s v="HOMBRE"/>
    <s v="CUARTO NIVEL"/>
    <s v="MAESTRÍA O EQUIVALENTE"/>
    <s v="TIEMPO PARCIAL"/>
    <x v="7"/>
    <n v="1.95"/>
    <n v="1"/>
    <n v="0.94"/>
    <n v="0.94"/>
    <n v="4.83"/>
    <n v="96.6"/>
  </r>
  <r>
    <x v="0"/>
    <s v="0801692823"/>
    <s v="Hidalgo Solorzano Luis Enrique"/>
    <n v="47"/>
    <s v="1 AÑOS 7 MESES"/>
    <s v="HOMBRE"/>
    <s v="CUARTO NIVEL"/>
    <s v="MAESTRÍA O EQUIVALENTE"/>
    <s v="MEDIO TIEMPO"/>
    <x v="4"/>
    <n v="1.82"/>
    <n v="1"/>
    <n v="0.99"/>
    <n v="1"/>
    <n v="4.8099999999999996"/>
    <n v="96.199999999999989"/>
  </r>
  <r>
    <x v="0"/>
    <s v="0704748946"/>
    <s v="Hidalgo Tapia Cosme Enrique"/>
    <n v="39"/>
    <s v="2 AÑOS 2 MESES"/>
    <s v="HOMBRE"/>
    <s v="CUARTO NIVEL"/>
    <s v="MAESTRÍA O EQUIVALENTE"/>
    <s v="TIEMPO COMPLETO"/>
    <x v="1"/>
    <n v="1.87"/>
    <n v="1"/>
    <n v="1"/>
    <n v="0.98"/>
    <n v="4.8499999999999996"/>
    <n v="96.999999999999986"/>
  </r>
  <r>
    <x v="0"/>
    <s v="0801558446"/>
    <s v="Intriago Ferrin Ana Sariah"/>
    <n v="35"/>
    <s v="1 AÑOS 0 MESES"/>
    <s v="MUJER"/>
    <s v="CUARTO NIVEL"/>
    <s v="MAESTRÍA O EQUIVALENTE"/>
    <s v="TIEMPO COMPLETO"/>
    <x v="8"/>
    <n v="2"/>
    <n v="0.94"/>
    <n v="1"/>
    <n v="0.98"/>
    <n v="4.92"/>
    <n v="98.4"/>
  </r>
  <r>
    <x v="0"/>
    <s v="1804317582"/>
    <s v="Ipiales Miranda Gabriel Alejandro"/>
    <n v="32"/>
    <s v="2 AÑOS 2 MESES"/>
    <s v="HOMBRE"/>
    <s v="CUARTO NIVEL"/>
    <s v="MAESTRÍA O EQUIVALENTE"/>
    <s v="TIEMPO COMPLETO"/>
    <x v="1"/>
    <n v="1.77"/>
    <n v="1"/>
    <n v="1"/>
    <n v="1"/>
    <n v="4.7699999999999996"/>
    <n v="95.399999999999991"/>
  </r>
  <r>
    <x v="0"/>
    <s v="0801921677"/>
    <s v="Jijon Motato Jose Ivan"/>
    <n v="39"/>
    <s v="0 AÑOS 2 MESES"/>
    <s v="HOMBRE"/>
    <s v="CUARTO NIVEL"/>
    <s v="MAESTRÍA O EQUIVALENTE"/>
    <s v="TIEMPO PARCIAL"/>
    <x v="7"/>
    <n v="1.93"/>
    <n v="1"/>
    <n v="0.97"/>
    <n v="0.91"/>
    <n v="4.8099999999999996"/>
    <n v="96.199999999999989"/>
  </r>
  <r>
    <x v="0"/>
    <s v="0801750720"/>
    <s v="Lara Calderon Elsa Maria"/>
    <n v="49"/>
    <s v="0 AÑOS 2 MESES"/>
    <s v="MUJER"/>
    <s v="CUARTO NIVEL"/>
    <s v="MAESTRÍA O EQUIVALENTE"/>
    <s v="TIEMPO PARCIAL"/>
    <x v="3"/>
    <n v="1.84"/>
    <n v="1"/>
    <n v="1"/>
    <n v="1"/>
    <n v="4.84"/>
    <n v="96.8"/>
  </r>
  <r>
    <x v="0"/>
    <s v="0802107243"/>
    <s v="Lastre Cuellar Mariuxi Ivonne"/>
    <n v="46"/>
    <s v="0 AÑOS 2 MESES"/>
    <s v="MUJER"/>
    <s v="CUARTO NIVEL"/>
    <s v="MAESTRÍA O EQUIVALENTE"/>
    <s v="TIEMPO PARCIAL"/>
    <x v="5"/>
    <n v="1.89"/>
    <n v="1"/>
    <n v="0.92"/>
    <n v="0.97"/>
    <n v="4.78"/>
    <n v="95.6"/>
  </r>
  <r>
    <x v="0"/>
    <s v="0603167917"/>
    <s v="Lluilema  Luis Alberto"/>
    <n v="47"/>
    <s v="0 AÑOS 10 MESES"/>
    <s v="HOMBRE"/>
    <s v="CUARTO NIVEL"/>
    <s v="MAESTRÍA O EQUIVALENTE"/>
    <s v="TIEMPO COMPLETO"/>
    <x v="13"/>
    <n v="1.6"/>
    <n v="0.88"/>
    <n v="0.92"/>
    <n v="1"/>
    <n v="4.4000000000000004"/>
    <n v="88.000000000000014"/>
  </r>
  <r>
    <x v="0"/>
    <s v="0803716430"/>
    <s v="Lopez Estupiñán Boris Paul"/>
    <n v="31"/>
    <s v="0 AÑOS 2 MESES"/>
    <s v="HOMBRE"/>
    <s v="CUARTO NIVEL"/>
    <s v="MAESTRÍA O EQUIVALENTE"/>
    <s v="TIEMPO PARCIAL"/>
    <x v="12"/>
    <n v="1.89"/>
    <n v="1"/>
    <n v="0.98"/>
    <n v="1"/>
    <n v="4.87"/>
    <n v="97.4"/>
  </r>
  <r>
    <x v="0"/>
    <s v="1757534357"/>
    <s v="Maldonado Roman Isabel Cristina"/>
    <n v="56"/>
    <s v="1 AÑOS 3 MESES"/>
    <s v="MUJER"/>
    <s v="CUARTO NIVEL"/>
    <s v="MAESTRÍA O EQUIVALENTE"/>
    <s v="MEDIO TIEMPO"/>
    <x v="14"/>
    <n v="1.92"/>
    <n v="1"/>
    <n v="0.99"/>
    <n v="0.98"/>
    <n v="4.8899999999999997"/>
    <n v="97.799999999999983"/>
  </r>
  <r>
    <x v="0"/>
    <s v="1803456738"/>
    <s v="Maliza Chasi Blanca Cecilia"/>
    <n v="42"/>
    <s v="0 AÑOS 2 MESES"/>
    <s v="MUJER"/>
    <s v="CUARTO NIVEL"/>
    <s v="MAESTRÍA O EQUIVALENTE"/>
    <s v="TIEMPO PARCIAL"/>
    <x v="5"/>
    <n v="1.96"/>
    <n v="1"/>
    <n v="0.92"/>
    <n v="0.96"/>
    <n v="4.84"/>
    <n v="96.8"/>
  </r>
  <r>
    <x v="0"/>
    <s v="1723725642"/>
    <s v="Mancero Mayacela Ximena Paola"/>
    <n v="25"/>
    <s v="0 AÑOS 9 MESES"/>
    <s v="MUJER"/>
    <s v="CUARTO NIVEL"/>
    <s v="MAESTRÍA O EQUIVALENTE"/>
    <s v="TIEMPO COMPLETO"/>
    <x v="10"/>
    <n v="1.93"/>
    <n v="0.99"/>
    <n v="1"/>
    <n v="0.99"/>
    <n v="4.91"/>
    <n v="98.2"/>
  </r>
  <r>
    <x v="0"/>
    <s v="0802870139"/>
    <s v="Marcillo Murillo Diana Sabrina"/>
    <n v="39"/>
    <s v="0 AÑOS 7 MESES"/>
    <s v="MUJER"/>
    <s v="CUARTO NIVEL"/>
    <s v="MAESTRÍA O EQUIVALENTE"/>
    <s v="TIEMPO PARCIAL"/>
    <x v="13"/>
    <n v="1.34"/>
    <n v="1"/>
    <n v="0.97"/>
    <n v="0.96"/>
    <n v="4.2699999999999996"/>
    <n v="85.399999999999991"/>
  </r>
  <r>
    <x v="0"/>
    <s v="0800839177"/>
    <s v="Marines Batalla Bona Patricia"/>
    <n v="60"/>
    <s v="0 AÑOS 3 MESES"/>
    <s v="MUJER"/>
    <s v="CUARTO NIVEL"/>
    <s v="MAESTRÍA O EQUIVALENTE"/>
    <s v="TIEMPO COMPLETO"/>
    <x v="5"/>
    <n v="1.78"/>
    <n v="0.99"/>
    <n v="0.94"/>
    <n v="1"/>
    <n v="4.71"/>
    <n v="94.2"/>
  </r>
  <r>
    <x v="0"/>
    <s v="0803106608"/>
    <s v="Mariny Valencia Mariela Katherine"/>
    <n v="34"/>
    <s v="0 AÑOS 2 MESES"/>
    <s v="MUJER"/>
    <s v="CUARTO NIVEL"/>
    <s v="MAESTRÍA O EQUIVALENTE"/>
    <s v="TIEMPO PARCIAL"/>
    <x v="7"/>
    <n v="1.82"/>
    <n v="1"/>
    <n v="1"/>
    <n v="0.75"/>
    <n v="4.57"/>
    <n v="91.4"/>
  </r>
  <r>
    <x v="0"/>
    <s v="0802247734"/>
    <s v="Marmolejo Cueva Melba Cristina"/>
    <n v="44"/>
    <s v="8 AÑOS 7 MESES"/>
    <s v="MUJER"/>
    <s v="CUARTO NIVEL"/>
    <s v="MAESTRÍA O EQUIVALENTE"/>
    <s v="TIEMPO COMPLETO"/>
    <x v="13"/>
    <n v="1.9"/>
    <n v="0.99"/>
    <n v="0.99"/>
    <n v="1"/>
    <n v="4.88"/>
    <n v="97.6"/>
  </r>
  <r>
    <x v="0"/>
    <s v="0802524082"/>
    <s v="Marquez Arboleda Viviana Mercedes"/>
    <n v="43"/>
    <s v="3 AÑOS 2 MESES"/>
    <s v="MUJER"/>
    <s v="CUARTO NIVEL"/>
    <s v="MAESTRÍA O EQUIVALENTE"/>
    <s v="TIEMPO COMPLETO"/>
    <x v="3"/>
    <n v="1.81"/>
    <n v="1"/>
    <n v="1"/>
    <n v="1"/>
    <n v="4.8099999999999996"/>
    <n v="96.199999999999989"/>
  </r>
  <r>
    <x v="0"/>
    <s v="0802202853"/>
    <s v="Medina Godoy Alba Annabelle"/>
    <n v="46"/>
    <s v="5 AÑOS 7 MESES"/>
    <s v="MUJER"/>
    <s v="CUARTO NIVEL"/>
    <s v="MAESTRÍA O EQUIVALENTE"/>
    <s v="TIEMPO COMPLETO"/>
    <x v="9"/>
    <n v="1.93"/>
    <n v="1"/>
    <n v="0.98"/>
    <n v="1"/>
    <n v="4.91"/>
    <n v="98.2"/>
  </r>
  <r>
    <x v="0"/>
    <s v="0801826546"/>
    <s v="Medina Godoy Kathya Bolivia"/>
    <n v="49"/>
    <s v="0 AÑOS 2 MESES"/>
    <s v="MUJER"/>
    <s v="CUARTO NIVEL"/>
    <s v="MAESTRÍA O EQUIVALENTE"/>
    <s v="TIEMPO PARCIAL"/>
    <x v="3"/>
    <n v="1.84"/>
    <n v="1"/>
    <n v="1"/>
    <n v="1"/>
    <n v="4.84"/>
    <n v="96.8"/>
  </r>
  <r>
    <x v="0"/>
    <s v="0801432998"/>
    <s v="Mendoza Macias Cristina Alexandra"/>
    <n v="51"/>
    <s v="0 AÑOS 3 MESES"/>
    <s v="MUJER"/>
    <s v="CUARTO NIVEL"/>
    <s v="MAESTRÍA O EQUIVALENTE"/>
    <s v="TIEMPO COMPLETO"/>
    <x v="11"/>
    <n v="1.87"/>
    <n v="1"/>
    <n v="0.97"/>
    <n v="0.96"/>
    <n v="4.8"/>
    <n v="96"/>
  </r>
  <r>
    <x v="0"/>
    <s v="0801722778"/>
    <s v="Mendoza Pita Priscila Del Rocio"/>
    <n v="52"/>
    <s v="0 AÑOS 2 MESES"/>
    <s v="MUJER"/>
    <s v="CUARTO NIVEL"/>
    <s v="MAESTRÍA O EQUIVALENTE"/>
    <s v="TIEMPO PARCIAL"/>
    <x v="7"/>
    <n v="1.87"/>
    <n v="1"/>
    <n v="1"/>
    <n v="0.9"/>
    <n v="4.7699999999999996"/>
    <n v="95.399999999999991"/>
  </r>
  <r>
    <x v="0"/>
    <s v="0803181858"/>
    <s v="Mera Carranza Joseelyn Genesis"/>
    <n v="27"/>
    <s v="0 AÑOS 7 MESES"/>
    <s v="MUJER"/>
    <s v="CUARTO NIVEL"/>
    <s v="MAESTRÍA O EQUIVALENTE"/>
    <s v="TIEMPO PARCIAL"/>
    <x v="15"/>
    <n v="1.9"/>
    <n v="1"/>
    <n v="1"/>
    <n v="1"/>
    <n v="4.9000000000000004"/>
    <n v="98.000000000000014"/>
  </r>
  <r>
    <x v="0"/>
    <s v="0802472969"/>
    <s v="Mila Carvajal Dionicio Francisco"/>
    <n v="42"/>
    <s v="3 AÑOS 5 MESES"/>
    <s v="HOMBRE"/>
    <s v="CUARTO NIVEL"/>
    <s v="MAESTRÍA O EQUIVALENTE"/>
    <s v="TIEMPO COMPLETO"/>
    <x v="8"/>
    <n v="1.87"/>
    <n v="0.99"/>
    <n v="1"/>
    <n v="1"/>
    <n v="4.8600000000000003"/>
    <n v="97.200000000000017"/>
  </r>
  <r>
    <x v="0"/>
    <s v="0802321364"/>
    <s v="Mina Bone Elis Mariuxi"/>
    <n v="42"/>
    <s v="0 AÑOS 2 MESES"/>
    <s v="MUJER"/>
    <s v="CUARTO NIVEL"/>
    <s v="MAESTRÍA O EQUIVALENTE"/>
    <s v="TIEMPO PARCIAL"/>
    <x v="5"/>
    <n v="1.92"/>
    <n v="0"/>
    <n v="0.9"/>
    <n v="1"/>
    <n v="3.82"/>
    <n v="76.400000000000006"/>
  </r>
  <r>
    <x v="0"/>
    <s v="1802852572"/>
    <s v="Morales Guamán Klever Patricio"/>
    <n v="49"/>
    <s v="1 AÑOS 0 MESES"/>
    <s v="HOMBRE"/>
    <s v="CUARTO NIVEL"/>
    <s v="MAESTRÍA O EQUIVALENTE"/>
    <s v="TIEMPO COMPLETO"/>
    <x v="4"/>
    <n v="1.76"/>
    <n v="1"/>
    <n v="1"/>
    <n v="1"/>
    <n v="4.76"/>
    <n v="95.2"/>
  </r>
  <r>
    <x v="0"/>
    <s v="1711888154"/>
    <s v="Muela Gonzalez Nelson Alejandro"/>
    <n v="44"/>
    <s v="0 AÑOS 7 MESES"/>
    <s v="HOMBRE"/>
    <s v="CUARTO NIVEL"/>
    <s v="MAESTRÍA O EQUIVALENTE"/>
    <s v="TIEMPO PARCIAL"/>
    <x v="5"/>
    <n v="1.92"/>
    <n v="1"/>
    <n v="0.94"/>
    <n v="1"/>
    <n v="4.8600000000000003"/>
    <n v="97.200000000000017"/>
  </r>
  <r>
    <x v="0"/>
    <s v="1757374770"/>
    <s v="Naranjo Corria Rebeca "/>
    <n v="62"/>
    <s v="1 AÑOS 3 MESES"/>
    <s v="MUJER"/>
    <s v="CUARTO NIVEL"/>
    <s v="MAESTRÍA O EQUIVALENTE"/>
    <s v="MEDIO TIEMPO"/>
    <x v="12"/>
    <n v="1.78"/>
    <n v="1"/>
    <n v="1"/>
    <n v="0.97"/>
    <n v="4.75"/>
    <n v="95"/>
  </r>
  <r>
    <x v="0"/>
    <s v="0802490722"/>
    <s v="Nevarez Toledo Manuel Rogelio"/>
    <n v="42"/>
    <s v="0 AÑOS 2 MESES"/>
    <s v="HOMBRE"/>
    <s v="CUARTO NIVEL"/>
    <s v="MAESTRÍA O EQUIVALENTE"/>
    <s v="TIEMPO COMPLETO"/>
    <x v="4"/>
    <n v="1.82"/>
    <n v="1"/>
    <n v="1"/>
    <n v="1"/>
    <n v="4.82"/>
    <n v="96.4"/>
  </r>
  <r>
    <x v="0"/>
    <s v="0802460782"/>
    <s v="Ocampo Erazo Hugo Paúl"/>
    <n v="31"/>
    <s v="3 AÑOS 5 MESES"/>
    <s v="HOMBRE"/>
    <s v="CUARTO NIVEL"/>
    <s v="MAESTRÍA O EQUIVALENTE"/>
    <s v="TIEMPO COMPLETO"/>
    <x v="0"/>
    <n v="1.99"/>
    <n v="0.98"/>
    <n v="1"/>
    <n v="1"/>
    <n v="4.97"/>
    <n v="99.4"/>
  </r>
  <r>
    <x v="0"/>
    <s v="0803468107"/>
    <s v="Ortiz Castro Merida Elizabeth"/>
    <n v="29"/>
    <s v="1 AÑOS 5 MESES"/>
    <s v="MUJER"/>
    <s v="CUARTO NIVEL"/>
    <s v="MAESTRÍA O EQUIVALENTE"/>
    <s v="TIEMPO COMPLETO"/>
    <x v="15"/>
    <n v="1.79"/>
    <n v="0.99"/>
    <n v="1"/>
    <n v="1"/>
    <n v="4.78"/>
    <n v="95.6"/>
  </r>
  <r>
    <x v="0"/>
    <s v="0802608141"/>
    <s v="Ortiz Diaz Marcos David"/>
    <n v="37"/>
    <s v="4 AÑOS 7 MESES"/>
    <s v="HOMBRE"/>
    <s v="CUARTO NIVEL"/>
    <s v="ESPECIALISTA AREA SALUD"/>
    <s v="TIEMPO PARCIAL"/>
    <x v="5"/>
    <n v="1.89"/>
    <n v="0.99"/>
    <n v="0.94"/>
    <n v="1"/>
    <n v="4.82"/>
    <n v="96.4"/>
  </r>
  <r>
    <x v="0"/>
    <s v="0804154300"/>
    <s v="Ortiz Orobio Mayra Leticia"/>
    <n v="32"/>
    <s v="2 AÑOS 0 MESES"/>
    <s v="MUJER"/>
    <s v="CUARTO NIVEL"/>
    <s v="MAESTRÍA O EQUIVALENTE"/>
    <s v="TIEMPO COMPLETO"/>
    <x v="5"/>
    <n v="1.9"/>
    <n v="1"/>
    <n v="1"/>
    <n v="0.94"/>
    <n v="4.84"/>
    <n v="96.8"/>
  </r>
  <r>
    <x v="0"/>
    <s v="0962373544"/>
    <s v="Palencia Gutierrez Esperanza Marbella"/>
    <n v="56"/>
    <s v="1 AÑOS 3 MESES"/>
    <s v="MUJER"/>
    <s v="CUARTO NIVEL"/>
    <s v="DOCTOR (Ph.D)"/>
    <s v="TIEMPO COMPLETO"/>
    <x v="5"/>
    <n v="1.9"/>
    <n v="1"/>
    <n v="0.99"/>
    <n v="1"/>
    <n v="4.8899999999999997"/>
    <n v="97.799999999999983"/>
  </r>
  <r>
    <x v="0"/>
    <s v="0800774465"/>
    <s v="Patiño Cagua Celeste Anne"/>
    <n v="58"/>
    <s v="2 AÑOS 1 MESES"/>
    <s v="MUJER"/>
    <s v="CUARTO NIVEL"/>
    <s v="MAESTRÍA O EQUIVALENTE"/>
    <s v="TIEMPO COMPLETO"/>
    <x v="5"/>
    <n v="1.86"/>
    <n v="1"/>
    <n v="0.97"/>
    <n v="0.98"/>
    <n v="4.8099999999999996"/>
    <n v="96.199999999999989"/>
  </r>
  <r>
    <x v="0"/>
    <s v="0803036672"/>
    <s v="Paz Moran Veronica Alexandra"/>
    <n v="36"/>
    <s v="0 AÑOS 2 MESES"/>
    <s v="MUJER"/>
    <s v="CUARTO NIVEL"/>
    <s v="MAESTRÍA O EQUIVALENTE"/>
    <s v="TIEMPO PARCIAL"/>
    <x v="5"/>
    <n v="1.9"/>
    <n v="0.98"/>
    <n v="0.92"/>
    <n v="1"/>
    <n v="4.8"/>
    <n v="96"/>
  </r>
  <r>
    <x v="0"/>
    <s v="0922109616"/>
    <s v="Perdomo Guerron Juan Carlos"/>
    <n v="41"/>
    <s v="0 AÑOS 8 MESES"/>
    <s v="HOMBRE"/>
    <s v="CUARTO NIVEL"/>
    <s v="MAESTRÍA O EQUIVALENTE"/>
    <s v="TIEMPO COMPLETO"/>
    <x v="3"/>
    <n v="1.81"/>
    <n v="1"/>
    <n v="0.99"/>
    <n v="1"/>
    <n v="4.8"/>
    <n v="96"/>
  </r>
  <r>
    <x v="0"/>
    <s v="0801601790"/>
    <s v="Perlaza Muñoz Dolores Eulofia"/>
    <n v="52"/>
    <s v="0 AÑOS 8 MESES"/>
    <s v="MUJER"/>
    <s v="CUARTO NIVEL"/>
    <s v="MAESTRÍA O EQUIVALENTE"/>
    <s v="TIEMPO COMPLETO"/>
    <x v="3"/>
    <n v="1.75"/>
    <n v="0.99"/>
    <n v="0.97"/>
    <n v="1"/>
    <n v="4.71"/>
    <n v="94.2"/>
  </r>
  <r>
    <x v="0"/>
    <s v="0915138614"/>
    <s v="Perlaza Rodriguez Marjorie Katherine"/>
    <n v="50"/>
    <s v="3 AÑOS 2 MESES"/>
    <s v="MUJER"/>
    <s v="CUARTO NIVEL"/>
    <s v="MAESTRÍA O EQUIVALENTE"/>
    <s v="TIEMPO COMPLETO"/>
    <x v="12"/>
    <n v="1.94"/>
    <n v="1"/>
    <n v="1"/>
    <n v="1"/>
    <n v="4.9400000000000004"/>
    <n v="98.800000000000011"/>
  </r>
  <r>
    <x v="0"/>
    <s v="0962929295"/>
    <s v="Peña Rosas Gloria Del Valle"/>
    <n v="68"/>
    <s v="5 AÑOS 2 MESES"/>
    <s v="MUJER"/>
    <s v="CUARTO NIVEL"/>
    <s v="DOCTOR (Ph.D)"/>
    <s v="TIEMPO COMPLETO"/>
    <x v="1"/>
    <n v="1.4"/>
    <n v="1"/>
    <n v="1"/>
    <n v="0.91"/>
    <n v="4.3099999999999996"/>
    <n v="86.199999999999989"/>
  </r>
  <r>
    <x v="0"/>
    <s v="0802616730"/>
    <s v="Pico Valencia Pablo Antonio"/>
    <n v="39"/>
    <s v="0 AÑOS 11 MESES"/>
    <s v="HOMBRE"/>
    <s v="CUARTO NIVEL"/>
    <s v="DOCTOR (Ph.D)"/>
    <s v="TIEMPO COMPLETO"/>
    <x v="4"/>
    <n v="1.75"/>
    <n v="0.99"/>
    <n v="1"/>
    <n v="1"/>
    <n v="4.74"/>
    <n v="94.8"/>
  </r>
  <r>
    <x v="0"/>
    <s v="0802937011"/>
    <s v="Pineda Caicedo Andrea Estefania"/>
    <n v="37"/>
    <s v="1 AÑOS 2 MESES"/>
    <s v="MUJER"/>
    <s v="CUARTO NIVEL"/>
    <s v="MAESTRÍA O EQUIVALENTE"/>
    <s v="MEDIO TIEMPO"/>
    <x v="5"/>
    <n v="1.84"/>
    <n v="1"/>
    <n v="0.97"/>
    <n v="1"/>
    <n v="4.8099999999999996"/>
    <n v="96.199999999999989"/>
  </r>
  <r>
    <x v="0"/>
    <s v="0801762469"/>
    <s v="Plata Cabrera Carlos Simon"/>
    <n v="48"/>
    <s v="4 AÑOS 7 MESES"/>
    <s v="HOMBRE"/>
    <s v="CUARTO NIVEL"/>
    <s v="MAESTRÍA O EQUIVALENTE"/>
    <s v="TIEMPO PARCIAL"/>
    <x v="4"/>
    <n v="1.93"/>
    <n v="1"/>
    <n v="1"/>
    <n v="1"/>
    <n v="4.93"/>
    <n v="98.6"/>
  </r>
  <r>
    <x v="0"/>
    <s v="0801552977"/>
    <s v="Plaza Ordoñez Maria De Lourdes"/>
    <n v="51"/>
    <s v="0 AÑOS 2 MESES"/>
    <s v="MUJER"/>
    <s v="CUARTO NIVEL"/>
    <s v="MAESTRÍA O EQUIVALENTE"/>
    <s v="TIEMPO PARCIAL"/>
    <x v="15"/>
    <n v="1.99"/>
    <n v="0.94"/>
    <n v="0.96"/>
    <n v="0.97"/>
    <n v="4.8600000000000003"/>
    <n v="97.200000000000017"/>
  </r>
  <r>
    <x v="0"/>
    <s v="0801905837"/>
    <s v="Posligua Flores Kleber Rolando"/>
    <n v="48"/>
    <s v="0 AÑOS 2 MESES"/>
    <s v="HOMBRE"/>
    <s v="CUARTO NIVEL"/>
    <s v="MAESTRÍA O EQUIVALENTE"/>
    <s v="TIEMPO PARCIAL"/>
    <x v="4"/>
    <n v="1.86"/>
    <n v="1"/>
    <n v="1"/>
    <n v="1"/>
    <n v="4.8600000000000003"/>
    <n v="97.200000000000017"/>
  </r>
  <r>
    <x v="0"/>
    <s v="1756846521"/>
    <s v="Prieto Fuenmayor Julia Rosa"/>
    <n v="48"/>
    <s v="2 AÑOS 6 MESES"/>
    <s v="MUJER"/>
    <s v="CUARTO NIVEL"/>
    <s v="MAESTRÍA O EQUIVALENTE"/>
    <s v="TIEMPO COMPLETO"/>
    <x v="5"/>
    <n v="1.87"/>
    <n v="1"/>
    <n v="0.98"/>
    <n v="0.97"/>
    <n v="4.82"/>
    <n v="96.4"/>
  </r>
  <r>
    <x v="0"/>
    <s v="1757398837"/>
    <s v="Pupo Suñol Angel Eduardo"/>
    <n v="51"/>
    <s v="0 AÑOS 8 MESES"/>
    <s v="HOMBRE"/>
    <s v="CUARTO NIVEL"/>
    <s v="MAESTRÍA O EQUIVALENTE"/>
    <s v="TIEMPO COMPLETO"/>
    <x v="5"/>
    <n v="1.92"/>
    <n v="1"/>
    <n v="1"/>
    <n v="1"/>
    <n v="4.92"/>
    <n v="98.4"/>
  </r>
  <r>
    <x v="0"/>
    <s v="0603274846"/>
    <s v="Quintanilla Pazmiño Pedro Daniel"/>
    <n v="39"/>
    <s v="0 AÑOS 2 MESES"/>
    <s v="HOMBRE"/>
    <s v="CUARTO NIVEL"/>
    <s v="MAESTRÍA O EQUIVALENTE"/>
    <s v="TIEMPO PARCIAL"/>
    <x v="6"/>
    <n v="1.8"/>
    <n v="0.96"/>
    <n v="0.97"/>
    <n v="0.97"/>
    <n v="4.7"/>
    <n v="94"/>
  </r>
  <r>
    <x v="0"/>
    <s v="0800924011"/>
    <s v="Quintero Rosales Francisco Jhonny"/>
    <n v="59"/>
    <s v="1 AÑOS 0 MESES"/>
    <s v="HOMBRE"/>
    <s v="CUARTO NIVEL"/>
    <s v="MAESTRÍA O EQUIVALENTE"/>
    <s v="TIEMPO COMPLETO"/>
    <x v="5"/>
    <n v="1.63"/>
    <n v="1"/>
    <n v="0.94"/>
    <n v="0.98"/>
    <n v="4.55"/>
    <n v="91"/>
  </r>
  <r>
    <x v="0"/>
    <s v="0802351148"/>
    <s v="Quiroz Ponce Freddy Hernan"/>
    <n v="43"/>
    <s v="0 AÑOS 2 MESES"/>
    <s v="HOMBRE"/>
    <s v="CUARTO NIVEL"/>
    <s v="MAESTRÍA O EQUIVALENTE"/>
    <s v="TIEMPO PARCIAL"/>
    <x v="2"/>
    <n v="1.73"/>
    <n v="1"/>
    <n v="1"/>
    <n v="0.96"/>
    <n v="4.6900000000000004"/>
    <n v="93.800000000000011"/>
  </r>
  <r>
    <x v="0"/>
    <s v="1720814373"/>
    <s v="Quishpe Vallejo Jefferson Xavier"/>
    <n v="31"/>
    <s v="123 AÑOS 11 MESES"/>
    <s v="HOMBRE"/>
    <s v="CUARTO NIVEL"/>
    <s v="MAESTRÍA O EQUIVALENTE"/>
    <s v="TIEMPO PARCIAL"/>
    <x v="10"/>
    <n v="1.99"/>
    <n v="1"/>
    <n v="1"/>
    <n v="0.97"/>
    <n v="4.96"/>
    <n v="99.2"/>
  </r>
  <r>
    <x v="0"/>
    <s v="0802127373"/>
    <s v="Quiñonez Castillo Carmen Rosario"/>
    <n v="46"/>
    <s v="0 AÑOS 7 MESES"/>
    <s v="MUJER"/>
    <s v="CUARTO NIVEL"/>
    <s v="MAESTRÍA O EQUIVALENTE"/>
    <s v="TIEMPO PARCIAL"/>
    <x v="16"/>
    <n v="1.75"/>
    <n v="1"/>
    <n v="0.87"/>
    <n v="0.8"/>
    <n v="4.42"/>
    <n v="88.4"/>
  </r>
  <r>
    <x v="0"/>
    <s v="0801628207"/>
    <s v="Quiñonez Ku Victor Xavier"/>
    <n v="45"/>
    <s v="0 AÑOS 8 MESES"/>
    <s v="HOMBRE"/>
    <s v="CUARTO NIVEL"/>
    <s v="MAESTRÍA O EQUIVALENTE"/>
    <s v="TIEMPO COMPLETO"/>
    <x v="4"/>
    <n v="1.9"/>
    <n v="1"/>
    <n v="1"/>
    <n v="1"/>
    <n v="4.9000000000000004"/>
    <n v="98.000000000000014"/>
  </r>
  <r>
    <x v="0"/>
    <s v="0802662726"/>
    <s v="Quiñonez Perlaza Guadalupe "/>
    <n v="40"/>
    <s v="2 AÑOS 2 MESES"/>
    <s v="MUJER"/>
    <s v="CUARTO NIVEL"/>
    <s v="MAESTRÍA O EQUIVALENTE"/>
    <s v="TIEMPO COMPLETO"/>
    <x v="5"/>
    <n v="1.79"/>
    <n v="0.99"/>
    <n v="0.97"/>
    <n v="0.97"/>
    <n v="4.72"/>
    <n v="94.4"/>
  </r>
  <r>
    <x v="0"/>
    <s v="0802826362"/>
    <s v="Ramirez Castillo Damaris Paulette"/>
    <n v="35"/>
    <s v="0 AÑOS 2 MESES"/>
    <s v="MUJER"/>
    <s v="CUARTO NIVEL"/>
    <s v="ESPECIALISTA AREA SALUD"/>
    <s v="TIEMPO PARCIAL"/>
    <x v="5"/>
    <n v="1.84"/>
    <n v="0.99"/>
    <n v="0.87"/>
    <n v="0.83"/>
    <n v="4.53"/>
    <n v="90.6"/>
  </r>
  <r>
    <x v="0"/>
    <s v="1755930375"/>
    <s v="Ramirez Lozada Haydee "/>
    <n v="64"/>
    <s v="3 AÑOS 5 MESES"/>
    <s v="MUJER"/>
    <s v="CUARTO NIVEL"/>
    <s v="DOCTOR (Ph.D)"/>
    <s v="TIEMPO COMPLETO"/>
    <x v="12"/>
    <n v="1.91"/>
    <n v="1"/>
    <n v="1"/>
    <n v="0.98"/>
    <n v="4.8899999999999997"/>
    <n v="97.799999999999983"/>
  </r>
  <r>
    <x v="0"/>
    <s v="0802099713"/>
    <s v="Ramirez Rubira Elio "/>
    <n v="30"/>
    <s v="0 AÑOS 2 MESES"/>
    <s v="HOMBRE"/>
    <s v="CUARTO NIVEL"/>
    <s v="MAESTRÍA O EQUIVALENTE"/>
    <s v="TIEMPO PARCIAL"/>
    <x v="5"/>
    <n v="1.94"/>
    <n v="1"/>
    <n v="0.99"/>
    <n v="0.99"/>
    <n v="4.92"/>
    <n v="98.4"/>
  </r>
  <r>
    <x v="0"/>
    <s v="0801466277"/>
    <s v="Realpe Vivas Ketty Marlene"/>
    <n v="54"/>
    <s v="0 AÑOS 2 MESES"/>
    <s v="MUJER"/>
    <s v="CUARTO NIVEL"/>
    <s v="MAESTRÍA O EQUIVALENTE"/>
    <s v="TIEMPO PARCIAL"/>
    <x v="5"/>
    <n v="1.71"/>
    <n v="1"/>
    <n v="0.95"/>
    <n v="0.97"/>
    <n v="4.63"/>
    <n v="92.6"/>
  </r>
  <r>
    <x v="0"/>
    <s v="1721571709"/>
    <s v="Rebolledo Monsalve Eduardo Rodolfo"/>
    <n v="52"/>
    <s v="8 AÑOS 0 MESES"/>
    <s v="HOMBRE"/>
    <s v="CUARTO NIVEL"/>
    <s v="MAESTRÍA O EQUIVALENTE"/>
    <s v="TIEMPO COMPLETO"/>
    <x v="15"/>
    <n v="1.59"/>
    <n v="0.96"/>
    <n v="1"/>
    <n v="0.92"/>
    <n v="4.47"/>
    <n v="89.4"/>
  </r>
  <r>
    <x v="0"/>
    <s v="1309960597"/>
    <s v="Rengifo Alava Yandry Javier"/>
    <n v="39"/>
    <s v="0 AÑOS 7 MESES"/>
    <s v="HOMBRE"/>
    <s v="CUARTO NIVEL"/>
    <s v="MAESTRÍA O EQUIVALENTE"/>
    <s v="TIEMPO PARCIAL"/>
    <x v="2"/>
    <n v="1.95"/>
    <n v="1"/>
    <n v="1"/>
    <n v="0.98"/>
    <n v="4.93"/>
    <n v="98.6"/>
  </r>
  <r>
    <x v="0"/>
    <s v="0804315661"/>
    <s v="Reyes Arboleda Paulett Stefania"/>
    <n v="30"/>
    <s v="2 AÑOS 2 MESES"/>
    <s v="MUJER"/>
    <s v="CUARTO NIVEL"/>
    <s v="MAESTRÍA O EQUIVALENTE"/>
    <s v="TIEMPO COMPLETO"/>
    <x v="5"/>
    <n v="1.75"/>
    <n v="0.94"/>
    <n v="0.95"/>
    <n v="0.97"/>
    <n v="4.6100000000000003"/>
    <n v="92.200000000000017"/>
  </r>
  <r>
    <x v="0"/>
    <s v="0801762345"/>
    <s v="Rivera Bone Carlos Alejandro"/>
    <n v="50"/>
    <s v="4 AÑOS 7 MESES"/>
    <s v="HOMBRE"/>
    <s v="CUARTO NIVEL"/>
    <s v="MAESTRÍA O EQUIVALENTE"/>
    <s v="TIEMPO PARCIAL"/>
    <x v="4"/>
    <n v="1.8"/>
    <n v="1"/>
    <n v="1"/>
    <n v="1"/>
    <n v="4.8"/>
    <n v="96"/>
  </r>
  <r>
    <x v="0"/>
    <s v="0803822816"/>
    <s v="Rodas Luque Maria Jose"/>
    <n v="31"/>
    <s v="0 AÑOS 2 MESES"/>
    <s v="MUJER"/>
    <s v="CUARTO NIVEL"/>
    <s v="MAESTRÍA O EQUIVALENTE"/>
    <s v="TIEMPO PARCIAL"/>
    <x v="12"/>
    <n v="1.91"/>
    <n v="0.94"/>
    <n v="1"/>
    <n v="1"/>
    <n v="4.8499999999999996"/>
    <n v="96.999999999999986"/>
  </r>
  <r>
    <x v="0"/>
    <s v="0802761676"/>
    <s v="Rodriguez Castillo Nadia Mariuxi"/>
    <n v="38"/>
    <s v="0 AÑOS 2 MESES"/>
    <s v="MUJER"/>
    <s v="CUARTO NIVEL"/>
    <s v="MAESTRÍA O EQUIVALENTE"/>
    <s v="TIEMPO PARCIAL"/>
    <x v="7"/>
    <n v="1.91"/>
    <n v="1"/>
    <n v="1"/>
    <n v="0.97"/>
    <n v="4.88"/>
    <n v="97.6"/>
  </r>
  <r>
    <x v="0"/>
    <s v="0801634304"/>
    <s v="Rodriguez Mafla Tony Wilmar"/>
    <n v="51"/>
    <s v="0 AÑOS 2 MESES"/>
    <s v="HOMBRE"/>
    <s v="CUARTO NIVEL"/>
    <s v="MAESTRÍA O EQUIVALENTE"/>
    <s v="TIEMPO PARCIAL"/>
    <x v="12"/>
    <n v="1.88"/>
    <n v="0.99"/>
    <n v="1"/>
    <n v="1"/>
    <n v="4.87"/>
    <n v="97.4"/>
  </r>
  <r>
    <x v="0"/>
    <s v="0802931329"/>
    <s v="Romero Nazareno Jose Luis"/>
    <n v="38"/>
    <s v="0 AÑOS 2 MESES"/>
    <s v="HOMBRE"/>
    <s v="CUARTO NIVEL"/>
    <s v="MAESTRÍA O EQUIVALENTE"/>
    <s v="TIEMPO PARCIAL"/>
    <x v="13"/>
    <n v="1.88"/>
    <n v="0.94"/>
    <n v="1"/>
    <n v="1"/>
    <n v="4.82"/>
    <n v="96.4"/>
  </r>
  <r>
    <x v="0"/>
    <s v="0801713298"/>
    <s v="Samaniego Garcia Rosa Paola"/>
    <n v="46"/>
    <s v="1 AÑOS 0 MESES"/>
    <s v="MUJER"/>
    <s v="CUARTO NIVEL"/>
    <s v="MAESTRÍA O EQUIVALENTE"/>
    <s v="TIEMPO COMPLETO"/>
    <x v="0"/>
    <n v="1.93"/>
    <n v="0.99"/>
    <n v="0.94"/>
    <n v="1"/>
    <n v="4.8600000000000003"/>
    <n v="97.200000000000017"/>
  </r>
  <r>
    <x v="0"/>
    <s v="0103034963"/>
    <s v="Sampietro Saquicela Jose Luis"/>
    <n v="37"/>
    <s v="0 AÑOS 7 MESES"/>
    <s v="HOMBRE"/>
    <s v="CUARTO NIVEL"/>
    <s v="MAESTRÍA O EQUIVALENTE"/>
    <s v="TIEMPO PARCIAL"/>
    <x v="17"/>
    <n v="1.54"/>
    <n v="1"/>
    <n v="0.96"/>
    <n v="0.67"/>
    <n v="4.17"/>
    <n v="83.4"/>
  </r>
  <r>
    <x v="0"/>
    <s v="1760052272"/>
    <s v="Sanchez Guerra Iñigo "/>
    <n v="28"/>
    <s v="0 AÑOS 2 MESES"/>
    <s v="HOMBRE"/>
    <s v="CUARTO NIVEL"/>
    <s v="MAESTRÍA O EQUIVALENTE"/>
    <s v="TIEMPO PARCIAL"/>
    <x v="3"/>
    <n v="1.91"/>
    <n v="1"/>
    <n v="1"/>
    <n v="1"/>
    <n v="4.91"/>
    <n v="98.2"/>
  </r>
  <r>
    <x v="0"/>
    <s v="0801381179"/>
    <s v="Sanchez Jaramillo Efrain Asdrubal"/>
    <n v="48"/>
    <s v="0 AÑOS 7 MESES"/>
    <s v="HOMBRE"/>
    <s v="CUARTO NIVEL"/>
    <s v="MAESTRÍA O EQUIVALENTE"/>
    <s v="TIEMPO PARCIAL"/>
    <x v="0"/>
    <n v="1.91"/>
    <n v="1"/>
    <n v="0.97"/>
    <n v="0.97"/>
    <n v="4.8499999999999996"/>
    <n v="96.999999999999986"/>
  </r>
  <r>
    <x v="0"/>
    <s v="0603231101"/>
    <s v="Sanchez Robalino Andrea Nicole"/>
    <n v="31"/>
    <s v="0 AÑOS 2 MESES"/>
    <s v="MUJER"/>
    <s v="CUARTO NIVEL"/>
    <s v="MAESTRÍA O EQUIVALENTE"/>
    <s v="TIEMPO COMPLETO"/>
    <x v="10"/>
    <n v="1.91"/>
    <n v="0.99"/>
    <n v="0.76"/>
    <n v="0.92"/>
    <n v="4.58"/>
    <n v="91.6"/>
  </r>
  <r>
    <x v="0"/>
    <s v="0301435012"/>
    <s v="Sayago Heredia Jaime Paul"/>
    <n v="41"/>
    <s v="6 AÑOS 3 MESES"/>
    <s v="HOMBRE"/>
    <s v="CUARTO NIVEL"/>
    <s v="MAESTRÍA O EQUIVALENTE"/>
    <s v="TIEMPO COMPLETO"/>
    <x v="4"/>
    <n v="1.59"/>
    <n v="1"/>
    <n v="1"/>
    <n v="0.97"/>
    <n v="4.5599999999999996"/>
    <n v="91.199999999999989"/>
  </r>
  <r>
    <x v="0"/>
    <s v="1721366399"/>
    <s v="Simbaña Bastidas Christian Mauricio"/>
    <n v="30"/>
    <s v="0 AÑOS 8 MESES"/>
    <s v="HOMBRE"/>
    <s v="CUARTO NIVEL"/>
    <s v="MAESTRÍA O EQUIVALENTE"/>
    <s v="TIEMPO COMPLETO"/>
    <x v="10"/>
    <n v="1.91"/>
    <n v="0.98"/>
    <n v="1"/>
    <n v="1"/>
    <n v="4.8899999999999997"/>
    <n v="97.799999999999983"/>
  </r>
  <r>
    <x v="0"/>
    <s v="0105998181"/>
    <s v="Sinchi Sinchi Hugo Fernando"/>
    <n v="31"/>
    <s v="1 AÑOS 3 MESES"/>
    <s v="HOMBRE"/>
    <s v="CUARTO NIVEL"/>
    <s v="MAESTRÍA O EQUIVALENTE"/>
    <s v="TIEMPO COMPLETO"/>
    <x v="6"/>
    <n v="1.7"/>
    <n v="0.99"/>
    <n v="1"/>
    <n v="1"/>
    <n v="4.6900000000000004"/>
    <n v="93.800000000000011"/>
  </r>
  <r>
    <x v="0"/>
    <s v="0802912832"/>
    <s v="Solis Charcopa Karla Fernanda"/>
    <n v="37"/>
    <s v="3 AÑOS 5 MESES"/>
    <s v="MUJER"/>
    <s v="CUARTO NIVEL"/>
    <s v="MAESTRÍA O EQUIVALENTE"/>
    <s v="TIEMPO COMPLETO"/>
    <x v="15"/>
    <n v="1.73"/>
    <n v="1"/>
    <n v="0.99"/>
    <n v="0.99"/>
    <n v="4.71"/>
    <n v="94.2"/>
  </r>
  <r>
    <x v="0"/>
    <s v="0801853904"/>
    <s v="Solis Murillo Maria De Lourdes"/>
    <n v="48"/>
    <s v="9 AÑOS 11 MESES"/>
    <s v="MUJER"/>
    <s v="CUARTO NIVEL"/>
    <s v="MAESTRÍA O EQUIVALENTE"/>
    <s v="TIEMPO COMPLETO"/>
    <x v="11"/>
    <n v="1.85"/>
    <n v="1"/>
    <n v="0.97"/>
    <n v="1"/>
    <n v="4.82"/>
    <n v="96.4"/>
  </r>
  <r>
    <x v="0"/>
    <s v="0801165317"/>
    <s v="Sosa Bone Mirna Patricia"/>
    <n v="58"/>
    <s v="4 AÑOS 7 MESES"/>
    <s v="MUJER"/>
    <s v="CUARTO NIVEL"/>
    <s v="MAESTRÍA O EQUIVALENTE"/>
    <s v="TIEMPO COMPLETO"/>
    <x v="5"/>
    <n v="1.85"/>
    <n v="0.99"/>
    <n v="0.97"/>
    <n v="1"/>
    <n v="4.8099999999999996"/>
    <n v="96.199999999999989"/>
  </r>
  <r>
    <x v="0"/>
    <s v="1757374788"/>
    <s v="Suarez Lezcano Jose "/>
    <n v="67"/>
    <s v="5 AÑOS 8 MESES"/>
    <s v="HOMBRE"/>
    <s v="CUARTO NIVEL"/>
    <s v="MAESTRÍA O EQUIVALENTE"/>
    <s v="TIEMPO COMPLETO"/>
    <x v="5"/>
    <n v="1.8"/>
    <n v="1"/>
    <n v="1"/>
    <n v="0.98"/>
    <n v="4.78"/>
    <n v="95.6"/>
  </r>
  <r>
    <x v="0"/>
    <s v="0801526740"/>
    <s v="Tarira España Monica Del Rocio"/>
    <n v="52"/>
    <s v="0 AÑOS 7 MESES"/>
    <s v="MUJER"/>
    <s v="CUARTO NIVEL"/>
    <s v="MAESTRÍA O EQUIVALENTE"/>
    <s v="TIEMPO PARCIAL"/>
    <x v="16"/>
    <n v="1.75"/>
    <n v="1"/>
    <n v="0.98"/>
    <n v="1"/>
    <n v="4.7300000000000004"/>
    <n v="94.600000000000009"/>
  </r>
  <r>
    <x v="0"/>
    <s v="0800626913"/>
    <s v="Toledo Gutierrez Murat Lorena"/>
    <n v="62"/>
    <s v="0 AÑOS 2 MESES"/>
    <s v="MUJER"/>
    <s v="CUARTO NIVEL"/>
    <s v="MAESTRÍA O EQUIVALENTE"/>
    <s v="TIEMPO PARCIAL"/>
    <x v="7"/>
    <n v="1.92"/>
    <n v="0.99"/>
    <n v="0.97"/>
    <n v="1"/>
    <n v="4.88"/>
    <n v="97.6"/>
  </r>
  <r>
    <x v="0"/>
    <s v="0801415126"/>
    <s v="Torres Rodriguez Maria Teresa"/>
    <n v="54"/>
    <s v="8 AÑOS 3 MESES"/>
    <s v="MUJER"/>
    <s v="CUARTO NIVEL"/>
    <s v="MAESTRÍA O EQUIVALENTE"/>
    <s v="TIEMPO COMPLETO"/>
    <x v="5"/>
    <n v="1.87"/>
    <n v="1"/>
    <n v="1"/>
    <n v="1"/>
    <n v="4.87"/>
    <n v="97.4"/>
  </r>
  <r>
    <x v="0"/>
    <s v="0803028307"/>
    <s v="Valdez Rosales Saul David"/>
    <n v="30"/>
    <s v="0 AÑOS 2 MESES"/>
    <s v="HOMBRE"/>
    <s v="CUARTO NIVEL"/>
    <s v="MAESTRÍA O EQUIVALENTE"/>
    <s v="TIEMPO PARCIAL"/>
    <x v="1"/>
    <n v="1.62"/>
    <n v="1"/>
    <n v="1"/>
    <n v="0.97"/>
    <n v="4.59"/>
    <n v="91.8"/>
  </r>
  <r>
    <x v="0"/>
    <s v="0802223719"/>
    <s v="Valencia Cortez Marta Lucia"/>
    <n v="43"/>
    <s v="0 AÑOS 5 MESES"/>
    <s v="MUJER"/>
    <s v="CUARTO NIVEL"/>
    <s v="MAESTRÍA O EQUIVALENTE"/>
    <s v="TIEMPO PARCIAL"/>
    <x v="3"/>
    <n v="1.93"/>
    <n v="0"/>
    <n v="0.93"/>
    <n v="1"/>
    <n v="3.86"/>
    <n v="77.2"/>
  </r>
  <r>
    <x v="0"/>
    <s v="1716654296"/>
    <s v="Vallejo Espinoza Jose Raul"/>
    <n v="37"/>
    <s v="0 AÑOS 2 MESES"/>
    <s v="HOMBRE"/>
    <s v="CUARTO NIVEL"/>
    <s v="MAESTRÍA O EQUIVALENTE"/>
    <s v="TIEMPO PARCIAL"/>
    <x v="7"/>
    <n v="1.9"/>
    <n v="1"/>
    <n v="1"/>
    <n v="0.97"/>
    <n v="4.87"/>
    <n v="97.4"/>
  </r>
  <r>
    <x v="0"/>
    <s v="1708222409"/>
    <s v="Vallejo Galárraga Wilson Santiago"/>
    <n v="47"/>
    <s v="0 AÑOS 2 MESES"/>
    <s v="HOMBRE"/>
    <s v="CUARTO NIVEL"/>
    <s v="MAESTRÍA O EQUIVALENTE"/>
    <s v="TIEMPO PARCIAL"/>
    <x v="7"/>
    <n v="1.48"/>
    <n v="1"/>
    <n v="0.97"/>
    <n v="0.91"/>
    <n v="4.3600000000000003"/>
    <n v="87.200000000000017"/>
  </r>
  <r>
    <x v="0"/>
    <s v="0802464032"/>
    <s v="Vasquez Coisme Ladys Diana"/>
    <n v="42"/>
    <s v="0 AÑOS 10 MESES"/>
    <s v="MUJER"/>
    <s v="CUARTO NIVEL"/>
    <s v="MAESTRÍA O EQUIVALENTE"/>
    <s v="TIEMPO COMPLETO"/>
    <x v="13"/>
    <n v="1.61"/>
    <n v="0.98"/>
    <n v="1"/>
    <n v="1"/>
    <n v="4.59"/>
    <n v="91.8"/>
  </r>
  <r>
    <x v="0"/>
    <s v="0801574864"/>
    <s v="Velasco Angulo Cecilia Esther"/>
    <n v="50"/>
    <s v="10 AÑOS 2 MESES"/>
    <s v="MUJER"/>
    <s v="CUARTO NIVEL"/>
    <s v="DOCTOR (Ph.D)"/>
    <s v="MEDIO TIEMPO"/>
    <x v="0"/>
    <n v="1.78"/>
    <n v="1"/>
    <n v="0.97"/>
    <n v="1"/>
    <n v="4.75"/>
    <n v="95"/>
  </r>
  <r>
    <x v="0"/>
    <s v="1804326534"/>
    <s v="Velastegui Izurieta Homero Javier"/>
    <n v="31"/>
    <s v="0 AÑOS 3 MESES"/>
    <s v="HOMBRE"/>
    <s v="CUARTO NIVEL"/>
    <s v="MAESTRÍA O EQUIVALENTE"/>
    <s v="TIEMPO COMPLETO"/>
    <x v="4"/>
    <n v="1.87"/>
    <n v="0.98"/>
    <n v="1"/>
    <n v="1"/>
    <n v="4.8499999999999996"/>
    <n v="96.999999999999986"/>
  </r>
  <r>
    <x v="0"/>
    <s v="0802997049"/>
    <s v="Veliz Cordova Ana Cristina"/>
    <n v="36"/>
    <s v="0 AÑOS 7 MESES"/>
    <s v="MUJER"/>
    <s v="CUARTO NIVEL"/>
    <s v="MAESTRÍA O EQUIVALENTE"/>
    <s v="TIEMPO PARCIAL"/>
    <x v="3"/>
    <n v="1.8"/>
    <n v="1"/>
    <n v="1"/>
    <n v="1"/>
    <n v="4.8"/>
    <n v="96"/>
  </r>
  <r>
    <x v="0"/>
    <s v="1717178824"/>
    <s v="Vera Moran Freddy Paul"/>
    <n v="41"/>
    <s v="0 AÑOS 7 MESES"/>
    <s v="HOMBRE"/>
    <s v="CUARTO NIVEL"/>
    <s v="MAESTRÍA O EQUIVALENTE"/>
    <s v="TIEMPO PARCIAL"/>
    <x v="8"/>
    <n v="1.98"/>
    <n v="1"/>
    <n v="1"/>
    <n v="1"/>
    <n v="4.9800000000000004"/>
    <n v="99.600000000000009"/>
  </r>
  <r>
    <x v="0"/>
    <s v="0800894586"/>
    <s v="Vera Pinargote Sinay Celeste"/>
    <n v="59"/>
    <s v="10 AÑOS 2 MESES"/>
    <s v="MUJER"/>
    <s v="CUARTO NIVEL"/>
    <s v="MAESTRÍA O EQUIVALENTE"/>
    <s v="MEDIO TIEMPO"/>
    <x v="9"/>
    <n v="1.99"/>
    <n v="1"/>
    <n v="1"/>
    <n v="1"/>
    <n v="4.99"/>
    <n v="99.8"/>
  </r>
  <r>
    <x v="0"/>
    <s v="1757108871"/>
    <s v="Vergara Toro Monica Angelina"/>
    <n v="39"/>
    <s v="2 AÑOS 10 MESES"/>
    <s v="MUJER"/>
    <s v="CUARTO NIVEL"/>
    <s v="MAESTRÍA O EQUIVALENTE"/>
    <s v="TIEMPO COMPLETO"/>
    <x v="8"/>
    <n v="1.93"/>
    <n v="0.99"/>
    <n v="1"/>
    <n v="0.97"/>
    <n v="4.8899999999999997"/>
    <n v="97.799999999999983"/>
  </r>
  <r>
    <x v="0"/>
    <s v="0803129360"/>
    <s v="Vernaza Quiñonez Lucia Margarita"/>
    <n v="35"/>
    <s v="1 AÑOS 3 MESES"/>
    <s v="MUJER"/>
    <s v="CUARTO NIVEL"/>
    <s v="MAESTRÍA O EQUIVALENTE"/>
    <s v="MEDIO TIEMPO"/>
    <x v="15"/>
    <n v="1.66"/>
    <n v="1"/>
    <n v="1"/>
    <n v="1"/>
    <n v="4.66"/>
    <n v="93.2"/>
  </r>
  <r>
    <x v="0"/>
    <s v="0801187089"/>
    <s v="Vila Maffare Marilyn Marivel"/>
    <n v="58"/>
    <s v="9 AÑOS 9 MESES"/>
    <s v="MUJER"/>
    <s v="CUARTO NIVEL"/>
    <s v="MAESTRÍA O EQUIVALENTE"/>
    <s v="TIEMPO COMPLETO"/>
    <x v="5"/>
    <n v="1.74"/>
    <n v="1"/>
    <n v="1"/>
    <n v="0.97"/>
    <n v="4.71"/>
    <n v="94.2"/>
  </r>
  <r>
    <x v="0"/>
    <s v="1724550163"/>
    <s v="Villarreal Puga Josue "/>
    <n v="33"/>
    <s v="123 AÑOS 11 MESES"/>
    <s v="HOMBRE"/>
    <s v="CUARTO NIVEL"/>
    <s v="MAESTRÍA O EQUIVALENTE"/>
    <s v="TIEMPO PARCIAL"/>
    <x v="3"/>
    <n v="1.76"/>
    <n v="0.93"/>
    <n v="0.96"/>
    <n v="1"/>
    <n v="4.6500000000000004"/>
    <n v="93.000000000000014"/>
  </r>
  <r>
    <x v="0"/>
    <s v="0603967308"/>
    <s v="Vinueza Ramón Diana Paola"/>
    <n v="35"/>
    <s v="0 AÑOS 7 MESES"/>
    <s v="MUJER"/>
    <s v="CUARTO NIVEL"/>
    <s v="MAESTRÍA O EQUIVALENTE"/>
    <s v="TIEMPO COMPLETO"/>
    <x v="1"/>
    <n v="1.68"/>
    <n v="1"/>
    <n v="1"/>
    <n v="1"/>
    <n v="4.68"/>
    <n v="93.6"/>
  </r>
  <r>
    <x v="0"/>
    <s v="0801966748"/>
    <s v="Vizcaino Ordoñez Laura Del Rocio "/>
    <n v="44"/>
    <s v="0 AÑOS 2 MESES"/>
    <s v="MUJER"/>
    <s v="CUARTO NIVEL"/>
    <s v="MAESTRÍA O EQUIVALENTE"/>
    <s v="TIEMPO PARCIAL"/>
    <x v="1"/>
    <n v="1.56"/>
    <n v="1"/>
    <n v="1"/>
    <n v="0.96"/>
    <n v="4.5199999999999996"/>
    <n v="90.399999999999991"/>
  </r>
  <r>
    <x v="0"/>
    <s v="1760898609"/>
    <s v="Woldehawariat Kidanemariam Ghebrezghiabiher "/>
    <n v="40"/>
    <s v="0 AÑOS 1 MESES"/>
    <s v="HOMBRE"/>
    <s v="CUARTO NIVEL"/>
    <s v="MAESTRÍA O EQUIVALENTE"/>
    <s v="MEDIO TIEMPO"/>
    <x v="3"/>
    <n v="1.73"/>
    <n v="1"/>
    <n v="0.99"/>
    <n v="1"/>
    <n v="4.72"/>
    <n v="94.4"/>
  </r>
  <r>
    <x v="0"/>
    <s v="0801752296"/>
    <s v="Zambrano Araujo Genova Elisa"/>
    <n v="50"/>
    <s v="10 AÑOS 2 MESES"/>
    <s v="MUJER"/>
    <s v="CUARTO NIVEL"/>
    <s v="MAESTRÍA O EQUIVALENTE"/>
    <s v="TIEMPO COMPLETO"/>
    <x v="6"/>
    <n v="1.96"/>
    <n v="1"/>
    <n v="1"/>
    <n v="0.95"/>
    <n v="4.91"/>
    <n v="98.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x v="0"/>
    <n v="61"/>
    <s v="9 AÑOS 1 MESES"/>
    <s v="MUJER"/>
    <s v="CUARTO NIVEL"/>
    <s v="MAESTRÍA O EQUIVALENTE"/>
    <s v="TIEMPO COMPLETO"/>
    <s v="CONTABILIDAD Y AUDITORIA CPA"/>
    <n v="1.84"/>
    <n v="0.99"/>
    <n v="0.97"/>
    <n v="1"/>
    <n v="4.8"/>
    <n v="96"/>
  </r>
  <r>
    <x v="1"/>
    <n v="28"/>
    <s v="0 AÑOS 2 MESES"/>
    <s v="HOMBRE"/>
    <s v="CUARTO NIVEL"/>
    <s v="MAESTRÍA O EQUIVALENTE"/>
    <s v="TIEMPO COMPLETO"/>
    <s v="LABORATORIO CLINICO"/>
    <n v="1.68"/>
    <n v="0.86"/>
    <n v="1"/>
    <n v="0.93"/>
    <n v="4.47"/>
    <n v="89.4"/>
  </r>
  <r>
    <x v="2"/>
    <n v="35"/>
    <s v="1 AÑOS 1 MESES"/>
    <s v="MUJER"/>
    <s v="CUARTO NIVEL"/>
    <s v="MAESTRÍA O EQUIVALENTE"/>
    <s v="TIEMPO COMPLETO"/>
    <s v="LABORATORIO CLINICO"/>
    <n v="1.72"/>
    <n v="1"/>
    <n v="1"/>
    <n v="1"/>
    <n v="4.72"/>
    <n v="94.4"/>
  </r>
  <r>
    <x v="3"/>
    <n v="39"/>
    <s v="1 AÑOS 7 MESES"/>
    <s v="MUJER"/>
    <s v="CUARTO NIVEL"/>
    <s v="MAESTRÍA O EQUIVALENTE"/>
    <s v="TIEMPO COMPLETO"/>
    <s v="CONTABILIDAD Y AUDITORIA CPA"/>
    <n v="1.94"/>
    <n v="1"/>
    <n v="0.94"/>
    <n v="0.91"/>
    <n v="4.79"/>
    <n v="95.8"/>
  </r>
  <r>
    <x v="4"/>
    <n v="41"/>
    <s v="0 AÑOS 1 MESES"/>
    <s v="HOMBRE"/>
    <s v="CUARTO NIVEL"/>
    <s v="MAESTRÍA O EQUIVALENTE"/>
    <s v="TIEMPO COMPLETO"/>
    <s v="CONTABILIDAD Y AUDITORIA CPA"/>
    <n v="1.91"/>
    <n v="1"/>
    <n v="1"/>
    <n v="0.98"/>
    <n v="4.8899999999999997"/>
    <n v="97.799999999999983"/>
  </r>
  <r>
    <x v="5"/>
    <n v="38"/>
    <s v="0 AÑOS 7 MESES"/>
    <s v="HOMBRE"/>
    <s v="CUARTO NIVEL"/>
    <s v="MAESTRÍA O EQUIVALENTE"/>
    <s v="TIEMPO PARCIAL"/>
    <s v="AGROINDUSTRIA"/>
    <n v="1.8"/>
    <n v="1"/>
    <n v="0.93"/>
    <n v="0.92"/>
    <n v="4.6500000000000004"/>
    <n v="93.000000000000014"/>
  </r>
  <r>
    <x v="6"/>
    <n v="43"/>
    <s v="0 AÑOS 2 MESES"/>
    <s v="MUJER"/>
    <s v="CUARTO NIVEL"/>
    <s v="MAESTRÍA O EQUIVALENTE"/>
    <s v="TIEMPO PARCIAL"/>
    <s v="EDUCACIÓN BÁSICA SEMIPRESENCIAL"/>
    <n v="1.83"/>
    <n v="0.96"/>
    <n v="1"/>
    <n v="1"/>
    <n v="4.79"/>
    <n v="95.8"/>
  </r>
  <r>
    <x v="7"/>
    <n v="66"/>
    <s v="0 AÑOS 2 MESES"/>
    <s v="HOMBRE"/>
    <s v="CUARTO NIVEL"/>
    <s v="MAESTRÍA O EQUIVALENTE"/>
    <s v="MEDIO TIEMPO"/>
    <s v="TECNOLOGÍAS DE LA INFORMACIÓN"/>
    <n v="1.83"/>
    <n v="1"/>
    <n v="0.98"/>
    <n v="1"/>
    <n v="4.8099999999999996"/>
    <n v="96.199999999999989"/>
  </r>
  <r>
    <x v="8"/>
    <n v="42"/>
    <s v="0 AÑOS 7 MESES"/>
    <s v="MUJER"/>
    <s v="CUARTO NIVEL"/>
    <s v="MAESTRÍA O EQUIVALENTE"/>
    <s v="TIEMPO PARCIAL"/>
    <s v="TECNOLOGÍAS DE LA INFORMACIÓN"/>
    <n v="1.85"/>
    <n v="0"/>
    <n v="1"/>
    <n v="1"/>
    <n v="3.85"/>
    <n v="77"/>
  </r>
  <r>
    <x v="9"/>
    <n v="55"/>
    <s v="9 AÑOS 9 MESES"/>
    <s v="MUJER"/>
    <s v="CUARTO NIVEL"/>
    <s v="MAESTRÍA O EQUIVALENTE"/>
    <s v="TIEMPO COMPLETO"/>
    <s v="ENFERMERÍA"/>
    <n v="1.74"/>
    <n v="0.97"/>
    <n v="0.97"/>
    <n v="0.97"/>
    <n v="4.6500000000000004"/>
    <n v="93.000000000000014"/>
  </r>
  <r>
    <x v="10"/>
    <n v="49"/>
    <s v="0 AÑOS 8 MESES"/>
    <s v="MUJER"/>
    <s v="CUARTO NIVEL"/>
    <s v="MAESTRÍA O EQUIVALENTE"/>
    <s v="TIEMPO COMPLETO"/>
    <s v="PSICOLOGÍA"/>
    <n v="1.84"/>
    <n v="1"/>
    <n v="1"/>
    <n v="1"/>
    <n v="4.84"/>
    <n v="96.8"/>
  </r>
  <r>
    <x v="11"/>
    <n v="38"/>
    <s v="0 AÑOS 5 MESES"/>
    <s v="MUJER"/>
    <s v="CUARTO NIVEL"/>
    <s v="MAESTRÍA O EQUIVALENTE"/>
    <s v="TIEMPO PARCIAL"/>
    <s v="DERECHO"/>
    <n v="1.96"/>
    <n v="0.92"/>
    <n v="0.94"/>
    <n v="1"/>
    <n v="4.82"/>
    <n v="96.4"/>
  </r>
  <r>
    <x v="12"/>
    <n v="32"/>
    <s v="0 AÑOS 3 MESES"/>
    <s v="HOMBRE"/>
    <s v="CUARTO NIVEL"/>
    <s v="MAESTRÍA O EQUIVALENTE"/>
    <s v="TIEMPO COMPLETO"/>
    <s v="AGROINDUSTRIA"/>
    <n v="1.95"/>
    <n v="0.99"/>
    <n v="1"/>
    <n v="1"/>
    <n v="4.9400000000000004"/>
    <n v="98.800000000000011"/>
  </r>
  <r>
    <x v="13"/>
    <n v="35"/>
    <s v="123 AÑOS 11 MESES"/>
    <s v="HOMBRE"/>
    <s v="CUARTO NIVEL"/>
    <s v="MAESTRÍA O EQUIVALENTE"/>
    <s v="TIEMPO COMPLETO"/>
    <s v="NEGOCIOS INTERNACIONALES"/>
    <n v="2"/>
    <n v="0.98"/>
    <n v="0.97"/>
    <n v="1"/>
    <n v="4.95"/>
    <n v="99"/>
  </r>
  <r>
    <x v="14"/>
    <n v="42"/>
    <s v="8 AÑOS 5 MESES"/>
    <s v="MUJER"/>
    <s v="CUARTO NIVEL"/>
    <s v="MAESTRÍA O EQUIVALENTE"/>
    <s v="TIEMPO COMPLETO"/>
    <s v="EDUCACIÓN INICIAL"/>
    <n v="1.92"/>
    <n v="1"/>
    <n v="1"/>
    <n v="1"/>
    <n v="4.92"/>
    <n v="98.4"/>
  </r>
  <r>
    <x v="15"/>
    <n v="45"/>
    <s v="0 AÑOS 2 MESES"/>
    <s v="HOMBRE"/>
    <s v="CUARTO NIVEL"/>
    <s v="MAESTRÍA O EQUIVALENTE"/>
    <s v="TIEMPO PARCIAL"/>
    <s v="ENFERMERÍA"/>
    <n v="1.92"/>
    <n v="0"/>
    <n v="0.89"/>
    <n v="1"/>
    <n v="3.81"/>
    <n v="76.2"/>
  </r>
  <r>
    <x v="16"/>
    <n v="32"/>
    <s v="0 AÑOS 7 MESES"/>
    <s v="HOMBRE"/>
    <s v="CUARTO NIVEL"/>
    <s v="MAESTRÍA O EQUIVALENTE"/>
    <s v="TIEMPO PARCIAL"/>
    <s v="PSICOLOGÍA"/>
    <n v="1.93"/>
    <n v="1"/>
    <n v="1"/>
    <n v="0.98"/>
    <n v="4.91"/>
    <n v="98.2"/>
  </r>
  <r>
    <x v="17"/>
    <n v="51"/>
    <s v="6 AÑOS 3 MESES"/>
    <s v="HOMBRE"/>
    <s v="CUARTO NIVEL"/>
    <s v="MAESTRÍA O EQUIVALENTE"/>
    <s v="TIEMPO PARCIAL"/>
    <s v="EDUCACIÓN BÁSICA SEMIPRESENCIAL"/>
    <n v="1.76"/>
    <n v="0.99"/>
    <n v="1"/>
    <n v="1"/>
    <n v="4.75"/>
    <n v="95"/>
  </r>
  <r>
    <x v="18"/>
    <n v="33"/>
    <s v="0 AÑOS 2 MESES"/>
    <s v="MUJER"/>
    <s v="CUARTO NIVEL"/>
    <s v="MAESTRÍA O EQUIVALENTE"/>
    <s v="TIEMPO PARCIAL"/>
    <s v="EDUCACIÓN BÁSICA SEMIPRESENCIAL"/>
    <n v="1.94"/>
    <n v="0"/>
    <n v="1"/>
    <n v="1"/>
    <n v="3.94"/>
    <n v="78.8"/>
  </r>
  <r>
    <x v="19"/>
    <n v="62"/>
    <s v="0 AÑOS 7 MESES"/>
    <s v="HOMBRE"/>
    <s v="CUARTO NIVEL"/>
    <s v="MAESTRÍA O EQUIVALENTE"/>
    <s v="TIEMPO PARCIAL"/>
    <s v="FISIOTERAPIA"/>
    <n v="1.79"/>
    <n v="0.97"/>
    <n v="0.83"/>
    <n v="0.77"/>
    <n v="4.3600000000000003"/>
    <n v="87.200000000000017"/>
  </r>
  <r>
    <x v="20"/>
    <n v="30"/>
    <s v="0 AÑOS 2 MESES"/>
    <s v="MUJER"/>
    <s v="CUARTO NIVEL"/>
    <s v="MAESTRÍA O EQUIVALENTE"/>
    <s v="TIEMPO PARCIAL"/>
    <s v="ENFERMERÍA"/>
    <n v="1.91"/>
    <n v="1"/>
    <n v="0.95"/>
    <n v="0.93"/>
    <n v="4.79"/>
    <n v="95.8"/>
  </r>
  <r>
    <x v="21"/>
    <n v="54"/>
    <s v="12 AÑOS 9 MESES"/>
    <s v="MUJER"/>
    <s v="CUARTO NIVEL"/>
    <s v="MAESTRÍA O EQUIVALENTE"/>
    <s v="TIEMPO COMPLETO"/>
    <s v="EDUCACIÓN BÁSICA SEMIPRESENCIAL"/>
    <n v="1.95"/>
    <n v="0.98"/>
    <n v="1"/>
    <n v="1"/>
    <n v="4.93"/>
    <n v="98.6"/>
  </r>
  <r>
    <x v="22"/>
    <n v="50"/>
    <s v="0 AÑOS 8 MESES"/>
    <s v="HOMBRE"/>
    <s v="CUARTO NIVEL"/>
    <s v="MAESTRÍA O EQUIVALENTE"/>
    <s v="TIEMPO COMPLETO"/>
    <s v="ADMINISTRACIÓN DE EMPRESAS"/>
    <n v="1.86"/>
    <n v="0.97"/>
    <n v="0.97"/>
    <n v="1"/>
    <n v="4.8"/>
    <n v="96"/>
  </r>
  <r>
    <x v="23"/>
    <n v="35"/>
    <s v="0 AÑOS 2 MESES"/>
    <s v="HOMBRE"/>
    <s v="CUARTO NIVEL"/>
    <s v="DOCTOR (Ph.D)"/>
    <s v="TIEMPO PARCIAL"/>
    <s v="ADMINISTRACIÓN DE EMPRESAS"/>
    <n v="1.8"/>
    <n v="1"/>
    <n v="1"/>
    <n v="1"/>
    <n v="4.8"/>
    <n v="96"/>
  </r>
  <r>
    <x v="24"/>
    <n v="58"/>
    <s v="5 AÑOS 8 MESES"/>
    <s v="HOMBRE"/>
    <s v="CUARTO NIVEL"/>
    <s v="MAESTRÍA O EQUIVALENTE"/>
    <s v="TIEMPO PARCIAL"/>
    <s v="TECNOLOGÍAS DE LA INFORMACIÓN"/>
    <n v="1.57"/>
    <n v="1"/>
    <n v="1"/>
    <n v="0.91"/>
    <n v="4.4800000000000004"/>
    <n v="89.600000000000009"/>
  </r>
  <r>
    <x v="25"/>
    <n v="64"/>
    <s v="0 AÑOS 7 MESES"/>
    <s v="MUJER"/>
    <s v="CUARTO NIVEL"/>
    <s v="DOCTOR (Ph.D)"/>
    <s v="TIEMPO COMPLETO"/>
    <s v="LABORATORIO CLINICO"/>
    <n v="1.82"/>
    <n v="1"/>
    <n v="1"/>
    <n v="1"/>
    <n v="4.82"/>
    <n v="96.4"/>
  </r>
  <r>
    <x v="26"/>
    <n v="59"/>
    <s v="0 AÑOS 7 MESES"/>
    <s v="MUJER"/>
    <s v="CUARTO NIVEL"/>
    <s v="MAESTRÍA O EQUIVALENTE"/>
    <s v="TIEMPO PARCIAL"/>
    <s v="TECNOLOGÍAS DE LA INFORMACIÓN"/>
    <n v="1.76"/>
    <n v="1"/>
    <n v="1"/>
    <n v="0.97"/>
    <n v="4.7300000000000004"/>
    <n v="94.600000000000009"/>
  </r>
  <r>
    <x v="27"/>
    <n v="41"/>
    <s v="10 AÑOS 2 MESES"/>
    <s v="HOMBRE"/>
    <s v="CUARTO NIVEL"/>
    <s v="MAESTRÍA O EQUIVALENTE"/>
    <s v="TIEMPO COMPLETO"/>
    <s v="TECNOLOGÍAS DE LA INFORMACIÓN"/>
    <n v="1.8"/>
    <n v="1"/>
    <n v="1"/>
    <n v="0.97"/>
    <n v="4.7699999999999996"/>
    <n v="95.399999999999991"/>
  </r>
  <r>
    <x v="28"/>
    <n v="44"/>
    <s v="0 AÑOS 2 MESES"/>
    <s v="MUJER"/>
    <s v="CUARTO NIVEL"/>
    <s v="MAESTRÍA O EQUIVALENTE"/>
    <s v="TIEMPO PARCIAL"/>
    <s v="PEDAGOGÍA DE LOS IDIOMAS NACIONALES Y EXTRANJEROS"/>
    <n v="1.58"/>
    <n v="1"/>
    <n v="1"/>
    <n v="1"/>
    <n v="4.58"/>
    <n v="91.6"/>
  </r>
  <r>
    <x v="29"/>
    <n v="29"/>
    <s v="3 AÑOS 2 MESES"/>
    <s v="HOMBRE"/>
    <s v="CUARTO NIVEL"/>
    <s v="MAESTRÍA O EQUIVALENTE"/>
    <s v="TIEMPO COMPLETO"/>
    <s v="LABORATORIO CLINICO"/>
    <n v="1.82"/>
    <n v="1"/>
    <n v="1"/>
    <n v="0.95"/>
    <n v="4.7699999999999996"/>
    <n v="95.399999999999991"/>
  </r>
  <r>
    <x v="30"/>
    <n v="38"/>
    <s v="0 AÑOS 2 MESES"/>
    <s v="HOMBRE"/>
    <s v="CUARTO NIVEL"/>
    <s v="MAESTRÍA O EQUIVALENTE"/>
    <s v="TIEMPO PARCIAL"/>
    <s v="ADMINISTRACIÓN DE EMPRESAS"/>
    <n v="1.95"/>
    <n v="1"/>
    <n v="1"/>
    <n v="1"/>
    <n v="4.95"/>
    <n v="99"/>
  </r>
  <r>
    <x v="31"/>
    <n v="50"/>
    <s v="0 AÑOS 7 MESES"/>
    <s v="MUJER"/>
    <s v="CUARTO NIVEL"/>
    <s v="MAESTRÍA O EQUIVALENTE"/>
    <s v="TIEMPO PARCIAL"/>
    <s v="CONTABILIDAD Y AUDITORIA CPA"/>
    <n v="1.86"/>
    <n v="1"/>
    <n v="0.94"/>
    <n v="0.8"/>
    <n v="4.5999999999999996"/>
    <n v="91.999999999999986"/>
  </r>
  <r>
    <x v="32"/>
    <n v="55"/>
    <s v="1 AÑOS 0 MESES"/>
    <s v="MUJER"/>
    <s v="CUARTO NIVEL"/>
    <s v="MAESTRÍA O EQUIVALENTE"/>
    <s v="TIEMPO COMPLETO"/>
    <s v="CONTABILIDAD Y AUDITORIA CPA"/>
    <n v="1.82"/>
    <n v="0.97"/>
    <n v="0.97"/>
    <n v="0.94"/>
    <n v="4.7"/>
    <n v="94"/>
  </r>
  <r>
    <x v="33"/>
    <n v="65"/>
    <s v="0 AÑOS 2 MESES"/>
    <s v="HOMBRE"/>
    <s v="CUARTO NIVEL"/>
    <s v="MAESTRÍA O EQUIVALENTE"/>
    <s v="TIEMPO PARCIAL"/>
    <s v="ENFERMERÍA"/>
    <n v="1.69"/>
    <n v="0.99"/>
    <n v="0.97"/>
    <n v="0.93"/>
    <n v="4.58"/>
    <n v="91.6"/>
  </r>
  <r>
    <x v="34"/>
    <n v="57"/>
    <s v="0 AÑOS 1 MESES"/>
    <s v="MUJER"/>
    <s v="CUARTO NIVEL"/>
    <s v="MAESTRÍA O EQUIVALENTE"/>
    <s v="TIEMPO PARCIAL"/>
    <s v="NEGOCIOS INTERNACIONALES"/>
    <n v="1.45"/>
    <n v="1"/>
    <n v="1"/>
    <n v="1"/>
    <n v="4.45"/>
    <n v="89"/>
  </r>
  <r>
    <x v="35"/>
    <n v="31"/>
    <s v="0 AÑOS 2 MESES"/>
    <s v="MUJER"/>
    <s v="CUARTO NIVEL"/>
    <s v="MAESTRÍA O EQUIVALENTE"/>
    <s v="TIEMPO COMPLETO"/>
    <s v="LABORATORIO CLINICO"/>
    <n v="1.43"/>
    <n v="0.95"/>
    <n v="1"/>
    <n v="0.89"/>
    <n v="4.2699999999999996"/>
    <n v="85.399999999999991"/>
  </r>
  <r>
    <x v="36"/>
    <n v="32"/>
    <s v="0 AÑOS 2 MESES"/>
    <s v="HOMBRE"/>
    <s v="CUARTO NIVEL"/>
    <s v="MAESTRÍA O EQUIVALENTE"/>
    <s v="TIEMPO PARCIAL"/>
    <s v="AGROINDUSTRIA"/>
    <n v="1.85"/>
    <n v="1"/>
    <n v="1"/>
    <n v="0.94"/>
    <n v="4.79"/>
    <n v="95.8"/>
  </r>
  <r>
    <x v="37"/>
    <n v="34"/>
    <s v="0 AÑOS 2 MESES"/>
    <s v="MUJER"/>
    <s v="CUARTO NIVEL"/>
    <s v="MAESTRÍA O EQUIVALENTE"/>
    <s v="TIEMPO PARCIAL"/>
    <s v="PSICOLOGÍA"/>
    <n v="1.94"/>
    <n v="0.98"/>
    <n v="1"/>
    <n v="1"/>
    <n v="4.92"/>
    <n v="98.4"/>
  </r>
  <r>
    <x v="38"/>
    <n v="45"/>
    <s v="0 AÑOS 7 MESES"/>
    <s v="MUJER"/>
    <s v="CUARTO NIVEL"/>
    <s v="MAESTRÍA O EQUIVALENTE"/>
    <s v="TIEMPO PARCIAL"/>
    <s v="PSICOLOGÍA"/>
    <n v="1.82"/>
    <n v="0.87"/>
    <n v="1"/>
    <n v="1"/>
    <n v="4.6900000000000004"/>
    <n v="93.800000000000011"/>
  </r>
  <r>
    <x v="39"/>
    <n v="55"/>
    <s v="5 AÑOS 7 MESES"/>
    <s v="HOMBRE"/>
    <s v="CUARTO NIVEL"/>
    <s v="MAESTRÍA O EQUIVALENTE"/>
    <s v="TIEMPO COMPLETO"/>
    <s v="ENFERMERÍA"/>
    <n v="1.87"/>
    <n v="1"/>
    <n v="1"/>
    <n v="1"/>
    <n v="4.87"/>
    <n v="97.4"/>
  </r>
  <r>
    <x v="40"/>
    <n v="32"/>
    <s v="0 AÑOS 2 MESES"/>
    <s v="HOMBRE"/>
    <s v="CUARTO NIVEL"/>
    <s v="MAESTRÍA O EQUIVALENTE"/>
    <s v="TIEMPO PARCIAL"/>
    <s v="TECNOLOGÍAS DE LA INFORMACIÓN"/>
    <n v="1.65"/>
    <n v="1"/>
    <n v="1"/>
    <n v="0.97"/>
    <n v="4.62"/>
    <n v="92.4"/>
  </r>
  <r>
    <x v="41"/>
    <n v="34"/>
    <s v="123 AÑOS 11 MESES"/>
    <s v="MUJER"/>
    <s v="CUARTO NIVEL"/>
    <s v="MAESTRÍA O EQUIVALENTE"/>
    <s v="TIEMPO COMPLETO"/>
    <s v="NEGOCIOS INTERNACIONALES"/>
    <n v="1.88"/>
    <n v="1"/>
    <n v="0.97"/>
    <n v="1"/>
    <n v="4.8499999999999996"/>
    <n v="96.999999999999986"/>
  </r>
  <r>
    <x v="42"/>
    <n v="36"/>
    <s v="0 AÑOS 2 MESES"/>
    <s v="MUJER"/>
    <s v="CUARTO NIVEL"/>
    <s v="MAESTRÍA O EQUIVALENTE"/>
    <s v="TIEMPO PARCIAL"/>
    <s v="DERECHO"/>
    <n v="1.99"/>
    <n v="1"/>
    <n v="1"/>
    <n v="0.91"/>
    <n v="4.9000000000000004"/>
    <n v="98.000000000000014"/>
  </r>
  <r>
    <x v="43"/>
    <n v="30"/>
    <s v="0 AÑOS 2 MESES"/>
    <s v="MUJER"/>
    <s v="CUARTO NIVEL"/>
    <s v="MAESTRÍA O EQUIVALENTE"/>
    <s v="TIEMPO PARCIAL"/>
    <s v="DERECHO"/>
    <n v="1.67"/>
    <n v="1"/>
    <n v="1"/>
    <n v="0.86"/>
    <n v="4.53"/>
    <n v="90.6"/>
  </r>
  <r>
    <x v="44"/>
    <n v="51"/>
    <s v="3 AÑOS 5 MESES"/>
    <s v="MUJER"/>
    <s v="CUARTO NIVEL"/>
    <s v="MAESTRÍA O EQUIVALENTE"/>
    <s v="TIEMPO COMPLETO"/>
    <s v="LABORATORIO CLINICO"/>
    <n v="1.82"/>
    <n v="0.9"/>
    <n v="1"/>
    <n v="1"/>
    <n v="4.72"/>
    <n v="94.4"/>
  </r>
  <r>
    <x v="45"/>
    <n v="32"/>
    <s v="4 AÑOS 2 MESES"/>
    <s v="HOMBRE"/>
    <s v="CUARTO NIVEL"/>
    <s v="MAESTRÍA O EQUIVALENTE"/>
    <s v="TIEMPO COMPLETO"/>
    <s v="EDUCACIÓN BÁSICA SEMIPRESENCIAL"/>
    <n v="1.78"/>
    <n v="0"/>
    <n v="0.93"/>
    <n v="1"/>
    <n v="3.71"/>
    <n v="74.2"/>
  </r>
  <r>
    <x v="46"/>
    <n v="29"/>
    <s v="1 AÑOS 0 MESES"/>
    <s v="MUJER"/>
    <s v="CUARTO NIVEL"/>
    <s v="MAESTRÍA O EQUIVALENTE"/>
    <s v="TIEMPO COMPLETO"/>
    <s v="CONTABILIDAD Y AUDITORIA CPA"/>
    <n v="1.45"/>
    <n v="0.97"/>
    <n v="0.94"/>
    <n v="0.97"/>
    <n v="4.33"/>
    <n v="86.6"/>
  </r>
  <r>
    <x v="47"/>
    <n v="42"/>
    <s v="0 AÑOS 2 MESES"/>
    <s v="HOMBRE"/>
    <s v="CUARTO NIVEL"/>
    <s v="MAESTRÍA O EQUIVALENTE"/>
    <s v="TIEMPO PARCIAL"/>
    <s v="DERECHO"/>
    <n v="1.76"/>
    <n v="1"/>
    <n v="0.93"/>
    <n v="0.77"/>
    <n v="4.46"/>
    <n v="89.2"/>
  </r>
  <r>
    <x v="48"/>
    <n v="58"/>
    <s v="1 AÑOS 2 MESES"/>
    <s v="MUJER"/>
    <s v="CUARTO NIVEL"/>
    <s v="MAESTRÍA O EQUIVALENTE"/>
    <s v="TIEMPO COMPLETO"/>
    <s v="ENFERMERÍA"/>
    <n v="1.51"/>
    <n v="1"/>
    <n v="0.97"/>
    <n v="0.9"/>
    <n v="4.38"/>
    <n v="87.6"/>
  </r>
  <r>
    <x v="49"/>
    <n v="36"/>
    <s v="0 AÑOS 7 MESES"/>
    <s v="HOMBRE"/>
    <s v="CUARTO NIVEL"/>
    <s v="MAESTRÍA O EQUIVALENTE"/>
    <s v="TIEMPO PARCIAL"/>
    <s v="ENFERMERÍA"/>
    <n v="1.61"/>
    <n v="1"/>
    <n v="0.81"/>
    <n v="0.97"/>
    <n v="4.3899999999999997"/>
    <n v="87.799999999999983"/>
  </r>
  <r>
    <x v="50"/>
    <n v="36"/>
    <s v="2 AÑOS 0 MESES"/>
    <s v="MUJER"/>
    <s v="CUARTO NIVEL"/>
    <s v="MAESTRÍA O EQUIVALENTE"/>
    <s v="TIEMPO PARCIAL"/>
    <s v="ENFERMERÍA"/>
    <n v="1.92"/>
    <n v="1"/>
    <n v="1"/>
    <n v="1"/>
    <n v="4.92"/>
    <n v="98.4"/>
  </r>
  <r>
    <x v="51"/>
    <n v="63"/>
    <s v="1 AÑOS 1 MESES"/>
    <s v="HOMBRE"/>
    <s v="CUARTO NIVEL"/>
    <s v="MAESTRÍA O EQUIVALENTE"/>
    <s v="TIEMPO COMPLETO"/>
    <s v="DERECHO"/>
    <n v="1.88"/>
    <n v="1"/>
    <n v="0.95"/>
    <n v="0.95"/>
    <n v="4.78"/>
    <n v="95.6"/>
  </r>
  <r>
    <x v="52"/>
    <n v="33"/>
    <s v="123 AÑOS 11 MESES"/>
    <s v="HOMBRE"/>
    <s v="CUARTO NIVEL"/>
    <s v="MAESTRÍA O EQUIVALENTE"/>
    <s v="TIEMPO COMPLETO"/>
    <s v="DERECHO"/>
    <n v="1.95"/>
    <n v="0.96"/>
    <n v="0.96"/>
    <n v="1"/>
    <n v="4.87"/>
    <n v="97.4"/>
  </r>
  <r>
    <x v="53"/>
    <n v="28"/>
    <s v="1 AÑOS 0 MESES"/>
    <s v="MUJER"/>
    <s v="CUARTO NIVEL"/>
    <s v="MAESTRÍA O EQUIVALENTE"/>
    <s v="TIEMPO COMPLETO"/>
    <s v="ADMINISTRACIÓN DE EMPRESAS"/>
    <n v="1.91"/>
    <n v="1"/>
    <n v="1"/>
    <n v="1"/>
    <n v="4.91"/>
    <n v="98.2"/>
  </r>
  <r>
    <x v="54"/>
    <n v="36"/>
    <s v="0 AÑOS 9 MESES"/>
    <s v="HOMBRE"/>
    <s v="CUARTO NIVEL"/>
    <s v="MAESTRÍA O EQUIVALENTE"/>
    <s v="TIEMPO COMPLETO"/>
    <s v="DERECHO"/>
    <n v="1.54"/>
    <n v="0.93"/>
    <n v="1"/>
    <n v="0.96"/>
    <n v="4.43"/>
    <n v="88.6"/>
  </r>
  <r>
    <x v="55"/>
    <n v="48"/>
    <s v="0 AÑOS 2 MESES"/>
    <s v="HOMBRE"/>
    <s v="CUARTO NIVEL"/>
    <s v="MAESTRÍA O EQUIVALENTE"/>
    <s v="TIEMPO PARCIAL"/>
    <s v="DERECHO"/>
    <n v="1.95"/>
    <n v="1"/>
    <n v="0.94"/>
    <n v="0.94"/>
    <n v="4.83"/>
    <n v="96.6"/>
  </r>
  <r>
    <x v="56"/>
    <n v="47"/>
    <s v="1 AÑOS 7 MESES"/>
    <s v="HOMBRE"/>
    <s v="CUARTO NIVEL"/>
    <s v="MAESTRÍA O EQUIVALENTE"/>
    <s v="MEDIO TIEMPO"/>
    <s v="TECNOLOGÍAS DE LA INFORMACIÓN"/>
    <n v="1.82"/>
    <n v="1"/>
    <n v="0.99"/>
    <n v="1"/>
    <n v="4.8099999999999996"/>
    <n v="96.199999999999989"/>
  </r>
  <r>
    <x v="57"/>
    <n v="39"/>
    <s v="2 AÑOS 2 MESES"/>
    <s v="HOMBRE"/>
    <s v="CUARTO NIVEL"/>
    <s v="MAESTRÍA O EQUIVALENTE"/>
    <s v="TIEMPO COMPLETO"/>
    <s v="LABORATORIO CLINICO"/>
    <n v="1.87"/>
    <n v="1"/>
    <n v="1"/>
    <n v="0.98"/>
    <n v="4.8499999999999996"/>
    <n v="96.999999999999986"/>
  </r>
  <r>
    <x v="58"/>
    <n v="35"/>
    <s v="1 AÑOS 0 MESES"/>
    <s v="MUJER"/>
    <s v="CUARTO NIVEL"/>
    <s v="MAESTRÍA O EQUIVALENTE"/>
    <s v="TIEMPO COMPLETO"/>
    <s v="NEGOCIOS INTERNACIONALES"/>
    <n v="2"/>
    <n v="0.94"/>
    <n v="1"/>
    <n v="0.98"/>
    <n v="4.92"/>
    <n v="98.4"/>
  </r>
  <r>
    <x v="59"/>
    <n v="32"/>
    <s v="2 AÑOS 2 MESES"/>
    <s v="HOMBRE"/>
    <s v="CUARTO NIVEL"/>
    <s v="MAESTRÍA O EQUIVALENTE"/>
    <s v="TIEMPO COMPLETO"/>
    <s v="LABORATORIO CLINICO"/>
    <n v="1.77"/>
    <n v="1"/>
    <n v="1"/>
    <n v="1"/>
    <n v="4.7699999999999996"/>
    <n v="95.399999999999991"/>
  </r>
  <r>
    <x v="60"/>
    <n v="39"/>
    <s v="0 AÑOS 2 MESES"/>
    <s v="HOMBRE"/>
    <s v="CUARTO NIVEL"/>
    <s v="MAESTRÍA O EQUIVALENTE"/>
    <s v="TIEMPO PARCIAL"/>
    <s v="DERECHO"/>
    <n v="1.93"/>
    <n v="1"/>
    <n v="0.97"/>
    <n v="0.91"/>
    <n v="4.8099999999999996"/>
    <n v="96.199999999999989"/>
  </r>
  <r>
    <x v="61"/>
    <n v="49"/>
    <s v="0 AÑOS 2 MESES"/>
    <s v="MUJER"/>
    <s v="CUARTO NIVEL"/>
    <s v="MAESTRÍA O EQUIVALENTE"/>
    <s v="TIEMPO PARCIAL"/>
    <s v="EDUCACIÓN BÁSICA SEMIPRESENCIAL"/>
    <n v="1.84"/>
    <n v="1"/>
    <n v="1"/>
    <n v="1"/>
    <n v="4.84"/>
    <n v="96.8"/>
  </r>
  <r>
    <x v="62"/>
    <n v="46"/>
    <s v="0 AÑOS 2 MESES"/>
    <s v="MUJER"/>
    <s v="CUARTO NIVEL"/>
    <s v="MAESTRÍA O EQUIVALENTE"/>
    <s v="TIEMPO PARCIAL"/>
    <s v="ENFERMERÍA"/>
    <n v="1.89"/>
    <n v="1"/>
    <n v="0.92"/>
    <n v="0.97"/>
    <n v="4.78"/>
    <n v="95.6"/>
  </r>
  <r>
    <x v="63"/>
    <n v="47"/>
    <s v="0 AÑOS 10 MESES"/>
    <s v="HOMBRE"/>
    <s v="CUARTO NIVEL"/>
    <s v="MAESTRÍA O EQUIVALENTE"/>
    <s v="TIEMPO COMPLETO"/>
    <s v="DISEÑO GRAFICO"/>
    <n v="1.6"/>
    <n v="0.88"/>
    <n v="0.92"/>
    <n v="1"/>
    <n v="4.4000000000000004"/>
    <n v="88.000000000000014"/>
  </r>
  <r>
    <x v="64"/>
    <n v="31"/>
    <s v="0 AÑOS 2 MESES"/>
    <s v="HOMBRE"/>
    <s v="CUARTO NIVEL"/>
    <s v="MAESTRÍA O EQUIVALENTE"/>
    <s v="TIEMPO PARCIAL"/>
    <s v="PEDAGOGÍA DE LOS IDIOMAS NACIONALES Y EXTRANJEROS"/>
    <n v="1.89"/>
    <n v="1"/>
    <n v="0.98"/>
    <n v="1"/>
    <n v="4.87"/>
    <n v="97.4"/>
  </r>
  <r>
    <x v="65"/>
    <n v="56"/>
    <s v="1 AÑOS 3 MESES"/>
    <s v="MUJER"/>
    <s v="CUARTO NIVEL"/>
    <s v="MAESTRÍA O EQUIVALENTE"/>
    <s v="MEDIO TIEMPO"/>
    <s v="TURISMO"/>
    <n v="1.92"/>
    <n v="1"/>
    <n v="0.99"/>
    <n v="0.98"/>
    <n v="4.8899999999999997"/>
    <n v="97.799999999999983"/>
  </r>
  <r>
    <x v="66"/>
    <n v="42"/>
    <s v="0 AÑOS 2 MESES"/>
    <s v="MUJER"/>
    <s v="CUARTO NIVEL"/>
    <s v="MAESTRÍA O EQUIVALENTE"/>
    <s v="TIEMPO PARCIAL"/>
    <s v="ENFERMERÍA"/>
    <n v="1.96"/>
    <n v="1"/>
    <n v="0.92"/>
    <n v="0.96"/>
    <n v="4.84"/>
    <n v="96.8"/>
  </r>
  <r>
    <x v="67"/>
    <n v="25"/>
    <s v="0 AÑOS 9 MESES"/>
    <s v="MUJER"/>
    <s v="CUARTO NIVEL"/>
    <s v="MAESTRÍA O EQUIVALENTE"/>
    <s v="TIEMPO COMPLETO"/>
    <s v="FISIOTERAPIA"/>
    <n v="1.93"/>
    <n v="0.99"/>
    <n v="1"/>
    <n v="0.99"/>
    <n v="4.91"/>
    <n v="98.2"/>
  </r>
  <r>
    <x v="68"/>
    <n v="39"/>
    <s v="0 AÑOS 7 MESES"/>
    <s v="MUJER"/>
    <s v="CUARTO NIVEL"/>
    <s v="MAESTRÍA O EQUIVALENTE"/>
    <s v="TIEMPO PARCIAL"/>
    <s v="DISEÑO GRAFICO"/>
    <n v="1.34"/>
    <n v="1"/>
    <n v="0.97"/>
    <n v="0.96"/>
    <n v="4.2699999999999996"/>
    <n v="85.399999999999991"/>
  </r>
  <r>
    <x v="69"/>
    <n v="60"/>
    <s v="0 AÑOS 3 MESES"/>
    <s v="MUJER"/>
    <s v="CUARTO NIVEL"/>
    <s v="MAESTRÍA O EQUIVALENTE"/>
    <s v="TIEMPO COMPLETO"/>
    <s v="ENFERMERÍA"/>
    <n v="1.78"/>
    <n v="0.99"/>
    <n v="0.94"/>
    <n v="1"/>
    <n v="4.71"/>
    <n v="94.2"/>
  </r>
  <r>
    <x v="70"/>
    <n v="34"/>
    <s v="0 AÑOS 2 MESES"/>
    <s v="MUJER"/>
    <s v="CUARTO NIVEL"/>
    <s v="MAESTRÍA O EQUIVALENTE"/>
    <s v="TIEMPO PARCIAL"/>
    <s v="DERECHO"/>
    <n v="1.82"/>
    <n v="1"/>
    <n v="1"/>
    <n v="0.75"/>
    <n v="4.57"/>
    <n v="91.4"/>
  </r>
  <r>
    <x v="71"/>
    <n v="44"/>
    <s v="8 AÑOS 7 MESES"/>
    <s v="MUJER"/>
    <s v="CUARTO NIVEL"/>
    <s v="MAESTRÍA O EQUIVALENTE"/>
    <s v="TIEMPO COMPLETO"/>
    <s v="DISEÑO GRAFICO"/>
    <n v="1.9"/>
    <n v="0.99"/>
    <n v="0.99"/>
    <n v="1"/>
    <n v="4.88"/>
    <n v="97.6"/>
  </r>
  <r>
    <x v="72"/>
    <n v="43"/>
    <s v="3 AÑOS 2 MESES"/>
    <s v="MUJER"/>
    <s v="CUARTO NIVEL"/>
    <s v="MAESTRÍA O EQUIVALENTE"/>
    <s v="TIEMPO COMPLETO"/>
    <s v="EDUCACIÓN BÁSICA SEMIPRESENCIAL"/>
    <n v="1.81"/>
    <n v="1"/>
    <n v="1"/>
    <n v="1"/>
    <n v="4.8099999999999996"/>
    <n v="96.199999999999989"/>
  </r>
  <r>
    <x v="73"/>
    <n v="46"/>
    <s v="5 AÑOS 7 MESES"/>
    <s v="MUJER"/>
    <s v="CUARTO NIVEL"/>
    <s v="MAESTRÍA O EQUIVALENTE"/>
    <s v="TIEMPO COMPLETO"/>
    <s v="EDUCACIÓN INICIAL"/>
    <n v="1.93"/>
    <n v="1"/>
    <n v="0.98"/>
    <n v="1"/>
    <n v="4.91"/>
    <n v="98.2"/>
  </r>
  <r>
    <x v="74"/>
    <n v="49"/>
    <s v="0 AÑOS 2 MESES"/>
    <s v="MUJER"/>
    <s v="CUARTO NIVEL"/>
    <s v="MAESTRÍA O EQUIVALENTE"/>
    <s v="TIEMPO PARCIAL"/>
    <s v="EDUCACIÓN BÁSICA SEMIPRESENCIAL"/>
    <n v="1.84"/>
    <n v="1"/>
    <n v="1"/>
    <n v="1"/>
    <n v="4.84"/>
    <n v="96.8"/>
  </r>
  <r>
    <x v="75"/>
    <n v="51"/>
    <s v="0 AÑOS 3 MESES"/>
    <s v="MUJER"/>
    <s v="CUARTO NIVEL"/>
    <s v="MAESTRÍA O EQUIVALENTE"/>
    <s v="TIEMPO COMPLETO"/>
    <s v="ADMINISTRACIÓN DE EMPRESAS"/>
    <n v="1.87"/>
    <n v="1"/>
    <n v="0.97"/>
    <n v="0.96"/>
    <n v="4.8"/>
    <n v="96"/>
  </r>
  <r>
    <x v="76"/>
    <n v="52"/>
    <s v="0 AÑOS 2 MESES"/>
    <s v="MUJER"/>
    <s v="CUARTO NIVEL"/>
    <s v="MAESTRÍA O EQUIVALENTE"/>
    <s v="TIEMPO PARCIAL"/>
    <s v="DERECHO"/>
    <n v="1.87"/>
    <n v="1"/>
    <n v="1"/>
    <n v="0.9"/>
    <n v="4.7699999999999996"/>
    <n v="95.399999999999991"/>
  </r>
  <r>
    <x v="77"/>
    <n v="27"/>
    <s v="0 AÑOS 7 MESES"/>
    <s v="MUJER"/>
    <s v="CUARTO NIVEL"/>
    <s v="MAESTRÍA O EQUIVALENTE"/>
    <s v="TIEMPO PARCIAL"/>
    <s v="GESTIÓN AMBIENTAL"/>
    <n v="1.9"/>
    <n v="1"/>
    <n v="1"/>
    <n v="1"/>
    <n v="4.9000000000000004"/>
    <n v="98.000000000000014"/>
  </r>
  <r>
    <x v="78"/>
    <n v="42"/>
    <s v="3 AÑOS 5 MESES"/>
    <s v="HOMBRE"/>
    <s v="CUARTO NIVEL"/>
    <s v="MAESTRÍA O EQUIVALENTE"/>
    <s v="TIEMPO COMPLETO"/>
    <s v="NEGOCIOS INTERNACIONALES"/>
    <n v="1.87"/>
    <n v="0.99"/>
    <n v="1"/>
    <n v="1"/>
    <n v="4.8600000000000003"/>
    <n v="97.200000000000017"/>
  </r>
  <r>
    <x v="79"/>
    <n v="42"/>
    <s v="0 AÑOS 2 MESES"/>
    <s v="MUJER"/>
    <s v="CUARTO NIVEL"/>
    <s v="MAESTRÍA O EQUIVALENTE"/>
    <s v="TIEMPO PARCIAL"/>
    <s v="ENFERMERÍA"/>
    <n v="1.92"/>
    <n v="0"/>
    <n v="0.9"/>
    <n v="1"/>
    <n v="3.82"/>
    <n v="76.400000000000006"/>
  </r>
  <r>
    <x v="80"/>
    <n v="49"/>
    <s v="1 AÑOS 0 MESES"/>
    <s v="HOMBRE"/>
    <s v="CUARTO NIVEL"/>
    <s v="MAESTRÍA O EQUIVALENTE"/>
    <s v="TIEMPO COMPLETO"/>
    <s v="TECNOLOGÍAS DE LA INFORMACIÓN"/>
    <n v="1.76"/>
    <n v="1"/>
    <n v="1"/>
    <n v="1"/>
    <n v="4.76"/>
    <n v="95.2"/>
  </r>
  <r>
    <x v="81"/>
    <n v="44"/>
    <s v="0 AÑOS 7 MESES"/>
    <s v="HOMBRE"/>
    <s v="CUARTO NIVEL"/>
    <s v="MAESTRÍA O EQUIVALENTE"/>
    <s v="TIEMPO PARCIAL"/>
    <s v="ENFERMERÍA"/>
    <n v="1.92"/>
    <n v="1"/>
    <n v="0.94"/>
    <n v="1"/>
    <n v="4.8600000000000003"/>
    <n v="97.200000000000017"/>
  </r>
  <r>
    <x v="82"/>
    <n v="62"/>
    <s v="1 AÑOS 3 MESES"/>
    <s v="MUJER"/>
    <s v="CUARTO NIVEL"/>
    <s v="MAESTRÍA O EQUIVALENTE"/>
    <s v="MEDIO TIEMPO"/>
    <s v="PEDAGOGÍA DE LOS IDIOMAS NACIONALES Y EXTRANJEROS"/>
    <n v="1.78"/>
    <n v="1"/>
    <n v="1"/>
    <n v="0.97"/>
    <n v="4.75"/>
    <n v="95"/>
  </r>
  <r>
    <x v="83"/>
    <n v="42"/>
    <s v="0 AÑOS 2 MESES"/>
    <s v="HOMBRE"/>
    <s v="CUARTO NIVEL"/>
    <s v="MAESTRÍA O EQUIVALENTE"/>
    <s v="TIEMPO COMPLETO"/>
    <s v="TECNOLOGÍAS DE LA INFORMACIÓN"/>
    <n v="1.82"/>
    <n v="1"/>
    <n v="1"/>
    <n v="1"/>
    <n v="4.82"/>
    <n v="96.4"/>
  </r>
  <r>
    <x v="84"/>
    <n v="31"/>
    <s v="3 AÑOS 5 MESES"/>
    <s v="HOMBRE"/>
    <s v="CUARTO NIVEL"/>
    <s v="MAESTRÍA O EQUIVALENTE"/>
    <s v="TIEMPO COMPLETO"/>
    <s v="CONTABILIDAD Y AUDITORIA CPA"/>
    <n v="1.99"/>
    <n v="0.98"/>
    <n v="1"/>
    <n v="1"/>
    <n v="4.97"/>
    <n v="99.4"/>
  </r>
  <r>
    <x v="85"/>
    <n v="29"/>
    <s v="1 AÑOS 5 MESES"/>
    <s v="MUJER"/>
    <s v="CUARTO NIVEL"/>
    <s v="MAESTRÍA O EQUIVALENTE"/>
    <s v="TIEMPO COMPLETO"/>
    <s v="GESTIÓN AMBIENTAL"/>
    <n v="1.79"/>
    <n v="0.99"/>
    <n v="1"/>
    <n v="1"/>
    <n v="4.78"/>
    <n v="95.6"/>
  </r>
  <r>
    <x v="86"/>
    <n v="37"/>
    <s v="4 AÑOS 7 MESES"/>
    <s v="HOMBRE"/>
    <s v="CUARTO NIVEL"/>
    <s v="ESPECIALISTA AREA SALUD"/>
    <s v="TIEMPO PARCIAL"/>
    <s v="ENFERMERÍA"/>
    <n v="1.89"/>
    <n v="0.99"/>
    <n v="0.94"/>
    <n v="1"/>
    <n v="4.82"/>
    <n v="96.4"/>
  </r>
  <r>
    <x v="87"/>
    <n v="32"/>
    <s v="2 AÑOS 0 MESES"/>
    <s v="MUJER"/>
    <s v="CUARTO NIVEL"/>
    <s v="MAESTRÍA O EQUIVALENTE"/>
    <s v="TIEMPO COMPLETO"/>
    <s v="ENFERMERÍA"/>
    <n v="1.9"/>
    <n v="1"/>
    <n v="1"/>
    <n v="0.94"/>
    <n v="4.84"/>
    <n v="96.8"/>
  </r>
  <r>
    <x v="88"/>
    <n v="56"/>
    <s v="1 AÑOS 3 MESES"/>
    <s v="MUJER"/>
    <s v="CUARTO NIVEL"/>
    <s v="DOCTOR (Ph.D)"/>
    <s v="TIEMPO COMPLETO"/>
    <s v="ENFERMERÍA"/>
    <n v="1.9"/>
    <n v="1"/>
    <n v="0.99"/>
    <n v="1"/>
    <n v="4.8899999999999997"/>
    <n v="97.799999999999983"/>
  </r>
  <r>
    <x v="89"/>
    <n v="58"/>
    <s v="2 AÑOS 1 MESES"/>
    <s v="MUJER"/>
    <s v="CUARTO NIVEL"/>
    <s v="MAESTRÍA O EQUIVALENTE"/>
    <s v="TIEMPO COMPLETO"/>
    <s v="ENFERMERÍA"/>
    <n v="1.86"/>
    <n v="1"/>
    <n v="0.97"/>
    <n v="0.98"/>
    <n v="4.8099999999999996"/>
    <n v="96.199999999999989"/>
  </r>
  <r>
    <x v="90"/>
    <n v="36"/>
    <s v="0 AÑOS 2 MESES"/>
    <s v="MUJER"/>
    <s v="CUARTO NIVEL"/>
    <s v="MAESTRÍA O EQUIVALENTE"/>
    <s v="TIEMPO PARCIAL"/>
    <s v="ENFERMERÍA"/>
    <n v="1.9"/>
    <n v="0.98"/>
    <n v="0.92"/>
    <n v="1"/>
    <n v="4.8"/>
    <n v="96"/>
  </r>
  <r>
    <x v="91"/>
    <n v="41"/>
    <s v="0 AÑOS 8 MESES"/>
    <s v="HOMBRE"/>
    <s v="CUARTO NIVEL"/>
    <s v="MAESTRÍA O EQUIVALENTE"/>
    <s v="TIEMPO COMPLETO"/>
    <s v="EDUCACIÓN BÁSICA SEMIPRESENCIAL"/>
    <n v="1.81"/>
    <n v="1"/>
    <n v="0.99"/>
    <n v="1"/>
    <n v="4.8"/>
    <n v="96"/>
  </r>
  <r>
    <x v="92"/>
    <n v="52"/>
    <s v="0 AÑOS 8 MESES"/>
    <s v="MUJER"/>
    <s v="CUARTO NIVEL"/>
    <s v="MAESTRÍA O EQUIVALENTE"/>
    <s v="TIEMPO COMPLETO"/>
    <s v="EDUCACIÓN BÁSICA SEMIPRESENCIAL"/>
    <n v="1.75"/>
    <n v="0.99"/>
    <n v="0.97"/>
    <n v="1"/>
    <n v="4.71"/>
    <n v="94.2"/>
  </r>
  <r>
    <x v="93"/>
    <n v="50"/>
    <s v="3 AÑOS 2 MESES"/>
    <s v="MUJER"/>
    <s v="CUARTO NIVEL"/>
    <s v="MAESTRÍA O EQUIVALENTE"/>
    <s v="TIEMPO COMPLETO"/>
    <s v="PEDAGOGÍA DE LOS IDIOMAS NACIONALES Y EXTRANJEROS"/>
    <n v="1.94"/>
    <n v="1"/>
    <n v="1"/>
    <n v="1"/>
    <n v="4.9400000000000004"/>
    <n v="98.800000000000011"/>
  </r>
  <r>
    <x v="94"/>
    <n v="68"/>
    <s v="5 AÑOS 2 MESES"/>
    <s v="MUJER"/>
    <s v="CUARTO NIVEL"/>
    <s v="DOCTOR (Ph.D)"/>
    <s v="TIEMPO COMPLETO"/>
    <s v="LABORATORIO CLINICO"/>
    <n v="1.4"/>
    <n v="1"/>
    <n v="1"/>
    <n v="0.91"/>
    <n v="4.3099999999999996"/>
    <n v="86.199999999999989"/>
  </r>
  <r>
    <x v="95"/>
    <n v="39"/>
    <s v="0 AÑOS 11 MESES"/>
    <s v="HOMBRE"/>
    <s v="CUARTO NIVEL"/>
    <s v="DOCTOR (Ph.D)"/>
    <s v="TIEMPO COMPLETO"/>
    <s v="TECNOLOGÍAS DE LA INFORMACIÓN"/>
    <n v="1.75"/>
    <n v="0.99"/>
    <n v="1"/>
    <n v="1"/>
    <n v="4.74"/>
    <n v="94.8"/>
  </r>
  <r>
    <x v="96"/>
    <n v="37"/>
    <s v="1 AÑOS 2 MESES"/>
    <s v="MUJER"/>
    <s v="CUARTO NIVEL"/>
    <s v="MAESTRÍA O EQUIVALENTE"/>
    <s v="MEDIO TIEMPO"/>
    <s v="ENFERMERÍA"/>
    <n v="1.84"/>
    <n v="1"/>
    <n v="0.97"/>
    <n v="1"/>
    <n v="4.8099999999999996"/>
    <n v="96.199999999999989"/>
  </r>
  <r>
    <x v="97"/>
    <n v="48"/>
    <s v="4 AÑOS 7 MESES"/>
    <s v="HOMBRE"/>
    <s v="CUARTO NIVEL"/>
    <s v="MAESTRÍA O EQUIVALENTE"/>
    <s v="TIEMPO PARCIAL"/>
    <s v="TECNOLOGÍAS DE LA INFORMACIÓN"/>
    <n v="1.93"/>
    <n v="1"/>
    <n v="1"/>
    <n v="1"/>
    <n v="4.93"/>
    <n v="98.6"/>
  </r>
  <r>
    <x v="98"/>
    <n v="51"/>
    <s v="0 AÑOS 2 MESES"/>
    <s v="MUJER"/>
    <s v="CUARTO NIVEL"/>
    <s v="MAESTRÍA O EQUIVALENTE"/>
    <s v="TIEMPO PARCIAL"/>
    <s v="GESTIÓN AMBIENTAL"/>
    <n v="1.99"/>
    <n v="0.94"/>
    <n v="0.96"/>
    <n v="0.97"/>
    <n v="4.8600000000000003"/>
    <n v="97.200000000000017"/>
  </r>
  <r>
    <x v="99"/>
    <n v="48"/>
    <s v="0 AÑOS 2 MESES"/>
    <s v="HOMBRE"/>
    <s v="CUARTO NIVEL"/>
    <s v="MAESTRÍA O EQUIVALENTE"/>
    <s v="TIEMPO PARCIAL"/>
    <s v="TECNOLOGÍAS DE LA INFORMACIÓN"/>
    <n v="1.86"/>
    <n v="1"/>
    <n v="1"/>
    <n v="1"/>
    <n v="4.8600000000000003"/>
    <n v="97.200000000000017"/>
  </r>
  <r>
    <x v="100"/>
    <n v="48"/>
    <s v="2 AÑOS 6 MESES"/>
    <s v="MUJER"/>
    <s v="CUARTO NIVEL"/>
    <s v="MAESTRÍA O EQUIVALENTE"/>
    <s v="TIEMPO COMPLETO"/>
    <s v="ENFERMERÍA"/>
    <n v="1.87"/>
    <n v="1"/>
    <n v="0.98"/>
    <n v="0.97"/>
    <n v="4.82"/>
    <n v="96.4"/>
  </r>
  <r>
    <x v="101"/>
    <n v="51"/>
    <s v="0 AÑOS 8 MESES"/>
    <s v="HOMBRE"/>
    <s v="CUARTO NIVEL"/>
    <s v="MAESTRÍA O EQUIVALENTE"/>
    <s v="TIEMPO COMPLETO"/>
    <s v="ENFERMERÍA"/>
    <n v="1.92"/>
    <n v="1"/>
    <n v="1"/>
    <n v="1"/>
    <n v="4.92"/>
    <n v="98.4"/>
  </r>
  <r>
    <x v="102"/>
    <n v="39"/>
    <s v="0 AÑOS 2 MESES"/>
    <s v="HOMBRE"/>
    <s v="CUARTO NIVEL"/>
    <s v="MAESTRÍA O EQUIVALENTE"/>
    <s v="TIEMPO PARCIAL"/>
    <s v="PSICOLOGÍA"/>
    <n v="1.8"/>
    <n v="0.96"/>
    <n v="0.97"/>
    <n v="0.97"/>
    <n v="4.7"/>
    <n v="94"/>
  </r>
  <r>
    <x v="103"/>
    <n v="59"/>
    <s v="1 AÑOS 0 MESES"/>
    <s v="HOMBRE"/>
    <s v="CUARTO NIVEL"/>
    <s v="MAESTRÍA O EQUIVALENTE"/>
    <s v="TIEMPO COMPLETO"/>
    <s v="ENFERMERÍA"/>
    <n v="1.63"/>
    <n v="1"/>
    <n v="0.94"/>
    <n v="0.98"/>
    <n v="4.55"/>
    <n v="91"/>
  </r>
  <r>
    <x v="104"/>
    <n v="43"/>
    <s v="0 AÑOS 2 MESES"/>
    <s v="HOMBRE"/>
    <s v="CUARTO NIVEL"/>
    <s v="MAESTRÍA O EQUIVALENTE"/>
    <s v="TIEMPO PARCIAL"/>
    <s v="AGROINDUSTRIA"/>
    <n v="1.73"/>
    <n v="1"/>
    <n v="1"/>
    <n v="0.96"/>
    <n v="4.6900000000000004"/>
    <n v="93.800000000000011"/>
  </r>
  <r>
    <x v="105"/>
    <n v="31"/>
    <s v="123 AÑOS 11 MESES"/>
    <s v="HOMBRE"/>
    <s v="CUARTO NIVEL"/>
    <s v="MAESTRÍA O EQUIVALENTE"/>
    <s v="TIEMPO PARCIAL"/>
    <s v="FISIOTERAPIA"/>
    <n v="1.99"/>
    <n v="1"/>
    <n v="1"/>
    <n v="0.97"/>
    <n v="4.96"/>
    <n v="99.2"/>
  </r>
  <r>
    <x v="106"/>
    <n v="46"/>
    <s v="0 AÑOS 7 MESES"/>
    <s v="MUJER"/>
    <s v="CUARTO NIVEL"/>
    <s v="MAESTRÍA O EQUIVALENTE"/>
    <s v="TIEMPO PARCIAL"/>
    <s v="EDUCACIÓN BÁSICA PRESENCIAL"/>
    <n v="1.75"/>
    <n v="1"/>
    <n v="0.87"/>
    <n v="0.8"/>
    <n v="4.42"/>
    <n v="88.4"/>
  </r>
  <r>
    <x v="107"/>
    <n v="45"/>
    <s v="0 AÑOS 8 MESES"/>
    <s v="HOMBRE"/>
    <s v="CUARTO NIVEL"/>
    <s v="MAESTRÍA O EQUIVALENTE"/>
    <s v="TIEMPO COMPLETO"/>
    <s v="TECNOLOGÍAS DE LA INFORMACIÓN"/>
    <n v="1.9"/>
    <n v="1"/>
    <n v="1"/>
    <n v="1"/>
    <n v="4.9000000000000004"/>
    <n v="98.000000000000014"/>
  </r>
  <r>
    <x v="108"/>
    <n v="40"/>
    <s v="2 AÑOS 2 MESES"/>
    <s v="MUJER"/>
    <s v="CUARTO NIVEL"/>
    <s v="MAESTRÍA O EQUIVALENTE"/>
    <s v="TIEMPO COMPLETO"/>
    <s v="ENFERMERÍA"/>
    <n v="1.79"/>
    <n v="0.99"/>
    <n v="0.97"/>
    <n v="0.97"/>
    <n v="4.72"/>
    <n v="94.4"/>
  </r>
  <r>
    <x v="109"/>
    <n v="35"/>
    <s v="0 AÑOS 2 MESES"/>
    <s v="MUJER"/>
    <s v="CUARTO NIVEL"/>
    <s v="ESPECIALISTA AREA SALUD"/>
    <s v="TIEMPO PARCIAL"/>
    <s v="ENFERMERÍA"/>
    <n v="1.84"/>
    <n v="0.99"/>
    <n v="0.87"/>
    <n v="0.83"/>
    <n v="4.53"/>
    <n v="90.6"/>
  </r>
  <r>
    <x v="110"/>
    <n v="64"/>
    <s v="3 AÑOS 5 MESES"/>
    <s v="MUJER"/>
    <s v="CUARTO NIVEL"/>
    <s v="DOCTOR (Ph.D)"/>
    <s v="TIEMPO COMPLETO"/>
    <s v="PEDAGOGÍA DE LOS IDIOMAS NACIONALES Y EXTRANJEROS"/>
    <n v="1.91"/>
    <n v="1"/>
    <n v="1"/>
    <n v="0.98"/>
    <n v="4.8899999999999997"/>
    <n v="97.799999999999983"/>
  </r>
  <r>
    <x v="111"/>
    <n v="30"/>
    <s v="0 AÑOS 2 MESES"/>
    <s v="HOMBRE"/>
    <s v="CUARTO NIVEL"/>
    <s v="MAESTRÍA O EQUIVALENTE"/>
    <s v="TIEMPO PARCIAL"/>
    <s v="ENFERMERÍA"/>
    <n v="1.94"/>
    <n v="1"/>
    <n v="0.99"/>
    <n v="0.99"/>
    <n v="4.92"/>
    <n v="98.4"/>
  </r>
  <r>
    <x v="112"/>
    <n v="54"/>
    <s v="0 AÑOS 2 MESES"/>
    <s v="MUJER"/>
    <s v="CUARTO NIVEL"/>
    <s v="MAESTRÍA O EQUIVALENTE"/>
    <s v="TIEMPO PARCIAL"/>
    <s v="ENFERMERÍA"/>
    <n v="1.71"/>
    <n v="1"/>
    <n v="0.95"/>
    <n v="0.97"/>
    <n v="4.63"/>
    <n v="92.6"/>
  </r>
  <r>
    <x v="113"/>
    <n v="52"/>
    <s v="8 AÑOS 0 MESES"/>
    <s v="HOMBRE"/>
    <s v="CUARTO NIVEL"/>
    <s v="MAESTRÍA O EQUIVALENTE"/>
    <s v="TIEMPO COMPLETO"/>
    <s v="GESTIÓN AMBIENTAL"/>
    <n v="1.59"/>
    <n v="0.96"/>
    <n v="1"/>
    <n v="0.92"/>
    <n v="4.47"/>
    <n v="89.4"/>
  </r>
  <r>
    <x v="114"/>
    <n v="39"/>
    <s v="0 AÑOS 7 MESES"/>
    <s v="HOMBRE"/>
    <s v="CUARTO NIVEL"/>
    <s v="MAESTRÍA O EQUIVALENTE"/>
    <s v="TIEMPO PARCIAL"/>
    <s v="AGROINDUSTRIA"/>
    <n v="1.95"/>
    <n v="1"/>
    <n v="1"/>
    <n v="0.98"/>
    <n v="4.93"/>
    <n v="98.6"/>
  </r>
  <r>
    <x v="115"/>
    <n v="30"/>
    <s v="2 AÑOS 2 MESES"/>
    <s v="MUJER"/>
    <s v="CUARTO NIVEL"/>
    <s v="MAESTRÍA O EQUIVALENTE"/>
    <s v="TIEMPO COMPLETO"/>
    <s v="ENFERMERÍA"/>
    <n v="1.75"/>
    <n v="0.94"/>
    <n v="0.95"/>
    <n v="0.97"/>
    <n v="4.6100000000000003"/>
    <n v="92.200000000000017"/>
  </r>
  <r>
    <x v="116"/>
    <n v="50"/>
    <s v="4 AÑOS 7 MESES"/>
    <s v="HOMBRE"/>
    <s v="CUARTO NIVEL"/>
    <s v="MAESTRÍA O EQUIVALENTE"/>
    <s v="TIEMPO PARCIAL"/>
    <s v="TECNOLOGÍAS DE LA INFORMACIÓN"/>
    <n v="1.8"/>
    <n v="1"/>
    <n v="1"/>
    <n v="1"/>
    <n v="4.8"/>
    <n v="96"/>
  </r>
  <r>
    <x v="117"/>
    <n v="31"/>
    <s v="0 AÑOS 2 MESES"/>
    <s v="MUJER"/>
    <s v="CUARTO NIVEL"/>
    <s v="MAESTRÍA O EQUIVALENTE"/>
    <s v="TIEMPO PARCIAL"/>
    <s v="PEDAGOGÍA DE LOS IDIOMAS NACIONALES Y EXTRANJEROS"/>
    <n v="1.91"/>
    <n v="0.94"/>
    <n v="1"/>
    <n v="1"/>
    <n v="4.8499999999999996"/>
    <n v="96.999999999999986"/>
  </r>
  <r>
    <x v="118"/>
    <n v="38"/>
    <s v="0 AÑOS 2 MESES"/>
    <s v="MUJER"/>
    <s v="CUARTO NIVEL"/>
    <s v="MAESTRÍA O EQUIVALENTE"/>
    <s v="TIEMPO PARCIAL"/>
    <s v="DERECHO"/>
    <n v="1.91"/>
    <n v="1"/>
    <n v="1"/>
    <n v="0.97"/>
    <n v="4.88"/>
    <n v="97.6"/>
  </r>
  <r>
    <x v="119"/>
    <n v="51"/>
    <s v="0 AÑOS 2 MESES"/>
    <s v="HOMBRE"/>
    <s v="CUARTO NIVEL"/>
    <s v="MAESTRÍA O EQUIVALENTE"/>
    <s v="TIEMPO PARCIAL"/>
    <s v="PEDAGOGÍA DE LOS IDIOMAS NACIONALES Y EXTRANJEROS"/>
    <n v="1.88"/>
    <n v="0.99"/>
    <n v="1"/>
    <n v="1"/>
    <n v="4.87"/>
    <n v="97.4"/>
  </r>
  <r>
    <x v="120"/>
    <n v="38"/>
    <s v="0 AÑOS 2 MESES"/>
    <s v="HOMBRE"/>
    <s v="CUARTO NIVEL"/>
    <s v="MAESTRÍA O EQUIVALENTE"/>
    <s v="TIEMPO PARCIAL"/>
    <s v="DISEÑO GRAFICO"/>
    <n v="1.88"/>
    <n v="0.94"/>
    <n v="1"/>
    <n v="1"/>
    <n v="4.82"/>
    <n v="96.4"/>
  </r>
  <r>
    <x v="121"/>
    <n v="46"/>
    <s v="1 AÑOS 0 MESES"/>
    <s v="MUJER"/>
    <s v="CUARTO NIVEL"/>
    <s v="MAESTRÍA O EQUIVALENTE"/>
    <s v="TIEMPO COMPLETO"/>
    <s v="CONTABILIDAD Y AUDITORIA CPA"/>
    <n v="1.93"/>
    <n v="0.99"/>
    <n v="0.94"/>
    <n v="1"/>
    <n v="4.8600000000000003"/>
    <n v="97.200000000000017"/>
  </r>
  <r>
    <x v="122"/>
    <n v="37"/>
    <s v="0 AÑOS 7 MESES"/>
    <s v="HOMBRE"/>
    <s v="CUARTO NIVEL"/>
    <s v="MAESTRÍA O EQUIVALENTE"/>
    <s v="TIEMPO PARCIAL"/>
    <s v="RECURSOS NATURALES"/>
    <n v="1.54"/>
    <n v="1"/>
    <n v="0.96"/>
    <n v="0.67"/>
    <n v="4.17"/>
    <n v="83.4"/>
  </r>
  <r>
    <x v="123"/>
    <n v="28"/>
    <s v="0 AÑOS 2 MESES"/>
    <s v="HOMBRE"/>
    <s v="CUARTO NIVEL"/>
    <s v="MAESTRÍA O EQUIVALENTE"/>
    <s v="TIEMPO PARCIAL"/>
    <s v="EDUCACIÓN BÁSICA SEMIPRESENCIAL"/>
    <n v="1.91"/>
    <n v="1"/>
    <n v="1"/>
    <n v="1"/>
    <n v="4.91"/>
    <n v="98.2"/>
  </r>
  <r>
    <x v="124"/>
    <n v="48"/>
    <s v="0 AÑOS 7 MESES"/>
    <s v="HOMBRE"/>
    <s v="CUARTO NIVEL"/>
    <s v="MAESTRÍA O EQUIVALENTE"/>
    <s v="TIEMPO PARCIAL"/>
    <s v="CONTABILIDAD Y AUDITORIA CPA"/>
    <n v="1.91"/>
    <n v="1"/>
    <n v="0.97"/>
    <n v="0.97"/>
    <n v="4.8499999999999996"/>
    <n v="96.999999999999986"/>
  </r>
  <r>
    <x v="125"/>
    <n v="31"/>
    <s v="0 AÑOS 2 MESES"/>
    <s v="MUJER"/>
    <s v="CUARTO NIVEL"/>
    <s v="MAESTRÍA O EQUIVALENTE"/>
    <s v="TIEMPO COMPLETO"/>
    <s v="FISIOTERAPIA"/>
    <n v="1.91"/>
    <n v="0.99"/>
    <n v="0.76"/>
    <n v="0.92"/>
    <n v="4.58"/>
    <n v="91.6"/>
  </r>
  <r>
    <x v="126"/>
    <n v="41"/>
    <s v="6 AÑOS 3 MESES"/>
    <s v="HOMBRE"/>
    <s v="CUARTO NIVEL"/>
    <s v="MAESTRÍA O EQUIVALENTE"/>
    <s v="TIEMPO COMPLETO"/>
    <s v="TECNOLOGÍAS DE LA INFORMACIÓN"/>
    <n v="1.59"/>
    <n v="1"/>
    <n v="1"/>
    <n v="0.97"/>
    <n v="4.5599999999999996"/>
    <n v="91.199999999999989"/>
  </r>
  <r>
    <x v="127"/>
    <n v="30"/>
    <s v="0 AÑOS 8 MESES"/>
    <s v="HOMBRE"/>
    <s v="CUARTO NIVEL"/>
    <s v="MAESTRÍA O EQUIVALENTE"/>
    <s v="TIEMPO COMPLETO"/>
    <s v="FISIOTERAPIA"/>
    <n v="1.91"/>
    <n v="0.98"/>
    <n v="1"/>
    <n v="1"/>
    <n v="4.8899999999999997"/>
    <n v="97.799999999999983"/>
  </r>
  <r>
    <x v="128"/>
    <n v="31"/>
    <s v="1 AÑOS 3 MESES"/>
    <s v="HOMBRE"/>
    <s v="CUARTO NIVEL"/>
    <s v="MAESTRÍA O EQUIVALENTE"/>
    <s v="TIEMPO COMPLETO"/>
    <s v="PSICOLOGÍA"/>
    <n v="1.7"/>
    <n v="0.99"/>
    <n v="1"/>
    <n v="1"/>
    <n v="4.6900000000000004"/>
    <n v="93.800000000000011"/>
  </r>
  <r>
    <x v="129"/>
    <n v="37"/>
    <s v="3 AÑOS 5 MESES"/>
    <s v="MUJER"/>
    <s v="CUARTO NIVEL"/>
    <s v="MAESTRÍA O EQUIVALENTE"/>
    <s v="TIEMPO COMPLETO"/>
    <s v="GESTIÓN AMBIENTAL"/>
    <n v="1.73"/>
    <n v="1"/>
    <n v="0.99"/>
    <n v="0.99"/>
    <n v="4.71"/>
    <n v="94.2"/>
  </r>
  <r>
    <x v="130"/>
    <n v="48"/>
    <s v="9 AÑOS 11 MESES"/>
    <s v="MUJER"/>
    <s v="CUARTO NIVEL"/>
    <s v="MAESTRÍA O EQUIVALENTE"/>
    <s v="TIEMPO COMPLETO"/>
    <s v="ADMINISTRACIÓN DE EMPRESAS"/>
    <n v="1.85"/>
    <n v="1"/>
    <n v="0.97"/>
    <n v="1"/>
    <n v="4.82"/>
    <n v="96.4"/>
  </r>
  <r>
    <x v="131"/>
    <n v="58"/>
    <s v="4 AÑOS 7 MESES"/>
    <s v="MUJER"/>
    <s v="CUARTO NIVEL"/>
    <s v="MAESTRÍA O EQUIVALENTE"/>
    <s v="TIEMPO COMPLETO"/>
    <s v="ENFERMERÍA"/>
    <n v="1.85"/>
    <n v="0.99"/>
    <n v="0.97"/>
    <n v="1"/>
    <n v="4.8099999999999996"/>
    <n v="96.199999999999989"/>
  </r>
  <r>
    <x v="132"/>
    <n v="67"/>
    <s v="5 AÑOS 8 MESES"/>
    <s v="HOMBRE"/>
    <s v="CUARTO NIVEL"/>
    <s v="MAESTRÍA O EQUIVALENTE"/>
    <s v="TIEMPO COMPLETO"/>
    <s v="ENFERMERÍA"/>
    <n v="1.8"/>
    <n v="1"/>
    <n v="1"/>
    <n v="0.98"/>
    <n v="4.78"/>
    <n v="95.6"/>
  </r>
  <r>
    <x v="133"/>
    <n v="52"/>
    <s v="0 AÑOS 7 MESES"/>
    <s v="MUJER"/>
    <s v="CUARTO NIVEL"/>
    <s v="MAESTRÍA O EQUIVALENTE"/>
    <s v="TIEMPO PARCIAL"/>
    <s v="EDUCACIÓN BÁSICA PRESENCIAL"/>
    <n v="1.75"/>
    <n v="1"/>
    <n v="0.98"/>
    <n v="1"/>
    <n v="4.7300000000000004"/>
    <n v="94.600000000000009"/>
  </r>
  <r>
    <x v="134"/>
    <n v="62"/>
    <s v="0 AÑOS 2 MESES"/>
    <s v="MUJER"/>
    <s v="CUARTO NIVEL"/>
    <s v="MAESTRÍA O EQUIVALENTE"/>
    <s v="TIEMPO PARCIAL"/>
    <s v="DERECHO"/>
    <n v="1.92"/>
    <n v="0.99"/>
    <n v="0.97"/>
    <n v="1"/>
    <n v="4.88"/>
    <n v="97.6"/>
  </r>
  <r>
    <x v="135"/>
    <n v="54"/>
    <s v="8 AÑOS 3 MESES"/>
    <s v="MUJER"/>
    <s v="CUARTO NIVEL"/>
    <s v="MAESTRÍA O EQUIVALENTE"/>
    <s v="TIEMPO COMPLETO"/>
    <s v="ENFERMERÍA"/>
    <n v="1.87"/>
    <n v="1"/>
    <n v="1"/>
    <n v="1"/>
    <n v="4.87"/>
    <n v="97.4"/>
  </r>
  <r>
    <x v="136"/>
    <n v="30"/>
    <s v="0 AÑOS 2 MESES"/>
    <s v="HOMBRE"/>
    <s v="CUARTO NIVEL"/>
    <s v="MAESTRÍA O EQUIVALENTE"/>
    <s v="TIEMPO PARCIAL"/>
    <s v="LABORATORIO CLINICO"/>
    <n v="1.62"/>
    <n v="1"/>
    <n v="1"/>
    <n v="0.97"/>
    <n v="4.59"/>
    <n v="91.8"/>
  </r>
  <r>
    <x v="137"/>
    <n v="43"/>
    <s v="0 AÑOS 5 MESES"/>
    <s v="MUJER"/>
    <s v="CUARTO NIVEL"/>
    <s v="MAESTRÍA O EQUIVALENTE"/>
    <s v="TIEMPO PARCIAL"/>
    <s v="EDUCACIÓN BÁSICA SEMIPRESENCIAL"/>
    <n v="1.93"/>
    <n v="0"/>
    <n v="0.93"/>
    <n v="1"/>
    <n v="3.86"/>
    <n v="77.2"/>
  </r>
  <r>
    <x v="138"/>
    <n v="37"/>
    <s v="0 AÑOS 2 MESES"/>
    <s v="HOMBRE"/>
    <s v="CUARTO NIVEL"/>
    <s v="MAESTRÍA O EQUIVALENTE"/>
    <s v="TIEMPO PARCIAL"/>
    <s v="DERECHO"/>
    <n v="1.9"/>
    <n v="1"/>
    <n v="1"/>
    <n v="0.97"/>
    <n v="4.87"/>
    <n v="97.4"/>
  </r>
  <r>
    <x v="139"/>
    <n v="47"/>
    <s v="0 AÑOS 2 MESES"/>
    <s v="HOMBRE"/>
    <s v="CUARTO NIVEL"/>
    <s v="MAESTRÍA O EQUIVALENTE"/>
    <s v="TIEMPO PARCIAL"/>
    <s v="DERECHO"/>
    <n v="1.48"/>
    <n v="1"/>
    <n v="0.97"/>
    <n v="0.91"/>
    <n v="4.3600000000000003"/>
    <n v="87.200000000000017"/>
  </r>
  <r>
    <x v="140"/>
    <n v="42"/>
    <s v="0 AÑOS 10 MESES"/>
    <s v="MUJER"/>
    <s v="CUARTO NIVEL"/>
    <s v="MAESTRÍA O EQUIVALENTE"/>
    <s v="TIEMPO COMPLETO"/>
    <s v="DISEÑO GRAFICO"/>
    <n v="1.61"/>
    <n v="0.98"/>
    <n v="1"/>
    <n v="1"/>
    <n v="4.59"/>
    <n v="91.8"/>
  </r>
  <r>
    <x v="141"/>
    <n v="50"/>
    <s v="10 AÑOS 2 MESES"/>
    <s v="MUJER"/>
    <s v="CUARTO NIVEL"/>
    <s v="DOCTOR (Ph.D)"/>
    <s v="MEDIO TIEMPO"/>
    <s v="CONTABILIDAD Y AUDITORIA CPA"/>
    <n v="1.78"/>
    <n v="1"/>
    <n v="0.97"/>
    <n v="1"/>
    <n v="4.75"/>
    <n v="95"/>
  </r>
  <r>
    <x v="142"/>
    <n v="31"/>
    <s v="0 AÑOS 3 MESES"/>
    <s v="HOMBRE"/>
    <s v="CUARTO NIVEL"/>
    <s v="MAESTRÍA O EQUIVALENTE"/>
    <s v="TIEMPO COMPLETO"/>
    <s v="TECNOLOGÍAS DE LA INFORMACIÓN"/>
    <n v="1.87"/>
    <n v="0.98"/>
    <n v="1"/>
    <n v="1"/>
    <n v="4.8499999999999996"/>
    <n v="96.999999999999986"/>
  </r>
  <r>
    <x v="143"/>
    <n v="36"/>
    <s v="0 AÑOS 7 MESES"/>
    <s v="MUJER"/>
    <s v="CUARTO NIVEL"/>
    <s v="MAESTRÍA O EQUIVALENTE"/>
    <s v="TIEMPO PARCIAL"/>
    <s v="EDUCACIÓN BÁSICA SEMIPRESENCIAL"/>
    <n v="1.8"/>
    <n v="1"/>
    <n v="1"/>
    <n v="1"/>
    <n v="4.8"/>
    <n v="96"/>
  </r>
  <r>
    <x v="144"/>
    <n v="41"/>
    <s v="0 AÑOS 7 MESES"/>
    <s v="HOMBRE"/>
    <s v="CUARTO NIVEL"/>
    <s v="MAESTRÍA O EQUIVALENTE"/>
    <s v="TIEMPO PARCIAL"/>
    <s v="NEGOCIOS INTERNACIONALES"/>
    <n v="1.98"/>
    <n v="1"/>
    <n v="1"/>
    <n v="1"/>
    <n v="4.9800000000000004"/>
    <n v="99.600000000000009"/>
  </r>
  <r>
    <x v="145"/>
    <n v="59"/>
    <s v="10 AÑOS 2 MESES"/>
    <s v="MUJER"/>
    <s v="CUARTO NIVEL"/>
    <s v="MAESTRÍA O EQUIVALENTE"/>
    <s v="MEDIO TIEMPO"/>
    <s v="EDUCACIÓN INICIAL"/>
    <n v="1.99"/>
    <n v="1"/>
    <n v="1"/>
    <n v="1"/>
    <n v="4.99"/>
    <n v="99.8"/>
  </r>
  <r>
    <x v="146"/>
    <n v="39"/>
    <s v="2 AÑOS 10 MESES"/>
    <s v="MUJER"/>
    <s v="CUARTO NIVEL"/>
    <s v="MAESTRÍA O EQUIVALENTE"/>
    <s v="TIEMPO COMPLETO"/>
    <s v="NEGOCIOS INTERNACIONALES"/>
    <n v="1.93"/>
    <n v="0.99"/>
    <n v="1"/>
    <n v="0.97"/>
    <n v="4.8899999999999997"/>
    <n v="97.799999999999983"/>
  </r>
  <r>
    <x v="147"/>
    <n v="35"/>
    <s v="1 AÑOS 3 MESES"/>
    <s v="MUJER"/>
    <s v="CUARTO NIVEL"/>
    <s v="MAESTRÍA O EQUIVALENTE"/>
    <s v="MEDIO TIEMPO"/>
    <s v="GESTIÓN AMBIENTAL"/>
    <n v="1.66"/>
    <n v="1"/>
    <n v="1"/>
    <n v="1"/>
    <n v="4.66"/>
    <n v="93.2"/>
  </r>
  <r>
    <x v="148"/>
    <n v="58"/>
    <s v="9 AÑOS 9 MESES"/>
    <s v="MUJER"/>
    <s v="CUARTO NIVEL"/>
    <s v="MAESTRÍA O EQUIVALENTE"/>
    <s v="TIEMPO COMPLETO"/>
    <s v="ENFERMERÍA"/>
    <n v="1.74"/>
    <n v="1"/>
    <n v="1"/>
    <n v="0.97"/>
    <n v="4.71"/>
    <n v="94.2"/>
  </r>
  <r>
    <x v="149"/>
    <n v="33"/>
    <s v="123 AÑOS 11 MESES"/>
    <s v="HOMBRE"/>
    <s v="CUARTO NIVEL"/>
    <s v="MAESTRÍA O EQUIVALENTE"/>
    <s v="TIEMPO PARCIAL"/>
    <s v="EDUCACIÓN BÁSICA SEMIPRESENCIAL"/>
    <n v="1.76"/>
    <n v="0.93"/>
    <n v="0.96"/>
    <n v="1"/>
    <n v="4.6500000000000004"/>
    <n v="93.000000000000014"/>
  </r>
  <r>
    <x v="150"/>
    <n v="35"/>
    <s v="0 AÑOS 7 MESES"/>
    <s v="MUJER"/>
    <s v="CUARTO NIVEL"/>
    <s v="MAESTRÍA O EQUIVALENTE"/>
    <s v="TIEMPO COMPLETO"/>
    <s v="LABORATORIO CLINICO"/>
    <n v="1.68"/>
    <n v="1"/>
    <n v="1"/>
    <n v="1"/>
    <n v="4.68"/>
    <n v="93.6"/>
  </r>
  <r>
    <x v="151"/>
    <n v="44"/>
    <s v="0 AÑOS 2 MESES"/>
    <s v="MUJER"/>
    <s v="CUARTO NIVEL"/>
    <s v="MAESTRÍA O EQUIVALENTE"/>
    <s v="TIEMPO PARCIAL"/>
    <s v="LABORATORIO CLINICO"/>
    <n v="1.56"/>
    <n v="1"/>
    <n v="1"/>
    <n v="0.96"/>
    <n v="4.5199999999999996"/>
    <n v="90.399999999999991"/>
  </r>
  <r>
    <x v="152"/>
    <n v="40"/>
    <s v="0 AÑOS 1 MESES"/>
    <s v="HOMBRE"/>
    <s v="CUARTO NIVEL"/>
    <s v="MAESTRÍA O EQUIVALENTE"/>
    <s v="MEDIO TIEMPO"/>
    <s v="EDUCACIÓN BÁSICA SEMIPRESENCIAL"/>
    <n v="1.73"/>
    <n v="1"/>
    <n v="0.99"/>
    <n v="1"/>
    <n v="4.72"/>
    <n v="94.4"/>
  </r>
  <r>
    <x v="153"/>
    <n v="50"/>
    <s v="10 AÑOS 2 MESES"/>
    <s v="MUJER"/>
    <s v="CUARTO NIVEL"/>
    <s v="MAESTRÍA O EQUIVALENTE"/>
    <s v="TIEMPO COMPLETO"/>
    <s v="PSICOLOGÍA"/>
    <n v="1.96"/>
    <n v="1"/>
    <n v="1"/>
    <n v="0.95"/>
    <n v="4.91"/>
    <n v="98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6">
  <r>
    <x v="0"/>
    <s v="0800728735"/>
    <x v="0"/>
    <x v="0"/>
    <x v="0"/>
    <x v="0"/>
    <x v="0"/>
    <x v="0"/>
    <n v="1.84"/>
    <n v="0.99"/>
    <n v="0.97"/>
    <n v="1"/>
    <n v="4.8"/>
    <n v="96"/>
  </r>
  <r>
    <x v="0"/>
    <s v="1250036082"/>
    <x v="1"/>
    <x v="1"/>
    <x v="0"/>
    <x v="0"/>
    <x v="0"/>
    <x v="1"/>
    <n v="1.68"/>
    <n v="0.86"/>
    <n v="1"/>
    <n v="0.93"/>
    <n v="4.47"/>
    <n v="89.4"/>
  </r>
  <r>
    <x v="0"/>
    <s v="1803528049"/>
    <x v="2"/>
    <x v="0"/>
    <x v="0"/>
    <x v="0"/>
    <x v="0"/>
    <x v="1"/>
    <n v="1.72"/>
    <n v="1"/>
    <n v="1"/>
    <n v="1"/>
    <n v="4.72"/>
    <n v="94.4"/>
  </r>
  <r>
    <x v="0"/>
    <s v="0802885665"/>
    <x v="3"/>
    <x v="0"/>
    <x v="0"/>
    <x v="0"/>
    <x v="0"/>
    <x v="0"/>
    <n v="1.94"/>
    <n v="1"/>
    <n v="0.94"/>
    <n v="0.91"/>
    <n v="4.79"/>
    <n v="95.8"/>
  </r>
  <r>
    <x v="0"/>
    <s v="0802669531"/>
    <x v="4"/>
    <x v="1"/>
    <x v="0"/>
    <x v="0"/>
    <x v="0"/>
    <x v="0"/>
    <n v="1.91"/>
    <n v="1"/>
    <n v="1"/>
    <n v="0.98"/>
    <n v="4.8899999999999997"/>
    <n v="97.799999999999983"/>
  </r>
  <r>
    <x v="0"/>
    <s v="0802190868"/>
    <x v="5"/>
    <x v="1"/>
    <x v="0"/>
    <x v="0"/>
    <x v="1"/>
    <x v="2"/>
    <n v="1.8"/>
    <n v="1"/>
    <n v="0.93"/>
    <n v="0.92"/>
    <n v="4.6500000000000004"/>
    <n v="93.000000000000014"/>
  </r>
  <r>
    <x v="0"/>
    <s v="0962658753"/>
    <x v="6"/>
    <x v="0"/>
    <x v="0"/>
    <x v="0"/>
    <x v="1"/>
    <x v="3"/>
    <n v="1.83"/>
    <n v="0.96"/>
    <n v="1"/>
    <n v="1"/>
    <n v="4.79"/>
    <n v="95.8"/>
  </r>
  <r>
    <x v="0"/>
    <s v="0800436495"/>
    <x v="7"/>
    <x v="1"/>
    <x v="0"/>
    <x v="0"/>
    <x v="2"/>
    <x v="4"/>
    <n v="1.83"/>
    <n v="1"/>
    <n v="0.98"/>
    <n v="1"/>
    <n v="4.8099999999999996"/>
    <n v="96.199999999999989"/>
  </r>
  <r>
    <x v="0"/>
    <s v="0802345413"/>
    <x v="8"/>
    <x v="0"/>
    <x v="0"/>
    <x v="0"/>
    <x v="1"/>
    <x v="4"/>
    <n v="1.85"/>
    <n v="0"/>
    <n v="1"/>
    <n v="1"/>
    <n v="3.85"/>
    <n v="77"/>
  </r>
  <r>
    <x v="0"/>
    <s v="0801445107"/>
    <x v="9"/>
    <x v="0"/>
    <x v="0"/>
    <x v="0"/>
    <x v="0"/>
    <x v="5"/>
    <n v="1.74"/>
    <n v="0.97"/>
    <n v="0.97"/>
    <n v="0.97"/>
    <n v="4.6500000000000004"/>
    <n v="93.000000000000014"/>
  </r>
  <r>
    <x v="0"/>
    <s v="0801912221"/>
    <x v="10"/>
    <x v="0"/>
    <x v="0"/>
    <x v="0"/>
    <x v="0"/>
    <x v="6"/>
    <n v="1.84"/>
    <n v="1"/>
    <n v="1"/>
    <n v="1"/>
    <n v="4.84"/>
    <n v="96.8"/>
  </r>
  <r>
    <x v="0"/>
    <s v="1760560027"/>
    <x v="11"/>
    <x v="0"/>
    <x v="0"/>
    <x v="0"/>
    <x v="1"/>
    <x v="7"/>
    <n v="1.96"/>
    <n v="0.92"/>
    <n v="0.94"/>
    <n v="1"/>
    <n v="4.82"/>
    <n v="96.4"/>
  </r>
  <r>
    <x v="0"/>
    <s v="0803503176"/>
    <x v="12"/>
    <x v="1"/>
    <x v="0"/>
    <x v="0"/>
    <x v="0"/>
    <x v="2"/>
    <n v="1.95"/>
    <n v="0.99"/>
    <n v="1"/>
    <n v="1"/>
    <n v="4.9400000000000004"/>
    <n v="98.800000000000011"/>
  </r>
  <r>
    <x v="0"/>
    <s v="0503270506"/>
    <x v="13"/>
    <x v="1"/>
    <x v="0"/>
    <x v="0"/>
    <x v="0"/>
    <x v="8"/>
    <n v="2"/>
    <n v="0.98"/>
    <n v="0.97"/>
    <n v="1"/>
    <n v="4.95"/>
    <n v="99"/>
  </r>
  <r>
    <x v="0"/>
    <s v="0801771437"/>
    <x v="14"/>
    <x v="0"/>
    <x v="0"/>
    <x v="0"/>
    <x v="0"/>
    <x v="9"/>
    <n v="1.92"/>
    <n v="1"/>
    <n v="1"/>
    <n v="1"/>
    <n v="4.92"/>
    <n v="98.4"/>
  </r>
  <r>
    <x v="0"/>
    <s v="0801683863"/>
    <x v="15"/>
    <x v="1"/>
    <x v="0"/>
    <x v="0"/>
    <x v="1"/>
    <x v="5"/>
    <n v="1.92"/>
    <n v="0"/>
    <n v="0.89"/>
    <n v="1"/>
    <n v="3.81"/>
    <n v="76.2"/>
  </r>
  <r>
    <x v="0"/>
    <s v="0802909861"/>
    <x v="16"/>
    <x v="1"/>
    <x v="0"/>
    <x v="0"/>
    <x v="1"/>
    <x v="6"/>
    <n v="1.93"/>
    <n v="1"/>
    <n v="1"/>
    <n v="0.98"/>
    <n v="4.91"/>
    <n v="98.2"/>
  </r>
  <r>
    <x v="0"/>
    <s v="0801577297"/>
    <x v="17"/>
    <x v="1"/>
    <x v="0"/>
    <x v="0"/>
    <x v="1"/>
    <x v="3"/>
    <n v="1.76"/>
    <n v="0.99"/>
    <n v="1"/>
    <n v="1"/>
    <n v="4.75"/>
    <n v="95"/>
  </r>
  <r>
    <x v="0"/>
    <s v="0802916130"/>
    <x v="18"/>
    <x v="0"/>
    <x v="0"/>
    <x v="0"/>
    <x v="1"/>
    <x v="3"/>
    <n v="1.94"/>
    <n v="0"/>
    <n v="1"/>
    <n v="1"/>
    <n v="3.94"/>
    <n v="78.8"/>
  </r>
  <r>
    <x v="0"/>
    <s v="0800627523"/>
    <x v="19"/>
    <x v="1"/>
    <x v="0"/>
    <x v="0"/>
    <x v="1"/>
    <x v="10"/>
    <n v="1.79"/>
    <n v="0.97"/>
    <n v="0.83"/>
    <n v="0.77"/>
    <n v="4.3600000000000003"/>
    <n v="87.200000000000017"/>
  </r>
  <r>
    <x v="0"/>
    <s v="1725949851"/>
    <x v="20"/>
    <x v="0"/>
    <x v="0"/>
    <x v="0"/>
    <x v="1"/>
    <x v="5"/>
    <n v="1.91"/>
    <n v="1"/>
    <n v="0.95"/>
    <n v="0.93"/>
    <n v="4.79"/>
    <n v="95.8"/>
  </r>
  <r>
    <x v="0"/>
    <s v="1750819565"/>
    <x v="21"/>
    <x v="0"/>
    <x v="0"/>
    <x v="0"/>
    <x v="0"/>
    <x v="3"/>
    <n v="1.95"/>
    <n v="0.98"/>
    <n v="1"/>
    <n v="1"/>
    <n v="4.93"/>
    <n v="98.6"/>
  </r>
  <r>
    <x v="0"/>
    <s v="0801786245"/>
    <x v="22"/>
    <x v="1"/>
    <x v="0"/>
    <x v="0"/>
    <x v="0"/>
    <x v="11"/>
    <n v="1.86"/>
    <n v="0.97"/>
    <n v="0.97"/>
    <n v="1"/>
    <n v="4.8"/>
    <n v="96"/>
  </r>
  <r>
    <x v="0"/>
    <s v="0801907197"/>
    <x v="23"/>
    <x v="1"/>
    <x v="0"/>
    <x v="1"/>
    <x v="1"/>
    <x v="11"/>
    <n v="1.8"/>
    <n v="1"/>
    <n v="1"/>
    <n v="1"/>
    <n v="4.8"/>
    <n v="96"/>
  </r>
  <r>
    <x v="0"/>
    <s v="0801095050"/>
    <x v="24"/>
    <x v="1"/>
    <x v="0"/>
    <x v="0"/>
    <x v="1"/>
    <x v="4"/>
    <n v="1.57"/>
    <n v="1"/>
    <n v="1"/>
    <n v="0.91"/>
    <n v="4.4800000000000004"/>
    <n v="89.600000000000009"/>
  </r>
  <r>
    <x v="0"/>
    <s v="0963349907"/>
    <x v="25"/>
    <x v="0"/>
    <x v="0"/>
    <x v="1"/>
    <x v="0"/>
    <x v="1"/>
    <n v="1.82"/>
    <n v="1"/>
    <n v="1"/>
    <n v="1"/>
    <n v="4.82"/>
    <n v="96.4"/>
  </r>
  <r>
    <x v="0"/>
    <s v="0800851024"/>
    <x v="26"/>
    <x v="0"/>
    <x v="0"/>
    <x v="0"/>
    <x v="1"/>
    <x v="4"/>
    <n v="1.76"/>
    <n v="1"/>
    <n v="1"/>
    <n v="0.97"/>
    <n v="4.7300000000000004"/>
    <n v="94.600000000000009"/>
  </r>
  <r>
    <x v="0"/>
    <s v="0802476374"/>
    <x v="27"/>
    <x v="1"/>
    <x v="0"/>
    <x v="0"/>
    <x v="0"/>
    <x v="4"/>
    <n v="1.8"/>
    <n v="1"/>
    <n v="1"/>
    <n v="0.97"/>
    <n v="4.7699999999999996"/>
    <n v="95.399999999999991"/>
  </r>
  <r>
    <x v="0"/>
    <s v="0801924200"/>
    <x v="28"/>
    <x v="0"/>
    <x v="0"/>
    <x v="0"/>
    <x v="1"/>
    <x v="12"/>
    <n v="1.58"/>
    <n v="1"/>
    <n v="1"/>
    <n v="1"/>
    <n v="4.58"/>
    <n v="91.6"/>
  </r>
  <r>
    <x v="0"/>
    <s v="0802971069"/>
    <x v="29"/>
    <x v="1"/>
    <x v="0"/>
    <x v="0"/>
    <x v="0"/>
    <x v="1"/>
    <n v="1.82"/>
    <n v="1"/>
    <n v="1"/>
    <n v="0.95"/>
    <n v="4.7699999999999996"/>
    <n v="95.399999999999991"/>
  </r>
  <r>
    <x v="0"/>
    <s v="0802278408"/>
    <x v="30"/>
    <x v="1"/>
    <x v="0"/>
    <x v="0"/>
    <x v="1"/>
    <x v="11"/>
    <n v="1.95"/>
    <n v="1"/>
    <n v="1"/>
    <n v="1"/>
    <n v="4.95"/>
    <n v="99"/>
  </r>
  <r>
    <x v="0"/>
    <s v="0801739673"/>
    <x v="31"/>
    <x v="0"/>
    <x v="0"/>
    <x v="0"/>
    <x v="1"/>
    <x v="0"/>
    <n v="1.86"/>
    <n v="1"/>
    <n v="0.94"/>
    <n v="0.8"/>
    <n v="4.5999999999999996"/>
    <n v="91.999999999999986"/>
  </r>
  <r>
    <x v="0"/>
    <s v="0803116334"/>
    <x v="32"/>
    <x v="0"/>
    <x v="0"/>
    <x v="0"/>
    <x v="0"/>
    <x v="0"/>
    <n v="1.82"/>
    <n v="0.97"/>
    <n v="0.97"/>
    <n v="0.94"/>
    <n v="4.7"/>
    <n v="94"/>
  </r>
  <r>
    <x v="0"/>
    <s v="1302921018"/>
    <x v="33"/>
    <x v="1"/>
    <x v="0"/>
    <x v="0"/>
    <x v="1"/>
    <x v="5"/>
    <n v="1.69"/>
    <n v="0.99"/>
    <n v="0.97"/>
    <n v="0.93"/>
    <n v="4.58"/>
    <n v="91.6"/>
  </r>
  <r>
    <x v="0"/>
    <s v="0800638306"/>
    <x v="34"/>
    <x v="0"/>
    <x v="0"/>
    <x v="0"/>
    <x v="1"/>
    <x v="8"/>
    <n v="1.45"/>
    <n v="1"/>
    <n v="1"/>
    <n v="1"/>
    <n v="4.45"/>
    <n v="89"/>
  </r>
  <r>
    <x v="0"/>
    <s v="0803554831"/>
    <x v="35"/>
    <x v="0"/>
    <x v="0"/>
    <x v="0"/>
    <x v="0"/>
    <x v="1"/>
    <n v="1.43"/>
    <n v="0.95"/>
    <n v="1"/>
    <n v="0.89"/>
    <n v="4.2699999999999996"/>
    <n v="85.399999999999991"/>
  </r>
  <r>
    <x v="0"/>
    <s v="0803496900"/>
    <x v="36"/>
    <x v="1"/>
    <x v="0"/>
    <x v="0"/>
    <x v="1"/>
    <x v="2"/>
    <n v="1.85"/>
    <n v="1"/>
    <n v="1"/>
    <n v="0.94"/>
    <n v="4.79"/>
    <n v="95.8"/>
  </r>
  <r>
    <x v="0"/>
    <s v="0803077577"/>
    <x v="37"/>
    <x v="0"/>
    <x v="0"/>
    <x v="0"/>
    <x v="1"/>
    <x v="6"/>
    <n v="1.94"/>
    <n v="0.98"/>
    <n v="1"/>
    <n v="1"/>
    <n v="4.92"/>
    <n v="98.4"/>
  </r>
  <r>
    <x v="0"/>
    <s v="0703783738"/>
    <x v="38"/>
    <x v="0"/>
    <x v="0"/>
    <x v="0"/>
    <x v="1"/>
    <x v="6"/>
    <n v="1.82"/>
    <n v="0.87"/>
    <n v="1"/>
    <n v="1"/>
    <n v="4.6900000000000004"/>
    <n v="93.800000000000011"/>
  </r>
  <r>
    <x v="0"/>
    <s v="1757306087"/>
    <x v="39"/>
    <x v="1"/>
    <x v="0"/>
    <x v="0"/>
    <x v="0"/>
    <x v="5"/>
    <n v="1.87"/>
    <n v="1"/>
    <n v="1"/>
    <n v="1"/>
    <n v="4.87"/>
    <n v="97.4"/>
  </r>
  <r>
    <x v="0"/>
    <s v="0803846682"/>
    <x v="40"/>
    <x v="1"/>
    <x v="0"/>
    <x v="0"/>
    <x v="1"/>
    <x v="4"/>
    <n v="1.65"/>
    <n v="1"/>
    <n v="1"/>
    <n v="0.97"/>
    <n v="4.62"/>
    <n v="92.4"/>
  </r>
  <r>
    <x v="0"/>
    <s v="0803558253"/>
    <x v="41"/>
    <x v="0"/>
    <x v="0"/>
    <x v="0"/>
    <x v="0"/>
    <x v="8"/>
    <n v="1.88"/>
    <n v="1"/>
    <n v="0.97"/>
    <n v="1"/>
    <n v="4.8499999999999996"/>
    <n v="96.999999999999986"/>
  </r>
  <r>
    <x v="0"/>
    <s v="0803026913"/>
    <x v="42"/>
    <x v="0"/>
    <x v="0"/>
    <x v="0"/>
    <x v="1"/>
    <x v="7"/>
    <n v="1.99"/>
    <n v="1"/>
    <n v="1"/>
    <n v="0.91"/>
    <n v="4.9000000000000004"/>
    <n v="98.000000000000014"/>
  </r>
  <r>
    <x v="0"/>
    <s v="0803026939"/>
    <x v="43"/>
    <x v="0"/>
    <x v="0"/>
    <x v="0"/>
    <x v="1"/>
    <x v="7"/>
    <n v="1.67"/>
    <n v="1"/>
    <n v="1"/>
    <n v="0.86"/>
    <n v="4.53"/>
    <n v="90.6"/>
  </r>
  <r>
    <x v="0"/>
    <s v="0912544780"/>
    <x v="44"/>
    <x v="0"/>
    <x v="0"/>
    <x v="0"/>
    <x v="0"/>
    <x v="1"/>
    <n v="1.82"/>
    <n v="0.9"/>
    <n v="1"/>
    <n v="1"/>
    <n v="4.72"/>
    <n v="94.4"/>
  </r>
  <r>
    <x v="0"/>
    <s v="0803181320"/>
    <x v="45"/>
    <x v="1"/>
    <x v="0"/>
    <x v="0"/>
    <x v="0"/>
    <x v="3"/>
    <n v="1.78"/>
    <n v="0"/>
    <n v="0.93"/>
    <n v="1"/>
    <n v="3.71"/>
    <n v="74.2"/>
  </r>
  <r>
    <x v="0"/>
    <s v="0850031030"/>
    <x v="46"/>
    <x v="0"/>
    <x v="0"/>
    <x v="0"/>
    <x v="0"/>
    <x v="0"/>
    <n v="1.45"/>
    <n v="0.97"/>
    <n v="0.94"/>
    <n v="0.97"/>
    <n v="4.33"/>
    <n v="86.6"/>
  </r>
  <r>
    <x v="0"/>
    <s v="1715929293"/>
    <x v="47"/>
    <x v="1"/>
    <x v="0"/>
    <x v="0"/>
    <x v="1"/>
    <x v="7"/>
    <n v="1.76"/>
    <n v="1"/>
    <n v="0.93"/>
    <n v="0.77"/>
    <n v="4.46"/>
    <n v="89.2"/>
  </r>
  <r>
    <x v="0"/>
    <s v="0800968869"/>
    <x v="48"/>
    <x v="0"/>
    <x v="0"/>
    <x v="0"/>
    <x v="0"/>
    <x v="5"/>
    <n v="1.51"/>
    <n v="1"/>
    <n v="0.97"/>
    <n v="0.9"/>
    <n v="4.38"/>
    <n v="87.6"/>
  </r>
  <r>
    <x v="0"/>
    <s v="0802863415"/>
    <x v="49"/>
    <x v="1"/>
    <x v="0"/>
    <x v="0"/>
    <x v="1"/>
    <x v="5"/>
    <n v="1.61"/>
    <n v="1"/>
    <n v="0.81"/>
    <n v="0.97"/>
    <n v="4.3899999999999997"/>
    <n v="87.799999999999983"/>
  </r>
  <r>
    <x v="0"/>
    <s v="0803228600"/>
    <x v="50"/>
    <x v="0"/>
    <x v="0"/>
    <x v="0"/>
    <x v="1"/>
    <x v="5"/>
    <n v="1.92"/>
    <n v="1"/>
    <n v="1"/>
    <n v="1"/>
    <n v="4.92"/>
    <n v="98.4"/>
  </r>
  <r>
    <x v="0"/>
    <s v="1758755209"/>
    <x v="51"/>
    <x v="1"/>
    <x v="0"/>
    <x v="0"/>
    <x v="0"/>
    <x v="7"/>
    <n v="1.88"/>
    <n v="1"/>
    <n v="0.95"/>
    <n v="0.95"/>
    <n v="4.78"/>
    <n v="95.6"/>
  </r>
  <r>
    <x v="0"/>
    <s v="1310851009"/>
    <x v="52"/>
    <x v="1"/>
    <x v="0"/>
    <x v="0"/>
    <x v="0"/>
    <x v="7"/>
    <n v="1.95"/>
    <n v="0.96"/>
    <n v="0.96"/>
    <n v="1"/>
    <n v="4.87"/>
    <n v="97.4"/>
  </r>
  <r>
    <x v="0"/>
    <s v="0804267904"/>
    <x v="53"/>
    <x v="0"/>
    <x v="0"/>
    <x v="0"/>
    <x v="0"/>
    <x v="11"/>
    <n v="1.91"/>
    <n v="1"/>
    <n v="1"/>
    <n v="1"/>
    <n v="4.91"/>
    <n v="98.2"/>
  </r>
  <r>
    <x v="0"/>
    <s v="1715009500"/>
    <x v="54"/>
    <x v="1"/>
    <x v="0"/>
    <x v="0"/>
    <x v="0"/>
    <x v="7"/>
    <n v="1.54"/>
    <n v="0.93"/>
    <n v="1"/>
    <n v="0.96"/>
    <n v="4.43"/>
    <n v="88.6"/>
  </r>
  <r>
    <x v="0"/>
    <s v="0801328733"/>
    <x v="55"/>
    <x v="1"/>
    <x v="0"/>
    <x v="0"/>
    <x v="1"/>
    <x v="7"/>
    <n v="1.95"/>
    <n v="1"/>
    <n v="0.94"/>
    <n v="0.94"/>
    <n v="4.83"/>
    <n v="96.6"/>
  </r>
  <r>
    <x v="0"/>
    <s v="0801692823"/>
    <x v="56"/>
    <x v="1"/>
    <x v="0"/>
    <x v="0"/>
    <x v="2"/>
    <x v="4"/>
    <n v="1.82"/>
    <n v="1"/>
    <n v="0.99"/>
    <n v="1"/>
    <n v="4.8099999999999996"/>
    <n v="96.199999999999989"/>
  </r>
  <r>
    <x v="0"/>
    <s v="0704748946"/>
    <x v="57"/>
    <x v="1"/>
    <x v="0"/>
    <x v="0"/>
    <x v="0"/>
    <x v="1"/>
    <n v="1.87"/>
    <n v="1"/>
    <n v="1"/>
    <n v="0.98"/>
    <n v="4.8499999999999996"/>
    <n v="96.999999999999986"/>
  </r>
  <r>
    <x v="0"/>
    <s v="0801558446"/>
    <x v="58"/>
    <x v="0"/>
    <x v="0"/>
    <x v="0"/>
    <x v="0"/>
    <x v="8"/>
    <n v="2"/>
    <n v="0.94"/>
    <n v="1"/>
    <n v="0.98"/>
    <n v="4.92"/>
    <n v="98.4"/>
  </r>
  <r>
    <x v="0"/>
    <s v="1804317582"/>
    <x v="59"/>
    <x v="1"/>
    <x v="0"/>
    <x v="0"/>
    <x v="0"/>
    <x v="1"/>
    <n v="1.77"/>
    <n v="1"/>
    <n v="1"/>
    <n v="1"/>
    <n v="4.7699999999999996"/>
    <n v="95.399999999999991"/>
  </r>
  <r>
    <x v="0"/>
    <s v="0801921677"/>
    <x v="60"/>
    <x v="1"/>
    <x v="0"/>
    <x v="0"/>
    <x v="1"/>
    <x v="7"/>
    <n v="1.93"/>
    <n v="1"/>
    <n v="0.97"/>
    <n v="0.91"/>
    <n v="4.8099999999999996"/>
    <n v="96.199999999999989"/>
  </r>
  <r>
    <x v="0"/>
    <s v="0801750720"/>
    <x v="61"/>
    <x v="0"/>
    <x v="0"/>
    <x v="0"/>
    <x v="1"/>
    <x v="3"/>
    <n v="1.84"/>
    <n v="1"/>
    <n v="1"/>
    <n v="1"/>
    <n v="4.84"/>
    <n v="96.8"/>
  </r>
  <r>
    <x v="0"/>
    <s v="0802107243"/>
    <x v="62"/>
    <x v="0"/>
    <x v="0"/>
    <x v="0"/>
    <x v="1"/>
    <x v="5"/>
    <n v="1.89"/>
    <n v="1"/>
    <n v="0.92"/>
    <n v="0.97"/>
    <n v="4.78"/>
    <n v="95.6"/>
  </r>
  <r>
    <x v="0"/>
    <s v="0603167917"/>
    <x v="63"/>
    <x v="1"/>
    <x v="0"/>
    <x v="0"/>
    <x v="0"/>
    <x v="13"/>
    <n v="1.6"/>
    <n v="0.88"/>
    <n v="0.92"/>
    <n v="1"/>
    <n v="4.4000000000000004"/>
    <n v="88.000000000000014"/>
  </r>
  <r>
    <x v="0"/>
    <s v="0803716430"/>
    <x v="64"/>
    <x v="1"/>
    <x v="0"/>
    <x v="0"/>
    <x v="1"/>
    <x v="12"/>
    <n v="1.89"/>
    <n v="1"/>
    <n v="0.98"/>
    <n v="1"/>
    <n v="4.87"/>
    <n v="97.4"/>
  </r>
  <r>
    <x v="0"/>
    <s v="1757534357"/>
    <x v="65"/>
    <x v="0"/>
    <x v="0"/>
    <x v="0"/>
    <x v="2"/>
    <x v="14"/>
    <n v="1.92"/>
    <n v="1"/>
    <n v="0.99"/>
    <n v="0.98"/>
    <n v="4.8899999999999997"/>
    <n v="97.799999999999983"/>
  </r>
  <r>
    <x v="0"/>
    <s v="1803456738"/>
    <x v="66"/>
    <x v="0"/>
    <x v="0"/>
    <x v="0"/>
    <x v="1"/>
    <x v="5"/>
    <n v="1.96"/>
    <n v="1"/>
    <n v="0.92"/>
    <n v="0.96"/>
    <n v="4.84"/>
    <n v="96.8"/>
  </r>
  <r>
    <x v="0"/>
    <s v="1723725642"/>
    <x v="67"/>
    <x v="0"/>
    <x v="0"/>
    <x v="0"/>
    <x v="0"/>
    <x v="10"/>
    <n v="1.93"/>
    <n v="0.99"/>
    <n v="1"/>
    <n v="0.99"/>
    <n v="4.91"/>
    <n v="98.2"/>
  </r>
  <r>
    <x v="0"/>
    <s v="0802870139"/>
    <x v="68"/>
    <x v="0"/>
    <x v="0"/>
    <x v="0"/>
    <x v="1"/>
    <x v="13"/>
    <n v="1.34"/>
    <n v="1"/>
    <n v="0.97"/>
    <n v="0.96"/>
    <n v="4.2699999999999996"/>
    <n v="85.399999999999991"/>
  </r>
  <r>
    <x v="0"/>
    <s v="0800839177"/>
    <x v="69"/>
    <x v="0"/>
    <x v="0"/>
    <x v="0"/>
    <x v="0"/>
    <x v="5"/>
    <n v="1.78"/>
    <n v="0.99"/>
    <n v="0.94"/>
    <n v="1"/>
    <n v="4.71"/>
    <n v="94.2"/>
  </r>
  <r>
    <x v="0"/>
    <s v="0803106608"/>
    <x v="70"/>
    <x v="0"/>
    <x v="0"/>
    <x v="0"/>
    <x v="1"/>
    <x v="7"/>
    <n v="1.82"/>
    <n v="1"/>
    <n v="1"/>
    <n v="0.75"/>
    <n v="4.57"/>
    <n v="91.4"/>
  </r>
  <r>
    <x v="0"/>
    <s v="0802247734"/>
    <x v="71"/>
    <x v="0"/>
    <x v="0"/>
    <x v="0"/>
    <x v="0"/>
    <x v="13"/>
    <n v="1.9"/>
    <n v="0.99"/>
    <n v="0.99"/>
    <n v="1"/>
    <n v="4.88"/>
    <n v="97.6"/>
  </r>
  <r>
    <x v="0"/>
    <s v="0802524082"/>
    <x v="72"/>
    <x v="0"/>
    <x v="0"/>
    <x v="0"/>
    <x v="0"/>
    <x v="3"/>
    <n v="1.81"/>
    <n v="1"/>
    <n v="1"/>
    <n v="1"/>
    <n v="4.8099999999999996"/>
    <n v="96.199999999999989"/>
  </r>
  <r>
    <x v="0"/>
    <s v="0802202853"/>
    <x v="73"/>
    <x v="0"/>
    <x v="0"/>
    <x v="0"/>
    <x v="0"/>
    <x v="9"/>
    <n v="1.93"/>
    <n v="1"/>
    <n v="0.98"/>
    <n v="1"/>
    <n v="4.91"/>
    <n v="98.2"/>
  </r>
  <r>
    <x v="0"/>
    <s v="0801826546"/>
    <x v="74"/>
    <x v="0"/>
    <x v="0"/>
    <x v="0"/>
    <x v="1"/>
    <x v="3"/>
    <n v="1.84"/>
    <n v="1"/>
    <n v="1"/>
    <n v="1"/>
    <n v="4.84"/>
    <n v="96.8"/>
  </r>
  <r>
    <x v="0"/>
    <s v="0801432998"/>
    <x v="75"/>
    <x v="0"/>
    <x v="0"/>
    <x v="0"/>
    <x v="0"/>
    <x v="11"/>
    <n v="1.87"/>
    <n v="1"/>
    <n v="0.97"/>
    <n v="0.96"/>
    <n v="4.8"/>
    <n v="96"/>
  </r>
  <r>
    <x v="0"/>
    <s v="0801722778"/>
    <x v="76"/>
    <x v="0"/>
    <x v="0"/>
    <x v="0"/>
    <x v="1"/>
    <x v="7"/>
    <n v="1.87"/>
    <n v="1"/>
    <n v="1"/>
    <n v="0.9"/>
    <n v="4.7699999999999996"/>
    <n v="95.399999999999991"/>
  </r>
  <r>
    <x v="0"/>
    <s v="0803181858"/>
    <x v="77"/>
    <x v="0"/>
    <x v="0"/>
    <x v="0"/>
    <x v="1"/>
    <x v="15"/>
    <n v="1.9"/>
    <n v="1"/>
    <n v="1"/>
    <n v="1"/>
    <n v="4.9000000000000004"/>
    <n v="98.000000000000014"/>
  </r>
  <r>
    <x v="0"/>
    <s v="0802472969"/>
    <x v="78"/>
    <x v="1"/>
    <x v="0"/>
    <x v="0"/>
    <x v="0"/>
    <x v="8"/>
    <n v="1.87"/>
    <n v="0.99"/>
    <n v="1"/>
    <n v="1"/>
    <n v="4.8600000000000003"/>
    <n v="97.200000000000017"/>
  </r>
  <r>
    <x v="0"/>
    <s v="0802321364"/>
    <x v="79"/>
    <x v="0"/>
    <x v="0"/>
    <x v="0"/>
    <x v="1"/>
    <x v="5"/>
    <n v="1.92"/>
    <n v="0"/>
    <n v="0.9"/>
    <n v="1"/>
    <n v="3.82"/>
    <n v="76.400000000000006"/>
  </r>
  <r>
    <x v="0"/>
    <s v="1802852572"/>
    <x v="80"/>
    <x v="1"/>
    <x v="0"/>
    <x v="0"/>
    <x v="0"/>
    <x v="4"/>
    <n v="1.76"/>
    <n v="1"/>
    <n v="1"/>
    <n v="1"/>
    <n v="4.76"/>
    <n v="95.2"/>
  </r>
  <r>
    <x v="0"/>
    <s v="1711888154"/>
    <x v="81"/>
    <x v="1"/>
    <x v="0"/>
    <x v="0"/>
    <x v="1"/>
    <x v="5"/>
    <n v="1.92"/>
    <n v="1"/>
    <n v="0.94"/>
    <n v="1"/>
    <n v="4.8600000000000003"/>
    <n v="97.200000000000017"/>
  </r>
  <r>
    <x v="0"/>
    <s v="1757374770"/>
    <x v="82"/>
    <x v="0"/>
    <x v="0"/>
    <x v="0"/>
    <x v="2"/>
    <x v="12"/>
    <n v="1.78"/>
    <n v="1"/>
    <n v="1"/>
    <n v="0.97"/>
    <n v="4.75"/>
    <n v="95"/>
  </r>
  <r>
    <x v="0"/>
    <s v="0802490722"/>
    <x v="83"/>
    <x v="1"/>
    <x v="0"/>
    <x v="0"/>
    <x v="0"/>
    <x v="4"/>
    <n v="1.82"/>
    <n v="1"/>
    <n v="1"/>
    <n v="1"/>
    <n v="4.82"/>
    <n v="96.4"/>
  </r>
  <r>
    <x v="0"/>
    <s v="0802460782"/>
    <x v="84"/>
    <x v="1"/>
    <x v="0"/>
    <x v="0"/>
    <x v="0"/>
    <x v="0"/>
    <n v="1.99"/>
    <n v="0.98"/>
    <n v="1"/>
    <n v="1"/>
    <n v="4.97"/>
    <n v="99.4"/>
  </r>
  <r>
    <x v="0"/>
    <s v="0803468107"/>
    <x v="85"/>
    <x v="0"/>
    <x v="0"/>
    <x v="0"/>
    <x v="0"/>
    <x v="15"/>
    <n v="1.79"/>
    <n v="0.99"/>
    <n v="1"/>
    <n v="1"/>
    <n v="4.78"/>
    <n v="95.6"/>
  </r>
  <r>
    <x v="0"/>
    <s v="0802608141"/>
    <x v="86"/>
    <x v="1"/>
    <x v="0"/>
    <x v="2"/>
    <x v="1"/>
    <x v="5"/>
    <n v="1.89"/>
    <n v="0.99"/>
    <n v="0.94"/>
    <n v="1"/>
    <n v="4.82"/>
    <n v="96.4"/>
  </r>
  <r>
    <x v="0"/>
    <s v="0804154300"/>
    <x v="87"/>
    <x v="0"/>
    <x v="0"/>
    <x v="0"/>
    <x v="0"/>
    <x v="5"/>
    <n v="1.9"/>
    <n v="1"/>
    <n v="1"/>
    <n v="0.94"/>
    <n v="4.84"/>
    <n v="96.8"/>
  </r>
  <r>
    <x v="0"/>
    <s v="0962373544"/>
    <x v="88"/>
    <x v="0"/>
    <x v="0"/>
    <x v="1"/>
    <x v="0"/>
    <x v="5"/>
    <n v="1.9"/>
    <n v="1"/>
    <n v="0.99"/>
    <n v="1"/>
    <n v="4.8899999999999997"/>
    <n v="97.799999999999983"/>
  </r>
  <r>
    <x v="0"/>
    <s v="0800774465"/>
    <x v="89"/>
    <x v="0"/>
    <x v="0"/>
    <x v="0"/>
    <x v="0"/>
    <x v="5"/>
    <n v="1.86"/>
    <n v="1"/>
    <n v="0.97"/>
    <n v="0.98"/>
    <n v="4.8099999999999996"/>
    <n v="96.199999999999989"/>
  </r>
  <r>
    <x v="0"/>
    <s v="0803036672"/>
    <x v="90"/>
    <x v="0"/>
    <x v="0"/>
    <x v="0"/>
    <x v="1"/>
    <x v="5"/>
    <n v="1.9"/>
    <n v="0.98"/>
    <n v="0.92"/>
    <n v="1"/>
    <n v="4.8"/>
    <n v="96"/>
  </r>
  <r>
    <x v="0"/>
    <s v="0922109616"/>
    <x v="91"/>
    <x v="1"/>
    <x v="0"/>
    <x v="0"/>
    <x v="0"/>
    <x v="3"/>
    <n v="1.81"/>
    <n v="1"/>
    <n v="0.99"/>
    <n v="1"/>
    <n v="4.8"/>
    <n v="96"/>
  </r>
  <r>
    <x v="0"/>
    <s v="0801601790"/>
    <x v="92"/>
    <x v="0"/>
    <x v="0"/>
    <x v="0"/>
    <x v="0"/>
    <x v="3"/>
    <n v="1.75"/>
    <n v="0.99"/>
    <n v="0.97"/>
    <n v="1"/>
    <n v="4.71"/>
    <n v="94.2"/>
  </r>
  <r>
    <x v="0"/>
    <s v="0915138614"/>
    <x v="93"/>
    <x v="0"/>
    <x v="0"/>
    <x v="0"/>
    <x v="0"/>
    <x v="12"/>
    <n v="1.94"/>
    <n v="1"/>
    <n v="1"/>
    <n v="1"/>
    <n v="4.9400000000000004"/>
    <n v="98.800000000000011"/>
  </r>
  <r>
    <x v="0"/>
    <s v="0962929295"/>
    <x v="94"/>
    <x v="0"/>
    <x v="0"/>
    <x v="1"/>
    <x v="0"/>
    <x v="1"/>
    <n v="1.4"/>
    <n v="1"/>
    <n v="1"/>
    <n v="0.91"/>
    <n v="4.3099999999999996"/>
    <n v="86.199999999999989"/>
  </r>
  <r>
    <x v="0"/>
    <s v="0802616730"/>
    <x v="95"/>
    <x v="1"/>
    <x v="0"/>
    <x v="1"/>
    <x v="0"/>
    <x v="4"/>
    <n v="1.75"/>
    <n v="0.99"/>
    <n v="1"/>
    <n v="1"/>
    <n v="4.74"/>
    <n v="94.8"/>
  </r>
  <r>
    <x v="0"/>
    <s v="0802937011"/>
    <x v="96"/>
    <x v="0"/>
    <x v="0"/>
    <x v="0"/>
    <x v="2"/>
    <x v="5"/>
    <n v="1.84"/>
    <n v="1"/>
    <n v="0.97"/>
    <n v="1"/>
    <n v="4.8099999999999996"/>
    <n v="96.199999999999989"/>
  </r>
  <r>
    <x v="0"/>
    <s v="0801762469"/>
    <x v="97"/>
    <x v="1"/>
    <x v="0"/>
    <x v="0"/>
    <x v="1"/>
    <x v="4"/>
    <n v="1.93"/>
    <n v="1"/>
    <n v="1"/>
    <n v="1"/>
    <n v="4.93"/>
    <n v="98.6"/>
  </r>
  <r>
    <x v="0"/>
    <s v="0801552977"/>
    <x v="98"/>
    <x v="0"/>
    <x v="0"/>
    <x v="0"/>
    <x v="1"/>
    <x v="15"/>
    <n v="1.99"/>
    <n v="0.94"/>
    <n v="0.96"/>
    <n v="0.97"/>
    <n v="4.8600000000000003"/>
    <n v="97.200000000000017"/>
  </r>
  <r>
    <x v="0"/>
    <s v="0801905837"/>
    <x v="99"/>
    <x v="1"/>
    <x v="0"/>
    <x v="0"/>
    <x v="1"/>
    <x v="4"/>
    <n v="1.86"/>
    <n v="1"/>
    <n v="1"/>
    <n v="1"/>
    <n v="4.8600000000000003"/>
    <n v="97.200000000000017"/>
  </r>
  <r>
    <x v="0"/>
    <s v="1756846521"/>
    <x v="100"/>
    <x v="0"/>
    <x v="0"/>
    <x v="0"/>
    <x v="0"/>
    <x v="5"/>
    <n v="1.87"/>
    <n v="1"/>
    <n v="0.98"/>
    <n v="0.97"/>
    <n v="4.82"/>
    <n v="96.4"/>
  </r>
  <r>
    <x v="0"/>
    <s v="1757398837"/>
    <x v="101"/>
    <x v="1"/>
    <x v="0"/>
    <x v="0"/>
    <x v="0"/>
    <x v="5"/>
    <n v="1.92"/>
    <n v="1"/>
    <n v="1"/>
    <n v="1"/>
    <n v="4.92"/>
    <n v="98.4"/>
  </r>
  <r>
    <x v="0"/>
    <s v="0603274846"/>
    <x v="102"/>
    <x v="1"/>
    <x v="0"/>
    <x v="0"/>
    <x v="1"/>
    <x v="6"/>
    <n v="1.8"/>
    <n v="0.96"/>
    <n v="0.97"/>
    <n v="0.97"/>
    <n v="4.7"/>
    <n v="94"/>
  </r>
  <r>
    <x v="0"/>
    <s v="0800924011"/>
    <x v="103"/>
    <x v="1"/>
    <x v="0"/>
    <x v="0"/>
    <x v="0"/>
    <x v="5"/>
    <n v="1.63"/>
    <n v="1"/>
    <n v="0.94"/>
    <n v="0.98"/>
    <n v="4.55"/>
    <n v="91"/>
  </r>
  <r>
    <x v="0"/>
    <s v="0802351148"/>
    <x v="104"/>
    <x v="1"/>
    <x v="0"/>
    <x v="0"/>
    <x v="1"/>
    <x v="2"/>
    <n v="1.73"/>
    <n v="1"/>
    <n v="1"/>
    <n v="0.96"/>
    <n v="4.6900000000000004"/>
    <n v="93.800000000000011"/>
  </r>
  <r>
    <x v="0"/>
    <s v="1720814373"/>
    <x v="105"/>
    <x v="1"/>
    <x v="0"/>
    <x v="0"/>
    <x v="1"/>
    <x v="10"/>
    <n v="1.99"/>
    <n v="1"/>
    <n v="1"/>
    <n v="0.97"/>
    <n v="4.96"/>
    <n v="99.2"/>
  </r>
  <r>
    <x v="0"/>
    <s v="0802127373"/>
    <x v="106"/>
    <x v="0"/>
    <x v="0"/>
    <x v="0"/>
    <x v="1"/>
    <x v="16"/>
    <n v="1.75"/>
    <n v="1"/>
    <n v="0.87"/>
    <n v="0.8"/>
    <n v="4.42"/>
    <n v="88.4"/>
  </r>
  <r>
    <x v="0"/>
    <s v="0801628207"/>
    <x v="107"/>
    <x v="1"/>
    <x v="0"/>
    <x v="0"/>
    <x v="0"/>
    <x v="4"/>
    <n v="1.9"/>
    <n v="1"/>
    <n v="1"/>
    <n v="1"/>
    <n v="4.9000000000000004"/>
    <n v="98.000000000000014"/>
  </r>
  <r>
    <x v="0"/>
    <s v="0802662726"/>
    <x v="108"/>
    <x v="0"/>
    <x v="0"/>
    <x v="0"/>
    <x v="0"/>
    <x v="5"/>
    <n v="1.79"/>
    <n v="0.99"/>
    <n v="0.97"/>
    <n v="0.97"/>
    <n v="4.72"/>
    <n v="94.4"/>
  </r>
  <r>
    <x v="0"/>
    <s v="0802826362"/>
    <x v="109"/>
    <x v="0"/>
    <x v="0"/>
    <x v="2"/>
    <x v="1"/>
    <x v="5"/>
    <n v="1.84"/>
    <n v="0.99"/>
    <n v="0.87"/>
    <n v="0.83"/>
    <n v="4.53"/>
    <n v="90.6"/>
  </r>
  <r>
    <x v="0"/>
    <s v="1755930375"/>
    <x v="110"/>
    <x v="0"/>
    <x v="0"/>
    <x v="1"/>
    <x v="0"/>
    <x v="12"/>
    <n v="1.91"/>
    <n v="1"/>
    <n v="1"/>
    <n v="0.98"/>
    <n v="4.8899999999999997"/>
    <n v="97.799999999999983"/>
  </r>
  <r>
    <x v="0"/>
    <s v="0802099713"/>
    <x v="111"/>
    <x v="1"/>
    <x v="0"/>
    <x v="0"/>
    <x v="1"/>
    <x v="5"/>
    <n v="1.94"/>
    <n v="1"/>
    <n v="0.99"/>
    <n v="0.99"/>
    <n v="4.92"/>
    <n v="98.4"/>
  </r>
  <r>
    <x v="0"/>
    <s v="0801466277"/>
    <x v="112"/>
    <x v="0"/>
    <x v="0"/>
    <x v="0"/>
    <x v="1"/>
    <x v="5"/>
    <n v="1.71"/>
    <n v="1"/>
    <n v="0.95"/>
    <n v="0.97"/>
    <n v="4.63"/>
    <n v="92.6"/>
  </r>
  <r>
    <x v="0"/>
    <s v="1721571709"/>
    <x v="113"/>
    <x v="1"/>
    <x v="0"/>
    <x v="0"/>
    <x v="0"/>
    <x v="15"/>
    <n v="1.59"/>
    <n v="0.96"/>
    <n v="1"/>
    <n v="0.92"/>
    <n v="4.47"/>
    <n v="89.4"/>
  </r>
  <r>
    <x v="0"/>
    <s v="1309960597"/>
    <x v="114"/>
    <x v="1"/>
    <x v="0"/>
    <x v="0"/>
    <x v="1"/>
    <x v="2"/>
    <n v="1.95"/>
    <n v="1"/>
    <n v="1"/>
    <n v="0.98"/>
    <n v="4.93"/>
    <n v="98.6"/>
  </r>
  <r>
    <x v="0"/>
    <s v="0804315661"/>
    <x v="115"/>
    <x v="0"/>
    <x v="0"/>
    <x v="0"/>
    <x v="0"/>
    <x v="5"/>
    <n v="1.75"/>
    <n v="0.94"/>
    <n v="0.95"/>
    <n v="0.97"/>
    <n v="4.6100000000000003"/>
    <n v="92.200000000000017"/>
  </r>
  <r>
    <x v="0"/>
    <s v="0801762345"/>
    <x v="116"/>
    <x v="1"/>
    <x v="0"/>
    <x v="0"/>
    <x v="1"/>
    <x v="4"/>
    <n v="1.8"/>
    <n v="1"/>
    <n v="1"/>
    <n v="1"/>
    <n v="4.8"/>
    <n v="96"/>
  </r>
  <r>
    <x v="0"/>
    <s v="0803822816"/>
    <x v="117"/>
    <x v="0"/>
    <x v="0"/>
    <x v="0"/>
    <x v="1"/>
    <x v="12"/>
    <n v="1.91"/>
    <n v="0.94"/>
    <n v="1"/>
    <n v="1"/>
    <n v="4.8499999999999996"/>
    <n v="96.999999999999986"/>
  </r>
  <r>
    <x v="0"/>
    <s v="0802761676"/>
    <x v="118"/>
    <x v="0"/>
    <x v="0"/>
    <x v="0"/>
    <x v="1"/>
    <x v="7"/>
    <n v="1.91"/>
    <n v="1"/>
    <n v="1"/>
    <n v="0.97"/>
    <n v="4.88"/>
    <n v="97.6"/>
  </r>
  <r>
    <x v="0"/>
    <s v="0801634304"/>
    <x v="119"/>
    <x v="1"/>
    <x v="0"/>
    <x v="0"/>
    <x v="1"/>
    <x v="12"/>
    <n v="1.88"/>
    <n v="0.99"/>
    <n v="1"/>
    <n v="1"/>
    <n v="4.87"/>
    <n v="97.4"/>
  </r>
  <r>
    <x v="0"/>
    <s v="0802931329"/>
    <x v="120"/>
    <x v="1"/>
    <x v="0"/>
    <x v="0"/>
    <x v="1"/>
    <x v="13"/>
    <n v="1.88"/>
    <n v="0.94"/>
    <n v="1"/>
    <n v="1"/>
    <n v="4.82"/>
    <n v="96.4"/>
  </r>
  <r>
    <x v="0"/>
    <s v="0801713298"/>
    <x v="121"/>
    <x v="0"/>
    <x v="0"/>
    <x v="0"/>
    <x v="0"/>
    <x v="0"/>
    <n v="1.93"/>
    <n v="0.99"/>
    <n v="0.94"/>
    <n v="1"/>
    <n v="4.8600000000000003"/>
    <n v="97.200000000000017"/>
  </r>
  <r>
    <x v="0"/>
    <s v="0103034963"/>
    <x v="122"/>
    <x v="1"/>
    <x v="0"/>
    <x v="0"/>
    <x v="1"/>
    <x v="17"/>
    <n v="1.54"/>
    <n v="1"/>
    <n v="0.96"/>
    <n v="0.67"/>
    <n v="4.17"/>
    <n v="83.4"/>
  </r>
  <r>
    <x v="0"/>
    <s v="1760052272"/>
    <x v="123"/>
    <x v="1"/>
    <x v="0"/>
    <x v="0"/>
    <x v="1"/>
    <x v="3"/>
    <n v="1.91"/>
    <n v="1"/>
    <n v="1"/>
    <n v="1"/>
    <n v="4.91"/>
    <n v="98.2"/>
  </r>
  <r>
    <x v="0"/>
    <s v="0801381179"/>
    <x v="124"/>
    <x v="1"/>
    <x v="0"/>
    <x v="0"/>
    <x v="1"/>
    <x v="0"/>
    <n v="1.91"/>
    <n v="1"/>
    <n v="0.97"/>
    <n v="0.97"/>
    <n v="4.8499999999999996"/>
    <n v="96.999999999999986"/>
  </r>
  <r>
    <x v="0"/>
    <s v="0603231101"/>
    <x v="125"/>
    <x v="0"/>
    <x v="0"/>
    <x v="0"/>
    <x v="0"/>
    <x v="10"/>
    <n v="1.91"/>
    <n v="0.99"/>
    <n v="0.76"/>
    <n v="0.92"/>
    <n v="4.58"/>
    <n v="91.6"/>
  </r>
  <r>
    <x v="0"/>
    <s v="0301435012"/>
    <x v="126"/>
    <x v="1"/>
    <x v="0"/>
    <x v="0"/>
    <x v="0"/>
    <x v="4"/>
    <n v="1.59"/>
    <n v="1"/>
    <n v="1"/>
    <n v="0.97"/>
    <n v="4.5599999999999996"/>
    <n v="91.199999999999989"/>
  </r>
  <r>
    <x v="0"/>
    <s v="1721366399"/>
    <x v="127"/>
    <x v="1"/>
    <x v="0"/>
    <x v="0"/>
    <x v="0"/>
    <x v="10"/>
    <n v="1.91"/>
    <n v="0.98"/>
    <n v="1"/>
    <n v="1"/>
    <n v="4.8899999999999997"/>
    <n v="97.799999999999983"/>
  </r>
  <r>
    <x v="0"/>
    <s v="0105998181"/>
    <x v="128"/>
    <x v="1"/>
    <x v="0"/>
    <x v="0"/>
    <x v="0"/>
    <x v="6"/>
    <n v="1.7"/>
    <n v="0.99"/>
    <n v="1"/>
    <n v="1"/>
    <n v="4.6900000000000004"/>
    <n v="93.800000000000011"/>
  </r>
  <r>
    <x v="0"/>
    <s v="0802912832"/>
    <x v="129"/>
    <x v="0"/>
    <x v="0"/>
    <x v="0"/>
    <x v="0"/>
    <x v="15"/>
    <n v="1.73"/>
    <n v="1"/>
    <n v="0.99"/>
    <n v="0.99"/>
    <n v="4.71"/>
    <n v="94.2"/>
  </r>
  <r>
    <x v="0"/>
    <s v="0801853904"/>
    <x v="130"/>
    <x v="0"/>
    <x v="0"/>
    <x v="0"/>
    <x v="0"/>
    <x v="11"/>
    <n v="1.85"/>
    <n v="1"/>
    <n v="0.97"/>
    <n v="1"/>
    <n v="4.82"/>
    <n v="96.4"/>
  </r>
  <r>
    <x v="0"/>
    <s v="0801165317"/>
    <x v="131"/>
    <x v="0"/>
    <x v="0"/>
    <x v="0"/>
    <x v="0"/>
    <x v="5"/>
    <n v="1.85"/>
    <n v="0.99"/>
    <n v="0.97"/>
    <n v="1"/>
    <n v="4.8099999999999996"/>
    <n v="96.199999999999989"/>
  </r>
  <r>
    <x v="0"/>
    <s v="1757374788"/>
    <x v="132"/>
    <x v="1"/>
    <x v="0"/>
    <x v="0"/>
    <x v="0"/>
    <x v="5"/>
    <n v="1.8"/>
    <n v="1"/>
    <n v="1"/>
    <n v="0.98"/>
    <n v="4.78"/>
    <n v="95.6"/>
  </r>
  <r>
    <x v="0"/>
    <s v="0801526740"/>
    <x v="133"/>
    <x v="0"/>
    <x v="0"/>
    <x v="0"/>
    <x v="1"/>
    <x v="16"/>
    <n v="1.75"/>
    <n v="1"/>
    <n v="0.98"/>
    <n v="1"/>
    <n v="4.7300000000000004"/>
    <n v="94.600000000000009"/>
  </r>
  <r>
    <x v="0"/>
    <s v="0800626913"/>
    <x v="134"/>
    <x v="0"/>
    <x v="0"/>
    <x v="0"/>
    <x v="1"/>
    <x v="7"/>
    <n v="1.92"/>
    <n v="0.99"/>
    <n v="0.97"/>
    <n v="1"/>
    <n v="4.88"/>
    <n v="97.6"/>
  </r>
  <r>
    <x v="0"/>
    <s v="0801415126"/>
    <x v="135"/>
    <x v="0"/>
    <x v="0"/>
    <x v="0"/>
    <x v="0"/>
    <x v="5"/>
    <n v="1.87"/>
    <n v="1"/>
    <n v="1"/>
    <n v="1"/>
    <n v="4.87"/>
    <n v="97.4"/>
  </r>
  <r>
    <x v="0"/>
    <s v="0803028307"/>
    <x v="136"/>
    <x v="1"/>
    <x v="0"/>
    <x v="0"/>
    <x v="1"/>
    <x v="1"/>
    <n v="1.62"/>
    <n v="1"/>
    <n v="1"/>
    <n v="0.97"/>
    <n v="4.59"/>
    <n v="91.8"/>
  </r>
  <r>
    <x v="0"/>
    <s v="0802223719"/>
    <x v="137"/>
    <x v="0"/>
    <x v="0"/>
    <x v="0"/>
    <x v="1"/>
    <x v="3"/>
    <n v="1.93"/>
    <n v="0"/>
    <n v="0.93"/>
    <n v="1"/>
    <n v="3.86"/>
    <n v="77.2"/>
  </r>
  <r>
    <x v="0"/>
    <s v="1716654296"/>
    <x v="138"/>
    <x v="1"/>
    <x v="0"/>
    <x v="0"/>
    <x v="1"/>
    <x v="7"/>
    <n v="1.9"/>
    <n v="1"/>
    <n v="1"/>
    <n v="0.97"/>
    <n v="4.87"/>
    <n v="97.4"/>
  </r>
  <r>
    <x v="0"/>
    <s v="1708222409"/>
    <x v="139"/>
    <x v="1"/>
    <x v="0"/>
    <x v="0"/>
    <x v="1"/>
    <x v="7"/>
    <n v="1.48"/>
    <n v="1"/>
    <n v="0.97"/>
    <n v="0.91"/>
    <n v="4.3600000000000003"/>
    <n v="87.200000000000017"/>
  </r>
  <r>
    <x v="0"/>
    <s v="0802464032"/>
    <x v="140"/>
    <x v="0"/>
    <x v="0"/>
    <x v="0"/>
    <x v="0"/>
    <x v="13"/>
    <n v="1.61"/>
    <n v="0.98"/>
    <n v="1"/>
    <n v="1"/>
    <n v="4.59"/>
    <n v="91.8"/>
  </r>
  <r>
    <x v="0"/>
    <s v="0801574864"/>
    <x v="141"/>
    <x v="0"/>
    <x v="0"/>
    <x v="1"/>
    <x v="2"/>
    <x v="0"/>
    <n v="1.78"/>
    <n v="1"/>
    <n v="0.97"/>
    <n v="1"/>
    <n v="4.75"/>
    <n v="95"/>
  </r>
  <r>
    <x v="0"/>
    <s v="1804326534"/>
    <x v="142"/>
    <x v="1"/>
    <x v="0"/>
    <x v="0"/>
    <x v="0"/>
    <x v="4"/>
    <n v="1.87"/>
    <n v="0.98"/>
    <n v="1"/>
    <n v="1"/>
    <n v="4.8499999999999996"/>
    <n v="96.999999999999986"/>
  </r>
  <r>
    <x v="0"/>
    <s v="0802997049"/>
    <x v="143"/>
    <x v="0"/>
    <x v="0"/>
    <x v="0"/>
    <x v="1"/>
    <x v="3"/>
    <n v="1.8"/>
    <n v="1"/>
    <n v="1"/>
    <n v="1"/>
    <n v="4.8"/>
    <n v="96"/>
  </r>
  <r>
    <x v="0"/>
    <s v="1717178824"/>
    <x v="144"/>
    <x v="1"/>
    <x v="0"/>
    <x v="0"/>
    <x v="1"/>
    <x v="8"/>
    <n v="1.98"/>
    <n v="1"/>
    <n v="1"/>
    <n v="1"/>
    <n v="4.9800000000000004"/>
    <n v="99.600000000000009"/>
  </r>
  <r>
    <x v="0"/>
    <s v="0800894586"/>
    <x v="145"/>
    <x v="0"/>
    <x v="0"/>
    <x v="0"/>
    <x v="2"/>
    <x v="9"/>
    <n v="1.99"/>
    <n v="1"/>
    <n v="1"/>
    <n v="1"/>
    <n v="4.99"/>
    <n v="99.8"/>
  </r>
  <r>
    <x v="0"/>
    <s v="1757108871"/>
    <x v="146"/>
    <x v="0"/>
    <x v="0"/>
    <x v="0"/>
    <x v="0"/>
    <x v="8"/>
    <n v="1.93"/>
    <n v="0.99"/>
    <n v="1"/>
    <n v="0.97"/>
    <n v="4.8899999999999997"/>
    <n v="97.799999999999983"/>
  </r>
  <r>
    <x v="0"/>
    <s v="0803129360"/>
    <x v="147"/>
    <x v="0"/>
    <x v="0"/>
    <x v="0"/>
    <x v="2"/>
    <x v="15"/>
    <n v="1.66"/>
    <n v="1"/>
    <n v="1"/>
    <n v="1"/>
    <n v="4.66"/>
    <n v="93.2"/>
  </r>
  <r>
    <x v="0"/>
    <s v="0801187089"/>
    <x v="148"/>
    <x v="0"/>
    <x v="0"/>
    <x v="0"/>
    <x v="0"/>
    <x v="5"/>
    <n v="1.74"/>
    <n v="1"/>
    <n v="1"/>
    <n v="0.97"/>
    <n v="4.71"/>
    <n v="94.2"/>
  </r>
  <r>
    <x v="0"/>
    <s v="1724550163"/>
    <x v="149"/>
    <x v="1"/>
    <x v="0"/>
    <x v="0"/>
    <x v="1"/>
    <x v="3"/>
    <n v="1.76"/>
    <n v="0.93"/>
    <n v="0.96"/>
    <n v="1"/>
    <n v="4.6500000000000004"/>
    <n v="93.000000000000014"/>
  </r>
  <r>
    <x v="0"/>
    <s v="0603967308"/>
    <x v="150"/>
    <x v="0"/>
    <x v="0"/>
    <x v="0"/>
    <x v="0"/>
    <x v="1"/>
    <n v="1.68"/>
    <n v="1"/>
    <n v="1"/>
    <n v="1"/>
    <n v="4.68"/>
    <n v="93.6"/>
  </r>
  <r>
    <x v="0"/>
    <s v="0801966748"/>
    <x v="151"/>
    <x v="0"/>
    <x v="0"/>
    <x v="0"/>
    <x v="1"/>
    <x v="1"/>
    <n v="1.56"/>
    <n v="1"/>
    <n v="1"/>
    <n v="0.96"/>
    <n v="4.5199999999999996"/>
    <n v="90.399999999999991"/>
  </r>
  <r>
    <x v="0"/>
    <s v="1760898609"/>
    <x v="152"/>
    <x v="1"/>
    <x v="0"/>
    <x v="0"/>
    <x v="2"/>
    <x v="3"/>
    <n v="1.73"/>
    <n v="1"/>
    <n v="0.99"/>
    <n v="1"/>
    <n v="4.72"/>
    <n v="94.4"/>
  </r>
  <r>
    <x v="0"/>
    <s v="0801752296"/>
    <x v="153"/>
    <x v="0"/>
    <x v="0"/>
    <x v="0"/>
    <x v="0"/>
    <x v="6"/>
    <n v="1.96"/>
    <n v="1"/>
    <n v="1"/>
    <n v="0.95"/>
    <n v="4.91"/>
    <n v="98.2"/>
  </r>
  <r>
    <x v="1"/>
    <s v="0800728735"/>
    <x v="0"/>
    <x v="0"/>
    <x v="0"/>
    <x v="0"/>
    <x v="0"/>
    <x v="0"/>
    <n v="1.83"/>
    <n v="0.99"/>
    <n v="1"/>
    <n v="1"/>
    <n v="4.82"/>
    <n v="96.4"/>
  </r>
  <r>
    <x v="1"/>
    <s v="1250036082"/>
    <x v="1"/>
    <x v="1"/>
    <x v="0"/>
    <x v="0"/>
    <x v="0"/>
    <x v="18"/>
    <n v="1.76"/>
    <n v="0.97"/>
    <n v="1"/>
    <n v="0.98"/>
    <n v="4.71"/>
    <n v="94.2"/>
  </r>
  <r>
    <x v="1"/>
    <n v="1803528049"/>
    <x v="2"/>
    <x v="0"/>
    <x v="0"/>
    <x v="0"/>
    <x v="0"/>
    <x v="1"/>
    <n v="1.7"/>
    <n v="1"/>
    <n v="1"/>
    <n v="1"/>
    <n v="4.7"/>
    <n v="94"/>
  </r>
  <r>
    <x v="1"/>
    <s v="0802885665"/>
    <x v="3"/>
    <x v="0"/>
    <x v="0"/>
    <x v="0"/>
    <x v="0"/>
    <x v="0"/>
    <n v="1.79"/>
    <n v="0.85"/>
    <n v="1"/>
    <n v="1"/>
    <n v="4.6399999999999997"/>
    <n v="92.799999999999983"/>
  </r>
  <r>
    <x v="1"/>
    <s v="0962658753"/>
    <x v="154"/>
    <x v="0"/>
    <x v="0"/>
    <x v="0"/>
    <x v="1"/>
    <x v="3"/>
    <n v="1.86"/>
    <n v="0"/>
    <n v="1"/>
    <n v="1"/>
    <n v="3.86"/>
    <n v="77.2"/>
  </r>
  <r>
    <x v="1"/>
    <s v="0800436495"/>
    <x v="155"/>
    <x v="1"/>
    <x v="0"/>
    <x v="0"/>
    <x v="2"/>
    <x v="4"/>
    <n v="1.83"/>
    <n v="0"/>
    <n v="0.94"/>
    <n v="1"/>
    <n v="3.77"/>
    <n v="75.400000000000006"/>
  </r>
  <r>
    <x v="1"/>
    <s v="0801912221"/>
    <x v="10"/>
    <x v="0"/>
    <x v="0"/>
    <x v="0"/>
    <x v="0"/>
    <x v="6"/>
    <n v="1.78"/>
    <n v="1"/>
    <n v="1"/>
    <n v="1"/>
    <n v="4.78"/>
    <n v="95.6"/>
  </r>
  <r>
    <x v="1"/>
    <s v="0803503176"/>
    <x v="12"/>
    <x v="1"/>
    <x v="0"/>
    <x v="0"/>
    <x v="0"/>
    <x v="2"/>
    <n v="1.92"/>
    <n v="0.93"/>
    <n v="0.97"/>
    <n v="1"/>
    <n v="4.82"/>
    <n v="96.4"/>
  </r>
  <r>
    <x v="1"/>
    <s v="0503270506"/>
    <x v="13"/>
    <x v="1"/>
    <x v="0"/>
    <x v="0"/>
    <x v="0"/>
    <x v="8"/>
    <n v="1.93"/>
    <n v="0.99"/>
    <n v="1"/>
    <n v="1"/>
    <n v="4.92"/>
    <n v="98.4"/>
  </r>
  <r>
    <x v="1"/>
    <s v="0801683863"/>
    <x v="15"/>
    <x v="1"/>
    <x v="0"/>
    <x v="0"/>
    <x v="1"/>
    <x v="5"/>
    <n v="1.89"/>
    <n v="0"/>
    <n v="1"/>
    <n v="0"/>
    <n v="2.89"/>
    <n v="57.8"/>
  </r>
  <r>
    <x v="1"/>
    <s v="1758534661"/>
    <x v="156"/>
    <x v="1"/>
    <x v="0"/>
    <x v="1"/>
    <x v="1"/>
    <x v="19"/>
    <n v="1.63"/>
    <n v="0"/>
    <n v="1"/>
    <n v="1"/>
    <n v="3.63"/>
    <n v="72.599999999999994"/>
  </r>
  <r>
    <x v="1"/>
    <s v="0802909861"/>
    <x v="16"/>
    <x v="1"/>
    <x v="0"/>
    <x v="0"/>
    <x v="1"/>
    <x v="6"/>
    <n v="1.66"/>
    <n v="0"/>
    <n v="1"/>
    <n v="0.93"/>
    <n v="3.59"/>
    <n v="71.8"/>
  </r>
  <r>
    <x v="1"/>
    <s v="0801539396"/>
    <x v="157"/>
    <x v="1"/>
    <x v="0"/>
    <x v="0"/>
    <x v="1"/>
    <x v="20"/>
    <n v="1.78"/>
    <n v="0"/>
    <n v="0.95"/>
    <n v="0.85"/>
    <n v="3.58"/>
    <n v="71.599999999999994"/>
  </r>
  <r>
    <x v="1"/>
    <s v="0801577297"/>
    <x v="17"/>
    <x v="1"/>
    <x v="0"/>
    <x v="0"/>
    <x v="1"/>
    <x v="3"/>
    <n v="1.88"/>
    <n v="0.99"/>
    <n v="1"/>
    <n v="1"/>
    <n v="4.87"/>
    <n v="97.4"/>
  </r>
  <r>
    <x v="1"/>
    <s v="0802916130"/>
    <x v="18"/>
    <x v="0"/>
    <x v="0"/>
    <x v="0"/>
    <x v="1"/>
    <x v="3"/>
    <n v="1.82"/>
    <n v="0.99"/>
    <n v="1"/>
    <n v="0.98"/>
    <n v="4.79"/>
    <n v="95.8"/>
  </r>
  <r>
    <x v="1"/>
    <s v="1725949851"/>
    <x v="20"/>
    <x v="0"/>
    <x v="0"/>
    <x v="0"/>
    <x v="1"/>
    <x v="5"/>
    <n v="1.94"/>
    <n v="1"/>
    <n v="0.94"/>
    <n v="0.97"/>
    <n v="4.8499999999999996"/>
    <n v="96.999999999999986"/>
  </r>
  <r>
    <x v="1"/>
    <s v="1750819565"/>
    <x v="21"/>
    <x v="0"/>
    <x v="0"/>
    <x v="0"/>
    <x v="0"/>
    <x v="3"/>
    <n v="1.98"/>
    <n v="0.98"/>
    <n v="1"/>
    <n v="1"/>
    <n v="4.96"/>
    <n v="99.2"/>
  </r>
  <r>
    <x v="1"/>
    <s v="0801786245"/>
    <x v="22"/>
    <x v="1"/>
    <x v="0"/>
    <x v="0"/>
    <x v="0"/>
    <x v="20"/>
    <n v="1.79"/>
    <n v="0.97"/>
    <n v="0.95"/>
    <n v="0.97"/>
    <n v="4.68"/>
    <n v="93.6"/>
  </r>
  <r>
    <x v="1"/>
    <s v="0801907197"/>
    <x v="23"/>
    <x v="1"/>
    <x v="0"/>
    <x v="1"/>
    <x v="1"/>
    <x v="11"/>
    <n v="1.79"/>
    <n v="1"/>
    <n v="0.92"/>
    <n v="0.97"/>
    <n v="4.68"/>
    <n v="93.6"/>
  </r>
  <r>
    <x v="1"/>
    <s v="0801095050"/>
    <x v="24"/>
    <x v="1"/>
    <x v="0"/>
    <x v="0"/>
    <x v="1"/>
    <x v="4"/>
    <n v="1.87"/>
    <n v="1"/>
    <n v="0.8"/>
    <n v="1"/>
    <n v="4.67"/>
    <n v="93.4"/>
  </r>
  <r>
    <x v="1"/>
    <s v="0802476374"/>
    <x v="27"/>
    <x v="1"/>
    <x v="0"/>
    <x v="0"/>
    <x v="0"/>
    <x v="4"/>
    <n v="1.79"/>
    <n v="1"/>
    <n v="0.94"/>
    <n v="1"/>
    <n v="4.7300000000000004"/>
    <n v="94.600000000000009"/>
  </r>
  <r>
    <x v="1"/>
    <s v="0801924200"/>
    <x v="28"/>
    <x v="0"/>
    <x v="0"/>
    <x v="0"/>
    <x v="1"/>
    <x v="12"/>
    <n v="1.88"/>
    <n v="1"/>
    <n v="1"/>
    <n v="1"/>
    <n v="4.88"/>
    <n v="97.6"/>
  </r>
  <r>
    <x v="1"/>
    <s v="0802971069"/>
    <x v="29"/>
    <x v="1"/>
    <x v="0"/>
    <x v="0"/>
    <x v="0"/>
    <x v="18"/>
    <n v="1.76"/>
    <n v="1"/>
    <n v="1"/>
    <n v="1"/>
    <n v="4.76"/>
    <n v="95.2"/>
  </r>
  <r>
    <x v="1"/>
    <s v="0803899186"/>
    <x v="158"/>
    <x v="1"/>
    <x v="1"/>
    <x v="3"/>
    <x v="1"/>
    <x v="3"/>
    <n v="1.86"/>
    <n v="0"/>
    <n v="0.86"/>
    <n v="0.96"/>
    <n v="3.68"/>
    <n v="73.599999999999994"/>
  </r>
  <r>
    <x v="1"/>
    <s v="0803116334"/>
    <x v="32"/>
    <x v="0"/>
    <x v="0"/>
    <x v="0"/>
    <x v="0"/>
    <x v="0"/>
    <n v="1.88"/>
    <n v="0.98"/>
    <n v="1"/>
    <n v="1"/>
    <n v="4.8600000000000003"/>
    <n v="97.200000000000017"/>
  </r>
  <r>
    <x v="1"/>
    <s v="1302921018"/>
    <x v="33"/>
    <x v="1"/>
    <x v="0"/>
    <x v="0"/>
    <x v="1"/>
    <x v="5"/>
    <n v="1.81"/>
    <n v="0.98"/>
    <n v="0.97"/>
    <n v="0.94"/>
    <n v="4.7"/>
    <n v="94"/>
  </r>
  <r>
    <x v="1"/>
    <s v="0803554831"/>
    <x v="35"/>
    <x v="0"/>
    <x v="0"/>
    <x v="0"/>
    <x v="0"/>
    <x v="18"/>
    <n v="1.67"/>
    <n v="1"/>
    <n v="1"/>
    <n v="1"/>
    <n v="4.67"/>
    <n v="93.4"/>
  </r>
  <r>
    <x v="1"/>
    <s v="0803496900"/>
    <x v="36"/>
    <x v="1"/>
    <x v="0"/>
    <x v="0"/>
    <x v="1"/>
    <x v="2"/>
    <n v="1.8"/>
    <n v="0"/>
    <n v="0.8"/>
    <n v="0.85"/>
    <n v="3.45"/>
    <n v="69"/>
  </r>
  <r>
    <x v="1"/>
    <s v="0803077577"/>
    <x v="37"/>
    <x v="0"/>
    <x v="0"/>
    <x v="0"/>
    <x v="1"/>
    <x v="6"/>
    <n v="1.59"/>
    <n v="0"/>
    <n v="1"/>
    <n v="1"/>
    <n v="3.59"/>
    <n v="71.8"/>
  </r>
  <r>
    <x v="1"/>
    <s v="0703783738"/>
    <x v="38"/>
    <x v="0"/>
    <x v="0"/>
    <x v="0"/>
    <x v="1"/>
    <x v="6"/>
    <n v="1.41"/>
    <n v="0.99"/>
    <n v="1"/>
    <n v="1"/>
    <n v="4.4000000000000004"/>
    <n v="88.000000000000014"/>
  </r>
  <r>
    <x v="1"/>
    <s v="0803846682"/>
    <x v="40"/>
    <x v="1"/>
    <x v="0"/>
    <x v="0"/>
    <x v="1"/>
    <x v="4"/>
    <n v="1.69"/>
    <n v="1"/>
    <n v="0.95"/>
    <n v="0.78"/>
    <n v="4.42"/>
    <n v="88.4"/>
  </r>
  <r>
    <x v="1"/>
    <s v="0803558253"/>
    <x v="41"/>
    <x v="0"/>
    <x v="0"/>
    <x v="0"/>
    <x v="0"/>
    <x v="8"/>
    <n v="1.93"/>
    <n v="0.99"/>
    <n v="0.95"/>
    <n v="1"/>
    <n v="4.87"/>
    <n v="97.4"/>
  </r>
  <r>
    <x v="1"/>
    <s v="0803026939"/>
    <x v="43"/>
    <x v="0"/>
    <x v="0"/>
    <x v="0"/>
    <x v="1"/>
    <x v="7"/>
    <n v="1.73"/>
    <n v="0"/>
    <n v="1"/>
    <n v="1"/>
    <n v="3.73"/>
    <n v="74.599999999999994"/>
  </r>
  <r>
    <x v="1"/>
    <s v="0850031030"/>
    <x v="46"/>
    <x v="0"/>
    <x v="0"/>
    <x v="0"/>
    <x v="0"/>
    <x v="0"/>
    <n v="1.59"/>
    <n v="0.99"/>
    <n v="1"/>
    <n v="1"/>
    <n v="4.58"/>
    <n v="91.6"/>
  </r>
  <r>
    <x v="1"/>
    <s v="1715929293"/>
    <x v="47"/>
    <x v="1"/>
    <x v="0"/>
    <x v="0"/>
    <x v="1"/>
    <x v="7"/>
    <n v="1.9"/>
    <n v="0"/>
    <n v="1"/>
    <n v="0.8"/>
    <n v="3.7"/>
    <n v="74"/>
  </r>
  <r>
    <x v="1"/>
    <s v="1756915615"/>
    <x v="159"/>
    <x v="0"/>
    <x v="0"/>
    <x v="0"/>
    <x v="1"/>
    <x v="14"/>
    <n v="2"/>
    <n v="1"/>
    <n v="1"/>
    <n v="0.94"/>
    <n v="4.9400000000000004"/>
    <n v="98.800000000000011"/>
  </r>
  <r>
    <x v="1"/>
    <s v="1758755209"/>
    <x v="51"/>
    <x v="1"/>
    <x v="0"/>
    <x v="0"/>
    <x v="0"/>
    <x v="7"/>
    <n v="1.85"/>
    <n v="0.99"/>
    <n v="1"/>
    <n v="1"/>
    <n v="4.84"/>
    <n v="96.8"/>
  </r>
  <r>
    <x v="1"/>
    <s v="1310851009"/>
    <x v="52"/>
    <x v="1"/>
    <x v="0"/>
    <x v="0"/>
    <x v="0"/>
    <x v="7"/>
    <n v="2"/>
    <n v="0.97"/>
    <n v="0.98"/>
    <n v="0.9"/>
    <n v="4.8499999999999996"/>
    <n v="96.999999999999986"/>
  </r>
  <r>
    <x v="1"/>
    <s v="1715009500"/>
    <x v="54"/>
    <x v="1"/>
    <x v="0"/>
    <x v="0"/>
    <x v="0"/>
    <x v="7"/>
    <n v="1.83"/>
    <n v="0.96"/>
    <n v="1"/>
    <n v="0.95"/>
    <n v="4.74"/>
    <n v="94.8"/>
  </r>
  <r>
    <x v="1"/>
    <s v="0801328733"/>
    <x v="55"/>
    <x v="1"/>
    <x v="0"/>
    <x v="0"/>
    <x v="1"/>
    <x v="7"/>
    <n v="1.65"/>
    <n v="1"/>
    <n v="1"/>
    <n v="1"/>
    <n v="4.6500000000000004"/>
    <n v="93.000000000000014"/>
  </r>
  <r>
    <x v="1"/>
    <s v="0704748946"/>
    <x v="57"/>
    <x v="1"/>
    <x v="0"/>
    <x v="0"/>
    <x v="0"/>
    <x v="18"/>
    <n v="1.87"/>
    <n v="1"/>
    <n v="1"/>
    <n v="1"/>
    <n v="4.87"/>
    <n v="97.4"/>
  </r>
  <r>
    <x v="1"/>
    <s v="0801558446"/>
    <x v="58"/>
    <x v="0"/>
    <x v="0"/>
    <x v="0"/>
    <x v="0"/>
    <x v="8"/>
    <n v="1.81"/>
    <n v="0.95"/>
    <n v="1"/>
    <n v="1"/>
    <n v="4.76"/>
    <n v="95.2"/>
  </r>
  <r>
    <x v="1"/>
    <s v="0801921677"/>
    <x v="60"/>
    <x v="1"/>
    <x v="0"/>
    <x v="0"/>
    <x v="1"/>
    <x v="7"/>
    <n v="1.81"/>
    <n v="1"/>
    <n v="1"/>
    <n v="1"/>
    <n v="4.8099999999999996"/>
    <n v="96.199999999999989"/>
  </r>
  <r>
    <x v="1"/>
    <s v="0801750720"/>
    <x v="61"/>
    <x v="0"/>
    <x v="0"/>
    <x v="0"/>
    <x v="1"/>
    <x v="3"/>
    <n v="1.96"/>
    <n v="0.99"/>
    <n v="1"/>
    <n v="1"/>
    <n v="4.95"/>
    <n v="99"/>
  </r>
  <r>
    <x v="1"/>
    <s v="0603167917"/>
    <x v="63"/>
    <x v="1"/>
    <x v="0"/>
    <x v="0"/>
    <x v="0"/>
    <x v="13"/>
    <n v="1.44"/>
    <n v="0.9"/>
    <n v="1"/>
    <n v="0.92"/>
    <n v="4.26"/>
    <n v="85.2"/>
  </r>
  <r>
    <x v="1"/>
    <s v="0803716430"/>
    <x v="64"/>
    <x v="1"/>
    <x v="0"/>
    <x v="0"/>
    <x v="1"/>
    <x v="12"/>
    <n v="1.94"/>
    <n v="0"/>
    <n v="0.91"/>
    <n v="0.94"/>
    <n v="3.79"/>
    <n v="75.8"/>
  </r>
  <r>
    <x v="1"/>
    <s v="1803456738"/>
    <x v="66"/>
    <x v="0"/>
    <x v="0"/>
    <x v="0"/>
    <x v="1"/>
    <x v="5"/>
    <n v="1.84"/>
    <n v="1"/>
    <n v="0.94"/>
    <n v="0.95"/>
    <n v="4.7300000000000004"/>
    <n v="94.600000000000009"/>
  </r>
  <r>
    <x v="1"/>
    <s v="1723725642"/>
    <x v="67"/>
    <x v="0"/>
    <x v="0"/>
    <x v="0"/>
    <x v="0"/>
    <x v="10"/>
    <n v="1.88"/>
    <n v="1"/>
    <n v="1"/>
    <n v="0.93"/>
    <n v="4.8099999999999996"/>
    <n v="96.199999999999989"/>
  </r>
  <r>
    <x v="1"/>
    <s v="0800839177"/>
    <x v="69"/>
    <x v="0"/>
    <x v="0"/>
    <x v="0"/>
    <x v="0"/>
    <x v="5"/>
    <n v="1.62"/>
    <n v="1"/>
    <n v="1"/>
    <n v="1"/>
    <n v="4.62"/>
    <n v="92.4"/>
  </r>
  <r>
    <x v="1"/>
    <s v="0803106608"/>
    <x v="70"/>
    <x v="0"/>
    <x v="0"/>
    <x v="0"/>
    <x v="1"/>
    <x v="7"/>
    <n v="1.62"/>
    <n v="0"/>
    <n v="1"/>
    <n v="1"/>
    <n v="3.62"/>
    <n v="72.400000000000006"/>
  </r>
  <r>
    <x v="1"/>
    <s v="0802247734"/>
    <x v="71"/>
    <x v="0"/>
    <x v="0"/>
    <x v="0"/>
    <x v="0"/>
    <x v="13"/>
    <n v="1.92"/>
    <n v="0.97"/>
    <n v="1"/>
    <n v="0.97"/>
    <n v="4.8600000000000003"/>
    <n v="97.200000000000017"/>
  </r>
  <r>
    <x v="1"/>
    <s v="0802524082"/>
    <x v="72"/>
    <x v="0"/>
    <x v="0"/>
    <x v="0"/>
    <x v="0"/>
    <x v="3"/>
    <n v="1.76"/>
    <n v="1"/>
    <n v="0.97"/>
    <n v="0"/>
    <n v="3.73"/>
    <n v="74.599999999999994"/>
  </r>
  <r>
    <x v="1"/>
    <s v="0801826546"/>
    <x v="74"/>
    <x v="0"/>
    <x v="0"/>
    <x v="0"/>
    <x v="1"/>
    <x v="3"/>
    <n v="1.87"/>
    <n v="1"/>
    <n v="1"/>
    <n v="0"/>
    <n v="3.87"/>
    <n v="77.400000000000006"/>
  </r>
  <r>
    <x v="1"/>
    <s v="0801432998"/>
    <x v="75"/>
    <x v="0"/>
    <x v="0"/>
    <x v="0"/>
    <x v="0"/>
    <x v="11"/>
    <n v="1.79"/>
    <n v="1"/>
    <n v="0"/>
    <n v="0"/>
    <n v="2.79"/>
    <n v="55.8"/>
  </r>
  <r>
    <x v="1"/>
    <s v="0801722778"/>
    <x v="76"/>
    <x v="0"/>
    <x v="0"/>
    <x v="0"/>
    <x v="1"/>
    <x v="7"/>
    <n v="1.88"/>
    <n v="1"/>
    <n v="1"/>
    <n v="1"/>
    <n v="4.88"/>
    <n v="97.6"/>
  </r>
  <r>
    <x v="1"/>
    <s v="0803181858"/>
    <x v="77"/>
    <x v="0"/>
    <x v="0"/>
    <x v="0"/>
    <x v="1"/>
    <x v="15"/>
    <n v="1.96"/>
    <n v="0"/>
    <n v="1"/>
    <n v="1"/>
    <n v="3.96"/>
    <n v="79.2"/>
  </r>
  <r>
    <x v="1"/>
    <s v="0803489178"/>
    <x v="160"/>
    <x v="0"/>
    <x v="0"/>
    <x v="0"/>
    <x v="2"/>
    <x v="6"/>
    <n v="1.94"/>
    <n v="0"/>
    <n v="1"/>
    <n v="0.97"/>
    <n v="3.91"/>
    <n v="78.2"/>
  </r>
  <r>
    <x v="1"/>
    <s v="0802472969"/>
    <x v="78"/>
    <x v="1"/>
    <x v="0"/>
    <x v="0"/>
    <x v="0"/>
    <x v="8"/>
    <n v="1.9"/>
    <n v="0.99"/>
    <n v="1"/>
    <n v="1"/>
    <n v="4.8899999999999997"/>
    <n v="97.799999999999983"/>
  </r>
  <r>
    <x v="1"/>
    <s v="0802321364"/>
    <x v="79"/>
    <x v="0"/>
    <x v="0"/>
    <x v="0"/>
    <x v="1"/>
    <x v="5"/>
    <n v="1.94"/>
    <n v="1"/>
    <n v="0.94"/>
    <n v="0.97"/>
    <n v="4.8499999999999996"/>
    <n v="96.999999999999986"/>
  </r>
  <r>
    <x v="1"/>
    <s v="1802852572"/>
    <x v="80"/>
    <x v="1"/>
    <x v="0"/>
    <x v="0"/>
    <x v="0"/>
    <x v="4"/>
    <n v="1.63"/>
    <n v="0.99"/>
    <n v="0.91"/>
    <n v="0.88"/>
    <n v="4.41"/>
    <n v="88.2"/>
  </r>
  <r>
    <x v="1"/>
    <s v="1757374770"/>
    <x v="82"/>
    <x v="0"/>
    <x v="0"/>
    <x v="0"/>
    <x v="2"/>
    <x v="12"/>
    <n v="1.82"/>
    <n v="1"/>
    <n v="1"/>
    <n v="0.97"/>
    <n v="4.79"/>
    <n v="95.8"/>
  </r>
  <r>
    <x v="1"/>
    <s v="0802490722"/>
    <x v="83"/>
    <x v="1"/>
    <x v="0"/>
    <x v="0"/>
    <x v="0"/>
    <x v="4"/>
    <n v="1.67"/>
    <n v="1"/>
    <n v="0.91"/>
    <n v="1"/>
    <n v="4.58"/>
    <n v="91.6"/>
  </r>
  <r>
    <x v="1"/>
    <s v="0802460782"/>
    <x v="84"/>
    <x v="1"/>
    <x v="0"/>
    <x v="0"/>
    <x v="0"/>
    <x v="0"/>
    <n v="1.94"/>
    <n v="0.96"/>
    <n v="1"/>
    <n v="1"/>
    <n v="4.9000000000000004"/>
    <n v="98.000000000000014"/>
  </r>
  <r>
    <x v="1"/>
    <s v="0803468107"/>
    <x v="85"/>
    <x v="0"/>
    <x v="0"/>
    <x v="0"/>
    <x v="0"/>
    <x v="15"/>
    <n v="1.5"/>
    <n v="1"/>
    <n v="1"/>
    <n v="1"/>
    <n v="4.5"/>
    <n v="90"/>
  </r>
  <r>
    <x v="1"/>
    <s v="0802608141"/>
    <x v="86"/>
    <x v="1"/>
    <x v="0"/>
    <x v="2"/>
    <x v="1"/>
    <x v="5"/>
    <n v="1.81"/>
    <n v="0.98"/>
    <n v="0.94"/>
    <n v="1"/>
    <n v="4.7300000000000004"/>
    <n v="94.600000000000009"/>
  </r>
  <r>
    <x v="1"/>
    <s v="0803261866"/>
    <x v="161"/>
    <x v="0"/>
    <x v="0"/>
    <x v="0"/>
    <x v="1"/>
    <x v="2"/>
    <n v="1.81"/>
    <n v="1"/>
    <n v="0.86"/>
    <n v="0.69"/>
    <n v="4.3600000000000003"/>
    <n v="87.200000000000017"/>
  </r>
  <r>
    <x v="1"/>
    <s v="0804154300"/>
    <x v="87"/>
    <x v="0"/>
    <x v="0"/>
    <x v="0"/>
    <x v="0"/>
    <x v="5"/>
    <n v="1.86"/>
    <n v="0"/>
    <n v="1"/>
    <n v="1"/>
    <n v="3.86"/>
    <n v="77.2"/>
  </r>
  <r>
    <x v="1"/>
    <s v="0962373544"/>
    <x v="88"/>
    <x v="0"/>
    <x v="0"/>
    <x v="1"/>
    <x v="0"/>
    <x v="5"/>
    <n v="1.76"/>
    <n v="1"/>
    <n v="1"/>
    <n v="1"/>
    <n v="4.76"/>
    <n v="95.2"/>
  </r>
  <r>
    <x v="1"/>
    <s v="0800774465"/>
    <x v="89"/>
    <x v="0"/>
    <x v="0"/>
    <x v="0"/>
    <x v="0"/>
    <x v="5"/>
    <n v="1.88"/>
    <n v="1"/>
    <n v="0.98"/>
    <n v="1"/>
    <n v="4.8600000000000003"/>
    <n v="97.200000000000017"/>
  </r>
  <r>
    <x v="1"/>
    <s v="0801601790"/>
    <x v="92"/>
    <x v="0"/>
    <x v="0"/>
    <x v="0"/>
    <x v="0"/>
    <x v="3"/>
    <n v="1.9"/>
    <n v="0.99"/>
    <n v="1"/>
    <n v="1"/>
    <n v="4.8899999999999997"/>
    <n v="97.799999999999983"/>
  </r>
  <r>
    <x v="1"/>
    <s v="0915138614"/>
    <x v="93"/>
    <x v="0"/>
    <x v="0"/>
    <x v="0"/>
    <x v="0"/>
    <x v="12"/>
    <n v="1.88"/>
    <n v="1"/>
    <n v="1"/>
    <n v="1"/>
    <n v="4.88"/>
    <n v="97.6"/>
  </r>
  <r>
    <x v="1"/>
    <s v="0962929295"/>
    <x v="94"/>
    <x v="0"/>
    <x v="0"/>
    <x v="1"/>
    <x v="0"/>
    <x v="18"/>
    <n v="1.68"/>
    <n v="1"/>
    <n v="1"/>
    <n v="1"/>
    <n v="4.68"/>
    <n v="93.6"/>
  </r>
  <r>
    <x v="1"/>
    <s v="0802616730"/>
    <x v="95"/>
    <x v="1"/>
    <x v="0"/>
    <x v="1"/>
    <x v="0"/>
    <x v="4"/>
    <n v="1.83"/>
    <n v="1"/>
    <n v="1"/>
    <n v="1"/>
    <n v="4.83"/>
    <n v="96.6"/>
  </r>
  <r>
    <x v="1"/>
    <s v="1310371404"/>
    <x v="162"/>
    <x v="1"/>
    <x v="0"/>
    <x v="0"/>
    <x v="1"/>
    <x v="18"/>
    <n v="1.73"/>
    <n v="0"/>
    <n v="1"/>
    <n v="1"/>
    <n v="3.73"/>
    <n v="74.599999999999994"/>
  </r>
  <r>
    <x v="1"/>
    <s v="0801762469"/>
    <x v="97"/>
    <x v="1"/>
    <x v="0"/>
    <x v="0"/>
    <x v="1"/>
    <x v="4"/>
    <n v="1.93"/>
    <n v="1"/>
    <n v="0.97"/>
    <n v="0.95"/>
    <n v="4.8499999999999996"/>
    <n v="96.999999999999986"/>
  </r>
  <r>
    <x v="1"/>
    <s v="0801905837"/>
    <x v="99"/>
    <x v="1"/>
    <x v="0"/>
    <x v="0"/>
    <x v="1"/>
    <x v="4"/>
    <n v="1.87"/>
    <n v="1"/>
    <n v="0.97"/>
    <n v="1"/>
    <n v="4.84"/>
    <n v="96.8"/>
  </r>
  <r>
    <x v="1"/>
    <s v="1756846521"/>
    <x v="100"/>
    <x v="0"/>
    <x v="0"/>
    <x v="0"/>
    <x v="0"/>
    <x v="5"/>
    <n v="1.8"/>
    <n v="0"/>
    <n v="1"/>
    <n v="1"/>
    <n v="3.8"/>
    <n v="76"/>
  </r>
  <r>
    <x v="1"/>
    <s v="0603230269"/>
    <x v="163"/>
    <x v="1"/>
    <x v="0"/>
    <x v="0"/>
    <x v="0"/>
    <x v="13"/>
    <n v="1.44"/>
    <n v="0.98"/>
    <n v="1"/>
    <n v="0.88"/>
    <n v="4.3"/>
    <n v="86"/>
  </r>
  <r>
    <x v="1"/>
    <s v="0603274846"/>
    <x v="102"/>
    <x v="1"/>
    <x v="0"/>
    <x v="0"/>
    <x v="1"/>
    <x v="6"/>
    <n v="1.55"/>
    <n v="0"/>
    <n v="1"/>
    <n v="0.97"/>
    <n v="3.52"/>
    <n v="70.400000000000006"/>
  </r>
  <r>
    <x v="1"/>
    <s v="0800924011"/>
    <x v="103"/>
    <x v="1"/>
    <x v="0"/>
    <x v="0"/>
    <x v="0"/>
    <x v="5"/>
    <n v="1.62"/>
    <n v="0"/>
    <n v="1"/>
    <n v="1"/>
    <n v="3.62"/>
    <n v="72.400000000000006"/>
  </r>
  <r>
    <x v="1"/>
    <s v="0802351148"/>
    <x v="104"/>
    <x v="1"/>
    <x v="0"/>
    <x v="0"/>
    <x v="1"/>
    <x v="2"/>
    <n v="1.88"/>
    <n v="0"/>
    <n v="0.83"/>
    <n v="0.76"/>
    <n v="3.47"/>
    <n v="69.400000000000006"/>
  </r>
  <r>
    <x v="1"/>
    <s v="1720814373"/>
    <x v="105"/>
    <x v="1"/>
    <x v="0"/>
    <x v="0"/>
    <x v="1"/>
    <x v="10"/>
    <n v="1.91"/>
    <n v="1"/>
    <n v="1"/>
    <n v="1"/>
    <n v="4.91"/>
    <n v="98.2"/>
  </r>
  <r>
    <x v="1"/>
    <s v="0801628207"/>
    <x v="107"/>
    <x v="1"/>
    <x v="0"/>
    <x v="0"/>
    <x v="0"/>
    <x v="4"/>
    <n v="1.98"/>
    <n v="1"/>
    <n v="1.5"/>
    <n v="0"/>
    <n v="4.4800000000000004"/>
    <n v="89.600000000000009"/>
  </r>
  <r>
    <x v="1"/>
    <s v="0802662726"/>
    <x v="108"/>
    <x v="0"/>
    <x v="0"/>
    <x v="0"/>
    <x v="0"/>
    <x v="5"/>
    <n v="1.78"/>
    <n v="0.99"/>
    <n v="1"/>
    <n v="1"/>
    <n v="4.7699999999999996"/>
    <n v="95.399999999999991"/>
  </r>
  <r>
    <x v="1"/>
    <s v="0802826362"/>
    <x v="109"/>
    <x v="0"/>
    <x v="0"/>
    <x v="2"/>
    <x v="1"/>
    <x v="5"/>
    <n v="1.84"/>
    <n v="0"/>
    <n v="0.94"/>
    <n v="1"/>
    <n v="3.78"/>
    <n v="75.599999999999994"/>
  </r>
  <r>
    <x v="1"/>
    <s v="1755930375"/>
    <x v="110"/>
    <x v="0"/>
    <x v="0"/>
    <x v="1"/>
    <x v="0"/>
    <x v="12"/>
    <n v="1.82"/>
    <n v="1"/>
    <n v="1"/>
    <n v="1"/>
    <n v="4.82"/>
    <n v="96.4"/>
  </r>
  <r>
    <x v="1"/>
    <s v="0802099713"/>
    <x v="111"/>
    <x v="1"/>
    <x v="0"/>
    <x v="0"/>
    <x v="1"/>
    <x v="5"/>
    <n v="1.91"/>
    <n v="1"/>
    <n v="0.97"/>
    <n v="0.94"/>
    <n v="4.82"/>
    <n v="96.4"/>
  </r>
  <r>
    <x v="1"/>
    <s v="0801466277"/>
    <x v="112"/>
    <x v="0"/>
    <x v="0"/>
    <x v="0"/>
    <x v="1"/>
    <x v="5"/>
    <n v="1.85"/>
    <n v="1"/>
    <n v="0.94"/>
    <n v="0.94"/>
    <n v="4.7300000000000004"/>
    <n v="94.600000000000009"/>
  </r>
  <r>
    <x v="1"/>
    <s v="1721571709"/>
    <x v="113"/>
    <x v="1"/>
    <x v="0"/>
    <x v="0"/>
    <x v="0"/>
    <x v="15"/>
    <n v="1.63"/>
    <n v="0"/>
    <n v="0.9"/>
    <n v="0.92"/>
    <n v="3.45"/>
    <n v="69"/>
  </r>
  <r>
    <x v="1"/>
    <s v="0804315661"/>
    <x v="164"/>
    <x v="0"/>
    <x v="0"/>
    <x v="0"/>
    <x v="0"/>
    <x v="5"/>
    <n v="1.83"/>
    <n v="0.96"/>
    <n v="0.94"/>
    <n v="0.91"/>
    <n v="4.6399999999999997"/>
    <n v="92.799999999999983"/>
  </r>
  <r>
    <x v="1"/>
    <s v="0801762345"/>
    <x v="116"/>
    <x v="1"/>
    <x v="0"/>
    <x v="0"/>
    <x v="1"/>
    <x v="4"/>
    <n v="1.81"/>
    <n v="1"/>
    <n v="0.97"/>
    <n v="1"/>
    <n v="4.78"/>
    <n v="95.6"/>
  </r>
  <r>
    <x v="1"/>
    <s v="0803822816"/>
    <x v="117"/>
    <x v="0"/>
    <x v="0"/>
    <x v="0"/>
    <x v="1"/>
    <x v="12"/>
    <n v="1.94"/>
    <n v="0.95"/>
    <n v="0.91"/>
    <n v="1"/>
    <n v="4.8"/>
    <n v="96"/>
  </r>
  <r>
    <x v="1"/>
    <s v="0802761676"/>
    <x v="118"/>
    <x v="0"/>
    <x v="0"/>
    <x v="0"/>
    <x v="1"/>
    <x v="7"/>
    <n v="1.32"/>
    <n v="0"/>
    <n v="1"/>
    <n v="0"/>
    <n v="2.3199999999999998"/>
    <n v="46.399999999999991"/>
  </r>
  <r>
    <x v="1"/>
    <s v="0801246786"/>
    <x v="165"/>
    <x v="0"/>
    <x v="0"/>
    <x v="0"/>
    <x v="1"/>
    <x v="14"/>
    <n v="1.68"/>
    <n v="0.96"/>
    <n v="1"/>
    <n v="0.94"/>
    <n v="4.58"/>
    <n v="91.6"/>
  </r>
  <r>
    <x v="1"/>
    <s v="0801634304"/>
    <x v="119"/>
    <x v="1"/>
    <x v="0"/>
    <x v="0"/>
    <x v="1"/>
    <x v="12"/>
    <n v="1.87"/>
    <n v="0.98"/>
    <n v="0.88"/>
    <n v="1"/>
    <n v="4.7300000000000004"/>
    <n v="94.600000000000009"/>
  </r>
  <r>
    <x v="1"/>
    <s v="0802931329"/>
    <x v="120"/>
    <x v="1"/>
    <x v="0"/>
    <x v="0"/>
    <x v="1"/>
    <x v="13"/>
    <n v="1.92"/>
    <n v="0.9"/>
    <n v="1"/>
    <n v="0.94"/>
    <n v="4.76"/>
    <n v="95.2"/>
  </r>
  <r>
    <x v="1"/>
    <s v="0801772278"/>
    <x v="166"/>
    <x v="1"/>
    <x v="0"/>
    <x v="0"/>
    <x v="0"/>
    <x v="11"/>
    <n v="1.85"/>
    <n v="1"/>
    <n v="0.9"/>
    <n v="0.81"/>
    <n v="4.5599999999999996"/>
    <n v="91.199999999999989"/>
  </r>
  <r>
    <x v="1"/>
    <s v="1760052272"/>
    <x v="123"/>
    <x v="1"/>
    <x v="0"/>
    <x v="0"/>
    <x v="1"/>
    <x v="3"/>
    <n v="1.88"/>
    <n v="1"/>
    <n v="1"/>
    <n v="1"/>
    <n v="4.88"/>
    <n v="97.6"/>
  </r>
  <r>
    <x v="1"/>
    <s v="0603231101"/>
    <x v="125"/>
    <x v="0"/>
    <x v="0"/>
    <x v="0"/>
    <x v="0"/>
    <x v="10"/>
    <n v="1.86"/>
    <n v="1"/>
    <n v="0.83"/>
    <n v="0.88"/>
    <n v="4.57"/>
    <n v="91.4"/>
  </r>
  <r>
    <x v="1"/>
    <s v="0301435012"/>
    <x v="126"/>
    <x v="1"/>
    <x v="0"/>
    <x v="0"/>
    <x v="0"/>
    <x v="4"/>
    <n v="1.7"/>
    <n v="1"/>
    <n v="0.97"/>
    <n v="1"/>
    <n v="4.67"/>
    <n v="93.4"/>
  </r>
  <r>
    <x v="1"/>
    <s v="1721366399"/>
    <x v="127"/>
    <x v="1"/>
    <x v="0"/>
    <x v="0"/>
    <x v="0"/>
    <x v="10"/>
    <n v="1.85"/>
    <n v="0.98"/>
    <n v="0.89"/>
    <n v="0.87"/>
    <n v="4.59"/>
    <n v="91.8"/>
  </r>
  <r>
    <x v="1"/>
    <s v="0105998181"/>
    <x v="128"/>
    <x v="1"/>
    <x v="0"/>
    <x v="0"/>
    <x v="0"/>
    <x v="6"/>
    <n v="1.92"/>
    <n v="0.99"/>
    <n v="1"/>
    <n v="1"/>
    <n v="4.91"/>
    <n v="98.2"/>
  </r>
  <r>
    <x v="1"/>
    <s v="0802912832"/>
    <x v="129"/>
    <x v="0"/>
    <x v="0"/>
    <x v="0"/>
    <x v="0"/>
    <x v="15"/>
    <n v="1.53"/>
    <n v="1"/>
    <n v="1"/>
    <n v="0.94"/>
    <n v="4.47"/>
    <n v="89.4"/>
  </r>
  <r>
    <x v="1"/>
    <s v="0800626913"/>
    <x v="134"/>
    <x v="0"/>
    <x v="0"/>
    <x v="0"/>
    <x v="1"/>
    <x v="7"/>
    <n v="1.87"/>
    <n v="0.98"/>
    <n v="1"/>
    <n v="1"/>
    <n v="4.8499999999999996"/>
    <n v="96.999999999999986"/>
  </r>
  <r>
    <x v="1"/>
    <s v="1759758558"/>
    <x v="167"/>
    <x v="1"/>
    <x v="0"/>
    <x v="0"/>
    <x v="1"/>
    <x v="21"/>
    <n v="1.82"/>
    <n v="0"/>
    <n v="1"/>
    <n v="0.83"/>
    <n v="3.65"/>
    <n v="73"/>
  </r>
  <r>
    <x v="1"/>
    <s v="0803028307"/>
    <x v="136"/>
    <x v="1"/>
    <x v="0"/>
    <x v="0"/>
    <x v="1"/>
    <x v="18"/>
    <n v="1.7"/>
    <n v="0"/>
    <n v="0.96"/>
    <n v="1"/>
    <n v="3.66"/>
    <n v="73.2"/>
  </r>
  <r>
    <x v="1"/>
    <s v="0080223719"/>
    <x v="137"/>
    <x v="0"/>
    <x v="0"/>
    <x v="0"/>
    <x v="1"/>
    <x v="3"/>
    <n v="1.97"/>
    <n v="0"/>
    <n v="1"/>
    <n v="0"/>
    <n v="2.97"/>
    <n v="59.4"/>
  </r>
  <r>
    <x v="1"/>
    <s v="1716654296"/>
    <x v="138"/>
    <x v="1"/>
    <x v="0"/>
    <x v="0"/>
    <x v="1"/>
    <x v="7"/>
    <n v="1.98"/>
    <n v="0.92"/>
    <n v="1"/>
    <n v="0.91"/>
    <n v="4.8099999999999996"/>
    <n v="96.199999999999989"/>
  </r>
  <r>
    <x v="1"/>
    <s v="1708222409"/>
    <x v="139"/>
    <x v="1"/>
    <x v="0"/>
    <x v="0"/>
    <x v="1"/>
    <x v="7"/>
    <n v="1.87"/>
    <n v="1"/>
    <n v="1"/>
    <n v="1"/>
    <n v="4.87"/>
    <n v="97.4"/>
  </r>
  <r>
    <x v="1"/>
    <s v="0802464032"/>
    <x v="140"/>
    <x v="0"/>
    <x v="0"/>
    <x v="0"/>
    <x v="0"/>
    <x v="13"/>
    <n v="1.84"/>
    <n v="1"/>
    <n v="1"/>
    <n v="0.98"/>
    <n v="4.82"/>
    <n v="96.4"/>
  </r>
  <r>
    <x v="1"/>
    <s v="1804326534"/>
    <x v="142"/>
    <x v="1"/>
    <x v="0"/>
    <x v="0"/>
    <x v="0"/>
    <x v="4"/>
    <n v="1.87"/>
    <n v="0.99"/>
    <n v="0.96"/>
    <n v="1"/>
    <n v="4.82"/>
    <n v="96.4"/>
  </r>
  <r>
    <x v="1"/>
    <s v="0801539495"/>
    <x v="168"/>
    <x v="0"/>
    <x v="0"/>
    <x v="0"/>
    <x v="1"/>
    <x v="7"/>
    <n v="2"/>
    <n v="0"/>
    <n v="1"/>
    <n v="1"/>
    <n v="4"/>
    <n v="80"/>
  </r>
  <r>
    <x v="1"/>
    <s v="1757108871"/>
    <x v="146"/>
    <x v="0"/>
    <x v="0"/>
    <x v="0"/>
    <x v="0"/>
    <x v="8"/>
    <n v="1.91"/>
    <n v="0.99"/>
    <n v="1"/>
    <n v="1"/>
    <n v="4.9000000000000004"/>
    <n v="98.000000000000014"/>
  </r>
  <r>
    <x v="1"/>
    <s v="0803129360"/>
    <x v="147"/>
    <x v="0"/>
    <x v="0"/>
    <x v="0"/>
    <x v="2"/>
    <x v="15"/>
    <n v="1.89"/>
    <n v="0.93"/>
    <n v="1"/>
    <n v="0.97"/>
    <n v="4.79"/>
    <n v="95.8"/>
  </r>
  <r>
    <x v="1"/>
    <s v="0801966748"/>
    <x v="151"/>
    <x v="0"/>
    <x v="0"/>
    <x v="0"/>
    <x v="1"/>
    <x v="18"/>
    <n v="1.79"/>
    <n v="1"/>
    <n v="0.98"/>
    <n v="1"/>
    <n v="4.7699999999999996"/>
    <n v="95.399999999999991"/>
  </r>
  <r>
    <x v="1"/>
    <s v="0801752296"/>
    <x v="153"/>
    <x v="0"/>
    <x v="0"/>
    <x v="0"/>
    <x v="0"/>
    <x v="6"/>
    <n v="1.86"/>
    <n v="0"/>
    <n v="1"/>
    <n v="0.97"/>
    <n v="3.83"/>
    <n v="76.599999999999994"/>
  </r>
  <r>
    <x v="1"/>
    <s v="0803484161"/>
    <x v="169"/>
    <x v="0"/>
    <x v="0"/>
    <x v="0"/>
    <x v="0"/>
    <x v="18"/>
    <n v="1.76"/>
    <n v="1"/>
    <n v="1"/>
    <n v="1"/>
    <n v="4.76"/>
    <n v="95.2"/>
  </r>
  <r>
    <x v="2"/>
    <s v="0800728735"/>
    <x v="0"/>
    <x v="0"/>
    <x v="0"/>
    <x v="1"/>
    <x v="0"/>
    <x v="0"/>
    <n v="1.89"/>
    <n v="1"/>
    <n v="1"/>
    <n v="1"/>
    <n v="4.8899999999999997"/>
    <n v="97.799999999999983"/>
  </r>
  <r>
    <x v="2"/>
    <s v="1250036082"/>
    <x v="1"/>
    <x v="1"/>
    <x v="0"/>
    <x v="0"/>
    <x v="0"/>
    <x v="22"/>
    <n v="1.86"/>
    <n v="1"/>
    <n v="1"/>
    <n v="1"/>
    <n v="4.8600000000000003"/>
    <n v="97.200000000000017"/>
  </r>
  <r>
    <x v="2"/>
    <s v="1803528049"/>
    <x v="2"/>
    <x v="0"/>
    <x v="0"/>
    <x v="0"/>
    <x v="0"/>
    <x v="22"/>
    <n v="1.82"/>
    <n v="1"/>
    <n v="1"/>
    <n v="0.97"/>
    <n v="4.79"/>
    <n v="95.8"/>
  </r>
  <r>
    <x v="2"/>
    <s v="0802885665"/>
    <x v="3"/>
    <x v="0"/>
    <x v="0"/>
    <x v="0"/>
    <x v="0"/>
    <x v="0"/>
    <n v="1.87"/>
    <n v="0"/>
    <n v="0.91"/>
    <n v="1"/>
    <n v="3.7800000000000002"/>
    <n v="75.599999999999994"/>
  </r>
  <r>
    <x v="2"/>
    <s v="0802669531"/>
    <x v="4"/>
    <x v="1"/>
    <x v="0"/>
    <x v="0"/>
    <x v="0"/>
    <x v="0"/>
    <n v="1.89"/>
    <n v="1"/>
    <n v="1"/>
    <n v="1"/>
    <n v="4.8899999999999997"/>
    <n v="97.799999999999983"/>
  </r>
  <r>
    <x v="2"/>
    <s v="0962658753"/>
    <x v="154"/>
    <x v="0"/>
    <x v="0"/>
    <x v="0"/>
    <x v="1"/>
    <x v="3"/>
    <n v="1.72"/>
    <n v="0"/>
    <n v="1"/>
    <n v="1"/>
    <n v="3.7199999999999998"/>
    <n v="74.400000000000006"/>
  </r>
  <r>
    <x v="2"/>
    <s v="1716332752"/>
    <x v="170"/>
    <x v="1"/>
    <x v="0"/>
    <x v="0"/>
    <x v="1"/>
    <x v="7"/>
    <n v="1.75"/>
    <n v="0"/>
    <n v="0.94"/>
    <n v="1"/>
    <n v="3.69"/>
    <n v="73.8"/>
  </r>
  <r>
    <x v="2"/>
    <s v="0800436495"/>
    <x v="155"/>
    <x v="1"/>
    <x v="0"/>
    <x v="0"/>
    <x v="2"/>
    <x v="4"/>
    <n v="1.94"/>
    <n v="1"/>
    <n v="0.97"/>
    <n v="1"/>
    <n v="4.91"/>
    <n v="98.2"/>
  </r>
  <r>
    <x v="2"/>
    <s v="0803202043"/>
    <x v="171"/>
    <x v="0"/>
    <x v="0"/>
    <x v="0"/>
    <x v="1"/>
    <x v="23"/>
    <n v="1.92"/>
    <n v="0.98"/>
    <n v="0.98"/>
    <n v="1"/>
    <n v="4.88"/>
    <n v="97.6"/>
  </r>
  <r>
    <x v="2"/>
    <s v="0801445107"/>
    <x v="9"/>
    <x v="0"/>
    <x v="0"/>
    <x v="0"/>
    <x v="0"/>
    <x v="5"/>
    <n v="1.71"/>
    <n v="1"/>
    <n v="0.94"/>
    <n v="1"/>
    <n v="4.6500000000000004"/>
    <n v="93.000000000000014"/>
  </r>
  <r>
    <x v="2"/>
    <s v="0801912221"/>
    <x v="10"/>
    <x v="0"/>
    <x v="0"/>
    <x v="0"/>
    <x v="0"/>
    <x v="6"/>
    <n v="1.83"/>
    <n v="1"/>
    <n v="1"/>
    <n v="1"/>
    <n v="4.83"/>
    <n v="96.6"/>
  </r>
  <r>
    <x v="2"/>
    <s v="0803114859"/>
    <x v="172"/>
    <x v="0"/>
    <x v="0"/>
    <x v="0"/>
    <x v="2"/>
    <x v="3"/>
    <n v="1.89"/>
    <n v="0"/>
    <n v="1"/>
    <n v="1"/>
    <n v="3.8899999999999997"/>
    <n v="77.799999999999983"/>
  </r>
  <r>
    <x v="2"/>
    <s v="0802094086"/>
    <x v="173"/>
    <x v="0"/>
    <x v="0"/>
    <x v="0"/>
    <x v="1"/>
    <x v="7"/>
    <n v="2"/>
    <n v="0"/>
    <n v="0.94"/>
    <n v="0.97"/>
    <n v="3.91"/>
    <n v="78.2"/>
  </r>
  <r>
    <x v="2"/>
    <s v="0803503176"/>
    <x v="12"/>
    <x v="1"/>
    <x v="0"/>
    <x v="0"/>
    <x v="0"/>
    <x v="2"/>
    <n v="1.86"/>
    <n v="0.93"/>
    <n v="0.97"/>
    <n v="1"/>
    <n v="4.76"/>
    <n v="95.2"/>
  </r>
  <r>
    <x v="2"/>
    <s v="0503270506"/>
    <x v="13"/>
    <x v="1"/>
    <x v="0"/>
    <x v="0"/>
    <x v="0"/>
    <x v="8"/>
    <n v="1.94"/>
    <n v="0.99"/>
    <n v="0.98"/>
    <n v="1"/>
    <n v="4.91"/>
    <n v="98.2"/>
  </r>
  <r>
    <x v="2"/>
    <s v="0801771437"/>
    <x v="14"/>
    <x v="0"/>
    <x v="0"/>
    <x v="0"/>
    <x v="0"/>
    <x v="9"/>
    <n v="1.85"/>
    <n v="1"/>
    <n v="1"/>
    <n v="1"/>
    <n v="4.8499999999999996"/>
    <n v="96.999999999999986"/>
  </r>
  <r>
    <x v="2"/>
    <s v="0801683863"/>
    <x v="174"/>
    <x v="1"/>
    <x v="0"/>
    <x v="0"/>
    <x v="1"/>
    <x v="5"/>
    <n v="1.73"/>
    <n v="0"/>
    <n v="0.68"/>
    <n v="1"/>
    <n v="3.41"/>
    <n v="68.2"/>
  </r>
  <r>
    <x v="2"/>
    <s v="1758534661"/>
    <x v="156"/>
    <x v="1"/>
    <x v="0"/>
    <x v="1"/>
    <x v="0"/>
    <x v="16"/>
    <n v="1.9"/>
    <n v="0.97"/>
    <n v="1"/>
    <n v="1"/>
    <n v="4.87"/>
    <n v="97.4"/>
  </r>
  <r>
    <x v="2"/>
    <s v="0801577297"/>
    <x v="17"/>
    <x v="1"/>
    <x v="0"/>
    <x v="0"/>
    <x v="1"/>
    <x v="3"/>
    <n v="1.67"/>
    <n v="1"/>
    <n v="1"/>
    <n v="1"/>
    <n v="4.67"/>
    <n v="93.4"/>
  </r>
  <r>
    <x v="2"/>
    <s v="0802916130"/>
    <x v="18"/>
    <x v="0"/>
    <x v="0"/>
    <x v="0"/>
    <x v="1"/>
    <x v="3"/>
    <n v="1.84"/>
    <n v="0.98"/>
    <n v="1"/>
    <n v="1"/>
    <n v="4.82"/>
    <n v="96.4"/>
  </r>
  <r>
    <x v="2"/>
    <s v="1725949851"/>
    <x v="20"/>
    <x v="0"/>
    <x v="0"/>
    <x v="0"/>
    <x v="1"/>
    <x v="5"/>
    <n v="1.95"/>
    <n v="0"/>
    <n v="0.91"/>
    <n v="1"/>
    <n v="3.86"/>
    <n v="77.2"/>
  </r>
  <r>
    <x v="2"/>
    <s v="1750819565"/>
    <x v="21"/>
    <x v="0"/>
    <x v="0"/>
    <x v="0"/>
    <x v="0"/>
    <x v="3"/>
    <n v="1.9"/>
    <n v="0.98"/>
    <n v="1"/>
    <n v="1"/>
    <n v="4.88"/>
    <n v="97.6"/>
  </r>
  <r>
    <x v="2"/>
    <s v="0801786245"/>
    <x v="22"/>
    <x v="1"/>
    <x v="0"/>
    <x v="0"/>
    <x v="0"/>
    <x v="11"/>
    <n v="1.9"/>
    <n v="0.96"/>
    <n v="1"/>
    <n v="1"/>
    <n v="4.8599999999999994"/>
    <n v="97.199999999999989"/>
  </r>
  <r>
    <x v="2"/>
    <s v="1757069586"/>
    <x v="175"/>
    <x v="0"/>
    <x v="0"/>
    <x v="0"/>
    <x v="1"/>
    <x v="5"/>
    <n v="1.91"/>
    <n v="0"/>
    <n v="0.73"/>
    <n v="1"/>
    <n v="3.6399999999999997"/>
    <n v="72.799999999999983"/>
  </r>
  <r>
    <x v="2"/>
    <s v="0801907197"/>
    <x v="23"/>
    <x v="1"/>
    <x v="0"/>
    <x v="1"/>
    <x v="1"/>
    <x v="11"/>
    <n v="1.82"/>
    <n v="1"/>
    <n v="0.96"/>
    <n v="1"/>
    <n v="4.78"/>
    <n v="95.6"/>
  </r>
  <r>
    <x v="2"/>
    <s v="0801095050"/>
    <x v="24"/>
    <x v="1"/>
    <x v="0"/>
    <x v="0"/>
    <x v="1"/>
    <x v="4"/>
    <n v="1.67"/>
    <n v="0.98"/>
    <n v="0.73"/>
    <n v="0.73"/>
    <n v="4.1099999999999994"/>
    <n v="82.199999999999989"/>
  </r>
  <r>
    <x v="2"/>
    <s v="0803043751"/>
    <x v="176"/>
    <x v="1"/>
    <x v="0"/>
    <x v="0"/>
    <x v="1"/>
    <x v="16"/>
    <n v="1.81"/>
    <n v="1"/>
    <n v="1"/>
    <n v="1"/>
    <n v="4.8100000000000005"/>
    <n v="96.200000000000017"/>
  </r>
  <r>
    <x v="2"/>
    <s v="0802972356"/>
    <x v="177"/>
    <x v="1"/>
    <x v="0"/>
    <x v="0"/>
    <x v="0"/>
    <x v="7"/>
    <n v="1.9"/>
    <n v="0"/>
    <n v="0.94"/>
    <n v="1"/>
    <n v="3.84"/>
    <n v="76.8"/>
  </r>
  <r>
    <x v="2"/>
    <s v="1712086279"/>
    <x v="178"/>
    <x v="0"/>
    <x v="0"/>
    <x v="2"/>
    <x v="1"/>
    <x v="5"/>
    <n v="1.81"/>
    <n v="1"/>
    <n v="0.95"/>
    <n v="1"/>
    <n v="4.76"/>
    <n v="95.2"/>
  </r>
  <r>
    <x v="2"/>
    <s v="0802476374"/>
    <x v="27"/>
    <x v="1"/>
    <x v="0"/>
    <x v="0"/>
    <x v="0"/>
    <x v="4"/>
    <n v="1.8"/>
    <n v="1"/>
    <n v="0.97"/>
    <n v="0.91"/>
    <n v="4.68"/>
    <n v="93.6"/>
  </r>
  <r>
    <x v="2"/>
    <s v="0801924200"/>
    <x v="28"/>
    <x v="0"/>
    <x v="0"/>
    <x v="0"/>
    <x v="1"/>
    <x v="12"/>
    <n v="1.83"/>
    <n v="0.99"/>
    <n v="1"/>
    <n v="0.97"/>
    <n v="4.79"/>
    <n v="95.8"/>
  </r>
  <r>
    <x v="2"/>
    <s v="0802971069"/>
    <x v="29"/>
    <x v="1"/>
    <x v="0"/>
    <x v="0"/>
    <x v="0"/>
    <x v="18"/>
    <n v="1.69"/>
    <n v="1"/>
    <n v="1"/>
    <n v="0.8"/>
    <n v="4.49"/>
    <n v="89.8"/>
  </r>
  <r>
    <x v="2"/>
    <s v="0803049782"/>
    <x v="179"/>
    <x v="0"/>
    <x v="0"/>
    <x v="0"/>
    <x v="1"/>
    <x v="5"/>
    <n v="1.96"/>
    <n v="0"/>
    <n v="0.72"/>
    <n v="0.92"/>
    <n v="3.5999999999999996"/>
    <n v="71.999999999999986"/>
  </r>
  <r>
    <x v="2"/>
    <s v="2350599649"/>
    <x v="180"/>
    <x v="0"/>
    <x v="0"/>
    <x v="0"/>
    <x v="0"/>
    <x v="5"/>
    <n v="1.75"/>
    <n v="1"/>
    <n v="1"/>
    <n v="0.97"/>
    <n v="4.72"/>
    <n v="94.4"/>
  </r>
  <r>
    <x v="2"/>
    <s v="0803899186"/>
    <x v="158"/>
    <x v="1"/>
    <x v="0"/>
    <x v="0"/>
    <x v="1"/>
    <x v="3"/>
    <n v="1.87"/>
    <n v="1"/>
    <n v="1"/>
    <n v="1"/>
    <n v="4.87"/>
    <n v="97.4"/>
  </r>
  <r>
    <x v="2"/>
    <s v="0803116334"/>
    <x v="32"/>
    <x v="0"/>
    <x v="0"/>
    <x v="0"/>
    <x v="0"/>
    <x v="0"/>
    <n v="1.98"/>
    <n v="0.99"/>
    <n v="0.98"/>
    <n v="1"/>
    <n v="4.9499999999999993"/>
    <n v="98.999999999999986"/>
  </r>
  <r>
    <x v="2"/>
    <s v="1302921018"/>
    <x v="33"/>
    <x v="1"/>
    <x v="0"/>
    <x v="0"/>
    <x v="1"/>
    <x v="5"/>
    <n v="1.81"/>
    <n v="1"/>
    <n v="0.84"/>
    <n v="0.95"/>
    <n v="4.5999999999999996"/>
    <n v="91.999999999999986"/>
  </r>
  <r>
    <x v="2"/>
    <s v="1312616558"/>
    <x v="181"/>
    <x v="1"/>
    <x v="0"/>
    <x v="0"/>
    <x v="1"/>
    <x v="5"/>
    <n v="1.36"/>
    <n v="0"/>
    <n v="0.87"/>
    <n v="1"/>
    <n v="3.23"/>
    <n v="64.599999999999994"/>
  </r>
  <r>
    <x v="2"/>
    <s v="0800758682"/>
    <x v="182"/>
    <x v="1"/>
    <x v="0"/>
    <x v="2"/>
    <x v="1"/>
    <x v="4"/>
    <n v="1.79"/>
    <n v="0"/>
    <n v="0.8"/>
    <n v="0.92"/>
    <n v="3.51"/>
    <n v="70.2"/>
  </r>
  <r>
    <x v="2"/>
    <s v="0800638306"/>
    <x v="34"/>
    <x v="0"/>
    <x v="0"/>
    <x v="0"/>
    <x v="0"/>
    <x v="11"/>
    <n v="1.93"/>
    <n v="1"/>
    <n v="0.94"/>
    <n v="0.92"/>
    <n v="4.79"/>
    <n v="95.8"/>
  </r>
  <r>
    <x v="2"/>
    <s v="0803554831"/>
    <x v="35"/>
    <x v="0"/>
    <x v="0"/>
    <x v="0"/>
    <x v="0"/>
    <x v="22"/>
    <n v="1.81"/>
    <n v="1"/>
    <n v="1"/>
    <n v="1"/>
    <n v="4.8100000000000005"/>
    <n v="96.200000000000017"/>
  </r>
  <r>
    <x v="2"/>
    <s v="0802306605"/>
    <x v="183"/>
    <x v="1"/>
    <x v="0"/>
    <x v="2"/>
    <x v="1"/>
    <x v="4"/>
    <n v="1.81"/>
    <n v="0"/>
    <n v="0.7"/>
    <n v="0.97"/>
    <n v="3.4799999999999995"/>
    <n v="69.599999999999994"/>
  </r>
  <r>
    <x v="2"/>
    <s v="0803077577"/>
    <x v="37"/>
    <x v="0"/>
    <x v="0"/>
    <x v="0"/>
    <x v="1"/>
    <x v="6"/>
    <n v="1.87"/>
    <n v="0.99"/>
    <n v="1"/>
    <n v="0.97"/>
    <n v="4.83"/>
    <n v="96.6"/>
  </r>
  <r>
    <x v="2"/>
    <s v="0703783738"/>
    <x v="38"/>
    <x v="0"/>
    <x v="0"/>
    <x v="0"/>
    <x v="1"/>
    <x v="6"/>
    <n v="1.97"/>
    <n v="0.88"/>
    <n v="1"/>
    <n v="1"/>
    <n v="4.8499999999999996"/>
    <n v="96.999999999999986"/>
  </r>
  <r>
    <x v="2"/>
    <s v="0803558253"/>
    <x v="41"/>
    <x v="0"/>
    <x v="0"/>
    <x v="0"/>
    <x v="0"/>
    <x v="8"/>
    <n v="1.88"/>
    <n v="1"/>
    <n v="0.97"/>
    <n v="1"/>
    <n v="4.8499999999999996"/>
    <n v="96.999999999999986"/>
  </r>
  <r>
    <x v="2"/>
    <s v="0803026913"/>
    <x v="42"/>
    <x v="0"/>
    <x v="0"/>
    <x v="0"/>
    <x v="1"/>
    <x v="7"/>
    <n v="2"/>
    <n v="1"/>
    <n v="0.94"/>
    <n v="1"/>
    <n v="4.9399999999999995"/>
    <n v="98.799999999999983"/>
  </r>
  <r>
    <x v="2"/>
    <s v="0803026939"/>
    <x v="43"/>
    <x v="0"/>
    <x v="0"/>
    <x v="0"/>
    <x v="1"/>
    <x v="7"/>
    <n v="1.58"/>
    <n v="1"/>
    <n v="0.94"/>
    <n v="0.94"/>
    <n v="4.46"/>
    <n v="89.2"/>
  </r>
  <r>
    <x v="2"/>
    <s v="0850031030"/>
    <x v="46"/>
    <x v="0"/>
    <x v="0"/>
    <x v="0"/>
    <x v="0"/>
    <x v="0"/>
    <n v="1.64"/>
    <n v="1"/>
    <n v="0.94"/>
    <n v="0.94"/>
    <n v="4.5199999999999996"/>
    <n v="90.399999999999991"/>
  </r>
  <r>
    <x v="2"/>
    <s v="0802308981"/>
    <x v="184"/>
    <x v="1"/>
    <x v="0"/>
    <x v="0"/>
    <x v="0"/>
    <x v="22"/>
    <n v="1.94"/>
    <n v="1"/>
    <n v="1"/>
    <n v="0.9"/>
    <n v="4.84"/>
    <n v="96.8"/>
  </r>
  <r>
    <x v="2"/>
    <s v="0800968869"/>
    <x v="48"/>
    <x v="0"/>
    <x v="0"/>
    <x v="0"/>
    <x v="0"/>
    <x v="5"/>
    <n v="1.69"/>
    <n v="1"/>
    <n v="1"/>
    <n v="1"/>
    <n v="4.6899999999999995"/>
    <n v="93.799999999999983"/>
  </r>
  <r>
    <x v="2"/>
    <s v="0802863415"/>
    <x v="49"/>
    <x v="1"/>
    <x v="0"/>
    <x v="0"/>
    <x v="2"/>
    <x v="23"/>
    <n v="1.82"/>
    <n v="1"/>
    <n v="0.88"/>
    <n v="0.69"/>
    <n v="4.3900000000000006"/>
    <n v="87.800000000000011"/>
  </r>
  <r>
    <x v="2"/>
    <s v="0802476549"/>
    <x v="185"/>
    <x v="1"/>
    <x v="0"/>
    <x v="2"/>
    <x v="1"/>
    <x v="23"/>
    <n v="1.62"/>
    <n v="0.99"/>
    <n v="0.9"/>
    <n v="1"/>
    <n v="4.51"/>
    <n v="90.2"/>
  </r>
  <r>
    <x v="2"/>
    <s v="1308582103"/>
    <x v="186"/>
    <x v="0"/>
    <x v="0"/>
    <x v="0"/>
    <x v="1"/>
    <x v="2"/>
    <n v="2"/>
    <n v="0"/>
    <n v="0.86"/>
    <n v="0.89"/>
    <n v="3.75"/>
    <n v="75"/>
  </r>
  <r>
    <x v="2"/>
    <s v="1312772872"/>
    <x v="187"/>
    <x v="0"/>
    <x v="0"/>
    <x v="0"/>
    <x v="0"/>
    <x v="5"/>
    <n v="1.9"/>
    <n v="1"/>
    <n v="0.94"/>
    <n v="1"/>
    <n v="4.84"/>
    <n v="96.8"/>
  </r>
  <r>
    <x v="2"/>
    <s v="0803228600"/>
    <x v="50"/>
    <x v="0"/>
    <x v="0"/>
    <x v="0"/>
    <x v="0"/>
    <x v="5"/>
    <n v="1.95"/>
    <n v="1"/>
    <n v="1"/>
    <n v="0.94"/>
    <n v="4.8900000000000006"/>
    <n v="97.800000000000011"/>
  </r>
  <r>
    <x v="2"/>
    <s v="1758755209"/>
    <x v="51"/>
    <x v="1"/>
    <x v="0"/>
    <x v="0"/>
    <x v="0"/>
    <x v="7"/>
    <n v="1.87"/>
    <n v="0.93"/>
    <n v="0.94"/>
    <n v="1"/>
    <n v="4.74"/>
    <n v="94.8"/>
  </r>
  <r>
    <x v="2"/>
    <s v="1310851009"/>
    <x v="52"/>
    <x v="1"/>
    <x v="0"/>
    <x v="0"/>
    <x v="2"/>
    <x v="7"/>
    <n v="1.89"/>
    <n v="0.98"/>
    <n v="1"/>
    <n v="0.97"/>
    <n v="4.84"/>
    <n v="96.8"/>
  </r>
  <r>
    <x v="2"/>
    <s v="1715009500"/>
    <x v="54"/>
    <x v="1"/>
    <x v="0"/>
    <x v="0"/>
    <x v="0"/>
    <x v="7"/>
    <n v="1.81"/>
    <n v="0.95"/>
    <n v="0.94"/>
    <n v="1"/>
    <n v="4.6999999999999993"/>
    <n v="93.999999999999986"/>
  </r>
  <r>
    <x v="2"/>
    <s v="0801328733"/>
    <x v="55"/>
    <x v="1"/>
    <x v="0"/>
    <x v="0"/>
    <x v="1"/>
    <x v="7"/>
    <n v="1.91"/>
    <n v="1"/>
    <n v="0.94"/>
    <n v="0.94"/>
    <n v="4.79"/>
    <n v="95.8"/>
  </r>
  <r>
    <x v="2"/>
    <s v="0801692823"/>
    <x v="56"/>
    <x v="1"/>
    <x v="0"/>
    <x v="0"/>
    <x v="2"/>
    <x v="4"/>
    <n v="1.56"/>
    <n v="1"/>
    <n v="0.91"/>
    <n v="1"/>
    <n v="4.4700000000000006"/>
    <n v="89.4"/>
  </r>
  <r>
    <x v="2"/>
    <s v="0704748946"/>
    <x v="57"/>
    <x v="1"/>
    <x v="0"/>
    <x v="0"/>
    <x v="0"/>
    <x v="22"/>
    <n v="1.96"/>
    <n v="1"/>
    <n v="1"/>
    <n v="1"/>
    <n v="4.96"/>
    <n v="99.2"/>
  </r>
  <r>
    <x v="2"/>
    <s v="0801921677"/>
    <x v="60"/>
    <x v="1"/>
    <x v="0"/>
    <x v="0"/>
    <x v="0"/>
    <x v="7"/>
    <n v="1.91"/>
    <n v="1"/>
    <n v="0.94"/>
    <n v="1"/>
    <n v="4.8499999999999996"/>
    <n v="96.999999999999986"/>
  </r>
  <r>
    <x v="2"/>
    <s v="0604762625"/>
    <x v="188"/>
    <x v="0"/>
    <x v="0"/>
    <x v="0"/>
    <x v="1"/>
    <x v="6"/>
    <n v="1.98"/>
    <n v="0.99"/>
    <n v="1"/>
    <n v="1"/>
    <n v="4.97"/>
    <n v="99.4"/>
  </r>
  <r>
    <x v="2"/>
    <s v="0603167917"/>
    <x v="63"/>
    <x v="1"/>
    <x v="0"/>
    <x v="0"/>
    <x v="0"/>
    <x v="22"/>
    <n v="1.39"/>
    <n v="0.94"/>
    <n v="0.82"/>
    <n v="0.96"/>
    <n v="4.1099999999999994"/>
    <n v="82.199999999999989"/>
  </r>
  <r>
    <x v="2"/>
    <s v="1757534357"/>
    <x v="65"/>
    <x v="0"/>
    <x v="0"/>
    <x v="0"/>
    <x v="0"/>
    <x v="14"/>
    <n v="1.93"/>
    <n v="1"/>
    <n v="0.96"/>
    <n v="0.92"/>
    <n v="4.8099999999999996"/>
    <n v="96.199999999999989"/>
  </r>
  <r>
    <x v="2"/>
    <s v="1803456738"/>
    <x v="66"/>
    <x v="0"/>
    <x v="0"/>
    <x v="0"/>
    <x v="1"/>
    <x v="5"/>
    <n v="1.79"/>
    <n v="0"/>
    <n v="0.7"/>
    <n v="1"/>
    <n v="3.49"/>
    <n v="69.8"/>
  </r>
  <r>
    <x v="2"/>
    <s v="1723725642"/>
    <x v="67"/>
    <x v="0"/>
    <x v="0"/>
    <x v="0"/>
    <x v="0"/>
    <x v="10"/>
    <n v="1.68"/>
    <n v="1"/>
    <n v="1"/>
    <n v="1"/>
    <n v="4.68"/>
    <n v="93.6"/>
  </r>
  <r>
    <x v="2"/>
    <s v="0800839177"/>
    <x v="69"/>
    <x v="0"/>
    <x v="0"/>
    <x v="0"/>
    <x v="0"/>
    <x v="5"/>
    <n v="1.47"/>
    <n v="1"/>
    <n v="1"/>
    <n v="1"/>
    <n v="4.47"/>
    <n v="89.4"/>
  </r>
  <r>
    <x v="2"/>
    <s v="0802247734"/>
    <x v="71"/>
    <x v="0"/>
    <x v="0"/>
    <x v="0"/>
    <x v="0"/>
    <x v="22"/>
    <n v="1.73"/>
    <n v="0.92"/>
    <n v="0.91"/>
    <n v="1"/>
    <n v="4.5600000000000005"/>
    <n v="91.200000000000017"/>
  </r>
  <r>
    <x v="2"/>
    <s v="0802524082"/>
    <x v="72"/>
    <x v="0"/>
    <x v="0"/>
    <x v="0"/>
    <x v="0"/>
    <x v="3"/>
    <n v="1.79"/>
    <n v="1"/>
    <n v="1"/>
    <n v="1"/>
    <n v="4.79"/>
    <n v="95.8"/>
  </r>
  <r>
    <x v="2"/>
    <s v="0802202853"/>
    <x v="73"/>
    <x v="0"/>
    <x v="0"/>
    <x v="0"/>
    <x v="0"/>
    <x v="9"/>
    <n v="1.77"/>
    <n v="1"/>
    <n v="1"/>
    <n v="1"/>
    <n v="4.7699999999999996"/>
    <n v="95.399999999999991"/>
  </r>
  <r>
    <x v="2"/>
    <s v="0801432998"/>
    <x v="75"/>
    <x v="0"/>
    <x v="0"/>
    <x v="0"/>
    <x v="0"/>
    <x v="11"/>
    <n v="1.83"/>
    <n v="0.99"/>
    <n v="0.97"/>
    <n v="0.94"/>
    <n v="4.7300000000000004"/>
    <n v="94.600000000000009"/>
  </r>
  <r>
    <x v="2"/>
    <s v="0801722778"/>
    <x v="76"/>
    <x v="0"/>
    <x v="0"/>
    <x v="0"/>
    <x v="0"/>
    <x v="7"/>
    <n v="1.79"/>
    <n v="1"/>
    <n v="0.94"/>
    <n v="1"/>
    <n v="4.7300000000000004"/>
    <n v="94.600000000000009"/>
  </r>
  <r>
    <x v="2"/>
    <s v="0802949651"/>
    <x v="189"/>
    <x v="1"/>
    <x v="0"/>
    <x v="0"/>
    <x v="0"/>
    <x v="7"/>
    <n v="1.87"/>
    <n v="1"/>
    <n v="0.94"/>
    <n v="1"/>
    <n v="4.8100000000000005"/>
    <n v="96.200000000000017"/>
  </r>
  <r>
    <x v="2"/>
    <s v="0803181858"/>
    <x v="77"/>
    <x v="0"/>
    <x v="0"/>
    <x v="0"/>
    <x v="1"/>
    <x v="22"/>
    <n v="1.96"/>
    <n v="1"/>
    <n v="1"/>
    <n v="1"/>
    <n v="4.96"/>
    <n v="99.2"/>
  </r>
  <r>
    <x v="2"/>
    <s v="0803489178"/>
    <x v="160"/>
    <x v="0"/>
    <x v="0"/>
    <x v="0"/>
    <x v="0"/>
    <x v="6"/>
    <n v="1.73"/>
    <n v="1"/>
    <n v="1"/>
    <n v="0.98"/>
    <n v="4.71"/>
    <n v="94.2"/>
  </r>
  <r>
    <x v="2"/>
    <s v="0802472969"/>
    <x v="78"/>
    <x v="1"/>
    <x v="0"/>
    <x v="0"/>
    <x v="0"/>
    <x v="8"/>
    <n v="1.89"/>
    <n v="0.99"/>
    <n v="0.97"/>
    <n v="1"/>
    <n v="4.8499999999999996"/>
    <n v="96.999999999999986"/>
  </r>
  <r>
    <x v="2"/>
    <s v="0802321364"/>
    <x v="79"/>
    <x v="0"/>
    <x v="0"/>
    <x v="0"/>
    <x v="1"/>
    <x v="5"/>
    <n v="1.81"/>
    <n v="1"/>
    <n v="0.9"/>
    <n v="0.8"/>
    <n v="4.51"/>
    <n v="90.2"/>
  </r>
  <r>
    <x v="2"/>
    <s v="0801394271"/>
    <x v="190"/>
    <x v="0"/>
    <x v="0"/>
    <x v="0"/>
    <x v="1"/>
    <x v="3"/>
    <n v="1.88"/>
    <n v="0"/>
    <n v="1"/>
    <n v="1"/>
    <n v="3.88"/>
    <n v="77.599999999999994"/>
  </r>
  <r>
    <x v="2"/>
    <s v="1802852572"/>
    <x v="80"/>
    <x v="1"/>
    <x v="0"/>
    <x v="0"/>
    <x v="0"/>
    <x v="4"/>
    <n v="1.44"/>
    <n v="1"/>
    <n v="0.89"/>
    <n v="0"/>
    <n v="3.33"/>
    <n v="66.599999999999994"/>
  </r>
  <r>
    <x v="2"/>
    <s v="1757374770"/>
    <x v="82"/>
    <x v="0"/>
    <x v="0"/>
    <x v="0"/>
    <x v="0"/>
    <x v="12"/>
    <n v="1.77"/>
    <n v="1"/>
    <n v="0.97"/>
    <n v="1"/>
    <n v="4.74"/>
    <n v="94.8"/>
  </r>
  <r>
    <x v="2"/>
    <s v="0803141803"/>
    <x v="191"/>
    <x v="1"/>
    <x v="0"/>
    <x v="0"/>
    <x v="2"/>
    <x v="0"/>
    <n v="1.55"/>
    <n v="0.6"/>
    <n v="0.88"/>
    <n v="0.8"/>
    <n v="3.83"/>
    <n v="76.599999999999994"/>
  </r>
  <r>
    <x v="2"/>
    <s v="0802490722"/>
    <x v="83"/>
    <x v="1"/>
    <x v="0"/>
    <x v="0"/>
    <x v="0"/>
    <x v="4"/>
    <n v="1.71"/>
    <n v="1"/>
    <n v="0.95"/>
    <n v="0.96"/>
    <n v="4.62"/>
    <n v="92.4"/>
  </r>
  <r>
    <x v="2"/>
    <s v="0802460782"/>
    <x v="84"/>
    <x v="1"/>
    <x v="0"/>
    <x v="0"/>
    <x v="0"/>
    <x v="0"/>
    <n v="1.76"/>
    <n v="0"/>
    <n v="0.98"/>
    <n v="0.97"/>
    <n v="3.71"/>
    <n v="74.2"/>
  </r>
  <r>
    <x v="2"/>
    <s v="0802779389"/>
    <x v="192"/>
    <x v="0"/>
    <x v="0"/>
    <x v="0"/>
    <x v="1"/>
    <x v="17"/>
    <n v="1.25"/>
    <n v="0.94"/>
    <n v="0.8"/>
    <n v="1"/>
    <n v="3.99"/>
    <n v="79.8"/>
  </r>
  <r>
    <x v="2"/>
    <s v="0803468107"/>
    <x v="85"/>
    <x v="0"/>
    <x v="0"/>
    <x v="0"/>
    <x v="0"/>
    <x v="15"/>
    <n v="1.64"/>
    <n v="1"/>
    <n v="1"/>
    <n v="0.96"/>
    <n v="4.5999999999999996"/>
    <n v="91.999999999999986"/>
  </r>
  <r>
    <x v="2"/>
    <s v="0802608141"/>
    <x v="86"/>
    <x v="1"/>
    <x v="0"/>
    <x v="2"/>
    <x v="1"/>
    <x v="5"/>
    <n v="1.58"/>
    <n v="1"/>
    <n v="0.98"/>
    <n v="0.97"/>
    <n v="4.53"/>
    <n v="90.6"/>
  </r>
  <r>
    <x v="2"/>
    <s v="0804154300"/>
    <x v="87"/>
    <x v="0"/>
    <x v="0"/>
    <x v="0"/>
    <x v="0"/>
    <x v="5"/>
    <n v="1.94"/>
    <n v="1"/>
    <n v="1"/>
    <n v="1"/>
    <n v="4.9399999999999995"/>
    <n v="98.799999999999983"/>
  </r>
  <r>
    <x v="2"/>
    <s v="0962373544"/>
    <x v="88"/>
    <x v="0"/>
    <x v="0"/>
    <x v="1"/>
    <x v="0"/>
    <x v="5"/>
    <n v="1.7"/>
    <n v="1"/>
    <n v="1"/>
    <n v="1"/>
    <n v="4.7"/>
    <n v="94"/>
  </r>
  <r>
    <x v="2"/>
    <s v="1805004338"/>
    <x v="193"/>
    <x v="1"/>
    <x v="0"/>
    <x v="0"/>
    <x v="0"/>
    <x v="7"/>
    <n v="1.96"/>
    <n v="1"/>
    <n v="0.94"/>
    <n v="1"/>
    <n v="4.9000000000000004"/>
    <n v="98.000000000000014"/>
  </r>
  <r>
    <x v="2"/>
    <s v="0803036672"/>
    <x v="90"/>
    <x v="0"/>
    <x v="0"/>
    <x v="0"/>
    <x v="1"/>
    <x v="5"/>
    <n v="1.98"/>
    <n v="0.98"/>
    <n v="0.99"/>
    <n v="1"/>
    <n v="4.95"/>
    <n v="99"/>
  </r>
  <r>
    <x v="2"/>
    <s v="0801601790"/>
    <x v="92"/>
    <x v="0"/>
    <x v="0"/>
    <x v="0"/>
    <x v="0"/>
    <x v="3"/>
    <n v="1.84"/>
    <n v="0.99"/>
    <n v="1"/>
    <n v="1"/>
    <n v="4.83"/>
    <n v="96.6"/>
  </r>
  <r>
    <x v="2"/>
    <s v="0915138614"/>
    <x v="93"/>
    <x v="0"/>
    <x v="0"/>
    <x v="0"/>
    <x v="0"/>
    <x v="12"/>
    <n v="1.89"/>
    <n v="0.99"/>
    <n v="0.97"/>
    <n v="1"/>
    <n v="4.8499999999999996"/>
    <n v="96.999999999999986"/>
  </r>
  <r>
    <x v="2"/>
    <s v="0962929295"/>
    <x v="94"/>
    <x v="0"/>
    <x v="0"/>
    <x v="1"/>
    <x v="0"/>
    <x v="22"/>
    <n v="1.78"/>
    <n v="1"/>
    <n v="0.95"/>
    <n v="1"/>
    <n v="4.7300000000000004"/>
    <n v="94.600000000000009"/>
  </r>
  <r>
    <x v="2"/>
    <s v="0802616730"/>
    <x v="95"/>
    <x v="1"/>
    <x v="0"/>
    <x v="1"/>
    <x v="0"/>
    <x v="4"/>
    <n v="1.81"/>
    <n v="0.99"/>
    <n v="1"/>
    <n v="1"/>
    <n v="4.8"/>
    <n v="96"/>
  </r>
  <r>
    <x v="2"/>
    <s v="0802937011"/>
    <x v="96"/>
    <x v="0"/>
    <x v="0"/>
    <x v="0"/>
    <x v="2"/>
    <x v="5"/>
    <n v="1.64"/>
    <n v="1"/>
    <n v="1"/>
    <n v="0.79"/>
    <n v="4.43"/>
    <n v="88.6"/>
  </r>
  <r>
    <x v="2"/>
    <s v="0801762469"/>
    <x v="97"/>
    <x v="1"/>
    <x v="0"/>
    <x v="0"/>
    <x v="1"/>
    <x v="4"/>
    <n v="1.82"/>
    <n v="1"/>
    <n v="0.82"/>
    <n v="1"/>
    <n v="4.6400000000000006"/>
    <n v="92.800000000000011"/>
  </r>
  <r>
    <x v="2"/>
    <s v="1756903751"/>
    <x v="194"/>
    <x v="1"/>
    <x v="0"/>
    <x v="2"/>
    <x v="1"/>
    <x v="5"/>
    <n v="1.82"/>
    <n v="0"/>
    <n v="0.86"/>
    <n v="1"/>
    <n v="3.68"/>
    <n v="73.599999999999994"/>
  </r>
  <r>
    <x v="2"/>
    <s v="0801905837"/>
    <x v="99"/>
    <x v="1"/>
    <x v="0"/>
    <x v="0"/>
    <x v="0"/>
    <x v="4"/>
    <n v="1.85"/>
    <n v="1"/>
    <n v="0.97"/>
    <n v="0.97"/>
    <n v="4.79"/>
    <n v="95.8"/>
  </r>
  <r>
    <x v="2"/>
    <s v="1756846521"/>
    <x v="100"/>
    <x v="0"/>
    <x v="0"/>
    <x v="0"/>
    <x v="0"/>
    <x v="5"/>
    <n v="1.71"/>
    <n v="1"/>
    <n v="1"/>
    <n v="1"/>
    <n v="4.71"/>
    <n v="94.2"/>
  </r>
  <r>
    <x v="2"/>
    <s v="0603230269"/>
    <x v="163"/>
    <x v="1"/>
    <x v="0"/>
    <x v="0"/>
    <x v="0"/>
    <x v="22"/>
    <n v="1.8"/>
    <n v="0.96"/>
    <n v="0.94"/>
    <n v="1"/>
    <n v="4.6999999999999993"/>
    <n v="93.999999999999986"/>
  </r>
  <r>
    <x v="2"/>
    <s v="1757398837"/>
    <x v="101"/>
    <x v="1"/>
    <x v="0"/>
    <x v="0"/>
    <x v="0"/>
    <x v="5"/>
    <n v="1.76"/>
    <n v="1"/>
    <n v="0.94"/>
    <n v="1"/>
    <n v="4.6999999999999993"/>
    <n v="93.999999999999986"/>
  </r>
  <r>
    <x v="2"/>
    <s v="0603274846"/>
    <x v="102"/>
    <x v="1"/>
    <x v="0"/>
    <x v="0"/>
    <x v="1"/>
    <x v="6"/>
    <n v="1.82"/>
    <n v="0"/>
    <n v="0.97"/>
    <n v="1"/>
    <n v="3.79"/>
    <n v="75.8"/>
  </r>
  <r>
    <x v="2"/>
    <s v="0803466846"/>
    <x v="195"/>
    <x v="1"/>
    <x v="0"/>
    <x v="0"/>
    <x v="0"/>
    <x v="12"/>
    <n v="1.91"/>
    <n v="1"/>
    <n v="1"/>
    <n v="0.97"/>
    <n v="4.88"/>
    <n v="97.6"/>
  </r>
  <r>
    <x v="2"/>
    <s v="0802309286"/>
    <x v="196"/>
    <x v="1"/>
    <x v="0"/>
    <x v="0"/>
    <x v="1"/>
    <x v="3"/>
    <n v="1.66"/>
    <n v="0"/>
    <n v="1"/>
    <n v="1"/>
    <n v="3.66"/>
    <n v="73.2"/>
  </r>
  <r>
    <x v="2"/>
    <s v="0800924011"/>
    <x v="103"/>
    <x v="1"/>
    <x v="0"/>
    <x v="0"/>
    <x v="0"/>
    <x v="5"/>
    <n v="1.51"/>
    <n v="1"/>
    <n v="1"/>
    <n v="1"/>
    <n v="4.51"/>
    <n v="90.2"/>
  </r>
  <r>
    <x v="2"/>
    <s v="1720814373"/>
    <x v="105"/>
    <x v="1"/>
    <x v="0"/>
    <x v="0"/>
    <x v="1"/>
    <x v="10"/>
    <n v="1.86"/>
    <n v="1"/>
    <n v="1"/>
    <n v="0.8"/>
    <n v="4.66"/>
    <n v="93.2"/>
  </r>
  <r>
    <x v="2"/>
    <s v="0801628207"/>
    <x v="107"/>
    <x v="1"/>
    <x v="0"/>
    <x v="0"/>
    <x v="0"/>
    <x v="4"/>
    <n v="1.41"/>
    <n v="1"/>
    <n v="0.97"/>
    <n v="1"/>
    <n v="4.38"/>
    <n v="87.6"/>
  </r>
  <r>
    <x v="2"/>
    <s v="0802662726"/>
    <x v="108"/>
    <x v="1"/>
    <x v="0"/>
    <x v="0"/>
    <x v="0"/>
    <x v="5"/>
    <n v="1.72"/>
    <n v="1"/>
    <n v="1"/>
    <n v="1"/>
    <n v="4.72"/>
    <n v="94.4"/>
  </r>
  <r>
    <x v="2"/>
    <s v="0302185053"/>
    <x v="197"/>
    <x v="1"/>
    <x v="0"/>
    <x v="0"/>
    <x v="1"/>
    <x v="6"/>
    <n v="2"/>
    <n v="0"/>
    <n v="1"/>
    <n v="1"/>
    <n v="4"/>
    <n v="80"/>
  </r>
  <r>
    <x v="2"/>
    <s v="1755930375"/>
    <x v="110"/>
    <x v="0"/>
    <x v="0"/>
    <x v="1"/>
    <x v="0"/>
    <x v="12"/>
    <n v="1.84"/>
    <n v="1"/>
    <n v="1"/>
    <n v="1"/>
    <n v="4.84"/>
    <n v="96.8"/>
  </r>
  <r>
    <x v="2"/>
    <s v="0501389217"/>
    <x v="198"/>
    <x v="0"/>
    <x v="0"/>
    <x v="0"/>
    <x v="0"/>
    <x v="6"/>
    <n v="1.78"/>
    <n v="1"/>
    <n v="1"/>
    <n v="1"/>
    <n v="4.78"/>
    <n v="95.6"/>
  </r>
  <r>
    <x v="2"/>
    <s v="0803231745"/>
    <x v="199"/>
    <x v="0"/>
    <x v="0"/>
    <x v="0"/>
    <x v="1"/>
    <x v="7"/>
    <n v="1.93"/>
    <n v="0.91"/>
    <n v="0.94"/>
    <n v="1"/>
    <n v="4.7799999999999994"/>
    <n v="95.6"/>
  </r>
  <r>
    <x v="2"/>
    <s v="0801466277"/>
    <x v="112"/>
    <x v="0"/>
    <x v="0"/>
    <x v="0"/>
    <x v="1"/>
    <x v="5"/>
    <n v="1.82"/>
    <n v="1"/>
    <n v="0.89"/>
    <n v="0.91"/>
    <n v="4.62"/>
    <n v="92.4"/>
  </r>
  <r>
    <x v="2"/>
    <s v="1721571709"/>
    <x v="113"/>
    <x v="1"/>
    <x v="0"/>
    <x v="0"/>
    <x v="0"/>
    <x v="15"/>
    <n v="1.65"/>
    <n v="0.99"/>
    <n v="0.77"/>
    <n v="1"/>
    <n v="4.41"/>
    <n v="88.2"/>
  </r>
  <r>
    <x v="2"/>
    <s v="0850953803"/>
    <x v="200"/>
    <x v="0"/>
    <x v="0"/>
    <x v="2"/>
    <x v="0"/>
    <x v="5"/>
    <n v="1.89"/>
    <n v="0"/>
    <n v="1"/>
    <n v="1"/>
    <n v="3.8899999999999997"/>
    <n v="77.799999999999983"/>
  </r>
  <r>
    <x v="2"/>
    <s v="0804012300"/>
    <x v="201"/>
    <x v="0"/>
    <x v="0"/>
    <x v="0"/>
    <x v="1"/>
    <x v="2"/>
    <n v="2"/>
    <n v="1"/>
    <n v="0.97"/>
    <n v="0.97"/>
    <n v="4.9399999999999995"/>
    <n v="98.799999999999983"/>
  </r>
  <r>
    <x v="2"/>
    <s v="0804315661"/>
    <x v="164"/>
    <x v="0"/>
    <x v="0"/>
    <x v="0"/>
    <x v="0"/>
    <x v="5"/>
    <n v="1.79"/>
    <n v="0.92"/>
    <n v="1"/>
    <n v="0.93"/>
    <n v="4.6399999999999997"/>
    <n v="92.799999999999983"/>
  </r>
  <r>
    <x v="2"/>
    <s v="0802546143"/>
    <x v="202"/>
    <x v="1"/>
    <x v="0"/>
    <x v="0"/>
    <x v="1"/>
    <x v="3"/>
    <n v="1.88"/>
    <n v="1"/>
    <n v="1"/>
    <n v="1"/>
    <n v="4.88"/>
    <n v="97.6"/>
  </r>
  <r>
    <x v="2"/>
    <s v="1313288829"/>
    <x v="203"/>
    <x v="1"/>
    <x v="0"/>
    <x v="2"/>
    <x v="1"/>
    <x v="5"/>
    <n v="1.8"/>
    <n v="0"/>
    <n v="0.84"/>
    <n v="1"/>
    <n v="3.64"/>
    <n v="72.8"/>
  </r>
  <r>
    <x v="2"/>
    <s v="0801762345"/>
    <x v="116"/>
    <x v="1"/>
    <x v="0"/>
    <x v="0"/>
    <x v="1"/>
    <x v="4"/>
    <n v="1.77"/>
    <n v="1"/>
    <n v="1"/>
    <n v="1"/>
    <n v="4.7699999999999996"/>
    <n v="95.399999999999991"/>
  </r>
  <r>
    <x v="2"/>
    <s v="0802761676"/>
    <x v="118"/>
    <x v="0"/>
    <x v="0"/>
    <x v="0"/>
    <x v="1"/>
    <x v="7"/>
    <n v="1.57"/>
    <n v="1"/>
    <n v="0.94"/>
    <n v="1"/>
    <n v="4.51"/>
    <n v="90.2"/>
  </r>
  <r>
    <x v="2"/>
    <s v="1600947624"/>
    <x v="204"/>
    <x v="0"/>
    <x v="0"/>
    <x v="0"/>
    <x v="0"/>
    <x v="22"/>
    <n v="1.77"/>
    <n v="0.99"/>
    <n v="1"/>
    <n v="1"/>
    <n v="4.76"/>
    <n v="95.2"/>
  </r>
  <r>
    <x v="2"/>
    <s v="0801772278"/>
    <x v="166"/>
    <x v="1"/>
    <x v="0"/>
    <x v="0"/>
    <x v="0"/>
    <x v="11"/>
    <n v="1.78"/>
    <n v="1"/>
    <n v="0.97"/>
    <n v="0.72"/>
    <n v="4.47"/>
    <n v="89.4"/>
  </r>
  <r>
    <x v="2"/>
    <s v="0603231101"/>
    <x v="125"/>
    <x v="0"/>
    <x v="0"/>
    <x v="0"/>
    <x v="0"/>
    <x v="10"/>
    <n v="1.63"/>
    <n v="0.8"/>
    <n v="0.91"/>
    <n v="0.92"/>
    <n v="4.26"/>
    <n v="85.2"/>
  </r>
  <r>
    <x v="2"/>
    <s v="0301435012"/>
    <x v="126"/>
    <x v="1"/>
    <x v="0"/>
    <x v="1"/>
    <x v="0"/>
    <x v="4"/>
    <n v="1.4"/>
    <n v="1"/>
    <n v="0.98"/>
    <n v="0.85"/>
    <n v="4.2299999999999995"/>
    <n v="84.6"/>
  </r>
  <r>
    <x v="2"/>
    <s v="1721366399"/>
    <x v="127"/>
    <x v="1"/>
    <x v="0"/>
    <x v="0"/>
    <x v="0"/>
    <x v="10"/>
    <n v="1.88"/>
    <n v="1"/>
    <n v="1"/>
    <n v="0.79"/>
    <n v="4.67"/>
    <n v="93.4"/>
  </r>
  <r>
    <x v="2"/>
    <s v="0105998181"/>
    <x v="128"/>
    <x v="1"/>
    <x v="0"/>
    <x v="0"/>
    <x v="0"/>
    <x v="6"/>
    <n v="1.76"/>
    <n v="0.99"/>
    <n v="1"/>
    <n v="1"/>
    <n v="4.75"/>
    <n v="95"/>
  </r>
  <r>
    <x v="2"/>
    <s v="0802912832"/>
    <x v="129"/>
    <x v="0"/>
    <x v="0"/>
    <x v="0"/>
    <x v="0"/>
    <x v="15"/>
    <n v="1.61"/>
    <n v="1"/>
    <n v="0.97"/>
    <n v="0.96"/>
    <n v="4.54"/>
    <n v="90.8"/>
  </r>
  <r>
    <x v="2"/>
    <s v="0801853904"/>
    <x v="130"/>
    <x v="0"/>
    <x v="0"/>
    <x v="0"/>
    <x v="0"/>
    <x v="11"/>
    <n v="1.69"/>
    <n v="1"/>
    <n v="0.97"/>
    <n v="0.98"/>
    <n v="4.6400000000000006"/>
    <n v="92.800000000000011"/>
  </r>
  <r>
    <x v="2"/>
    <s v="0803103845"/>
    <x v="205"/>
    <x v="0"/>
    <x v="0"/>
    <x v="0"/>
    <x v="1"/>
    <x v="3"/>
    <n v="2"/>
    <n v="0.98"/>
    <n v="1"/>
    <n v="1"/>
    <n v="4.9800000000000004"/>
    <n v="99.600000000000009"/>
  </r>
  <r>
    <x v="2"/>
    <s v="0801165317"/>
    <x v="131"/>
    <x v="0"/>
    <x v="0"/>
    <x v="0"/>
    <x v="0"/>
    <x v="5"/>
    <n v="1.84"/>
    <n v="1"/>
    <n v="0.97"/>
    <n v="1"/>
    <n v="4.8099999999999996"/>
    <n v="96.199999999999989"/>
  </r>
  <r>
    <x v="2"/>
    <s v="1757374788"/>
    <x v="132"/>
    <x v="1"/>
    <x v="0"/>
    <x v="0"/>
    <x v="0"/>
    <x v="5"/>
    <n v="1.83"/>
    <n v="1"/>
    <n v="1"/>
    <n v="1"/>
    <n v="4.83"/>
    <n v="96.6"/>
  </r>
  <r>
    <x v="2"/>
    <s v="0800346215"/>
    <x v="206"/>
    <x v="1"/>
    <x v="0"/>
    <x v="2"/>
    <x v="1"/>
    <x v="5"/>
    <n v="1.61"/>
    <n v="1"/>
    <n v="0.91"/>
    <n v="0.9"/>
    <n v="4.4200000000000008"/>
    <n v="88.4"/>
  </r>
  <r>
    <x v="2"/>
    <s v="0800626913"/>
    <x v="134"/>
    <x v="0"/>
    <x v="0"/>
    <x v="0"/>
    <x v="1"/>
    <x v="0"/>
    <n v="1.86"/>
    <n v="0.99"/>
    <n v="0.94"/>
    <n v="1"/>
    <n v="4.79"/>
    <n v="95.8"/>
  </r>
  <r>
    <x v="2"/>
    <s v="0802806067"/>
    <x v="207"/>
    <x v="0"/>
    <x v="0"/>
    <x v="0"/>
    <x v="1"/>
    <x v="3"/>
    <n v="1.91"/>
    <n v="0.98"/>
    <n v="1"/>
    <n v="1"/>
    <n v="4.8899999999999997"/>
    <n v="97.799999999999983"/>
  </r>
  <r>
    <x v="2"/>
    <s v="0801415126"/>
    <x v="135"/>
    <x v="0"/>
    <x v="0"/>
    <x v="0"/>
    <x v="0"/>
    <x v="5"/>
    <n v="1.63"/>
    <n v="1"/>
    <n v="1"/>
    <n v="0.97"/>
    <n v="4.5999999999999996"/>
    <n v="91.999999999999986"/>
  </r>
  <r>
    <x v="2"/>
    <s v="0802155770"/>
    <x v="208"/>
    <x v="0"/>
    <x v="0"/>
    <x v="0"/>
    <x v="1"/>
    <x v="3"/>
    <n v="1.94"/>
    <n v="0.94"/>
    <n v="1"/>
    <n v="1"/>
    <n v="4.88"/>
    <n v="97.6"/>
  </r>
  <r>
    <x v="2"/>
    <s v="0802223719"/>
    <x v="137"/>
    <x v="1"/>
    <x v="0"/>
    <x v="0"/>
    <x v="1"/>
    <x v="3"/>
    <n v="1.85"/>
    <n v="0.97"/>
    <n v="1"/>
    <n v="1"/>
    <n v="4.82"/>
    <n v="96.4"/>
  </r>
  <r>
    <x v="2"/>
    <s v="1716654296"/>
    <x v="138"/>
    <x v="1"/>
    <x v="0"/>
    <x v="0"/>
    <x v="1"/>
    <x v="7"/>
    <n v="1.88"/>
    <n v="0.88"/>
    <n v="0.94"/>
    <n v="1"/>
    <n v="4.6999999999999993"/>
    <n v="93.999999999999986"/>
  </r>
  <r>
    <x v="2"/>
    <s v="1708222409"/>
    <x v="139"/>
    <x v="1"/>
    <x v="0"/>
    <x v="0"/>
    <x v="1"/>
    <x v="7"/>
    <n v="1.75"/>
    <n v="1"/>
    <n v="1"/>
    <n v="1"/>
    <n v="4.75"/>
    <n v="95"/>
  </r>
  <r>
    <x v="2"/>
    <s v="0802464032"/>
    <x v="140"/>
    <x v="0"/>
    <x v="0"/>
    <x v="0"/>
    <x v="0"/>
    <x v="22"/>
    <n v="1.72"/>
    <n v="0.99"/>
    <n v="0.92"/>
    <n v="0.96"/>
    <n v="4.59"/>
    <n v="91.8"/>
  </r>
  <r>
    <x v="2"/>
    <s v="1313623116"/>
    <x v="209"/>
    <x v="0"/>
    <x v="0"/>
    <x v="0"/>
    <x v="1"/>
    <x v="2"/>
    <n v="2"/>
    <n v="1"/>
    <n v="0.9"/>
    <n v="1"/>
    <n v="4.9000000000000004"/>
    <n v="98.000000000000014"/>
  </r>
  <r>
    <x v="2"/>
    <s v="0801574864"/>
    <x v="141"/>
    <x v="0"/>
    <x v="0"/>
    <x v="1"/>
    <x v="0"/>
    <x v="0"/>
    <n v="1.9"/>
    <n v="0.99"/>
    <n v="1"/>
    <n v="0.97"/>
    <n v="4.8599999999999994"/>
    <n v="97.199999999999989"/>
  </r>
  <r>
    <x v="2"/>
    <s v="1804326534"/>
    <x v="142"/>
    <x v="1"/>
    <x v="0"/>
    <x v="0"/>
    <x v="0"/>
    <x v="4"/>
    <n v="1.86"/>
    <n v="0.98"/>
    <n v="0.97"/>
    <n v="1"/>
    <n v="4.8099999999999996"/>
    <n v="96.199999999999989"/>
  </r>
  <r>
    <x v="2"/>
    <s v="0803041656"/>
    <x v="210"/>
    <x v="0"/>
    <x v="0"/>
    <x v="2"/>
    <x v="1"/>
    <x v="23"/>
    <n v="1.76"/>
    <n v="1"/>
    <n v="0.94"/>
    <n v="1"/>
    <n v="4.6999999999999993"/>
    <n v="93.999999999999986"/>
  </r>
  <r>
    <x v="2"/>
    <s v="0801539495"/>
    <x v="168"/>
    <x v="0"/>
    <x v="0"/>
    <x v="0"/>
    <x v="1"/>
    <x v="7"/>
    <n v="1.5"/>
    <n v="1"/>
    <n v="1"/>
    <n v="1"/>
    <n v="4.5"/>
    <n v="90"/>
  </r>
  <r>
    <x v="2"/>
    <s v="1757108871"/>
    <x v="146"/>
    <x v="0"/>
    <x v="0"/>
    <x v="0"/>
    <x v="0"/>
    <x v="8"/>
    <n v="1.87"/>
    <n v="0.99"/>
    <n v="0.97"/>
    <n v="1"/>
    <n v="4.83"/>
    <n v="96.6"/>
  </r>
  <r>
    <x v="2"/>
    <s v="0803129360"/>
    <x v="147"/>
    <x v="0"/>
    <x v="0"/>
    <x v="0"/>
    <x v="2"/>
    <x v="15"/>
    <n v="1.63"/>
    <n v="0.97"/>
    <n v="0.94"/>
    <n v="0.93"/>
    <n v="4.47"/>
    <n v="89.4"/>
  </r>
  <r>
    <x v="2"/>
    <s v="0801187089"/>
    <x v="148"/>
    <x v="0"/>
    <x v="0"/>
    <x v="0"/>
    <x v="0"/>
    <x v="5"/>
    <n v="1.75"/>
    <n v="1"/>
    <n v="0.94"/>
    <n v="1"/>
    <n v="4.6899999999999995"/>
    <n v="93.799999999999983"/>
  </r>
  <r>
    <x v="2"/>
    <s v="0801966748"/>
    <x v="151"/>
    <x v="0"/>
    <x v="0"/>
    <x v="0"/>
    <x v="1"/>
    <x v="22"/>
    <n v="1.7"/>
    <n v="0"/>
    <n v="1"/>
    <n v="1"/>
    <n v="3.7"/>
    <n v="74"/>
  </r>
  <r>
    <x v="2"/>
    <s v="0801752296"/>
    <x v="153"/>
    <x v="0"/>
    <x v="0"/>
    <x v="0"/>
    <x v="0"/>
    <x v="6"/>
    <n v="1.89"/>
    <n v="1"/>
    <n v="1"/>
    <n v="1"/>
    <n v="4.8899999999999997"/>
    <n v="97.799999999999983"/>
  </r>
  <r>
    <x v="2"/>
    <s v="0800751232"/>
    <x v="211"/>
    <x v="1"/>
    <x v="0"/>
    <x v="0"/>
    <x v="1"/>
    <x v="3"/>
    <n v="1.81"/>
    <n v="0"/>
    <n v="1"/>
    <n v="1"/>
    <n v="3.81"/>
    <n v="76.2"/>
  </r>
  <r>
    <x v="2"/>
    <s v="0803484161"/>
    <x v="169"/>
    <x v="0"/>
    <x v="0"/>
    <x v="0"/>
    <x v="0"/>
    <x v="22"/>
    <n v="1.84"/>
    <n v="1"/>
    <n v="1"/>
    <n v="1"/>
    <n v="4.84"/>
    <n v="96.8"/>
  </r>
  <r>
    <x v="3"/>
    <m/>
    <x v="212"/>
    <x v="2"/>
    <x v="2"/>
    <x v="4"/>
    <x v="3"/>
    <x v="2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CA235-F583-49FC-A82A-58C27C6E5630}" name="TablaDinámica3" cacheId="7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F158" firstHeaderRow="0" firstDataRow="1" firstDataCol="1"/>
  <pivotFields count="14">
    <pivotField axis="axisRow" showAll="0">
      <items count="225">
        <item x="0"/>
        <item m="1" x="154"/>
        <item x="1"/>
        <item x="2"/>
        <item x="3"/>
        <item x="4"/>
        <item x="5"/>
        <item m="1" x="155"/>
        <item m="1" x="156"/>
        <item m="1" x="157"/>
        <item x="8"/>
        <item x="9"/>
        <item x="10"/>
        <item m="1" x="158"/>
        <item x="11"/>
        <item x="12"/>
        <item x="13"/>
        <item x="14"/>
        <item m="1" x="159"/>
        <item m="1" x="160"/>
        <item m="1" x="161"/>
        <item m="1" x="162"/>
        <item x="16"/>
        <item m="1" x="163"/>
        <item x="17"/>
        <item x="18"/>
        <item x="19"/>
        <item m="1" x="164"/>
        <item x="20"/>
        <item x="21"/>
        <item x="22"/>
        <item m="1" x="165"/>
        <item x="23"/>
        <item m="1" x="166"/>
        <item x="24"/>
        <item m="1" x="167"/>
        <item m="1" x="168"/>
        <item x="25"/>
        <item m="1" x="169"/>
        <item x="26"/>
        <item x="27"/>
        <item x="28"/>
        <item x="29"/>
        <item m="1" x="170"/>
        <item x="31"/>
        <item x="32"/>
        <item x="33"/>
        <item m="1" x="171"/>
        <item m="1" x="172"/>
        <item x="34"/>
        <item x="35"/>
        <item x="36"/>
        <item m="1" x="173"/>
        <item x="37"/>
        <item x="38"/>
        <item m="1" x="174"/>
        <item x="39"/>
        <item x="40"/>
        <item m="1" x="175"/>
        <item x="41"/>
        <item x="42"/>
        <item x="43"/>
        <item m="1" x="176"/>
        <item m="1" x="177"/>
        <item m="1" x="178"/>
        <item x="44"/>
        <item x="45"/>
        <item x="46"/>
        <item x="47"/>
        <item x="48"/>
        <item x="49"/>
        <item m="1" x="179"/>
        <item m="1" x="180"/>
        <item m="1" x="181"/>
        <item x="50"/>
        <item m="1" x="182"/>
        <item x="51"/>
        <item x="52"/>
        <item x="53"/>
        <item x="54"/>
        <item x="55"/>
        <item m="1" x="183"/>
        <item m="1" x="184"/>
        <item x="56"/>
        <item x="57"/>
        <item x="58"/>
        <item x="59"/>
        <item m="1" x="185"/>
        <item x="60"/>
        <item m="1" x="186"/>
        <item m="1" x="187"/>
        <item x="61"/>
        <item x="62"/>
        <item m="1" x="188"/>
        <item x="63"/>
        <item x="64"/>
        <item x="65"/>
        <item x="66"/>
        <item x="67"/>
        <item m="1" x="189"/>
        <item x="68"/>
        <item x="69"/>
        <item x="70"/>
        <item m="1" x="190"/>
        <item x="71"/>
        <item x="72"/>
        <item m="1" x="191"/>
        <item x="73"/>
        <item x="74"/>
        <item m="1" x="192"/>
        <item m="1" x="193"/>
        <item x="75"/>
        <item x="76"/>
        <item x="77"/>
        <item x="78"/>
        <item x="79"/>
        <item m="1" x="194"/>
        <item m="1" x="195"/>
        <item x="80"/>
        <item x="81"/>
        <item x="82"/>
        <item x="83"/>
        <item x="84"/>
        <item m="1" x="196"/>
        <item m="1" x="197"/>
        <item x="85"/>
        <item x="86"/>
        <item x="87"/>
        <item x="88"/>
        <item x="89"/>
        <item m="1" x="198"/>
        <item x="90"/>
        <item m="1" x="199"/>
        <item x="94"/>
        <item x="91"/>
        <item m="1" x="200"/>
        <item x="92"/>
        <item x="93"/>
        <item x="95"/>
        <item x="96"/>
        <item x="97"/>
        <item x="98"/>
        <item x="99"/>
        <item x="100"/>
        <item m="1" x="201"/>
        <item x="101"/>
        <item m="1" x="202"/>
        <item x="102"/>
        <item x="103"/>
        <item x="106"/>
        <item m="1" x="203"/>
        <item x="107"/>
        <item x="108"/>
        <item m="1" x="204"/>
        <item x="104"/>
        <item x="105"/>
        <item x="109"/>
        <item x="110"/>
        <item m="1" x="205"/>
        <item x="111"/>
        <item x="112"/>
        <item x="113"/>
        <item x="114"/>
        <item m="1" x="206"/>
        <item m="1" x="207"/>
        <item x="116"/>
        <item x="117"/>
        <item x="118"/>
        <item x="119"/>
        <item m="1" x="208"/>
        <item m="1" x="209"/>
        <item x="120"/>
        <item m="1" x="210"/>
        <item m="1" x="211"/>
        <item m="1" x="212"/>
        <item x="121"/>
        <item x="122"/>
        <item m="1" x="217"/>
        <item m="1" x="213"/>
        <item x="123"/>
        <item x="124"/>
        <item x="125"/>
        <item x="126"/>
        <item m="1" x="214"/>
        <item m="1" x="215"/>
        <item x="127"/>
        <item x="128"/>
        <item m="1" x="216"/>
        <item x="129"/>
        <item x="130"/>
        <item x="131"/>
        <item x="132"/>
        <item m="1" x="218"/>
        <item x="133"/>
        <item m="1" x="219"/>
        <item m="1" x="220"/>
        <item x="134"/>
        <item x="135"/>
        <item m="1" x="221"/>
        <item x="136"/>
        <item x="137"/>
        <item x="138"/>
        <item x="139"/>
        <item m="1" x="222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m="1" x="223"/>
        <item x="151"/>
        <item x="152"/>
        <item x="153"/>
        <item x="6"/>
        <item x="7"/>
        <item x="15"/>
        <item x="30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1">
    <field x="0"/>
  </rowFields>
  <rowItems count="155">
    <i>
      <x/>
    </i>
    <i>
      <x v="2"/>
    </i>
    <i>
      <x v="3"/>
    </i>
    <i>
      <x v="4"/>
    </i>
    <i>
      <x v="5"/>
    </i>
    <i>
      <x v="6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4"/>
    </i>
    <i>
      <x v="25"/>
    </i>
    <i>
      <x v="26"/>
    </i>
    <i>
      <x v="28"/>
    </i>
    <i>
      <x v="29"/>
    </i>
    <i>
      <x v="30"/>
    </i>
    <i>
      <x v="32"/>
    </i>
    <i>
      <x v="34"/>
    </i>
    <i>
      <x v="37"/>
    </i>
    <i>
      <x v="39"/>
    </i>
    <i>
      <x v="40"/>
    </i>
    <i>
      <x v="41"/>
    </i>
    <i>
      <x v="42"/>
    </i>
    <i>
      <x v="44"/>
    </i>
    <i>
      <x v="45"/>
    </i>
    <i>
      <x v="46"/>
    </i>
    <i>
      <x v="49"/>
    </i>
    <i>
      <x v="50"/>
    </i>
    <i>
      <x v="51"/>
    </i>
    <i>
      <x v="53"/>
    </i>
    <i>
      <x v="54"/>
    </i>
    <i>
      <x v="56"/>
    </i>
    <i>
      <x v="57"/>
    </i>
    <i>
      <x v="59"/>
    </i>
    <i>
      <x v="60"/>
    </i>
    <i>
      <x v="61"/>
    </i>
    <i>
      <x v="65"/>
    </i>
    <i>
      <x v="66"/>
    </i>
    <i>
      <x v="67"/>
    </i>
    <i>
      <x v="68"/>
    </i>
    <i>
      <x v="69"/>
    </i>
    <i>
      <x v="70"/>
    </i>
    <i>
      <x v="74"/>
    </i>
    <i>
      <x v="76"/>
    </i>
    <i>
      <x v="77"/>
    </i>
    <i>
      <x v="78"/>
    </i>
    <i>
      <x v="79"/>
    </i>
    <i>
      <x v="80"/>
    </i>
    <i>
      <x v="83"/>
    </i>
    <i>
      <x v="84"/>
    </i>
    <i>
      <x v="85"/>
    </i>
    <i>
      <x v="86"/>
    </i>
    <i>
      <x v="88"/>
    </i>
    <i>
      <x v="91"/>
    </i>
    <i>
      <x v="92"/>
    </i>
    <i>
      <x v="94"/>
    </i>
    <i>
      <x v="95"/>
    </i>
    <i>
      <x v="96"/>
    </i>
    <i>
      <x v="97"/>
    </i>
    <i>
      <x v="98"/>
    </i>
    <i>
      <x v="100"/>
    </i>
    <i>
      <x v="101"/>
    </i>
    <i>
      <x v="102"/>
    </i>
    <i>
      <x v="104"/>
    </i>
    <i>
      <x v="105"/>
    </i>
    <i>
      <x v="107"/>
    </i>
    <i>
      <x v="108"/>
    </i>
    <i>
      <x v="111"/>
    </i>
    <i>
      <x v="112"/>
    </i>
    <i>
      <x v="113"/>
    </i>
    <i>
      <x v="114"/>
    </i>
    <i>
      <x v="115"/>
    </i>
    <i>
      <x v="118"/>
    </i>
    <i>
      <x v="119"/>
    </i>
    <i>
      <x v="120"/>
    </i>
    <i>
      <x v="121"/>
    </i>
    <i>
      <x v="122"/>
    </i>
    <i>
      <x v="125"/>
    </i>
    <i>
      <x v="126"/>
    </i>
    <i>
      <x v="127"/>
    </i>
    <i>
      <x v="128"/>
    </i>
    <i>
      <x v="129"/>
    </i>
    <i>
      <x v="131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5"/>
    </i>
    <i>
      <x v="147"/>
    </i>
    <i>
      <x v="148"/>
    </i>
    <i>
      <x v="149"/>
    </i>
    <i>
      <x v="151"/>
    </i>
    <i>
      <x v="152"/>
    </i>
    <i>
      <x v="154"/>
    </i>
    <i>
      <x v="155"/>
    </i>
    <i>
      <x v="156"/>
    </i>
    <i>
      <x v="157"/>
    </i>
    <i>
      <x v="159"/>
    </i>
    <i>
      <x v="160"/>
    </i>
    <i>
      <x v="161"/>
    </i>
    <i>
      <x v="162"/>
    </i>
    <i>
      <x v="165"/>
    </i>
    <i>
      <x v="166"/>
    </i>
    <i>
      <x v="167"/>
    </i>
    <i>
      <x v="168"/>
    </i>
    <i>
      <x v="171"/>
    </i>
    <i>
      <x v="175"/>
    </i>
    <i>
      <x v="176"/>
    </i>
    <i>
      <x v="179"/>
    </i>
    <i>
      <x v="180"/>
    </i>
    <i>
      <x v="181"/>
    </i>
    <i>
      <x v="182"/>
    </i>
    <i>
      <x v="185"/>
    </i>
    <i>
      <x v="186"/>
    </i>
    <i>
      <x v="188"/>
    </i>
    <i>
      <x v="189"/>
    </i>
    <i>
      <x v="190"/>
    </i>
    <i>
      <x v="191"/>
    </i>
    <i>
      <x v="193"/>
    </i>
    <i>
      <x v="196"/>
    </i>
    <i>
      <x v="197"/>
    </i>
    <i>
      <x v="199"/>
    </i>
    <i>
      <x v="200"/>
    </i>
    <i>
      <x v="201"/>
    </i>
    <i>
      <x v="202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Estud a Doc" fld="8" baseField="0" baseItem="0"/>
    <dataField name="Suma de Coord a Docente" fld="10" baseField="0" baseItem="0"/>
    <dataField name="Suma de Autoeval" fld="9" baseField="0" baseItem="0"/>
    <dataField name="Suma de Eval pares" fld="11" baseField="0" baseItem="0"/>
    <dataField name="Suma de TOTAL SOBRE 100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DFB3B-3825-4678-B905-DA71406EA51D}" name="TablaDinámica7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J158" firstHeaderRow="0" firstDataRow="1" firstDataCol="5" rowPageCount="1" colPageCount="1"/>
  <pivotFields count="14">
    <pivotField axis="axisPage" outline="0" multipleItemSelectionAllowed="1" showAll="0" defaultSubtotal="0">
      <items count="4">
        <item x="0"/>
        <item h="1" x="2"/>
        <item h="1" x="1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13">
        <item x="0"/>
        <item x="1"/>
        <item x="2"/>
        <item x="3"/>
        <item x="4"/>
        <item x="5"/>
        <item x="6"/>
        <item x="154"/>
        <item x="170"/>
        <item x="7"/>
        <item x="155"/>
        <item x="171"/>
        <item x="8"/>
        <item x="9"/>
        <item x="10"/>
        <item x="172"/>
        <item x="11"/>
        <item x="173"/>
        <item x="12"/>
        <item x="13"/>
        <item x="14"/>
        <item x="15"/>
        <item x="174"/>
        <item x="156"/>
        <item x="16"/>
        <item x="157"/>
        <item x="17"/>
        <item x="18"/>
        <item x="19"/>
        <item x="20"/>
        <item x="21"/>
        <item x="22"/>
        <item x="175"/>
        <item x="23"/>
        <item x="24"/>
        <item x="176"/>
        <item x="177"/>
        <item x="178"/>
        <item x="25"/>
        <item x="179"/>
        <item x="26"/>
        <item x="27"/>
        <item x="28"/>
        <item x="29"/>
        <item x="30"/>
        <item x="31"/>
        <item x="180"/>
        <item x="158"/>
        <item x="32"/>
        <item x="33"/>
        <item x="181"/>
        <item x="182"/>
        <item x="34"/>
        <item x="35"/>
        <item x="183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184"/>
        <item x="48"/>
        <item x="159"/>
        <item x="49"/>
        <item x="185"/>
        <item x="186"/>
        <item x="187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88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189"/>
        <item x="77"/>
        <item x="160"/>
        <item x="78"/>
        <item x="79"/>
        <item x="190"/>
        <item x="80"/>
        <item x="81"/>
        <item x="82"/>
        <item x="191"/>
        <item x="83"/>
        <item x="84"/>
        <item x="192"/>
        <item x="85"/>
        <item x="86"/>
        <item x="161"/>
        <item x="87"/>
        <item x="88"/>
        <item x="193"/>
        <item x="89"/>
        <item x="90"/>
        <item x="94"/>
        <item x="91"/>
        <item x="92"/>
        <item x="93"/>
        <item x="95"/>
        <item x="162"/>
        <item x="96"/>
        <item x="97"/>
        <item x="194"/>
        <item x="98"/>
        <item x="99"/>
        <item x="100"/>
        <item x="163"/>
        <item x="101"/>
        <item x="102"/>
        <item x="195"/>
        <item x="196"/>
        <item x="103"/>
        <item x="106"/>
        <item x="107"/>
        <item x="108"/>
        <item x="104"/>
        <item x="105"/>
        <item x="109"/>
        <item x="197"/>
        <item x="110"/>
        <item x="198"/>
        <item x="199"/>
        <item x="111"/>
        <item x="112"/>
        <item x="113"/>
        <item x="200"/>
        <item x="114"/>
        <item x="201"/>
        <item x="115"/>
        <item x="164"/>
        <item x="202"/>
        <item x="203"/>
        <item x="116"/>
        <item x="117"/>
        <item x="118"/>
        <item x="165"/>
        <item x="119"/>
        <item x="120"/>
        <item x="204"/>
        <item x="166"/>
        <item x="121"/>
        <item x="122"/>
        <item x="123"/>
        <item x="124"/>
        <item x="125"/>
        <item x="126"/>
        <item x="127"/>
        <item x="128"/>
        <item x="129"/>
        <item x="130"/>
        <item x="205"/>
        <item x="131"/>
        <item x="132"/>
        <item x="206"/>
        <item x="133"/>
        <item x="134"/>
        <item x="207"/>
        <item x="135"/>
        <item x="167"/>
        <item x="136"/>
        <item x="208"/>
        <item x="137"/>
        <item x="138"/>
        <item x="139"/>
        <item x="140"/>
        <item x="209"/>
        <item x="141"/>
        <item x="142"/>
        <item x="210"/>
        <item x="143"/>
        <item x="144"/>
        <item x="145"/>
        <item x="168"/>
        <item x="146"/>
        <item x="147"/>
        <item x="148"/>
        <item x="149"/>
        <item x="150"/>
        <item x="151"/>
        <item x="152"/>
        <item x="153"/>
        <item x="211"/>
        <item x="169"/>
        <item x="2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5">
        <item m="1" x="3"/>
        <item x="1"/>
        <item m="1" x="4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4">
        <item x="0"/>
        <item x="1"/>
        <item x="2"/>
        <item t="default"/>
      </items>
    </pivotField>
    <pivotField axis="axisRow" outline="0" showAll="0" defaultSubtotal="0">
      <items count="5">
        <item x="3"/>
        <item x="1"/>
        <item x="2"/>
        <item x="0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5">
        <item m="1"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5">
        <item x="21"/>
        <item x="11"/>
        <item x="2"/>
        <item x="0"/>
        <item x="7"/>
        <item x="13"/>
        <item x="22"/>
        <item x="16"/>
        <item x="3"/>
        <item x="9"/>
        <item x="5"/>
        <item x="19"/>
        <item x="10"/>
        <item x="15"/>
        <item x="20"/>
        <item x="1"/>
        <item x="18"/>
        <item x="23"/>
        <item x="8"/>
        <item x="12"/>
        <item x="6"/>
        <item x="17"/>
        <item x="4"/>
        <item x="14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dataField="1" showAll="0"/>
    <pivotField dataField="1" showAll="0"/>
    <pivotField dataField="1" showAll="0"/>
    <pivotField showAll="0"/>
    <pivotField dataField="1" showAll="0"/>
  </pivotFields>
  <rowFields count="5">
    <field x="2"/>
    <field x="3"/>
    <field x="5"/>
    <field x="6"/>
    <field x="7"/>
  </rowFields>
  <rowItems count="155">
    <i>
      <x/>
      <x v="3"/>
      <x v="3"/>
      <x v="2"/>
      <x v="3"/>
    </i>
    <i>
      <x v="1"/>
      <x v="1"/>
      <x v="3"/>
      <x v="2"/>
      <x v="15"/>
    </i>
    <i>
      <x v="2"/>
      <x v="3"/>
      <x v="3"/>
      <x v="2"/>
      <x v="15"/>
    </i>
    <i>
      <x v="3"/>
      <x v="3"/>
      <x v="3"/>
      <x v="2"/>
      <x v="3"/>
    </i>
    <i>
      <x v="4"/>
      <x v="1"/>
      <x v="3"/>
      <x v="2"/>
      <x v="3"/>
    </i>
    <i>
      <x v="5"/>
      <x v="1"/>
      <x v="3"/>
      <x v="3"/>
      <x v="2"/>
    </i>
    <i>
      <x v="6"/>
      <x v="3"/>
      <x v="3"/>
      <x v="3"/>
      <x v="8"/>
    </i>
    <i>
      <x v="9"/>
      <x v="1"/>
      <x v="3"/>
      <x v="1"/>
      <x v="22"/>
    </i>
    <i>
      <x v="12"/>
      <x v="3"/>
      <x v="3"/>
      <x v="3"/>
      <x v="22"/>
    </i>
    <i>
      <x v="13"/>
      <x v="3"/>
      <x v="3"/>
      <x v="2"/>
      <x v="10"/>
    </i>
    <i>
      <x v="14"/>
      <x v="3"/>
      <x v="3"/>
      <x v="2"/>
      <x v="20"/>
    </i>
    <i>
      <x v="16"/>
      <x v="3"/>
      <x v="3"/>
      <x v="3"/>
      <x v="4"/>
    </i>
    <i>
      <x v="18"/>
      <x v="1"/>
      <x v="3"/>
      <x v="2"/>
      <x v="2"/>
    </i>
    <i>
      <x v="19"/>
      <x v="1"/>
      <x v="3"/>
      <x v="2"/>
      <x v="18"/>
    </i>
    <i>
      <x v="20"/>
      <x v="3"/>
      <x v="3"/>
      <x v="2"/>
      <x v="9"/>
    </i>
    <i>
      <x v="21"/>
      <x v="1"/>
      <x v="3"/>
      <x v="3"/>
      <x v="10"/>
    </i>
    <i>
      <x v="24"/>
      <x v="1"/>
      <x v="3"/>
      <x v="3"/>
      <x v="20"/>
    </i>
    <i>
      <x v="26"/>
      <x v="1"/>
      <x v="3"/>
      <x v="3"/>
      <x v="8"/>
    </i>
    <i>
      <x v="27"/>
      <x v="3"/>
      <x v="3"/>
      <x v="3"/>
      <x v="8"/>
    </i>
    <i>
      <x v="28"/>
      <x v="1"/>
      <x v="3"/>
      <x v="3"/>
      <x v="12"/>
    </i>
    <i>
      <x v="29"/>
      <x v="3"/>
      <x v="3"/>
      <x v="3"/>
      <x v="10"/>
    </i>
    <i>
      <x v="30"/>
      <x v="3"/>
      <x v="3"/>
      <x v="2"/>
      <x v="8"/>
    </i>
    <i>
      <x v="31"/>
      <x v="1"/>
      <x v="3"/>
      <x v="2"/>
      <x v="1"/>
    </i>
    <i>
      <x v="33"/>
      <x v="1"/>
      <x v="1"/>
      <x v="3"/>
      <x v="1"/>
    </i>
    <i>
      <x v="34"/>
      <x v="1"/>
      <x v="3"/>
      <x v="3"/>
      <x v="22"/>
    </i>
    <i>
      <x v="38"/>
      <x v="3"/>
      <x v="1"/>
      <x v="2"/>
      <x v="15"/>
    </i>
    <i>
      <x v="40"/>
      <x v="3"/>
      <x v="3"/>
      <x v="3"/>
      <x v="22"/>
    </i>
    <i>
      <x v="41"/>
      <x v="1"/>
      <x v="3"/>
      <x v="2"/>
      <x v="22"/>
    </i>
    <i>
      <x v="42"/>
      <x v="3"/>
      <x v="3"/>
      <x v="3"/>
      <x v="19"/>
    </i>
    <i>
      <x v="43"/>
      <x v="1"/>
      <x v="3"/>
      <x v="2"/>
      <x v="15"/>
    </i>
    <i>
      <x v="44"/>
      <x v="1"/>
      <x v="3"/>
      <x v="3"/>
      <x v="1"/>
    </i>
    <i>
      <x v="45"/>
      <x v="3"/>
      <x v="3"/>
      <x v="3"/>
      <x v="3"/>
    </i>
    <i>
      <x v="48"/>
      <x v="3"/>
      <x v="3"/>
      <x v="2"/>
      <x v="3"/>
    </i>
    <i>
      <x v="49"/>
      <x v="1"/>
      <x v="3"/>
      <x v="3"/>
      <x v="10"/>
    </i>
    <i>
      <x v="52"/>
      <x v="3"/>
      <x v="3"/>
      <x v="3"/>
      <x v="18"/>
    </i>
    <i>
      <x v="53"/>
      <x v="3"/>
      <x v="3"/>
      <x v="2"/>
      <x v="15"/>
    </i>
    <i>
      <x v="55"/>
      <x v="1"/>
      <x v="3"/>
      <x v="3"/>
      <x v="2"/>
    </i>
    <i>
      <x v="56"/>
      <x v="3"/>
      <x v="3"/>
      <x v="3"/>
      <x v="20"/>
    </i>
    <i>
      <x v="57"/>
      <x v="3"/>
      <x v="3"/>
      <x v="3"/>
      <x v="20"/>
    </i>
    <i>
      <x v="58"/>
      <x v="1"/>
      <x v="3"/>
      <x v="2"/>
      <x v="10"/>
    </i>
    <i>
      <x v="59"/>
      <x v="1"/>
      <x v="3"/>
      <x v="3"/>
      <x v="22"/>
    </i>
    <i>
      <x v="60"/>
      <x v="3"/>
      <x v="3"/>
      <x v="2"/>
      <x v="18"/>
    </i>
    <i>
      <x v="61"/>
      <x v="3"/>
      <x v="3"/>
      <x v="3"/>
      <x v="4"/>
    </i>
    <i>
      <x v="62"/>
      <x v="3"/>
      <x v="3"/>
      <x v="3"/>
      <x v="4"/>
    </i>
    <i>
      <x v="63"/>
      <x v="3"/>
      <x v="3"/>
      <x v="2"/>
      <x v="15"/>
    </i>
    <i>
      <x v="64"/>
      <x v="1"/>
      <x v="3"/>
      <x v="2"/>
      <x v="8"/>
    </i>
    <i>
      <x v="65"/>
      <x v="3"/>
      <x v="3"/>
      <x v="2"/>
      <x v="3"/>
    </i>
    <i>
      <x v="66"/>
      <x v="1"/>
      <x v="3"/>
      <x v="3"/>
      <x v="4"/>
    </i>
    <i>
      <x v="68"/>
      <x v="3"/>
      <x v="3"/>
      <x v="2"/>
      <x v="10"/>
    </i>
    <i>
      <x v="70"/>
      <x v="1"/>
      <x v="3"/>
      <x v="3"/>
      <x v="10"/>
    </i>
    <i>
      <x v="74"/>
      <x v="3"/>
      <x v="3"/>
      <x v="3"/>
      <x v="10"/>
    </i>
    <i>
      <x v="75"/>
      <x v="1"/>
      <x v="3"/>
      <x v="2"/>
      <x v="4"/>
    </i>
    <i>
      <x v="76"/>
      <x v="1"/>
      <x v="3"/>
      <x v="2"/>
      <x v="4"/>
    </i>
    <i>
      <x v="77"/>
      <x v="3"/>
      <x v="3"/>
      <x v="2"/>
      <x v="1"/>
    </i>
    <i>
      <x v="78"/>
      <x v="1"/>
      <x v="3"/>
      <x v="2"/>
      <x v="4"/>
    </i>
    <i>
      <x v="79"/>
      <x v="1"/>
      <x v="3"/>
      <x v="3"/>
      <x v="4"/>
    </i>
    <i>
      <x v="80"/>
      <x v="1"/>
      <x v="3"/>
      <x v="1"/>
      <x v="22"/>
    </i>
    <i>
      <x v="81"/>
      <x v="1"/>
      <x v="3"/>
      <x v="2"/>
      <x v="15"/>
    </i>
    <i>
      <x v="82"/>
      <x v="3"/>
      <x v="3"/>
      <x v="2"/>
      <x v="18"/>
    </i>
    <i>
      <x v="83"/>
      <x v="1"/>
      <x v="3"/>
      <x v="2"/>
      <x v="15"/>
    </i>
    <i>
      <x v="84"/>
      <x v="1"/>
      <x v="3"/>
      <x v="3"/>
      <x v="4"/>
    </i>
    <i>
      <x v="85"/>
      <x v="3"/>
      <x v="3"/>
      <x v="3"/>
      <x v="8"/>
    </i>
    <i>
      <x v="86"/>
      <x v="3"/>
      <x v="3"/>
      <x v="3"/>
      <x v="10"/>
    </i>
    <i>
      <x v="88"/>
      <x v="1"/>
      <x v="3"/>
      <x v="2"/>
      <x v="5"/>
    </i>
    <i>
      <x v="89"/>
      <x v="1"/>
      <x v="3"/>
      <x v="3"/>
      <x v="19"/>
    </i>
    <i>
      <x v="90"/>
      <x v="3"/>
      <x v="3"/>
      <x v="1"/>
      <x v="23"/>
    </i>
    <i>
      <x v="91"/>
      <x v="3"/>
      <x v="3"/>
      <x v="3"/>
      <x v="10"/>
    </i>
    <i>
      <x v="92"/>
      <x v="3"/>
      <x v="3"/>
      <x v="2"/>
      <x v="12"/>
    </i>
    <i>
      <x v="93"/>
      <x v="3"/>
      <x v="3"/>
      <x v="3"/>
      <x v="5"/>
    </i>
    <i>
      <x v="94"/>
      <x v="3"/>
      <x v="3"/>
      <x v="2"/>
      <x v="10"/>
    </i>
    <i>
      <x v="95"/>
      <x v="3"/>
      <x v="3"/>
      <x v="3"/>
      <x v="4"/>
    </i>
    <i>
      <x v="96"/>
      <x v="3"/>
      <x v="3"/>
      <x v="2"/>
      <x v="5"/>
    </i>
    <i>
      <x v="97"/>
      <x v="3"/>
      <x v="3"/>
      <x v="2"/>
      <x v="8"/>
    </i>
    <i>
      <x v="98"/>
      <x v="3"/>
      <x v="3"/>
      <x v="2"/>
      <x v="9"/>
    </i>
    <i>
      <x v="99"/>
      <x v="3"/>
      <x v="3"/>
      <x v="3"/>
      <x v="8"/>
    </i>
    <i>
      <x v="100"/>
      <x v="3"/>
      <x v="3"/>
      <x v="2"/>
      <x v="1"/>
    </i>
    <i>
      <x v="101"/>
      <x v="3"/>
      <x v="3"/>
      <x v="3"/>
      <x v="4"/>
    </i>
    <i>
      <x v="103"/>
      <x v="3"/>
      <x v="3"/>
      <x v="3"/>
      <x v="13"/>
    </i>
    <i>
      <x v="105"/>
      <x v="1"/>
      <x v="3"/>
      <x v="2"/>
      <x v="18"/>
    </i>
    <i>
      <x v="106"/>
      <x v="3"/>
      <x v="3"/>
      <x v="3"/>
      <x v="10"/>
    </i>
    <i>
      <x v="108"/>
      <x v="1"/>
      <x v="3"/>
      <x v="2"/>
      <x v="22"/>
    </i>
    <i>
      <x v="109"/>
      <x v="1"/>
      <x v="3"/>
      <x v="3"/>
      <x v="10"/>
    </i>
    <i>
      <x v="110"/>
      <x v="3"/>
      <x v="3"/>
      <x v="1"/>
      <x v="19"/>
    </i>
    <i>
      <x v="112"/>
      <x v="1"/>
      <x v="3"/>
      <x v="2"/>
      <x v="22"/>
    </i>
    <i>
      <x v="113"/>
      <x v="1"/>
      <x v="3"/>
      <x v="2"/>
      <x v="3"/>
    </i>
    <i>
      <x v="115"/>
      <x v="3"/>
      <x v="3"/>
      <x v="2"/>
      <x v="13"/>
    </i>
    <i>
      <x v="116"/>
      <x v="1"/>
      <x v="2"/>
      <x v="3"/>
      <x v="10"/>
    </i>
    <i>
      <x v="118"/>
      <x v="3"/>
      <x v="3"/>
      <x v="2"/>
      <x v="10"/>
    </i>
    <i>
      <x v="119"/>
      <x v="3"/>
      <x v="1"/>
      <x v="2"/>
      <x v="10"/>
    </i>
    <i>
      <x v="121"/>
      <x v="3"/>
      <x v="3"/>
      <x v="2"/>
      <x v="10"/>
    </i>
    <i>
      <x v="122"/>
      <x v="3"/>
      <x v="3"/>
      <x v="3"/>
      <x v="10"/>
    </i>
    <i>
      <x v="123"/>
      <x v="3"/>
      <x v="1"/>
      <x v="2"/>
      <x v="15"/>
    </i>
    <i>
      <x v="124"/>
      <x v="1"/>
      <x v="3"/>
      <x v="2"/>
      <x v="8"/>
    </i>
    <i>
      <x v="125"/>
      <x v="3"/>
      <x v="3"/>
      <x v="2"/>
      <x v="8"/>
    </i>
    <i>
      <x v="126"/>
      <x v="3"/>
      <x v="3"/>
      <x v="2"/>
      <x v="19"/>
    </i>
    <i>
      <x v="127"/>
      <x v="1"/>
      <x v="1"/>
      <x v="2"/>
      <x v="22"/>
    </i>
    <i>
      <x v="129"/>
      <x v="3"/>
      <x v="3"/>
      <x v="1"/>
      <x v="10"/>
    </i>
    <i>
      <x v="130"/>
      <x v="1"/>
      <x v="3"/>
      <x v="3"/>
      <x v="22"/>
    </i>
    <i>
      <x v="132"/>
      <x v="3"/>
      <x v="3"/>
      <x v="3"/>
      <x v="13"/>
    </i>
    <i>
      <x v="133"/>
      <x v="1"/>
      <x v="3"/>
      <x v="3"/>
      <x v="22"/>
    </i>
    <i>
      <x v="134"/>
      <x v="3"/>
      <x v="3"/>
      <x v="2"/>
      <x v="10"/>
    </i>
    <i>
      <x v="136"/>
      <x v="1"/>
      <x v="3"/>
      <x v="2"/>
      <x v="10"/>
    </i>
    <i>
      <x v="137"/>
      <x v="1"/>
      <x v="3"/>
      <x v="3"/>
      <x v="20"/>
    </i>
    <i>
      <x v="140"/>
      <x v="1"/>
      <x v="3"/>
      <x v="2"/>
      <x v="10"/>
    </i>
    <i>
      <x v="141"/>
      <x v="3"/>
      <x v="3"/>
      <x v="3"/>
      <x v="7"/>
    </i>
    <i>
      <x v="142"/>
      <x v="1"/>
      <x v="3"/>
      <x v="2"/>
      <x v="22"/>
    </i>
    <i>
      <x v="143"/>
      <x v="3"/>
      <x v="3"/>
      <x v="2"/>
      <x v="10"/>
    </i>
    <i>
      <x v="144"/>
      <x v="1"/>
      <x v="3"/>
      <x v="3"/>
      <x v="2"/>
    </i>
    <i>
      <x v="145"/>
      <x v="1"/>
      <x v="3"/>
      <x v="3"/>
      <x v="12"/>
    </i>
    <i>
      <x v="146"/>
      <x v="3"/>
      <x v="2"/>
      <x v="3"/>
      <x v="10"/>
    </i>
    <i>
      <x v="148"/>
      <x v="3"/>
      <x v="1"/>
      <x v="2"/>
      <x v="19"/>
    </i>
    <i>
      <x v="151"/>
      <x v="1"/>
      <x v="3"/>
      <x v="3"/>
      <x v="10"/>
    </i>
    <i>
      <x v="152"/>
      <x v="3"/>
      <x v="3"/>
      <x v="3"/>
      <x v="10"/>
    </i>
    <i>
      <x v="153"/>
      <x v="1"/>
      <x v="3"/>
      <x v="2"/>
      <x v="13"/>
    </i>
    <i>
      <x v="155"/>
      <x v="1"/>
      <x v="3"/>
      <x v="3"/>
      <x v="2"/>
    </i>
    <i>
      <x v="157"/>
      <x v="3"/>
      <x v="3"/>
      <x v="2"/>
      <x v="10"/>
    </i>
    <i>
      <x v="161"/>
      <x v="1"/>
      <x v="3"/>
      <x v="3"/>
      <x v="22"/>
    </i>
    <i>
      <x v="162"/>
      <x v="3"/>
      <x v="3"/>
      <x v="3"/>
      <x v="19"/>
    </i>
    <i>
      <x v="163"/>
      <x v="3"/>
      <x v="3"/>
      <x v="3"/>
      <x v="4"/>
    </i>
    <i>
      <x v="165"/>
      <x v="1"/>
      <x v="3"/>
      <x v="3"/>
      <x v="19"/>
    </i>
    <i>
      <x v="166"/>
      <x v="1"/>
      <x v="3"/>
      <x v="3"/>
      <x v="5"/>
    </i>
    <i>
      <x v="169"/>
      <x v="3"/>
      <x v="3"/>
      <x v="2"/>
      <x v="3"/>
    </i>
    <i>
      <x v="170"/>
      <x v="1"/>
      <x v="3"/>
      <x v="3"/>
      <x v="21"/>
    </i>
    <i>
      <x v="171"/>
      <x v="1"/>
      <x v="3"/>
      <x v="3"/>
      <x v="8"/>
    </i>
    <i>
      <x v="172"/>
      <x v="1"/>
      <x v="3"/>
      <x v="3"/>
      <x v="3"/>
    </i>
    <i>
      <x v="173"/>
      <x v="3"/>
      <x v="3"/>
      <x v="2"/>
      <x v="12"/>
    </i>
    <i>
      <x v="174"/>
      <x v="1"/>
      <x v="3"/>
      <x v="2"/>
      <x v="22"/>
    </i>
    <i>
      <x v="175"/>
      <x v="1"/>
      <x v="3"/>
      <x v="2"/>
      <x v="12"/>
    </i>
    <i>
      <x v="176"/>
      <x v="1"/>
      <x v="3"/>
      <x v="2"/>
      <x v="20"/>
    </i>
    <i>
      <x v="177"/>
      <x v="3"/>
      <x v="3"/>
      <x v="2"/>
      <x v="13"/>
    </i>
    <i>
      <x v="178"/>
      <x v="3"/>
      <x v="3"/>
      <x v="2"/>
      <x v="1"/>
    </i>
    <i>
      <x v="180"/>
      <x v="3"/>
      <x v="3"/>
      <x v="2"/>
      <x v="10"/>
    </i>
    <i>
      <x v="181"/>
      <x v="1"/>
      <x v="3"/>
      <x v="2"/>
      <x v="10"/>
    </i>
    <i>
      <x v="183"/>
      <x v="3"/>
      <x v="3"/>
      <x v="3"/>
      <x v="7"/>
    </i>
    <i>
      <x v="184"/>
      <x v="3"/>
      <x v="3"/>
      <x v="3"/>
      <x v="4"/>
    </i>
    <i>
      <x v="186"/>
      <x v="3"/>
      <x v="3"/>
      <x v="2"/>
      <x v="10"/>
    </i>
    <i>
      <x v="188"/>
      <x v="1"/>
      <x v="3"/>
      <x v="3"/>
      <x v="15"/>
    </i>
    <i>
      <x v="190"/>
      <x v="3"/>
      <x v="3"/>
      <x v="3"/>
      <x v="8"/>
    </i>
    <i>
      <x v="191"/>
      <x v="1"/>
      <x v="3"/>
      <x v="3"/>
      <x v="4"/>
    </i>
    <i>
      <x v="192"/>
      <x v="1"/>
      <x v="3"/>
      <x v="3"/>
      <x v="4"/>
    </i>
    <i>
      <x v="193"/>
      <x v="3"/>
      <x v="3"/>
      <x v="2"/>
      <x v="5"/>
    </i>
    <i>
      <x v="195"/>
      <x v="3"/>
      <x v="1"/>
      <x v="1"/>
      <x v="3"/>
    </i>
    <i>
      <x v="196"/>
      <x v="1"/>
      <x v="3"/>
      <x v="2"/>
      <x v="22"/>
    </i>
    <i>
      <x v="198"/>
      <x v="3"/>
      <x v="3"/>
      <x v="3"/>
      <x v="8"/>
    </i>
    <i>
      <x v="199"/>
      <x v="1"/>
      <x v="3"/>
      <x v="3"/>
      <x v="18"/>
    </i>
    <i>
      <x v="200"/>
      <x v="3"/>
      <x v="3"/>
      <x v="1"/>
      <x v="9"/>
    </i>
    <i>
      <x v="202"/>
      <x v="3"/>
      <x v="3"/>
      <x v="2"/>
      <x v="18"/>
    </i>
    <i>
      <x v="203"/>
      <x v="3"/>
      <x v="3"/>
      <x v="1"/>
      <x v="13"/>
    </i>
    <i>
      <x v="204"/>
      <x v="3"/>
      <x v="3"/>
      <x v="2"/>
      <x v="10"/>
    </i>
    <i>
      <x v="205"/>
      <x v="1"/>
      <x v="3"/>
      <x v="3"/>
      <x v="8"/>
    </i>
    <i>
      <x v="206"/>
      <x v="3"/>
      <x v="3"/>
      <x v="2"/>
      <x v="15"/>
    </i>
    <i>
      <x v="207"/>
      <x v="3"/>
      <x v="3"/>
      <x v="3"/>
      <x v="15"/>
    </i>
    <i>
      <x v="208"/>
      <x v="1"/>
      <x v="3"/>
      <x v="1"/>
      <x v="8"/>
    </i>
    <i>
      <x v="209"/>
      <x v="3"/>
      <x v="3"/>
      <x v="2"/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0" hier="-1"/>
  </pageFields>
  <dataFields count="5">
    <dataField name="Promedio de Estud a Doc" fld="8" subtotal="average" baseField="7" baseItem="3"/>
    <dataField name="Promedio de Autoeval" fld="9" subtotal="average" baseField="7" baseItem="3"/>
    <dataField name="Promedio de Coord a Docente" fld="10" subtotal="average" baseField="7" baseItem="3"/>
    <dataField name="Promedio de Eval pares" fld="11" subtotal="average" baseField="7" baseItem="3"/>
    <dataField name="Promedio de TOTAL SOBRE 100" fld="13" subtotal="average" baseField="7" baseItem="3"/>
  </dataFields>
  <formats count="2"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62902-2560-47FC-83B8-1E08D617DBBD}" name="TablaDinámica6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A17:B21" firstHeaderRow="1" firstDataRow="1" firstDataCol="1" rowPageCount="1" colPageCount="1"/>
  <pivotFields count="14">
    <pivotField axis="axisPage" multipleItemSelectionAllowed="1" showAll="0">
      <items count="5">
        <item x="0"/>
        <item h="1" x="2"/>
        <item h="1" x="1"/>
        <item h="1" x="3"/>
        <item t="default"/>
      </items>
    </pivotField>
    <pivotField showAll="0"/>
    <pivotField showAll="0"/>
    <pivotField showAll="0">
      <items count="6">
        <item m="1" x="3"/>
        <item x="1"/>
        <item m="1" x="4"/>
        <item x="0"/>
        <item x="2"/>
        <item t="default"/>
      </items>
    </pivotField>
    <pivotField showAll="0"/>
    <pivotField showAll="0"/>
    <pivotField axis="axisRow" showAll="0">
      <items count="6">
        <item m="1" x="4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Promedio de TOTAL SOBRE 100" fld="13" subtotal="average" baseField="3" baseItem="3" numFmtId="2"/>
  </dataFields>
  <formats count="10">
    <format dxfId="61">
      <pivotArea outline="0" collapsedLevelsAreSubtotals="1" fieldPosition="0"/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field="3" type="button" dataOnly="0" labelOnly="1" outline="0"/>
    </format>
    <format dxfId="65">
      <pivotArea dataOnly="0" labelOnly="1" grandRow="1" outline="0" fieldPosition="0"/>
    </format>
    <format dxfId="66">
      <pivotArea dataOnly="0" labelOnly="1" outline="0" axis="axisValues" fieldPosition="0"/>
    </format>
    <format dxfId="25">
      <pivotArea field="6" type="button" dataOnly="0" labelOnly="1" outline="0" axis="axisRow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</format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E41DE-6F8E-43F9-931A-589A2AFF3047}" name="TablaDinámica5" cacheId="10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3:B7" firstHeaderRow="1" firstDataRow="1" firstDataCol="1" rowPageCount="1" colPageCount="1"/>
  <pivotFields count="14">
    <pivotField axis="axisPage" multipleItemSelectionAllowed="1" showAll="0">
      <items count="5">
        <item x="0"/>
        <item x="2"/>
        <item x="1"/>
        <item x="3"/>
        <item t="default"/>
      </items>
    </pivotField>
    <pivotField showAll="0"/>
    <pivotField showAll="0"/>
    <pivotField axis="axisRow" showAll="0">
      <items count="6">
        <item m="1" x="3"/>
        <item x="1"/>
        <item m="1"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0" hier="-1"/>
  </pageFields>
  <dataFields count="1">
    <dataField name="Promedio de TOTAL SOBRE 100" fld="13" subtotal="average" baseField="3" baseItem="3" numFmtId="2"/>
  </dataFields>
  <formats count="7">
    <format dxfId="102">
      <pivotArea outline="0" collapsedLevelsAreSubtotals="1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grandRow="1" outline="0" fieldPosition="0"/>
    </format>
    <format dxfId="96">
      <pivotArea dataOnly="0" labelOnly="1" outline="0" axis="axisValues" fieldPosition="0"/>
    </format>
  </format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F0012-ACC3-42B6-95C2-92E3C0F1EC39}" name="TablaDinámica8" cacheId="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24" firstHeaderRow="1" firstDataRow="1" firstDataCol="1" rowPageCount="1" colPageCount="1"/>
  <pivotFields count="16"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8"/>
  </rowFields>
  <rowItems count="1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3"/>
    </i>
    <i t="grand">
      <x/>
    </i>
  </rowItems>
  <colItems count="1">
    <i/>
  </colItems>
  <pageFields count="1">
    <pageField fld="0" hier="-1"/>
  </pageFields>
  <dataFields count="1">
    <dataField name="Promedio de TOTAL SOBRE 100" fld="15" subtotal="average" baseField="4" baseItem="4"/>
  </dataFields>
  <formats count="8">
    <format dxfId="144">
      <pivotArea collapsedLevelsAreSubtotals="1" fieldPosition="0">
        <references count="1">
          <reference field="5" count="2">
            <x v="0"/>
            <x v="1"/>
          </reference>
        </references>
      </pivotArea>
    </format>
    <format dxfId="143">
      <pivotArea field="5" type="button" dataOnly="0" labelOnly="1" outline="0" axis="axisRow" fieldPosition="0"/>
    </format>
    <format dxfId="142">
      <pivotArea dataOnly="0" labelOnly="1" outline="0" axis="axisValues" fieldPosition="0"/>
    </format>
    <format dxfId="141">
      <pivotArea grandRow="1" outline="0" collapsedLevelsAreSubtotals="1" fieldPosition="0"/>
    </format>
    <format dxfId="140">
      <pivotArea collapsedLevelsAreSubtotals="1" fieldPosition="0">
        <references count="1">
          <reference field="5" count="1">
            <x v="0"/>
          </reference>
        </references>
      </pivotArea>
    </format>
    <format dxfId="139">
      <pivotArea collapsedLevelsAreSubtotals="1" fieldPosition="0">
        <references count="2">
          <reference field="5" count="1" selected="0">
            <x v="0"/>
          </reference>
          <reference field="8" count="3">
            <x v="0"/>
            <x v="1"/>
            <x v="2"/>
          </reference>
        </references>
      </pivotArea>
    </format>
    <format dxfId="138">
      <pivotArea collapsedLevelsAreSubtotals="1" fieldPosition="0">
        <references count="1">
          <reference field="5" count="1">
            <x v="1"/>
          </reference>
        </references>
      </pivotArea>
    </format>
    <format dxfId="137">
      <pivotArea collapsedLevelsAreSubtotals="1" fieldPosition="0">
        <references count="2">
          <reference field="5" count="1" selected="0">
            <x v="1"/>
          </reference>
          <reference field="8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5FA91E-8302-4DB0-9995-D73FB2FDD4B2}" name="TablaDinámica7" cacheId="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L159" firstHeaderRow="1" firstDataRow="1" firstDataCol="5" rowPageCount="1" colPageCount="1"/>
  <pivotFields count="16">
    <pivotField axis="axisPage" showAll="0">
      <items count="3">
        <item x="0"/>
        <item x="1"/>
        <item t="default"/>
      </items>
    </pivotField>
    <pivotField showAll="0"/>
    <pivotField axis="axisRow" outline="0" showAll="0" defaultSubtotal="0">
      <items count="1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4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6"/>
        <item x="107"/>
        <item x="108"/>
        <item x="104"/>
        <item x="105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</items>
    </pivotField>
    <pivotField axis="axisRow" outline="0" showAll="0" defaultSubtotal="0">
      <items count="43">
        <item x="34"/>
        <item x="37"/>
        <item x="1"/>
        <item x="23"/>
        <item x="16"/>
        <item x="26"/>
        <item x="11"/>
        <item x="14"/>
        <item x="27"/>
        <item x="2"/>
        <item x="28"/>
        <item x="38"/>
        <item x="5"/>
        <item x="3"/>
        <item x="40"/>
        <item x="4"/>
        <item x="8"/>
        <item x="6"/>
        <item x="22"/>
        <item x="12"/>
        <item x="32"/>
        <item x="31"/>
        <item x="30"/>
        <item x="10"/>
        <item x="18"/>
        <item x="13"/>
        <item x="36"/>
        <item x="17"/>
        <item x="9"/>
        <item x="33"/>
        <item x="25"/>
        <item x="19"/>
        <item x="21"/>
        <item x="35"/>
        <item x="0"/>
        <item x="15"/>
        <item x="29"/>
        <item x="20"/>
        <item x="24"/>
        <item x="7"/>
        <item x="41"/>
        <item x="39"/>
        <item x="42"/>
      </items>
    </pivotField>
    <pivotField showAll="0"/>
    <pivotField showAll="0"/>
    <pivotField axis="axisRow" outline="0" showAll="0" defaultSubtotal="0">
      <items count="2">
        <item x="0"/>
        <item x="1"/>
      </items>
    </pivotField>
    <pivotField showAll="0"/>
    <pivotField axis="axisRow" outline="0" showAll="0" defaultSubtotal="0">
      <items count="4">
        <item x="2"/>
        <item x="0"/>
        <item x="1"/>
        <item x="3"/>
      </items>
    </pivotField>
    <pivotField axis="axisRow" outline="0" showAll="0" defaultSubtotal="0">
      <items count="19">
        <item x="11"/>
        <item x="2"/>
        <item x="0"/>
        <item x="7"/>
        <item x="13"/>
        <item x="16"/>
        <item x="3"/>
        <item x="9"/>
        <item x="5"/>
        <item x="10"/>
        <item x="15"/>
        <item x="1"/>
        <item x="8"/>
        <item x="12"/>
        <item x="6"/>
        <item x="17"/>
        <item x="4"/>
        <item x="14"/>
        <item x="18"/>
      </items>
    </pivotField>
    <pivotField showAll="0"/>
    <pivotField showAll="0"/>
    <pivotField showAll="0"/>
    <pivotField showAll="0"/>
    <pivotField showAll="0"/>
    <pivotField dataField="1" showAll="0"/>
  </pivotFields>
  <rowFields count="5">
    <field x="2"/>
    <field x="3"/>
    <field x="6"/>
    <field x="8"/>
    <field x="9"/>
  </rowFields>
  <rowItems count="156">
    <i>
      <x/>
      <x v="34"/>
      <x/>
      <x v="1"/>
      <x v="2"/>
    </i>
    <i>
      <x v="1"/>
      <x v="2"/>
      <x/>
      <x v="1"/>
      <x v="11"/>
    </i>
    <i>
      <x v="2"/>
      <x v="9"/>
      <x/>
      <x v="1"/>
      <x v="11"/>
    </i>
    <i>
      <x v="3"/>
      <x v="13"/>
      <x/>
      <x v="1"/>
      <x v="2"/>
    </i>
    <i>
      <x v="4"/>
      <x v="15"/>
      <x/>
      <x v="1"/>
      <x v="2"/>
    </i>
    <i>
      <x v="5"/>
      <x v="12"/>
      <x/>
      <x v="2"/>
      <x v="1"/>
    </i>
    <i>
      <x v="6"/>
      <x v="17"/>
      <x/>
      <x v="2"/>
      <x v="6"/>
    </i>
    <i>
      <x v="7"/>
      <x v="39"/>
      <x/>
      <x/>
      <x v="16"/>
    </i>
    <i>
      <x v="8"/>
      <x v="16"/>
      <x/>
      <x v="2"/>
      <x v="16"/>
    </i>
    <i>
      <x v="9"/>
      <x v="28"/>
      <x/>
      <x v="1"/>
      <x v="8"/>
    </i>
    <i>
      <x v="10"/>
      <x v="23"/>
      <x/>
      <x v="1"/>
      <x v="14"/>
    </i>
    <i>
      <x v="11"/>
      <x v="12"/>
      <x/>
      <x v="2"/>
      <x v="3"/>
    </i>
    <i>
      <x v="12"/>
      <x v="6"/>
      <x/>
      <x v="1"/>
      <x v="1"/>
    </i>
    <i>
      <x v="13"/>
      <x v="9"/>
      <x/>
      <x v="1"/>
      <x v="12"/>
    </i>
    <i>
      <x v="14"/>
      <x v="16"/>
      <x/>
      <x v="1"/>
      <x v="7"/>
    </i>
    <i>
      <x v="15"/>
      <x v="19"/>
      <x/>
      <x v="2"/>
      <x v="8"/>
    </i>
    <i>
      <x v="16"/>
      <x v="6"/>
      <x/>
      <x v="2"/>
      <x v="14"/>
    </i>
    <i>
      <x v="17"/>
      <x v="25"/>
      <x/>
      <x v="2"/>
      <x v="6"/>
    </i>
    <i>
      <x v="18"/>
      <x v="7"/>
      <x/>
      <x v="2"/>
      <x v="6"/>
    </i>
    <i>
      <x v="19"/>
      <x v="35"/>
      <x/>
      <x v="2"/>
      <x v="9"/>
    </i>
    <i>
      <x v="20"/>
      <x v="4"/>
      <x/>
      <x v="2"/>
      <x v="8"/>
    </i>
    <i>
      <x v="21"/>
      <x v="27"/>
      <x/>
      <x v="1"/>
      <x v="6"/>
    </i>
    <i>
      <x v="22"/>
      <x v="24"/>
      <x/>
      <x v="1"/>
      <x/>
    </i>
    <i>
      <x v="23"/>
      <x v="9"/>
      <x/>
      <x v="2"/>
      <x/>
    </i>
    <i>
      <x v="24"/>
      <x v="31"/>
      <x/>
      <x v="2"/>
      <x v="16"/>
    </i>
    <i>
      <x v="25"/>
      <x v="37"/>
      <x/>
      <x v="1"/>
      <x v="11"/>
    </i>
    <i>
      <x v="26"/>
      <x v="32"/>
      <x/>
      <x v="2"/>
      <x v="16"/>
    </i>
    <i>
      <x v="27"/>
      <x v="15"/>
      <x/>
      <x v="1"/>
      <x v="16"/>
    </i>
    <i>
      <x v="28"/>
      <x v="18"/>
      <x/>
      <x v="2"/>
      <x v="13"/>
    </i>
    <i>
      <x v="29"/>
      <x v="3"/>
      <x/>
      <x v="1"/>
      <x v="11"/>
    </i>
    <i>
      <x v="30"/>
      <x v="12"/>
      <x/>
      <x v="2"/>
      <x/>
    </i>
    <i>
      <x v="31"/>
      <x v="24"/>
      <x/>
      <x v="2"/>
      <x v="2"/>
    </i>
    <i>
      <x v="32"/>
      <x v="28"/>
      <x/>
      <x v="1"/>
      <x v="2"/>
    </i>
    <i>
      <x v="33"/>
      <x v="38"/>
      <x/>
      <x v="2"/>
      <x v="8"/>
    </i>
    <i>
      <x v="34"/>
      <x v="30"/>
      <x/>
      <x v="2"/>
      <x v="12"/>
    </i>
    <i>
      <x v="35"/>
      <x v="5"/>
      <x/>
      <x v="1"/>
      <x v="11"/>
    </i>
    <i>
      <x v="36"/>
      <x v="6"/>
      <x/>
      <x v="2"/>
      <x v="1"/>
    </i>
    <i>
      <x v="37"/>
      <x v="8"/>
      <x/>
      <x v="2"/>
      <x v="14"/>
    </i>
    <i>
      <x v="38"/>
      <x v="19"/>
      <x/>
      <x v="2"/>
      <x v="14"/>
    </i>
    <i>
      <x v="39"/>
      <x v="28"/>
      <x/>
      <x v="1"/>
      <x v="8"/>
    </i>
    <i>
      <x v="40"/>
      <x v="6"/>
      <x/>
      <x v="2"/>
      <x v="16"/>
    </i>
    <i>
      <x v="41"/>
      <x v="8"/>
      <x/>
      <x v="1"/>
      <x v="12"/>
    </i>
    <i>
      <x v="42"/>
      <x v="10"/>
      <x/>
      <x v="2"/>
      <x v="3"/>
    </i>
    <i>
      <x v="43"/>
      <x v="4"/>
      <x/>
      <x v="2"/>
      <x v="3"/>
    </i>
    <i>
      <x v="44"/>
      <x v="25"/>
      <x/>
      <x v="1"/>
      <x v="11"/>
    </i>
    <i>
      <x v="45"/>
      <x v="6"/>
      <x/>
      <x v="1"/>
      <x v="6"/>
    </i>
    <i>
      <x v="46"/>
      <x v="3"/>
      <x/>
      <x v="1"/>
      <x v="2"/>
    </i>
    <i>
      <x v="47"/>
      <x v="16"/>
      <x/>
      <x v="2"/>
      <x v="3"/>
    </i>
    <i>
      <x v="48"/>
      <x v="31"/>
      <x/>
      <x v="1"/>
      <x v="8"/>
    </i>
    <i>
      <x v="49"/>
      <x v="10"/>
      <x/>
      <x v="2"/>
      <x v="8"/>
    </i>
    <i>
      <x v="50"/>
      <x v="10"/>
      <x/>
      <x v="2"/>
      <x v="8"/>
    </i>
    <i>
      <x v="51"/>
      <x v="36"/>
      <x/>
      <x v="1"/>
      <x v="3"/>
    </i>
    <i>
      <x v="52"/>
      <x v="7"/>
      <x/>
      <x v="1"/>
      <x v="3"/>
    </i>
    <i>
      <x v="53"/>
      <x v="2"/>
      <x/>
      <x v="1"/>
      <x/>
    </i>
    <i>
      <x v="54"/>
      <x v="10"/>
      <x/>
      <x v="1"/>
      <x v="3"/>
    </i>
    <i>
      <x v="55"/>
      <x v="22"/>
      <x/>
      <x v="2"/>
      <x v="3"/>
    </i>
    <i>
      <x v="56"/>
      <x v="21"/>
      <x/>
      <x/>
      <x v="16"/>
    </i>
    <i>
      <x v="57"/>
      <x v="13"/>
      <x/>
      <x v="1"/>
      <x v="11"/>
    </i>
    <i>
      <x v="58"/>
      <x v="9"/>
      <x/>
      <x v="1"/>
      <x v="12"/>
    </i>
    <i>
      <x v="59"/>
      <x v="6"/>
      <x/>
      <x v="1"/>
      <x v="11"/>
    </i>
    <i>
      <x v="60"/>
      <x v="13"/>
      <x/>
      <x v="2"/>
      <x v="3"/>
    </i>
    <i>
      <x v="61"/>
      <x v="23"/>
      <x/>
      <x v="2"/>
      <x v="6"/>
    </i>
    <i>
      <x v="62"/>
      <x v="20"/>
      <x/>
      <x v="2"/>
      <x v="8"/>
    </i>
    <i>
      <x v="63"/>
      <x v="21"/>
      <x/>
      <x v="1"/>
      <x v="4"/>
    </i>
    <i>
      <x v="64"/>
      <x v="5"/>
      <x/>
      <x v="2"/>
      <x v="13"/>
    </i>
    <i>
      <x v="65"/>
      <x v="29"/>
      <x/>
      <x/>
      <x v="17"/>
    </i>
    <i>
      <x v="66"/>
      <x v="16"/>
      <x/>
      <x v="2"/>
      <x v="8"/>
    </i>
    <i>
      <x v="67"/>
      <x/>
      <x/>
      <x v="1"/>
      <x v="9"/>
    </i>
    <i>
      <x v="68"/>
      <x v="13"/>
      <x/>
      <x v="2"/>
      <x v="4"/>
    </i>
    <i>
      <x v="69"/>
      <x v="33"/>
      <x/>
      <x v="1"/>
      <x v="8"/>
    </i>
    <i>
      <x v="70"/>
      <x v="8"/>
      <x/>
      <x v="2"/>
      <x v="3"/>
    </i>
    <i>
      <x v="71"/>
      <x v="18"/>
      <x/>
      <x v="1"/>
      <x v="4"/>
    </i>
    <i>
      <x v="72"/>
      <x v="17"/>
      <x/>
      <x v="1"/>
      <x v="6"/>
    </i>
    <i>
      <x v="73"/>
      <x v="20"/>
      <x/>
      <x v="1"/>
      <x v="7"/>
    </i>
    <i>
      <x v="74"/>
      <x v="23"/>
      <x/>
      <x v="2"/>
      <x v="6"/>
    </i>
    <i>
      <x v="75"/>
      <x v="25"/>
      <x/>
      <x v="1"/>
      <x/>
    </i>
    <i>
      <x v="76"/>
      <x v="26"/>
      <x/>
      <x v="2"/>
      <x v="3"/>
    </i>
    <i>
      <x v="77"/>
      <x v="1"/>
      <x/>
      <x v="2"/>
      <x v="10"/>
    </i>
    <i>
      <x v="78"/>
      <x v="16"/>
      <x/>
      <x v="1"/>
      <x v="12"/>
    </i>
    <i>
      <x v="79"/>
      <x v="16"/>
      <x/>
      <x v="2"/>
      <x v="8"/>
    </i>
    <i>
      <x v="80"/>
      <x v="23"/>
      <x/>
      <x v="1"/>
      <x v="16"/>
    </i>
    <i>
      <x v="81"/>
      <x v="18"/>
      <x/>
      <x v="2"/>
      <x v="8"/>
    </i>
    <i>
      <x v="82"/>
      <x v="35"/>
      <x/>
      <x/>
      <x v="13"/>
    </i>
    <i>
      <x v="83"/>
      <x v="16"/>
      <x/>
      <x v="1"/>
      <x v="16"/>
    </i>
    <i>
      <x v="84"/>
      <x v="5"/>
      <x/>
      <x v="1"/>
      <x v="2"/>
    </i>
    <i>
      <x v="85"/>
      <x v="3"/>
      <x/>
      <x v="1"/>
      <x v="10"/>
    </i>
    <i>
      <x v="86"/>
      <x v="11"/>
      <x/>
      <x v="2"/>
      <x v="8"/>
    </i>
    <i>
      <x v="87"/>
      <x v="6"/>
      <x/>
      <x v="1"/>
      <x v="8"/>
    </i>
    <i>
      <x v="88"/>
      <x v="29"/>
      <x/>
      <x v="1"/>
      <x v="8"/>
    </i>
    <i>
      <x v="89"/>
      <x v="31"/>
      <x/>
      <x v="1"/>
      <x v="8"/>
    </i>
    <i>
      <x v="90"/>
      <x v="10"/>
      <x/>
      <x v="2"/>
      <x v="8"/>
    </i>
    <i>
      <x v="91"/>
      <x v="41"/>
      <x/>
      <x v="1"/>
      <x v="11"/>
    </i>
    <i>
      <x v="92"/>
      <x v="15"/>
      <x/>
      <x v="1"/>
      <x v="6"/>
    </i>
    <i>
      <x v="93"/>
      <x v="26"/>
      <x/>
      <x v="1"/>
      <x v="6"/>
    </i>
    <i>
      <x v="94"/>
      <x v="24"/>
      <x/>
      <x v="1"/>
      <x v="13"/>
    </i>
    <i>
      <x v="95"/>
      <x v="13"/>
      <x/>
      <x v="1"/>
      <x v="16"/>
    </i>
    <i>
      <x v="96"/>
      <x v="11"/>
      <x/>
      <x/>
      <x v="8"/>
    </i>
    <i>
      <x v="97"/>
      <x v="22"/>
      <x/>
      <x v="2"/>
      <x v="16"/>
    </i>
    <i>
      <x v="98"/>
      <x v="25"/>
      <x/>
      <x v="2"/>
      <x v="10"/>
    </i>
    <i>
      <x v="99"/>
      <x v="22"/>
      <x/>
      <x v="2"/>
      <x v="16"/>
    </i>
    <i>
      <x v="100"/>
      <x v="22"/>
      <x/>
      <x v="1"/>
      <x v="8"/>
    </i>
    <i>
      <x v="101"/>
      <x v="25"/>
      <x/>
      <x v="1"/>
      <x v="8"/>
    </i>
    <i>
      <x v="102"/>
      <x v="13"/>
      <x/>
      <x v="2"/>
      <x v="14"/>
    </i>
    <i>
      <x v="103"/>
      <x v="32"/>
      <x/>
      <x v="1"/>
      <x v="8"/>
    </i>
    <i>
      <x v="104"/>
      <x v="20"/>
      <x/>
      <x v="2"/>
      <x v="5"/>
    </i>
    <i>
      <x v="105"/>
      <x v="19"/>
      <x/>
      <x v="1"/>
      <x v="16"/>
    </i>
    <i>
      <x v="106"/>
      <x v="14"/>
      <x/>
      <x v="1"/>
      <x v="8"/>
    </i>
    <i>
      <x v="107"/>
      <x v="17"/>
      <x/>
      <x v="2"/>
      <x v="1"/>
    </i>
    <i>
      <x v="108"/>
      <x v="5"/>
      <x/>
      <x v="2"/>
      <x v="9"/>
    </i>
    <i>
      <x v="109"/>
      <x v="9"/>
      <x/>
      <x v="2"/>
      <x v="8"/>
    </i>
    <i>
      <x v="110"/>
      <x v="37"/>
      <x/>
      <x v="1"/>
      <x v="13"/>
    </i>
    <i>
      <x v="111"/>
      <x v="4"/>
      <x/>
      <x v="2"/>
      <x v="8"/>
    </i>
    <i>
      <x v="112"/>
      <x v="27"/>
      <x/>
      <x v="2"/>
      <x v="8"/>
    </i>
    <i>
      <x v="113"/>
      <x v="26"/>
      <x/>
      <x v="1"/>
      <x v="10"/>
    </i>
    <i>
      <x v="114"/>
      <x v="13"/>
      <x/>
      <x v="2"/>
      <x v="1"/>
    </i>
    <i>
      <x v="115"/>
      <x v="4"/>
      <x/>
      <x v="1"/>
      <x v="8"/>
    </i>
    <i>
      <x v="116"/>
      <x v="24"/>
      <x/>
      <x v="2"/>
      <x v="16"/>
    </i>
    <i>
      <x v="117"/>
      <x v="5"/>
      <x/>
      <x v="2"/>
      <x v="13"/>
    </i>
    <i>
      <x v="118"/>
      <x v="12"/>
      <x/>
      <x v="2"/>
      <x v="3"/>
    </i>
    <i>
      <x v="119"/>
      <x v="25"/>
      <x/>
      <x v="2"/>
      <x v="13"/>
    </i>
    <i>
      <x v="120"/>
      <x v="12"/>
      <x/>
      <x v="2"/>
      <x v="4"/>
    </i>
    <i>
      <x v="121"/>
      <x v="20"/>
      <x/>
      <x v="1"/>
      <x v="2"/>
    </i>
    <i>
      <x v="122"/>
      <x v="11"/>
      <x/>
      <x v="2"/>
      <x v="15"/>
    </i>
    <i>
      <x v="123"/>
      <x v="2"/>
      <x/>
      <x v="2"/>
      <x v="6"/>
    </i>
    <i>
      <x v="124"/>
      <x v="22"/>
      <x/>
      <x v="2"/>
      <x v="2"/>
    </i>
    <i>
      <x v="125"/>
      <x v="5"/>
      <x/>
      <x v="1"/>
      <x v="9"/>
    </i>
    <i>
      <x v="126"/>
      <x v="15"/>
      <x/>
      <x v="1"/>
      <x v="16"/>
    </i>
    <i>
      <x v="127"/>
      <x v="4"/>
      <x/>
      <x v="1"/>
      <x v="9"/>
    </i>
    <i>
      <x v="128"/>
      <x v="5"/>
      <x/>
      <x v="1"/>
      <x v="14"/>
    </i>
    <i>
      <x v="129"/>
      <x v="11"/>
      <x/>
      <x v="1"/>
      <x v="10"/>
    </i>
    <i>
      <x v="130"/>
      <x v="22"/>
      <x/>
      <x v="1"/>
      <x/>
    </i>
    <i>
      <x v="131"/>
      <x v="31"/>
      <x/>
      <x v="1"/>
      <x v="8"/>
    </i>
    <i>
      <x v="132"/>
      <x v="40"/>
      <x/>
      <x v="1"/>
      <x v="8"/>
    </i>
    <i>
      <x v="133"/>
      <x v="26"/>
      <x/>
      <x v="2"/>
      <x v="5"/>
    </i>
    <i>
      <x v="134"/>
      <x v="35"/>
      <x/>
      <x v="2"/>
      <x v="3"/>
    </i>
    <i>
      <x v="135"/>
      <x v="27"/>
      <x/>
      <x v="1"/>
      <x v="8"/>
    </i>
    <i>
      <x v="136"/>
      <x v="4"/>
      <x/>
      <x v="2"/>
      <x v="11"/>
    </i>
    <i>
      <x v="137"/>
      <x v="17"/>
      <x/>
      <x v="2"/>
      <x v="6"/>
    </i>
    <i>
      <x v="138"/>
      <x v="11"/>
      <x/>
      <x v="2"/>
      <x v="3"/>
    </i>
    <i>
      <x v="139"/>
      <x v="21"/>
      <x/>
      <x v="2"/>
      <x v="3"/>
    </i>
    <i>
      <x v="140"/>
      <x v="16"/>
      <x/>
      <x v="1"/>
      <x v="4"/>
    </i>
    <i>
      <x v="141"/>
      <x v="24"/>
      <x/>
      <x/>
      <x v="2"/>
    </i>
    <i>
      <x v="142"/>
      <x v="5"/>
      <x/>
      <x v="1"/>
      <x v="16"/>
    </i>
    <i>
      <x v="143"/>
      <x v="10"/>
      <x/>
      <x v="2"/>
      <x v="6"/>
    </i>
    <i>
      <x v="144"/>
      <x v="15"/>
      <x/>
      <x v="2"/>
      <x v="12"/>
    </i>
    <i>
      <x v="145"/>
      <x v="32"/>
      <x/>
      <x/>
      <x v="7"/>
    </i>
    <i>
      <x v="146"/>
      <x v="13"/>
      <x/>
      <x v="1"/>
      <x v="12"/>
    </i>
    <i>
      <x v="147"/>
      <x v="9"/>
      <x/>
      <x/>
      <x v="10"/>
    </i>
    <i>
      <x v="148"/>
      <x v="31"/>
      <x/>
      <x v="1"/>
      <x v="8"/>
    </i>
    <i>
      <x v="149"/>
      <x v="7"/>
      <x/>
      <x v="2"/>
      <x v="6"/>
    </i>
    <i>
      <x v="150"/>
      <x v="9"/>
      <x/>
      <x v="1"/>
      <x v="11"/>
    </i>
    <i>
      <x v="151"/>
      <x v="18"/>
      <x/>
      <x v="2"/>
      <x v="11"/>
    </i>
    <i>
      <x v="152"/>
      <x v="14"/>
      <x/>
      <x/>
      <x v="6"/>
    </i>
    <i>
      <x v="153"/>
      <x v="24"/>
      <x/>
      <x v="1"/>
      <x v="14"/>
    </i>
    <i>
      <x v="154"/>
      <x v="42"/>
      <x v="1"/>
      <x v="3"/>
      <x v="18"/>
    </i>
    <i t="grand">
      <x/>
    </i>
  </rowItems>
  <colItems count="1">
    <i/>
  </colItems>
  <pageFields count="1">
    <pageField fld="0" hier="-1"/>
  </pageFields>
  <dataFields count="1">
    <dataField name="Promedio de TOTAL SOBRE 100" fld="15" subtotal="average" baseField="9" baseItem="2"/>
  </dataFields>
  <formats count="8">
    <format dxfId="152">
      <pivotArea grandRow="1" outline="0" collapsedLevelsAreSubtotals="1" fieldPosition="0"/>
    </format>
    <format dxfId="151">
      <pivotArea outline="0" collapsedLevelsAreSubtotals="1" fieldPosition="0">
        <references count="5">
          <reference field="2" count="154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</reference>
          <reference field="3" count="42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  <reference field="6" count="1" selected="0">
            <x v="0"/>
          </reference>
          <reference field="8" count="3" selected="0">
            <x v="0"/>
            <x v="1"/>
            <x v="2"/>
          </reference>
          <reference field="9" count="18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50">
      <pivotArea field="2" type="button" dataOnly="0" labelOnly="1" outline="0" axis="axisRow" fieldPosition="0"/>
    </format>
    <format dxfId="149">
      <pivotArea field="3" type="button" dataOnly="0" labelOnly="1" outline="0" axis="axisRow" fieldPosition="1"/>
    </format>
    <format dxfId="148">
      <pivotArea field="6" type="button" dataOnly="0" labelOnly="1" outline="0" axis="axisRow" fieldPosition="2"/>
    </format>
    <format dxfId="147">
      <pivotArea field="8" type="button" dataOnly="0" labelOnly="1" outline="0" axis="axisRow" fieldPosition="3"/>
    </format>
    <format dxfId="146">
      <pivotArea field="9" type="button" dataOnly="0" labelOnly="1" outline="0" axis="axisRow" fieldPosition="4"/>
    </format>
    <format dxfId="145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6">
            <reference field="4294967294" count="1" selected="0">
              <x v="0"/>
            </reference>
            <reference field="2" count="15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2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</reference>
            <reference field="3" count="4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</reference>
            <reference field="6" count="1" selected="0">
              <x v="0"/>
            </reference>
            <reference field="8" count="3" selected="0">
              <x v="0"/>
              <x v="1"/>
              <x v="2"/>
            </reference>
            <reference field="9" count="18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0163-9E13-4C65-9B08-89E541CF8AFC}" name="TablaDinámica6" cacheId="7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22" firstHeaderRow="1" firstDataRow="1" firstDataCol="1" rowPageCount="1" colPageCount="1"/>
  <pivotFields count="16"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2"/>
        <item x="0"/>
        <item x="7"/>
        <item x="13"/>
        <item x="16"/>
        <item x="3"/>
        <item x="9"/>
        <item x="5"/>
        <item x="10"/>
        <item x="15"/>
        <item x="1"/>
        <item x="8"/>
        <item x="12"/>
        <item x="6"/>
        <item x="17"/>
        <item x="4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pageFields count="1">
    <pageField fld="0" hier="-1"/>
  </pageFields>
  <dataFields count="1">
    <dataField name="Promedio de TOTAL SOBRE 100" fld="15" subtotal="average" baseField="8" baseItem="4"/>
  </dataFields>
  <formats count="4">
    <format dxfId="156">
      <pivotArea collapsedLevelsAreSubtotals="1" fieldPosition="0">
        <references count="1">
          <reference field="9" count="1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55">
      <pivotArea grandRow="1" outline="0" collapsedLevelsAreSubtotals="1" fieldPosition="0"/>
    </format>
    <format dxfId="154">
      <pivotArea field="9" type="button" dataOnly="0" labelOnly="1" outline="0" axis="axisRow" fieldPosition="0"/>
    </format>
    <format dxfId="153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345D85-6EED-46BB-AB67-BB3BC43832D6}" name="TablaDinámica5" cacheId="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16"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Promedio de TOTAL SOBRE 100" fld="15" subtotal="average" baseField="4" baseItem="4"/>
  </dataFields>
  <formats count="4">
    <format dxfId="160">
      <pivotArea collapsedLevelsAreSubtotals="1" fieldPosition="0">
        <references count="1">
          <reference field="5" count="2">
            <x v="0"/>
            <x v="1"/>
          </reference>
        </references>
      </pivotArea>
    </format>
    <format dxfId="159">
      <pivotArea field="5" type="button" dataOnly="0" labelOnly="1" outline="0" axis="axisRow" fieldPosition="0"/>
    </format>
    <format dxfId="158">
      <pivotArea dataOnly="0" labelOnly="1" outline="0" axis="axisValues" fieldPosition="0"/>
    </format>
    <format dxfId="157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DD4F52-89D8-4FD5-8377-A4006DCF01E0}" name="TablaDinámica1" cacheId="7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1:B45" firstHeaderRow="1" firstDataRow="1" firstDataCol="1" rowPageCount="1" colPageCount="1"/>
  <pivotFields count="16"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Promedio de TOTAL SOBRE 100" fld="15" subtotal="average" baseField="4" baseItem="4"/>
  </dataFields>
  <formats count="4">
    <format dxfId="164">
      <pivotArea collapsedLevelsAreSubtotals="1" fieldPosition="0">
        <references count="1">
          <reference field="5" count="2">
            <x v="0"/>
            <x v="1"/>
          </reference>
        </references>
      </pivotArea>
    </format>
    <format dxfId="163">
      <pivotArea field="5" type="button" dataOnly="0" labelOnly="1" outline="0" axis="axisRow" fieldPosition="0"/>
    </format>
    <format dxfId="162">
      <pivotArea dataOnly="0" labelOnly="1" outline="0" axis="axisValues" fieldPosition="0"/>
    </format>
    <format dxfId="161">
      <pivotArea grandRow="1"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9EAEB8-5455-4C3D-A486-E59D36593C63}" name="Tabla13" displayName="Tabla13" ref="B2:O44" totalsRowShown="0" headerRowDxfId="136" dataDxfId="135" tableBorderDxfId="134">
  <tableColumns count="14">
    <tableColumn id="1" xr3:uid="{DE3F0B23-A0EF-4F69-AD39-15863C13A041}" name="Apellidos y Nombres" dataDxfId="133"/>
    <tableColumn id="8" xr3:uid="{1F8C10A2-45AA-4A5F-A580-C7387D43EC54}" name="CEDULA" dataDxfId="132"/>
    <tableColumn id="9" xr3:uid="{C7B96E59-DAD6-408F-B49C-99C69EA54A02}" name="EDAD" dataDxfId="131"/>
    <tableColumn id="10" xr3:uid="{7289D80C-190D-4FDC-BF87-DF4A01796A90}" name="UNIDAD ACADEMICA" dataDxfId="130"/>
    <tableColumn id="11" xr3:uid="{250D0DA2-4B76-4086-8C9D-A32251C93E59}" name="ANTIGÜEDAD" dataDxfId="129"/>
    <tableColumn id="12" xr3:uid="{D7D6EFD8-5322-4DBB-BF3D-7490B87E9C2B}" name="GENERO" dataDxfId="128"/>
    <tableColumn id="13" xr3:uid="{0671AB67-6F11-4742-971E-E7EC9FF05415}" name="NIVEL DE ESTUDIO" dataDxfId="127"/>
    <tableColumn id="14" xr3:uid="{975DF3A5-8752-483F-86A2-E9FE711BF24B}" name="TIEMPO DE SERVICIO" dataDxfId="126"/>
    <tableColumn id="2" xr3:uid="{85F6E02D-F362-4818-94B0-7CE5D6EC8D92}" name="Estud a Doc" dataDxfId="125"/>
    <tableColumn id="3" xr3:uid="{0672B3DC-0DFC-4ACC-A50C-D278F7CD8C96}" name="Autoeval" dataDxfId="124"/>
    <tableColumn id="4" xr3:uid="{A6E9FB7C-403F-4A16-A9E0-62AE51B57BE5}" name="Coord a Docente" dataDxfId="123"/>
    <tableColumn id="5" xr3:uid="{CBA846C3-9172-4D71-BCDD-0F0C33B8C38E}" name="Eval pares" dataDxfId="122"/>
    <tableColumn id="6" xr3:uid="{4D7DAD75-E4EF-46E8-8E6E-291C7C4CFB3D}" name="Total" dataDxfId="121"/>
    <tableColumn id="7" xr3:uid="{2F5D34A4-A4BC-4370-8A46-101529DFD5FC}" name="TOTAL SOBRE 100" dataDxfId="1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57BAB1-412D-4857-BF28-BD830D604D6E}" name="Tabla1" displayName="Tabla1" ref="A1:N43" totalsRowShown="0" headerRowDxfId="119" dataDxfId="118" tableBorderDxfId="117">
  <tableColumns count="14">
    <tableColumn id="1" xr3:uid="{2E78D651-9F9B-4DC3-A8E9-E24427894786}" name="Apellidos y Nombres" dataDxfId="116"/>
    <tableColumn id="8" xr3:uid="{70778733-4BF9-44F4-A252-DA2AE1AAB590}" name="CEDULA" dataDxfId="115">
      <calculatedColumnFormula>INDEX([1]Sheet1!$C:$C,MATCH(Tabla1[[#This Row],[Apellidos y Nombres]],[1]Sheet1!$AT:$AT,0))</calculatedColumnFormula>
    </tableColumn>
    <tableColumn id="9" xr3:uid="{560A9084-D460-412C-9B17-A7E854B619F5}" name="EDAD" dataDxfId="114">
      <calculatedColumnFormula>INDEX([2]Matriz!$J:$J,MATCH(Tabla1[[#This Row],[CEDULA]],[2]Matriz!$B:$B,0))</calculatedColumnFormula>
    </tableColumn>
    <tableColumn id="10" xr3:uid="{D6EC574B-E1CA-4302-AC7E-BCC5797E0E0B}" name="UNIDAD ACADEMICA" dataDxfId="113">
      <calculatedColumnFormula>+INDEX([2]Matriz!$AH:$AH,MATCH(Tabla1[[#This Row],[CEDULA]],[2]Matriz!$B:$B,0))</calculatedColumnFormula>
    </tableColumn>
    <tableColumn id="11" xr3:uid="{1F2E0599-9A54-4AE0-895C-E77FB8E94E75}" name="ANTIGÜEDAD" dataDxfId="112">
      <calculatedColumnFormula>INDEX([2]Matriz!$AD:$AD,MATCH(B2,[2]Matriz!$B:$B,0))</calculatedColumnFormula>
    </tableColumn>
    <tableColumn id="12" xr3:uid="{64EF13CB-49CD-402D-9380-309DE86D1CCF}" name="GENERO" dataDxfId="111">
      <calculatedColumnFormula>INDEX([2]Matriz!$G:$G,MATCH(B2,[2]Matriz!$B:$B,0))</calculatedColumnFormula>
    </tableColumn>
    <tableColumn id="13" xr3:uid="{CC0FB7A6-ECF3-46AF-BB06-B1EBA081D94E}" name="NIVEL DE ESTUDIO" dataDxfId="110">
      <calculatedColumnFormula>INDEX([2]Matriz!$BG:$BG,MATCH(B2,[2]Matriz!$B:$B,0))</calculatedColumnFormula>
    </tableColumn>
    <tableColumn id="14" xr3:uid="{00D8B158-5556-49DB-A998-0ED061632A11}" name="TIEMPO DE SERVICIO" dataDxfId="109">
      <calculatedColumnFormula>INDEX([2]Matriz!$AG:$AG,MATCH(B2,[2]Matriz!$B:$B,0))</calculatedColumnFormula>
    </tableColumn>
    <tableColumn id="2" xr3:uid="{B4CE9D9C-7EDE-4393-94B4-0467F7236247}" name="Estud a Doc" dataDxfId="108"/>
    <tableColumn id="3" xr3:uid="{49E2DBB2-7328-45F4-A4AD-01694C30AB00}" name="Autoeval" dataDxfId="107"/>
    <tableColumn id="4" xr3:uid="{AA3F8C71-DF73-40D6-86EB-BF8981D94F06}" name="Coord a Docente" dataDxfId="106"/>
    <tableColumn id="5" xr3:uid="{96DEBA62-7ECF-42A5-A872-1EE68A15AF5A}" name="Eval pares" dataDxfId="105"/>
    <tableColumn id="6" xr3:uid="{E05857F1-A3C0-42D5-834C-0D3BEB933F09}" name="Total" dataDxfId="104"/>
    <tableColumn id="7" xr3:uid="{4C90EEF4-9157-405E-8D5B-6D946A58EC23}" name="TOTAL SOBRE 100" dataDxfId="10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659D-BB01-49B5-ABD3-48ABB305973D}">
  <dimension ref="A3:F158"/>
  <sheetViews>
    <sheetView workbookViewId="0">
      <selection activeCell="A16" sqref="A16"/>
    </sheetView>
  </sheetViews>
  <sheetFormatPr baseColWidth="10" defaultRowHeight="15" x14ac:dyDescent="0.25"/>
  <cols>
    <col min="1" max="1" width="45.42578125" bestFit="1" customWidth="1"/>
    <col min="2" max="2" width="19.140625" bestFit="1" customWidth="1"/>
    <col min="3" max="3" width="23.85546875" bestFit="1" customWidth="1"/>
    <col min="4" max="4" width="17.140625" bestFit="1" customWidth="1"/>
    <col min="5" max="5" width="18" bestFit="1" customWidth="1"/>
    <col min="6" max="6" width="24.42578125" bestFit="1" customWidth="1"/>
  </cols>
  <sheetData>
    <row r="3" spans="1:6" x14ac:dyDescent="0.25">
      <c r="A3" s="4" t="s">
        <v>43</v>
      </c>
      <c r="B3" s="3" t="s">
        <v>45</v>
      </c>
      <c r="C3" s="10" t="s">
        <v>46</v>
      </c>
      <c r="D3" s="10" t="s">
        <v>47</v>
      </c>
      <c r="E3" s="10" t="s">
        <v>48</v>
      </c>
      <c r="F3" s="8" t="s">
        <v>50</v>
      </c>
    </row>
    <row r="4" spans="1:6" x14ac:dyDescent="0.25">
      <c r="A4" s="5" t="s">
        <v>155</v>
      </c>
      <c r="B4" s="3">
        <v>1.84</v>
      </c>
      <c r="C4" s="10">
        <v>0.97</v>
      </c>
      <c r="D4" s="10">
        <v>0.99</v>
      </c>
      <c r="E4" s="10">
        <v>1</v>
      </c>
      <c r="F4" s="8">
        <v>96</v>
      </c>
    </row>
    <row r="5" spans="1:6" x14ac:dyDescent="0.25">
      <c r="A5" s="6" t="s">
        <v>156</v>
      </c>
      <c r="B5" s="39">
        <v>1.68</v>
      </c>
      <c r="C5" s="40">
        <v>1</v>
      </c>
      <c r="D5" s="40">
        <v>0.86</v>
      </c>
      <c r="E5" s="40">
        <v>0.93</v>
      </c>
      <c r="F5" s="41">
        <v>89.4</v>
      </c>
    </row>
    <row r="6" spans="1:6" x14ac:dyDescent="0.25">
      <c r="A6" s="6" t="s">
        <v>157</v>
      </c>
      <c r="B6" s="39">
        <v>1.72</v>
      </c>
      <c r="C6" s="40">
        <v>1</v>
      </c>
      <c r="D6" s="40">
        <v>1</v>
      </c>
      <c r="E6" s="40">
        <v>1</v>
      </c>
      <c r="F6" s="41">
        <v>94.4</v>
      </c>
    </row>
    <row r="7" spans="1:6" x14ac:dyDescent="0.25">
      <c r="A7" s="6" t="s">
        <v>158</v>
      </c>
      <c r="B7" s="39">
        <v>1.94</v>
      </c>
      <c r="C7" s="40">
        <v>0.94</v>
      </c>
      <c r="D7" s="40">
        <v>1</v>
      </c>
      <c r="E7" s="40">
        <v>0.91</v>
      </c>
      <c r="F7" s="41">
        <v>95.8</v>
      </c>
    </row>
    <row r="8" spans="1:6" x14ac:dyDescent="0.25">
      <c r="A8" s="6" t="s">
        <v>159</v>
      </c>
      <c r="B8" s="39">
        <v>1.91</v>
      </c>
      <c r="C8" s="40">
        <v>1</v>
      </c>
      <c r="D8" s="40">
        <v>1</v>
      </c>
      <c r="E8" s="40">
        <v>0.98</v>
      </c>
      <c r="F8" s="41">
        <v>97.799999999999983</v>
      </c>
    </row>
    <row r="9" spans="1:6" x14ac:dyDescent="0.25">
      <c r="A9" s="6" t="s">
        <v>160</v>
      </c>
      <c r="B9" s="39">
        <v>1.8</v>
      </c>
      <c r="C9" s="40">
        <v>0.93</v>
      </c>
      <c r="D9" s="40">
        <v>1</v>
      </c>
      <c r="E9" s="40">
        <v>0.92</v>
      </c>
      <c r="F9" s="41">
        <v>93.000000000000014</v>
      </c>
    </row>
    <row r="10" spans="1:6" x14ac:dyDescent="0.25">
      <c r="A10" s="6" t="s">
        <v>163</v>
      </c>
      <c r="B10" s="39">
        <v>1.85</v>
      </c>
      <c r="C10" s="40">
        <v>1</v>
      </c>
      <c r="D10" s="40">
        <v>0</v>
      </c>
      <c r="E10" s="40">
        <v>1</v>
      </c>
      <c r="F10" s="41">
        <v>77</v>
      </c>
    </row>
    <row r="11" spans="1:6" x14ac:dyDescent="0.25">
      <c r="A11" s="6" t="s">
        <v>164</v>
      </c>
      <c r="B11" s="39">
        <v>1.74</v>
      </c>
      <c r="C11" s="40">
        <v>0.97</v>
      </c>
      <c r="D11" s="40">
        <v>0.97</v>
      </c>
      <c r="E11" s="40">
        <v>0.97</v>
      </c>
      <c r="F11" s="41">
        <v>93.000000000000014</v>
      </c>
    </row>
    <row r="12" spans="1:6" x14ac:dyDescent="0.25">
      <c r="A12" s="6" t="s">
        <v>165</v>
      </c>
      <c r="B12" s="39">
        <v>1.84</v>
      </c>
      <c r="C12" s="40">
        <v>1</v>
      </c>
      <c r="D12" s="40">
        <v>1</v>
      </c>
      <c r="E12" s="40">
        <v>1</v>
      </c>
      <c r="F12" s="41">
        <v>96.8</v>
      </c>
    </row>
    <row r="13" spans="1:6" x14ac:dyDescent="0.25">
      <c r="A13" s="6" t="s">
        <v>166</v>
      </c>
      <c r="B13" s="39">
        <v>1.96</v>
      </c>
      <c r="C13" s="40">
        <v>0.94</v>
      </c>
      <c r="D13" s="40">
        <v>0.92</v>
      </c>
      <c r="E13" s="40">
        <v>1</v>
      </c>
      <c r="F13" s="41">
        <v>96.4</v>
      </c>
    </row>
    <row r="14" spans="1:6" x14ac:dyDescent="0.25">
      <c r="A14" s="6" t="s">
        <v>167</v>
      </c>
      <c r="B14" s="39">
        <v>1.95</v>
      </c>
      <c r="C14" s="40">
        <v>1</v>
      </c>
      <c r="D14" s="40">
        <v>0.99</v>
      </c>
      <c r="E14" s="40">
        <v>1</v>
      </c>
      <c r="F14" s="41">
        <v>98.800000000000011</v>
      </c>
    </row>
    <row r="15" spans="1:6" x14ac:dyDescent="0.25">
      <c r="A15" s="6" t="s">
        <v>168</v>
      </c>
      <c r="B15" s="39">
        <v>2</v>
      </c>
      <c r="C15" s="40">
        <v>0.97</v>
      </c>
      <c r="D15" s="40">
        <v>0.98</v>
      </c>
      <c r="E15" s="40">
        <v>1</v>
      </c>
      <c r="F15" s="41">
        <v>99</v>
      </c>
    </row>
    <row r="16" spans="1:6" x14ac:dyDescent="0.25">
      <c r="A16" s="6" t="s">
        <v>169</v>
      </c>
      <c r="B16" s="39">
        <v>1.92</v>
      </c>
      <c r="C16" s="40">
        <v>1</v>
      </c>
      <c r="D16" s="40">
        <v>1</v>
      </c>
      <c r="E16" s="40">
        <v>1</v>
      </c>
      <c r="F16" s="41">
        <v>98.4</v>
      </c>
    </row>
    <row r="17" spans="1:6" x14ac:dyDescent="0.25">
      <c r="A17" s="6" t="s">
        <v>170</v>
      </c>
      <c r="B17" s="39">
        <v>1.93</v>
      </c>
      <c r="C17" s="40">
        <v>1</v>
      </c>
      <c r="D17" s="40">
        <v>1</v>
      </c>
      <c r="E17" s="40">
        <v>0.98</v>
      </c>
      <c r="F17" s="41">
        <v>98.2</v>
      </c>
    </row>
    <row r="18" spans="1:6" x14ac:dyDescent="0.25">
      <c r="A18" s="6" t="s">
        <v>171</v>
      </c>
      <c r="B18" s="39">
        <v>1.76</v>
      </c>
      <c r="C18" s="40">
        <v>1</v>
      </c>
      <c r="D18" s="40">
        <v>0.99</v>
      </c>
      <c r="E18" s="40">
        <v>1</v>
      </c>
      <c r="F18" s="41">
        <v>95</v>
      </c>
    </row>
    <row r="19" spans="1:6" x14ac:dyDescent="0.25">
      <c r="A19" s="6" t="s">
        <v>172</v>
      </c>
      <c r="B19" s="39">
        <v>1.94</v>
      </c>
      <c r="C19" s="40">
        <v>1</v>
      </c>
      <c r="D19" s="40">
        <v>0</v>
      </c>
      <c r="E19" s="40">
        <v>1</v>
      </c>
      <c r="F19" s="41">
        <v>78.8</v>
      </c>
    </row>
    <row r="20" spans="1:6" x14ac:dyDescent="0.25">
      <c r="A20" s="6" t="s">
        <v>173</v>
      </c>
      <c r="B20" s="39">
        <v>1.79</v>
      </c>
      <c r="C20" s="40">
        <v>0.83</v>
      </c>
      <c r="D20" s="40">
        <v>0.97</v>
      </c>
      <c r="E20" s="40">
        <v>0.77</v>
      </c>
      <c r="F20" s="41">
        <v>87.200000000000017</v>
      </c>
    </row>
    <row r="21" spans="1:6" x14ac:dyDescent="0.25">
      <c r="A21" s="6" t="s">
        <v>174</v>
      </c>
      <c r="B21" s="39">
        <v>1.91</v>
      </c>
      <c r="C21" s="40">
        <v>0.95</v>
      </c>
      <c r="D21" s="40">
        <v>1</v>
      </c>
      <c r="E21" s="40">
        <v>0.93</v>
      </c>
      <c r="F21" s="41">
        <v>95.8</v>
      </c>
    </row>
    <row r="22" spans="1:6" x14ac:dyDescent="0.25">
      <c r="A22" s="6" t="s">
        <v>175</v>
      </c>
      <c r="B22" s="39">
        <v>1.95</v>
      </c>
      <c r="C22" s="40">
        <v>1</v>
      </c>
      <c r="D22" s="40">
        <v>0.98</v>
      </c>
      <c r="E22" s="40">
        <v>1</v>
      </c>
      <c r="F22" s="41">
        <v>98.6</v>
      </c>
    </row>
    <row r="23" spans="1:6" x14ac:dyDescent="0.25">
      <c r="A23" s="6" t="s">
        <v>176</v>
      </c>
      <c r="B23" s="39">
        <v>1.86</v>
      </c>
      <c r="C23" s="40">
        <v>0.97</v>
      </c>
      <c r="D23" s="40">
        <v>0.97</v>
      </c>
      <c r="E23" s="40">
        <v>1</v>
      </c>
      <c r="F23" s="41">
        <v>96</v>
      </c>
    </row>
    <row r="24" spans="1:6" x14ac:dyDescent="0.25">
      <c r="A24" s="6" t="s">
        <v>177</v>
      </c>
      <c r="B24" s="39">
        <v>1.8</v>
      </c>
      <c r="C24" s="40">
        <v>1</v>
      </c>
      <c r="D24" s="40">
        <v>1</v>
      </c>
      <c r="E24" s="40">
        <v>1</v>
      </c>
      <c r="F24" s="41">
        <v>96</v>
      </c>
    </row>
    <row r="25" spans="1:6" x14ac:dyDescent="0.25">
      <c r="A25" s="6" t="s">
        <v>178</v>
      </c>
      <c r="B25" s="39">
        <v>1.57</v>
      </c>
      <c r="C25" s="40">
        <v>1</v>
      </c>
      <c r="D25" s="40">
        <v>1</v>
      </c>
      <c r="E25" s="40">
        <v>0.91</v>
      </c>
      <c r="F25" s="41">
        <v>89.600000000000009</v>
      </c>
    </row>
    <row r="26" spans="1:6" x14ac:dyDescent="0.25">
      <c r="A26" s="6" t="s">
        <v>179</v>
      </c>
      <c r="B26" s="39">
        <v>1.82</v>
      </c>
      <c r="C26" s="40">
        <v>1</v>
      </c>
      <c r="D26" s="40">
        <v>1</v>
      </c>
      <c r="E26" s="40">
        <v>1</v>
      </c>
      <c r="F26" s="41">
        <v>96.4</v>
      </c>
    </row>
    <row r="27" spans="1:6" x14ac:dyDescent="0.25">
      <c r="A27" s="6" t="s">
        <v>180</v>
      </c>
      <c r="B27" s="39">
        <v>1.76</v>
      </c>
      <c r="C27" s="40">
        <v>1</v>
      </c>
      <c r="D27" s="40">
        <v>1</v>
      </c>
      <c r="E27" s="40">
        <v>0.97</v>
      </c>
      <c r="F27" s="41">
        <v>94.600000000000009</v>
      </c>
    </row>
    <row r="28" spans="1:6" x14ac:dyDescent="0.25">
      <c r="A28" s="6" t="s">
        <v>181</v>
      </c>
      <c r="B28" s="39">
        <v>1.8</v>
      </c>
      <c r="C28" s="40">
        <v>1</v>
      </c>
      <c r="D28" s="40">
        <v>1</v>
      </c>
      <c r="E28" s="40">
        <v>0.97</v>
      </c>
      <c r="F28" s="41">
        <v>95.399999999999991</v>
      </c>
    </row>
    <row r="29" spans="1:6" x14ac:dyDescent="0.25">
      <c r="A29" s="6" t="s">
        <v>182</v>
      </c>
      <c r="B29" s="39">
        <v>1.58</v>
      </c>
      <c r="C29" s="40">
        <v>1</v>
      </c>
      <c r="D29" s="40">
        <v>1</v>
      </c>
      <c r="E29" s="40">
        <v>1</v>
      </c>
      <c r="F29" s="41">
        <v>91.6</v>
      </c>
    </row>
    <row r="30" spans="1:6" x14ac:dyDescent="0.25">
      <c r="A30" s="6" t="s">
        <v>183</v>
      </c>
      <c r="B30" s="39">
        <v>1.82</v>
      </c>
      <c r="C30" s="40">
        <v>1</v>
      </c>
      <c r="D30" s="40">
        <v>1</v>
      </c>
      <c r="E30" s="40">
        <v>0.95</v>
      </c>
      <c r="F30" s="41">
        <v>95.399999999999991</v>
      </c>
    </row>
    <row r="31" spans="1:6" x14ac:dyDescent="0.25">
      <c r="A31" s="6" t="s">
        <v>185</v>
      </c>
      <c r="B31" s="39">
        <v>1.86</v>
      </c>
      <c r="C31" s="40">
        <v>0.94</v>
      </c>
      <c r="D31" s="40">
        <v>1</v>
      </c>
      <c r="E31" s="40">
        <v>0.8</v>
      </c>
      <c r="F31" s="41">
        <v>91.999999999999986</v>
      </c>
    </row>
    <row r="32" spans="1:6" x14ac:dyDescent="0.25">
      <c r="A32" s="6" t="s">
        <v>186</v>
      </c>
      <c r="B32" s="39">
        <v>1.82</v>
      </c>
      <c r="C32" s="40">
        <v>0.97</v>
      </c>
      <c r="D32" s="40">
        <v>0.97</v>
      </c>
      <c r="E32" s="40">
        <v>0.94</v>
      </c>
      <c r="F32" s="41">
        <v>94</v>
      </c>
    </row>
    <row r="33" spans="1:6" x14ac:dyDescent="0.25">
      <c r="A33" s="6" t="s">
        <v>187</v>
      </c>
      <c r="B33" s="39">
        <v>1.69</v>
      </c>
      <c r="C33" s="40">
        <v>0.97</v>
      </c>
      <c r="D33" s="40">
        <v>0.99</v>
      </c>
      <c r="E33" s="40">
        <v>0.93</v>
      </c>
      <c r="F33" s="41">
        <v>91.6</v>
      </c>
    </row>
    <row r="34" spans="1:6" x14ac:dyDescent="0.25">
      <c r="A34" s="6" t="s">
        <v>188</v>
      </c>
      <c r="B34" s="39">
        <v>1.45</v>
      </c>
      <c r="C34" s="40">
        <v>1</v>
      </c>
      <c r="D34" s="40">
        <v>1</v>
      </c>
      <c r="E34" s="40">
        <v>1</v>
      </c>
      <c r="F34" s="41">
        <v>89</v>
      </c>
    </row>
    <row r="35" spans="1:6" x14ac:dyDescent="0.25">
      <c r="A35" s="6" t="s">
        <v>189</v>
      </c>
      <c r="B35" s="39">
        <v>1.43</v>
      </c>
      <c r="C35" s="40">
        <v>1</v>
      </c>
      <c r="D35" s="40">
        <v>0.95</v>
      </c>
      <c r="E35" s="40">
        <v>0.89</v>
      </c>
      <c r="F35" s="41">
        <v>85.399999999999991</v>
      </c>
    </row>
    <row r="36" spans="1:6" x14ac:dyDescent="0.25">
      <c r="A36" s="6" t="s">
        <v>190</v>
      </c>
      <c r="B36" s="39">
        <v>1.85</v>
      </c>
      <c r="C36" s="40">
        <v>1</v>
      </c>
      <c r="D36" s="40">
        <v>1</v>
      </c>
      <c r="E36" s="40">
        <v>0.94</v>
      </c>
      <c r="F36" s="41">
        <v>95.8</v>
      </c>
    </row>
    <row r="37" spans="1:6" x14ac:dyDescent="0.25">
      <c r="A37" s="6" t="s">
        <v>191</v>
      </c>
      <c r="B37" s="39">
        <v>1.94</v>
      </c>
      <c r="C37" s="40">
        <v>1</v>
      </c>
      <c r="D37" s="40">
        <v>0.98</v>
      </c>
      <c r="E37" s="40">
        <v>1</v>
      </c>
      <c r="F37" s="41">
        <v>98.4</v>
      </c>
    </row>
    <row r="38" spans="1:6" x14ac:dyDescent="0.25">
      <c r="A38" s="6" t="s">
        <v>192</v>
      </c>
      <c r="B38" s="39">
        <v>1.82</v>
      </c>
      <c r="C38" s="40">
        <v>1</v>
      </c>
      <c r="D38" s="40">
        <v>0.87</v>
      </c>
      <c r="E38" s="40">
        <v>1</v>
      </c>
      <c r="F38" s="41">
        <v>93.800000000000011</v>
      </c>
    </row>
    <row r="39" spans="1:6" x14ac:dyDescent="0.25">
      <c r="A39" s="6" t="s">
        <v>193</v>
      </c>
      <c r="B39" s="39">
        <v>1.87</v>
      </c>
      <c r="C39" s="40">
        <v>1</v>
      </c>
      <c r="D39" s="40">
        <v>1</v>
      </c>
      <c r="E39" s="40">
        <v>1</v>
      </c>
      <c r="F39" s="41">
        <v>97.4</v>
      </c>
    </row>
    <row r="40" spans="1:6" x14ac:dyDescent="0.25">
      <c r="A40" s="6" t="s">
        <v>194</v>
      </c>
      <c r="B40" s="39">
        <v>1.65</v>
      </c>
      <c r="C40" s="40">
        <v>1</v>
      </c>
      <c r="D40" s="40">
        <v>1</v>
      </c>
      <c r="E40" s="40">
        <v>0.97</v>
      </c>
      <c r="F40" s="41">
        <v>92.4</v>
      </c>
    </row>
    <row r="41" spans="1:6" x14ac:dyDescent="0.25">
      <c r="A41" s="6" t="s">
        <v>195</v>
      </c>
      <c r="B41" s="39">
        <v>1.88</v>
      </c>
      <c r="C41" s="40">
        <v>0.97</v>
      </c>
      <c r="D41" s="40">
        <v>1</v>
      </c>
      <c r="E41" s="40">
        <v>1</v>
      </c>
      <c r="F41" s="41">
        <v>96.999999999999986</v>
      </c>
    </row>
    <row r="42" spans="1:6" x14ac:dyDescent="0.25">
      <c r="A42" s="6" t="s">
        <v>196</v>
      </c>
      <c r="B42" s="39">
        <v>1.99</v>
      </c>
      <c r="C42" s="40">
        <v>1</v>
      </c>
      <c r="D42" s="40">
        <v>1</v>
      </c>
      <c r="E42" s="40">
        <v>0.91</v>
      </c>
      <c r="F42" s="41">
        <v>98.000000000000014</v>
      </c>
    </row>
    <row r="43" spans="1:6" x14ac:dyDescent="0.25">
      <c r="A43" s="6" t="s">
        <v>197</v>
      </c>
      <c r="B43" s="39">
        <v>1.67</v>
      </c>
      <c r="C43" s="40">
        <v>1</v>
      </c>
      <c r="D43" s="40">
        <v>1</v>
      </c>
      <c r="E43" s="40">
        <v>0.86</v>
      </c>
      <c r="F43" s="41">
        <v>90.6</v>
      </c>
    </row>
    <row r="44" spans="1:6" x14ac:dyDescent="0.25">
      <c r="A44" s="6" t="s">
        <v>198</v>
      </c>
      <c r="B44" s="39">
        <v>1.82</v>
      </c>
      <c r="C44" s="40">
        <v>1</v>
      </c>
      <c r="D44" s="40">
        <v>0.9</v>
      </c>
      <c r="E44" s="40">
        <v>1</v>
      </c>
      <c r="F44" s="41">
        <v>94.4</v>
      </c>
    </row>
    <row r="45" spans="1:6" x14ac:dyDescent="0.25">
      <c r="A45" s="6" t="s">
        <v>199</v>
      </c>
      <c r="B45" s="39">
        <v>1.78</v>
      </c>
      <c r="C45" s="40">
        <v>0.93</v>
      </c>
      <c r="D45" s="40">
        <v>0</v>
      </c>
      <c r="E45" s="40">
        <v>1</v>
      </c>
      <c r="F45" s="41">
        <v>74.2</v>
      </c>
    </row>
    <row r="46" spans="1:6" x14ac:dyDescent="0.25">
      <c r="A46" s="6" t="s">
        <v>200</v>
      </c>
      <c r="B46" s="39">
        <v>1.45</v>
      </c>
      <c r="C46" s="40">
        <v>0.94</v>
      </c>
      <c r="D46" s="40">
        <v>0.97</v>
      </c>
      <c r="E46" s="40">
        <v>0.97</v>
      </c>
      <c r="F46" s="41">
        <v>86.6</v>
      </c>
    </row>
    <row r="47" spans="1:6" x14ac:dyDescent="0.25">
      <c r="A47" s="6" t="s">
        <v>201</v>
      </c>
      <c r="B47" s="39">
        <v>1.76</v>
      </c>
      <c r="C47" s="40">
        <v>0.93</v>
      </c>
      <c r="D47" s="40">
        <v>1</v>
      </c>
      <c r="E47" s="40">
        <v>0.77</v>
      </c>
      <c r="F47" s="41">
        <v>89.2</v>
      </c>
    </row>
    <row r="48" spans="1:6" x14ac:dyDescent="0.25">
      <c r="A48" s="6" t="s">
        <v>202</v>
      </c>
      <c r="B48" s="39">
        <v>1.51</v>
      </c>
      <c r="C48" s="40">
        <v>0.97</v>
      </c>
      <c r="D48" s="40">
        <v>1</v>
      </c>
      <c r="E48" s="40">
        <v>0.9</v>
      </c>
      <c r="F48" s="41">
        <v>87.6</v>
      </c>
    </row>
    <row r="49" spans="1:6" x14ac:dyDescent="0.25">
      <c r="A49" s="6" t="s">
        <v>203</v>
      </c>
      <c r="B49" s="39">
        <v>1.61</v>
      </c>
      <c r="C49" s="40">
        <v>0.81</v>
      </c>
      <c r="D49" s="40">
        <v>1</v>
      </c>
      <c r="E49" s="40">
        <v>0.97</v>
      </c>
      <c r="F49" s="41">
        <v>87.799999999999983</v>
      </c>
    </row>
    <row r="50" spans="1:6" x14ac:dyDescent="0.25">
      <c r="A50" s="6" t="s">
        <v>204</v>
      </c>
      <c r="B50" s="39">
        <v>1.92</v>
      </c>
      <c r="C50" s="40">
        <v>1</v>
      </c>
      <c r="D50" s="40">
        <v>1</v>
      </c>
      <c r="E50" s="40">
        <v>1</v>
      </c>
      <c r="F50" s="41">
        <v>98.4</v>
      </c>
    </row>
    <row r="51" spans="1:6" x14ac:dyDescent="0.25">
      <c r="A51" s="6" t="s">
        <v>205</v>
      </c>
      <c r="B51" s="39">
        <v>1.88</v>
      </c>
      <c r="C51" s="40">
        <v>0.95</v>
      </c>
      <c r="D51" s="40">
        <v>1</v>
      </c>
      <c r="E51" s="40">
        <v>0.95</v>
      </c>
      <c r="F51" s="41">
        <v>95.6</v>
      </c>
    </row>
    <row r="52" spans="1:6" x14ac:dyDescent="0.25">
      <c r="A52" s="6" t="s">
        <v>206</v>
      </c>
      <c r="B52" s="39">
        <v>1.95</v>
      </c>
      <c r="C52" s="40">
        <v>0.96</v>
      </c>
      <c r="D52" s="40">
        <v>0.96</v>
      </c>
      <c r="E52" s="40">
        <v>1</v>
      </c>
      <c r="F52" s="41">
        <v>97.4</v>
      </c>
    </row>
    <row r="53" spans="1:6" x14ac:dyDescent="0.25">
      <c r="A53" s="6" t="s">
        <v>207</v>
      </c>
      <c r="B53" s="39">
        <v>1.91</v>
      </c>
      <c r="C53" s="40">
        <v>1</v>
      </c>
      <c r="D53" s="40">
        <v>1</v>
      </c>
      <c r="E53" s="40">
        <v>1</v>
      </c>
      <c r="F53" s="41">
        <v>98.2</v>
      </c>
    </row>
    <row r="54" spans="1:6" x14ac:dyDescent="0.25">
      <c r="A54" s="6" t="s">
        <v>208</v>
      </c>
      <c r="B54" s="39">
        <v>1.54</v>
      </c>
      <c r="C54" s="40">
        <v>1</v>
      </c>
      <c r="D54" s="40">
        <v>0.93</v>
      </c>
      <c r="E54" s="40">
        <v>0.96</v>
      </c>
      <c r="F54" s="41">
        <v>88.6</v>
      </c>
    </row>
    <row r="55" spans="1:6" x14ac:dyDescent="0.25">
      <c r="A55" s="6" t="s">
        <v>209</v>
      </c>
      <c r="B55" s="39">
        <v>1.95</v>
      </c>
      <c r="C55" s="40">
        <v>0.94</v>
      </c>
      <c r="D55" s="40">
        <v>1</v>
      </c>
      <c r="E55" s="40">
        <v>0.94</v>
      </c>
      <c r="F55" s="41">
        <v>96.6</v>
      </c>
    </row>
    <row r="56" spans="1:6" x14ac:dyDescent="0.25">
      <c r="A56" s="6" t="s">
        <v>210</v>
      </c>
      <c r="B56" s="39">
        <v>1.82</v>
      </c>
      <c r="C56" s="40">
        <v>0.99</v>
      </c>
      <c r="D56" s="40">
        <v>1</v>
      </c>
      <c r="E56" s="40">
        <v>1</v>
      </c>
      <c r="F56" s="41">
        <v>96.199999999999989</v>
      </c>
    </row>
    <row r="57" spans="1:6" x14ac:dyDescent="0.25">
      <c r="A57" s="6" t="s">
        <v>211</v>
      </c>
      <c r="B57" s="39">
        <v>1.87</v>
      </c>
      <c r="C57" s="40">
        <v>1</v>
      </c>
      <c r="D57" s="40">
        <v>1</v>
      </c>
      <c r="E57" s="40">
        <v>0.98</v>
      </c>
      <c r="F57" s="41">
        <v>96.999999999999986</v>
      </c>
    </row>
    <row r="58" spans="1:6" x14ac:dyDescent="0.25">
      <c r="A58" s="6" t="s">
        <v>212</v>
      </c>
      <c r="B58" s="39">
        <v>2</v>
      </c>
      <c r="C58" s="40">
        <v>1</v>
      </c>
      <c r="D58" s="40">
        <v>0.94</v>
      </c>
      <c r="E58" s="40">
        <v>0.98</v>
      </c>
      <c r="F58" s="41">
        <v>98.4</v>
      </c>
    </row>
    <row r="59" spans="1:6" x14ac:dyDescent="0.25">
      <c r="A59" s="6" t="s">
        <v>213</v>
      </c>
      <c r="B59" s="39">
        <v>1.77</v>
      </c>
      <c r="C59" s="40">
        <v>1</v>
      </c>
      <c r="D59" s="40">
        <v>1</v>
      </c>
      <c r="E59" s="40">
        <v>1</v>
      </c>
      <c r="F59" s="41">
        <v>95.399999999999991</v>
      </c>
    </row>
    <row r="60" spans="1:6" x14ac:dyDescent="0.25">
      <c r="A60" s="6" t="s">
        <v>214</v>
      </c>
      <c r="B60" s="39">
        <v>1.93</v>
      </c>
      <c r="C60" s="40">
        <v>0.97</v>
      </c>
      <c r="D60" s="40">
        <v>1</v>
      </c>
      <c r="E60" s="40">
        <v>0.91</v>
      </c>
      <c r="F60" s="41">
        <v>96.199999999999989</v>
      </c>
    </row>
    <row r="61" spans="1:6" x14ac:dyDescent="0.25">
      <c r="A61" s="6" t="s">
        <v>215</v>
      </c>
      <c r="B61" s="39">
        <v>1.84</v>
      </c>
      <c r="C61" s="40">
        <v>1</v>
      </c>
      <c r="D61" s="40">
        <v>1</v>
      </c>
      <c r="E61" s="40">
        <v>1</v>
      </c>
      <c r="F61" s="41">
        <v>96.8</v>
      </c>
    </row>
    <row r="62" spans="1:6" x14ac:dyDescent="0.25">
      <c r="A62" s="6" t="s">
        <v>216</v>
      </c>
      <c r="B62" s="39">
        <v>1.89</v>
      </c>
      <c r="C62" s="40">
        <v>0.92</v>
      </c>
      <c r="D62" s="40">
        <v>1</v>
      </c>
      <c r="E62" s="40">
        <v>0.97</v>
      </c>
      <c r="F62" s="41">
        <v>95.6</v>
      </c>
    </row>
    <row r="63" spans="1:6" x14ac:dyDescent="0.25">
      <c r="A63" s="6" t="s">
        <v>217</v>
      </c>
      <c r="B63" s="39">
        <v>1.6</v>
      </c>
      <c r="C63" s="40">
        <v>0.92</v>
      </c>
      <c r="D63" s="40">
        <v>0.88</v>
      </c>
      <c r="E63" s="40">
        <v>1</v>
      </c>
      <c r="F63" s="41">
        <v>88.000000000000014</v>
      </c>
    </row>
    <row r="64" spans="1:6" x14ac:dyDescent="0.25">
      <c r="A64" s="6" t="s">
        <v>218</v>
      </c>
      <c r="B64" s="39">
        <v>1.89</v>
      </c>
      <c r="C64" s="40">
        <v>0.98</v>
      </c>
      <c r="D64" s="40">
        <v>1</v>
      </c>
      <c r="E64" s="40">
        <v>1</v>
      </c>
      <c r="F64" s="41">
        <v>97.4</v>
      </c>
    </row>
    <row r="65" spans="1:6" x14ac:dyDescent="0.25">
      <c r="A65" s="6" t="s">
        <v>219</v>
      </c>
      <c r="B65" s="39">
        <v>1.92</v>
      </c>
      <c r="C65" s="40">
        <v>0.99</v>
      </c>
      <c r="D65" s="40">
        <v>1</v>
      </c>
      <c r="E65" s="40">
        <v>0.98</v>
      </c>
      <c r="F65" s="41">
        <v>97.799999999999983</v>
      </c>
    </row>
    <row r="66" spans="1:6" x14ac:dyDescent="0.25">
      <c r="A66" s="6" t="s">
        <v>220</v>
      </c>
      <c r="B66" s="39">
        <v>1.96</v>
      </c>
      <c r="C66" s="40">
        <v>0.92</v>
      </c>
      <c r="D66" s="40">
        <v>1</v>
      </c>
      <c r="E66" s="40">
        <v>0.96</v>
      </c>
      <c r="F66" s="41">
        <v>96.8</v>
      </c>
    </row>
    <row r="67" spans="1:6" x14ac:dyDescent="0.25">
      <c r="A67" s="6" t="s">
        <v>221</v>
      </c>
      <c r="B67" s="39">
        <v>1.93</v>
      </c>
      <c r="C67" s="40">
        <v>1</v>
      </c>
      <c r="D67" s="40">
        <v>0.99</v>
      </c>
      <c r="E67" s="40">
        <v>0.99</v>
      </c>
      <c r="F67" s="41">
        <v>98.2</v>
      </c>
    </row>
    <row r="68" spans="1:6" x14ac:dyDescent="0.25">
      <c r="A68" s="6" t="s">
        <v>222</v>
      </c>
      <c r="B68" s="39">
        <v>1.34</v>
      </c>
      <c r="C68" s="40">
        <v>0.97</v>
      </c>
      <c r="D68" s="40">
        <v>1</v>
      </c>
      <c r="E68" s="40">
        <v>0.96</v>
      </c>
      <c r="F68" s="41">
        <v>85.399999999999991</v>
      </c>
    </row>
    <row r="69" spans="1:6" x14ac:dyDescent="0.25">
      <c r="A69" s="6" t="s">
        <v>223</v>
      </c>
      <c r="B69" s="39">
        <v>1.78</v>
      </c>
      <c r="C69" s="40">
        <v>0.94</v>
      </c>
      <c r="D69" s="40">
        <v>0.99</v>
      </c>
      <c r="E69" s="40">
        <v>1</v>
      </c>
      <c r="F69" s="41">
        <v>94.2</v>
      </c>
    </row>
    <row r="70" spans="1:6" x14ac:dyDescent="0.25">
      <c r="A70" s="6" t="s">
        <v>224</v>
      </c>
      <c r="B70" s="39">
        <v>1.82</v>
      </c>
      <c r="C70" s="40">
        <v>1</v>
      </c>
      <c r="D70" s="40">
        <v>1</v>
      </c>
      <c r="E70" s="40">
        <v>0.75</v>
      </c>
      <c r="F70" s="41">
        <v>91.4</v>
      </c>
    </row>
    <row r="71" spans="1:6" x14ac:dyDescent="0.25">
      <c r="A71" s="6" t="s">
        <v>225</v>
      </c>
      <c r="B71" s="39">
        <v>1.9</v>
      </c>
      <c r="C71" s="40">
        <v>0.99</v>
      </c>
      <c r="D71" s="40">
        <v>0.99</v>
      </c>
      <c r="E71" s="40">
        <v>1</v>
      </c>
      <c r="F71" s="41">
        <v>97.6</v>
      </c>
    </row>
    <row r="72" spans="1:6" x14ac:dyDescent="0.25">
      <c r="A72" s="6" t="s">
        <v>226</v>
      </c>
      <c r="B72" s="39">
        <v>1.81</v>
      </c>
      <c r="C72" s="40">
        <v>1</v>
      </c>
      <c r="D72" s="40">
        <v>1</v>
      </c>
      <c r="E72" s="40">
        <v>1</v>
      </c>
      <c r="F72" s="41">
        <v>96.199999999999989</v>
      </c>
    </row>
    <row r="73" spans="1:6" x14ac:dyDescent="0.25">
      <c r="A73" s="6" t="s">
        <v>227</v>
      </c>
      <c r="B73" s="39">
        <v>1.93</v>
      </c>
      <c r="C73" s="40">
        <v>0.98</v>
      </c>
      <c r="D73" s="40">
        <v>1</v>
      </c>
      <c r="E73" s="40">
        <v>1</v>
      </c>
      <c r="F73" s="41">
        <v>98.2</v>
      </c>
    </row>
    <row r="74" spans="1:6" x14ac:dyDescent="0.25">
      <c r="A74" s="6" t="s">
        <v>228</v>
      </c>
      <c r="B74" s="39">
        <v>1.84</v>
      </c>
      <c r="C74" s="40">
        <v>1</v>
      </c>
      <c r="D74" s="40">
        <v>1</v>
      </c>
      <c r="E74" s="40">
        <v>1</v>
      </c>
      <c r="F74" s="41">
        <v>96.8</v>
      </c>
    </row>
    <row r="75" spans="1:6" x14ac:dyDescent="0.25">
      <c r="A75" s="6" t="s">
        <v>229</v>
      </c>
      <c r="B75" s="39">
        <v>1.87</v>
      </c>
      <c r="C75" s="40">
        <v>0.97</v>
      </c>
      <c r="D75" s="40">
        <v>1</v>
      </c>
      <c r="E75" s="40">
        <v>0.96</v>
      </c>
      <c r="F75" s="41">
        <v>96</v>
      </c>
    </row>
    <row r="76" spans="1:6" x14ac:dyDescent="0.25">
      <c r="A76" s="6" t="s">
        <v>230</v>
      </c>
      <c r="B76" s="39">
        <v>1.87</v>
      </c>
      <c r="C76" s="40">
        <v>1</v>
      </c>
      <c r="D76" s="40">
        <v>1</v>
      </c>
      <c r="E76" s="40">
        <v>0.9</v>
      </c>
      <c r="F76" s="41">
        <v>95.399999999999991</v>
      </c>
    </row>
    <row r="77" spans="1:6" x14ac:dyDescent="0.25">
      <c r="A77" s="6" t="s">
        <v>231</v>
      </c>
      <c r="B77" s="39">
        <v>1.9</v>
      </c>
      <c r="C77" s="40">
        <v>1</v>
      </c>
      <c r="D77" s="40">
        <v>1</v>
      </c>
      <c r="E77" s="40">
        <v>1</v>
      </c>
      <c r="F77" s="41">
        <v>98.000000000000014</v>
      </c>
    </row>
    <row r="78" spans="1:6" x14ac:dyDescent="0.25">
      <c r="A78" s="6" t="s">
        <v>232</v>
      </c>
      <c r="B78" s="39">
        <v>1.87</v>
      </c>
      <c r="C78" s="40">
        <v>1</v>
      </c>
      <c r="D78" s="40">
        <v>0.99</v>
      </c>
      <c r="E78" s="40">
        <v>1</v>
      </c>
      <c r="F78" s="41">
        <v>97.200000000000017</v>
      </c>
    </row>
    <row r="79" spans="1:6" x14ac:dyDescent="0.25">
      <c r="A79" s="6" t="s">
        <v>233</v>
      </c>
      <c r="B79" s="39">
        <v>1.92</v>
      </c>
      <c r="C79" s="40">
        <v>0.9</v>
      </c>
      <c r="D79" s="40">
        <v>0</v>
      </c>
      <c r="E79" s="40">
        <v>1</v>
      </c>
      <c r="F79" s="41">
        <v>76.400000000000006</v>
      </c>
    </row>
    <row r="80" spans="1:6" x14ac:dyDescent="0.25">
      <c r="A80" s="6" t="s">
        <v>234</v>
      </c>
      <c r="B80" s="39">
        <v>1.76</v>
      </c>
      <c r="C80" s="40">
        <v>1</v>
      </c>
      <c r="D80" s="40">
        <v>1</v>
      </c>
      <c r="E80" s="40">
        <v>1</v>
      </c>
      <c r="F80" s="41">
        <v>95.2</v>
      </c>
    </row>
    <row r="81" spans="1:6" x14ac:dyDescent="0.25">
      <c r="A81" s="6" t="s">
        <v>235</v>
      </c>
      <c r="B81" s="39">
        <v>1.92</v>
      </c>
      <c r="C81" s="40">
        <v>0.94</v>
      </c>
      <c r="D81" s="40">
        <v>1</v>
      </c>
      <c r="E81" s="40">
        <v>1</v>
      </c>
      <c r="F81" s="41">
        <v>97.200000000000017</v>
      </c>
    </row>
    <row r="82" spans="1:6" x14ac:dyDescent="0.25">
      <c r="A82" s="6" t="s">
        <v>236</v>
      </c>
      <c r="B82" s="39">
        <v>1.78</v>
      </c>
      <c r="C82" s="40">
        <v>1</v>
      </c>
      <c r="D82" s="40">
        <v>1</v>
      </c>
      <c r="E82" s="40">
        <v>0.97</v>
      </c>
      <c r="F82" s="41">
        <v>95</v>
      </c>
    </row>
    <row r="83" spans="1:6" x14ac:dyDescent="0.25">
      <c r="A83" s="6" t="s">
        <v>237</v>
      </c>
      <c r="B83" s="39">
        <v>1.82</v>
      </c>
      <c r="C83" s="40">
        <v>1</v>
      </c>
      <c r="D83" s="40">
        <v>1</v>
      </c>
      <c r="E83" s="40">
        <v>1</v>
      </c>
      <c r="F83" s="41">
        <v>96.4</v>
      </c>
    </row>
    <row r="84" spans="1:6" x14ac:dyDescent="0.25">
      <c r="A84" s="6" t="s">
        <v>238</v>
      </c>
      <c r="B84" s="39">
        <v>1.99</v>
      </c>
      <c r="C84" s="40">
        <v>1</v>
      </c>
      <c r="D84" s="40">
        <v>0.98</v>
      </c>
      <c r="E84" s="40">
        <v>1</v>
      </c>
      <c r="F84" s="41">
        <v>99.4</v>
      </c>
    </row>
    <row r="85" spans="1:6" x14ac:dyDescent="0.25">
      <c r="A85" s="6" t="s">
        <v>239</v>
      </c>
      <c r="B85" s="39">
        <v>1.79</v>
      </c>
      <c r="C85" s="40">
        <v>1</v>
      </c>
      <c r="D85" s="40">
        <v>0.99</v>
      </c>
      <c r="E85" s="40">
        <v>1</v>
      </c>
      <c r="F85" s="41">
        <v>95.6</v>
      </c>
    </row>
    <row r="86" spans="1:6" x14ac:dyDescent="0.25">
      <c r="A86" s="6" t="s">
        <v>240</v>
      </c>
      <c r="B86" s="39">
        <v>1.89</v>
      </c>
      <c r="C86" s="40">
        <v>0.94</v>
      </c>
      <c r="D86" s="40">
        <v>0.99</v>
      </c>
      <c r="E86" s="40">
        <v>1</v>
      </c>
      <c r="F86" s="41">
        <v>96.4</v>
      </c>
    </row>
    <row r="87" spans="1:6" x14ac:dyDescent="0.25">
      <c r="A87" s="6" t="s">
        <v>241</v>
      </c>
      <c r="B87" s="39">
        <v>1.9</v>
      </c>
      <c r="C87" s="40">
        <v>1</v>
      </c>
      <c r="D87" s="40">
        <v>1</v>
      </c>
      <c r="E87" s="40">
        <v>0.94</v>
      </c>
      <c r="F87" s="41">
        <v>96.8</v>
      </c>
    </row>
    <row r="88" spans="1:6" x14ac:dyDescent="0.25">
      <c r="A88" s="6" t="s">
        <v>242</v>
      </c>
      <c r="B88" s="39">
        <v>1.9</v>
      </c>
      <c r="C88" s="40">
        <v>0.99</v>
      </c>
      <c r="D88" s="40">
        <v>1</v>
      </c>
      <c r="E88" s="40">
        <v>1</v>
      </c>
      <c r="F88" s="41">
        <v>97.799999999999983</v>
      </c>
    </row>
    <row r="89" spans="1:6" x14ac:dyDescent="0.25">
      <c r="A89" s="6" t="s">
        <v>243</v>
      </c>
      <c r="B89" s="39">
        <v>1.86</v>
      </c>
      <c r="C89" s="40">
        <v>0.97</v>
      </c>
      <c r="D89" s="40">
        <v>1</v>
      </c>
      <c r="E89" s="40">
        <v>0.98</v>
      </c>
      <c r="F89" s="41">
        <v>96.199999999999989</v>
      </c>
    </row>
    <row r="90" spans="1:6" x14ac:dyDescent="0.25">
      <c r="A90" s="6" t="s">
        <v>244</v>
      </c>
      <c r="B90" s="39">
        <v>1.9</v>
      </c>
      <c r="C90" s="40">
        <v>0.92</v>
      </c>
      <c r="D90" s="40">
        <v>0.98</v>
      </c>
      <c r="E90" s="40">
        <v>1</v>
      </c>
      <c r="F90" s="41">
        <v>96</v>
      </c>
    </row>
    <row r="91" spans="1:6" x14ac:dyDescent="0.25">
      <c r="A91" s="6" t="s">
        <v>248</v>
      </c>
      <c r="B91" s="39">
        <v>1.4</v>
      </c>
      <c r="C91" s="40">
        <v>1</v>
      </c>
      <c r="D91" s="40">
        <v>1</v>
      </c>
      <c r="E91" s="40">
        <v>0.91</v>
      </c>
      <c r="F91" s="41">
        <v>86.199999999999989</v>
      </c>
    </row>
    <row r="92" spans="1:6" x14ac:dyDescent="0.25">
      <c r="A92" s="6" t="s">
        <v>245</v>
      </c>
      <c r="B92" s="39">
        <v>1.81</v>
      </c>
      <c r="C92" s="40">
        <v>0.99</v>
      </c>
      <c r="D92" s="40">
        <v>1</v>
      </c>
      <c r="E92" s="40">
        <v>1</v>
      </c>
      <c r="F92" s="41">
        <v>96</v>
      </c>
    </row>
    <row r="93" spans="1:6" x14ac:dyDescent="0.25">
      <c r="A93" s="6" t="s">
        <v>246</v>
      </c>
      <c r="B93" s="39">
        <v>1.75</v>
      </c>
      <c r="C93" s="40">
        <v>0.97</v>
      </c>
      <c r="D93" s="40">
        <v>0.99</v>
      </c>
      <c r="E93" s="40">
        <v>1</v>
      </c>
      <c r="F93" s="41">
        <v>94.2</v>
      </c>
    </row>
    <row r="94" spans="1:6" x14ac:dyDescent="0.25">
      <c r="A94" s="6" t="s">
        <v>247</v>
      </c>
      <c r="B94" s="39">
        <v>1.94</v>
      </c>
      <c r="C94" s="40">
        <v>1</v>
      </c>
      <c r="D94" s="40">
        <v>1</v>
      </c>
      <c r="E94" s="40">
        <v>1</v>
      </c>
      <c r="F94" s="41">
        <v>98.800000000000011</v>
      </c>
    </row>
    <row r="95" spans="1:6" x14ac:dyDescent="0.25">
      <c r="A95" s="6" t="s">
        <v>249</v>
      </c>
      <c r="B95" s="39">
        <v>1.75</v>
      </c>
      <c r="C95" s="40">
        <v>1</v>
      </c>
      <c r="D95" s="40">
        <v>0.99</v>
      </c>
      <c r="E95" s="40">
        <v>1</v>
      </c>
      <c r="F95" s="41">
        <v>94.8</v>
      </c>
    </row>
    <row r="96" spans="1:6" x14ac:dyDescent="0.25">
      <c r="A96" s="6" t="s">
        <v>250</v>
      </c>
      <c r="B96" s="39">
        <v>1.84</v>
      </c>
      <c r="C96" s="40">
        <v>0.97</v>
      </c>
      <c r="D96" s="40">
        <v>1</v>
      </c>
      <c r="E96" s="40">
        <v>1</v>
      </c>
      <c r="F96" s="41">
        <v>96.199999999999989</v>
      </c>
    </row>
    <row r="97" spans="1:6" x14ac:dyDescent="0.25">
      <c r="A97" s="6" t="s">
        <v>251</v>
      </c>
      <c r="B97" s="39">
        <v>1.93</v>
      </c>
      <c r="C97" s="40">
        <v>1</v>
      </c>
      <c r="D97" s="40">
        <v>1</v>
      </c>
      <c r="E97" s="40">
        <v>1</v>
      </c>
      <c r="F97" s="41">
        <v>98.6</v>
      </c>
    </row>
    <row r="98" spans="1:6" x14ac:dyDescent="0.25">
      <c r="A98" s="6" t="s">
        <v>252</v>
      </c>
      <c r="B98" s="39">
        <v>1.99</v>
      </c>
      <c r="C98" s="40">
        <v>0.96</v>
      </c>
      <c r="D98" s="40">
        <v>0.94</v>
      </c>
      <c r="E98" s="40">
        <v>0.97</v>
      </c>
      <c r="F98" s="41">
        <v>97.200000000000017</v>
      </c>
    </row>
    <row r="99" spans="1:6" x14ac:dyDescent="0.25">
      <c r="A99" s="6" t="s">
        <v>253</v>
      </c>
      <c r="B99" s="39">
        <v>1.86</v>
      </c>
      <c r="C99" s="40">
        <v>1</v>
      </c>
      <c r="D99" s="40">
        <v>1</v>
      </c>
      <c r="E99" s="40">
        <v>1</v>
      </c>
      <c r="F99" s="41">
        <v>97.200000000000017</v>
      </c>
    </row>
    <row r="100" spans="1:6" x14ac:dyDescent="0.25">
      <c r="A100" s="6" t="s">
        <v>254</v>
      </c>
      <c r="B100" s="39">
        <v>1.87</v>
      </c>
      <c r="C100" s="40">
        <v>0.98</v>
      </c>
      <c r="D100" s="40">
        <v>1</v>
      </c>
      <c r="E100" s="40">
        <v>0.97</v>
      </c>
      <c r="F100" s="41">
        <v>96.4</v>
      </c>
    </row>
    <row r="101" spans="1:6" x14ac:dyDescent="0.25">
      <c r="A101" s="6" t="s">
        <v>255</v>
      </c>
      <c r="B101" s="39">
        <v>1.92</v>
      </c>
      <c r="C101" s="40">
        <v>1</v>
      </c>
      <c r="D101" s="40">
        <v>1</v>
      </c>
      <c r="E101" s="40">
        <v>1</v>
      </c>
      <c r="F101" s="41">
        <v>98.4</v>
      </c>
    </row>
    <row r="102" spans="1:6" x14ac:dyDescent="0.25">
      <c r="A102" s="6" t="s">
        <v>256</v>
      </c>
      <c r="B102" s="39">
        <v>1.8</v>
      </c>
      <c r="C102" s="40">
        <v>0.97</v>
      </c>
      <c r="D102" s="40">
        <v>0.96</v>
      </c>
      <c r="E102" s="40">
        <v>0.97</v>
      </c>
      <c r="F102" s="41">
        <v>94</v>
      </c>
    </row>
    <row r="103" spans="1:6" x14ac:dyDescent="0.25">
      <c r="A103" s="6" t="s">
        <v>257</v>
      </c>
      <c r="B103" s="39">
        <v>1.63</v>
      </c>
      <c r="C103" s="40">
        <v>0.94</v>
      </c>
      <c r="D103" s="40">
        <v>1</v>
      </c>
      <c r="E103" s="40">
        <v>0.98</v>
      </c>
      <c r="F103" s="41">
        <v>91</v>
      </c>
    </row>
    <row r="104" spans="1:6" x14ac:dyDescent="0.25">
      <c r="A104" s="6" t="s">
        <v>260</v>
      </c>
      <c r="B104" s="39">
        <v>1.75</v>
      </c>
      <c r="C104" s="40">
        <v>0.87</v>
      </c>
      <c r="D104" s="40">
        <v>1</v>
      </c>
      <c r="E104" s="40">
        <v>0.8</v>
      </c>
      <c r="F104" s="41">
        <v>88.4</v>
      </c>
    </row>
    <row r="105" spans="1:6" x14ac:dyDescent="0.25">
      <c r="A105" s="6" t="s">
        <v>261</v>
      </c>
      <c r="B105" s="39">
        <v>1.9</v>
      </c>
      <c r="C105" s="40">
        <v>1</v>
      </c>
      <c r="D105" s="40">
        <v>1</v>
      </c>
      <c r="E105" s="40">
        <v>1</v>
      </c>
      <c r="F105" s="41">
        <v>98.000000000000014</v>
      </c>
    </row>
    <row r="106" spans="1:6" x14ac:dyDescent="0.25">
      <c r="A106" s="6" t="s">
        <v>262</v>
      </c>
      <c r="B106" s="39">
        <v>1.79</v>
      </c>
      <c r="C106" s="40">
        <v>0.97</v>
      </c>
      <c r="D106" s="40">
        <v>0.99</v>
      </c>
      <c r="E106" s="40">
        <v>0.97</v>
      </c>
      <c r="F106" s="41">
        <v>94.4</v>
      </c>
    </row>
    <row r="107" spans="1:6" x14ac:dyDescent="0.25">
      <c r="A107" s="6" t="s">
        <v>258</v>
      </c>
      <c r="B107" s="39">
        <v>1.73</v>
      </c>
      <c r="C107" s="40">
        <v>1</v>
      </c>
      <c r="D107" s="40">
        <v>1</v>
      </c>
      <c r="E107" s="40">
        <v>0.96</v>
      </c>
      <c r="F107" s="41">
        <v>93.800000000000011</v>
      </c>
    </row>
    <row r="108" spans="1:6" x14ac:dyDescent="0.25">
      <c r="A108" s="6" t="s">
        <v>259</v>
      </c>
      <c r="B108" s="39">
        <v>1.99</v>
      </c>
      <c r="C108" s="40">
        <v>1</v>
      </c>
      <c r="D108" s="40">
        <v>1</v>
      </c>
      <c r="E108" s="40">
        <v>0.97</v>
      </c>
      <c r="F108" s="41">
        <v>99.2</v>
      </c>
    </row>
    <row r="109" spans="1:6" x14ac:dyDescent="0.25">
      <c r="A109" s="6" t="s">
        <v>263</v>
      </c>
      <c r="B109" s="39">
        <v>1.84</v>
      </c>
      <c r="C109" s="40">
        <v>0.87</v>
      </c>
      <c r="D109" s="40">
        <v>0.99</v>
      </c>
      <c r="E109" s="40">
        <v>0.83</v>
      </c>
      <c r="F109" s="41">
        <v>90.6</v>
      </c>
    </row>
    <row r="110" spans="1:6" x14ac:dyDescent="0.25">
      <c r="A110" s="6" t="s">
        <v>264</v>
      </c>
      <c r="B110" s="39">
        <v>1.91</v>
      </c>
      <c r="C110" s="40">
        <v>1</v>
      </c>
      <c r="D110" s="40">
        <v>1</v>
      </c>
      <c r="E110" s="40">
        <v>0.98</v>
      </c>
      <c r="F110" s="41">
        <v>97.799999999999983</v>
      </c>
    </row>
    <row r="111" spans="1:6" x14ac:dyDescent="0.25">
      <c r="A111" s="6" t="s">
        <v>265</v>
      </c>
      <c r="B111" s="39">
        <v>1.94</v>
      </c>
      <c r="C111" s="40">
        <v>0.99</v>
      </c>
      <c r="D111" s="40">
        <v>1</v>
      </c>
      <c r="E111" s="40">
        <v>0.99</v>
      </c>
      <c r="F111" s="41">
        <v>98.4</v>
      </c>
    </row>
    <row r="112" spans="1:6" x14ac:dyDescent="0.25">
      <c r="A112" s="6" t="s">
        <v>266</v>
      </c>
      <c r="B112" s="39">
        <v>1.71</v>
      </c>
      <c r="C112" s="40">
        <v>0.95</v>
      </c>
      <c r="D112" s="40">
        <v>1</v>
      </c>
      <c r="E112" s="40">
        <v>0.97</v>
      </c>
      <c r="F112" s="41">
        <v>92.6</v>
      </c>
    </row>
    <row r="113" spans="1:6" x14ac:dyDescent="0.25">
      <c r="A113" s="6" t="s">
        <v>267</v>
      </c>
      <c r="B113" s="39">
        <v>1.59</v>
      </c>
      <c r="C113" s="40">
        <v>1</v>
      </c>
      <c r="D113" s="40">
        <v>0.96</v>
      </c>
      <c r="E113" s="40">
        <v>0.92</v>
      </c>
      <c r="F113" s="41">
        <v>89.4</v>
      </c>
    </row>
    <row r="114" spans="1:6" x14ac:dyDescent="0.25">
      <c r="A114" s="6" t="s">
        <v>268</v>
      </c>
      <c r="B114" s="39">
        <v>1.95</v>
      </c>
      <c r="C114" s="40">
        <v>1</v>
      </c>
      <c r="D114" s="40">
        <v>1</v>
      </c>
      <c r="E114" s="40">
        <v>0.98</v>
      </c>
      <c r="F114" s="41">
        <v>98.6</v>
      </c>
    </row>
    <row r="115" spans="1:6" x14ac:dyDescent="0.25">
      <c r="A115" s="6" t="s">
        <v>269</v>
      </c>
      <c r="B115" s="39">
        <v>1.8</v>
      </c>
      <c r="C115" s="40">
        <v>1</v>
      </c>
      <c r="D115" s="40">
        <v>1</v>
      </c>
      <c r="E115" s="40">
        <v>1</v>
      </c>
      <c r="F115" s="41">
        <v>96</v>
      </c>
    </row>
    <row r="116" spans="1:6" x14ac:dyDescent="0.25">
      <c r="A116" s="6" t="s">
        <v>270</v>
      </c>
      <c r="B116" s="39">
        <v>1.91</v>
      </c>
      <c r="C116" s="40">
        <v>1</v>
      </c>
      <c r="D116" s="40">
        <v>0.94</v>
      </c>
      <c r="E116" s="40">
        <v>1</v>
      </c>
      <c r="F116" s="41">
        <v>96.999999999999986</v>
      </c>
    </row>
    <row r="117" spans="1:6" x14ac:dyDescent="0.25">
      <c r="A117" s="6" t="s">
        <v>271</v>
      </c>
      <c r="B117" s="39">
        <v>1.91</v>
      </c>
      <c r="C117" s="40">
        <v>1</v>
      </c>
      <c r="D117" s="40">
        <v>1</v>
      </c>
      <c r="E117" s="40">
        <v>0.97</v>
      </c>
      <c r="F117" s="41">
        <v>97.6</v>
      </c>
    </row>
    <row r="118" spans="1:6" x14ac:dyDescent="0.25">
      <c r="A118" s="6" t="s">
        <v>272</v>
      </c>
      <c r="B118" s="39">
        <v>1.88</v>
      </c>
      <c r="C118" s="40">
        <v>1</v>
      </c>
      <c r="D118" s="40">
        <v>0.99</v>
      </c>
      <c r="E118" s="40">
        <v>1</v>
      </c>
      <c r="F118" s="41">
        <v>97.4</v>
      </c>
    </row>
    <row r="119" spans="1:6" x14ac:dyDescent="0.25">
      <c r="A119" s="6" t="s">
        <v>273</v>
      </c>
      <c r="B119" s="39">
        <v>1.88</v>
      </c>
      <c r="C119" s="40">
        <v>1</v>
      </c>
      <c r="D119" s="40">
        <v>0.94</v>
      </c>
      <c r="E119" s="40">
        <v>1</v>
      </c>
      <c r="F119" s="41">
        <v>96.4</v>
      </c>
    </row>
    <row r="120" spans="1:6" x14ac:dyDescent="0.25">
      <c r="A120" s="6" t="s">
        <v>274</v>
      </c>
      <c r="B120" s="39">
        <v>1.93</v>
      </c>
      <c r="C120" s="40">
        <v>0.94</v>
      </c>
      <c r="D120" s="40">
        <v>0.99</v>
      </c>
      <c r="E120" s="40">
        <v>1</v>
      </c>
      <c r="F120" s="41">
        <v>97.200000000000017</v>
      </c>
    </row>
    <row r="121" spans="1:6" x14ac:dyDescent="0.25">
      <c r="A121" s="6" t="s">
        <v>275</v>
      </c>
      <c r="B121" s="39">
        <v>1.54</v>
      </c>
      <c r="C121" s="40">
        <v>0.96</v>
      </c>
      <c r="D121" s="40">
        <v>1</v>
      </c>
      <c r="E121" s="40">
        <v>0.67</v>
      </c>
      <c r="F121" s="41">
        <v>83.4</v>
      </c>
    </row>
    <row r="122" spans="1:6" x14ac:dyDescent="0.25">
      <c r="A122" s="6" t="s">
        <v>276</v>
      </c>
      <c r="B122" s="39">
        <v>1.91</v>
      </c>
      <c r="C122" s="40">
        <v>1</v>
      </c>
      <c r="D122" s="40">
        <v>1</v>
      </c>
      <c r="E122" s="40">
        <v>1</v>
      </c>
      <c r="F122" s="41">
        <v>98.2</v>
      </c>
    </row>
    <row r="123" spans="1:6" x14ac:dyDescent="0.25">
      <c r="A123" s="6" t="s">
        <v>277</v>
      </c>
      <c r="B123" s="39">
        <v>1.91</v>
      </c>
      <c r="C123" s="40">
        <v>0.97</v>
      </c>
      <c r="D123" s="40">
        <v>1</v>
      </c>
      <c r="E123" s="40">
        <v>0.97</v>
      </c>
      <c r="F123" s="41">
        <v>96.999999999999986</v>
      </c>
    </row>
    <row r="124" spans="1:6" x14ac:dyDescent="0.25">
      <c r="A124" s="6" t="s">
        <v>278</v>
      </c>
      <c r="B124" s="39">
        <v>1.91</v>
      </c>
      <c r="C124" s="40">
        <v>0.76</v>
      </c>
      <c r="D124" s="40">
        <v>0.99</v>
      </c>
      <c r="E124" s="40">
        <v>0.92</v>
      </c>
      <c r="F124" s="41">
        <v>91.6</v>
      </c>
    </row>
    <row r="125" spans="1:6" x14ac:dyDescent="0.25">
      <c r="A125" s="6" t="s">
        <v>279</v>
      </c>
      <c r="B125" s="39">
        <v>1.59</v>
      </c>
      <c r="C125" s="40">
        <v>1</v>
      </c>
      <c r="D125" s="40">
        <v>1</v>
      </c>
      <c r="E125" s="40">
        <v>0.97</v>
      </c>
      <c r="F125" s="41">
        <v>91.199999999999989</v>
      </c>
    </row>
    <row r="126" spans="1:6" x14ac:dyDescent="0.25">
      <c r="A126" s="6" t="s">
        <v>280</v>
      </c>
      <c r="B126" s="39">
        <v>1.91</v>
      </c>
      <c r="C126" s="40">
        <v>1</v>
      </c>
      <c r="D126" s="40">
        <v>0.98</v>
      </c>
      <c r="E126" s="40">
        <v>1</v>
      </c>
      <c r="F126" s="41">
        <v>97.799999999999983</v>
      </c>
    </row>
    <row r="127" spans="1:6" x14ac:dyDescent="0.25">
      <c r="A127" s="6" t="s">
        <v>281</v>
      </c>
      <c r="B127" s="39">
        <v>1.7</v>
      </c>
      <c r="C127" s="40">
        <v>1</v>
      </c>
      <c r="D127" s="40">
        <v>0.99</v>
      </c>
      <c r="E127" s="40">
        <v>1</v>
      </c>
      <c r="F127" s="41">
        <v>93.800000000000011</v>
      </c>
    </row>
    <row r="128" spans="1:6" x14ac:dyDescent="0.25">
      <c r="A128" s="6" t="s">
        <v>282</v>
      </c>
      <c r="B128" s="39">
        <v>1.73</v>
      </c>
      <c r="C128" s="40">
        <v>0.99</v>
      </c>
      <c r="D128" s="40">
        <v>1</v>
      </c>
      <c r="E128" s="40">
        <v>0.99</v>
      </c>
      <c r="F128" s="41">
        <v>94.2</v>
      </c>
    </row>
    <row r="129" spans="1:6" x14ac:dyDescent="0.25">
      <c r="A129" s="6" t="s">
        <v>283</v>
      </c>
      <c r="B129" s="39">
        <v>1.85</v>
      </c>
      <c r="C129" s="40">
        <v>0.97</v>
      </c>
      <c r="D129" s="40">
        <v>1</v>
      </c>
      <c r="E129" s="40">
        <v>1</v>
      </c>
      <c r="F129" s="41">
        <v>96.4</v>
      </c>
    </row>
    <row r="130" spans="1:6" x14ac:dyDescent="0.25">
      <c r="A130" s="6" t="s">
        <v>284</v>
      </c>
      <c r="B130" s="39">
        <v>1.85</v>
      </c>
      <c r="C130" s="40">
        <v>0.97</v>
      </c>
      <c r="D130" s="40">
        <v>0.99</v>
      </c>
      <c r="E130" s="40">
        <v>1</v>
      </c>
      <c r="F130" s="41">
        <v>96.199999999999989</v>
      </c>
    </row>
    <row r="131" spans="1:6" x14ac:dyDescent="0.25">
      <c r="A131" s="6" t="s">
        <v>285</v>
      </c>
      <c r="B131" s="39">
        <v>1.8</v>
      </c>
      <c r="C131" s="40">
        <v>1</v>
      </c>
      <c r="D131" s="40">
        <v>1</v>
      </c>
      <c r="E131" s="40">
        <v>0.98</v>
      </c>
      <c r="F131" s="41">
        <v>95.6</v>
      </c>
    </row>
    <row r="132" spans="1:6" x14ac:dyDescent="0.25">
      <c r="A132" s="6" t="s">
        <v>286</v>
      </c>
      <c r="B132" s="39">
        <v>1.75</v>
      </c>
      <c r="C132" s="40">
        <v>0.98</v>
      </c>
      <c r="D132" s="40">
        <v>1</v>
      </c>
      <c r="E132" s="40">
        <v>1</v>
      </c>
      <c r="F132" s="41">
        <v>94.600000000000009</v>
      </c>
    </row>
    <row r="133" spans="1:6" x14ac:dyDescent="0.25">
      <c r="A133" s="6" t="s">
        <v>287</v>
      </c>
      <c r="B133" s="39">
        <v>1.92</v>
      </c>
      <c r="C133" s="40">
        <v>0.97</v>
      </c>
      <c r="D133" s="40">
        <v>0.99</v>
      </c>
      <c r="E133" s="40">
        <v>1</v>
      </c>
      <c r="F133" s="41">
        <v>97.6</v>
      </c>
    </row>
    <row r="134" spans="1:6" x14ac:dyDescent="0.25">
      <c r="A134" s="6" t="s">
        <v>288</v>
      </c>
      <c r="B134" s="39">
        <v>1.87</v>
      </c>
      <c r="C134" s="40">
        <v>1</v>
      </c>
      <c r="D134" s="40">
        <v>1</v>
      </c>
      <c r="E134" s="40">
        <v>1</v>
      </c>
      <c r="F134" s="41">
        <v>97.4</v>
      </c>
    </row>
    <row r="135" spans="1:6" x14ac:dyDescent="0.25">
      <c r="A135" s="6" t="s">
        <v>289</v>
      </c>
      <c r="B135" s="39">
        <v>1.62</v>
      </c>
      <c r="C135" s="40">
        <v>1</v>
      </c>
      <c r="D135" s="40">
        <v>1</v>
      </c>
      <c r="E135" s="40">
        <v>0.97</v>
      </c>
      <c r="F135" s="41">
        <v>91.8</v>
      </c>
    </row>
    <row r="136" spans="1:6" x14ac:dyDescent="0.25">
      <c r="A136" s="6" t="s">
        <v>290</v>
      </c>
      <c r="B136" s="39">
        <v>1.93</v>
      </c>
      <c r="C136" s="40">
        <v>0.93</v>
      </c>
      <c r="D136" s="40">
        <v>0</v>
      </c>
      <c r="E136" s="40">
        <v>1</v>
      </c>
      <c r="F136" s="41">
        <v>77.2</v>
      </c>
    </row>
    <row r="137" spans="1:6" x14ac:dyDescent="0.25">
      <c r="A137" s="6" t="s">
        <v>291</v>
      </c>
      <c r="B137" s="39">
        <v>1.9</v>
      </c>
      <c r="C137" s="40">
        <v>1</v>
      </c>
      <c r="D137" s="40">
        <v>1</v>
      </c>
      <c r="E137" s="40">
        <v>0.97</v>
      </c>
      <c r="F137" s="41">
        <v>97.4</v>
      </c>
    </row>
    <row r="138" spans="1:6" x14ac:dyDescent="0.25">
      <c r="A138" s="6" t="s">
        <v>292</v>
      </c>
      <c r="B138" s="39">
        <v>1.48</v>
      </c>
      <c r="C138" s="40">
        <v>0.97</v>
      </c>
      <c r="D138" s="40">
        <v>1</v>
      </c>
      <c r="E138" s="40">
        <v>0.91</v>
      </c>
      <c r="F138" s="41">
        <v>87.200000000000017</v>
      </c>
    </row>
    <row r="139" spans="1:6" x14ac:dyDescent="0.25">
      <c r="A139" s="6" t="s">
        <v>293</v>
      </c>
      <c r="B139" s="39">
        <v>1.61</v>
      </c>
      <c r="C139" s="40">
        <v>1</v>
      </c>
      <c r="D139" s="40">
        <v>0.98</v>
      </c>
      <c r="E139" s="40">
        <v>1</v>
      </c>
      <c r="F139" s="41">
        <v>91.8</v>
      </c>
    </row>
    <row r="140" spans="1:6" x14ac:dyDescent="0.25">
      <c r="A140" s="6" t="s">
        <v>294</v>
      </c>
      <c r="B140" s="39">
        <v>1.78</v>
      </c>
      <c r="C140" s="40">
        <v>0.97</v>
      </c>
      <c r="D140" s="40">
        <v>1</v>
      </c>
      <c r="E140" s="40">
        <v>1</v>
      </c>
      <c r="F140" s="41">
        <v>95</v>
      </c>
    </row>
    <row r="141" spans="1:6" x14ac:dyDescent="0.25">
      <c r="A141" s="6" t="s">
        <v>295</v>
      </c>
      <c r="B141" s="39">
        <v>1.87</v>
      </c>
      <c r="C141" s="40">
        <v>1</v>
      </c>
      <c r="D141" s="40">
        <v>0.98</v>
      </c>
      <c r="E141" s="40">
        <v>1</v>
      </c>
      <c r="F141" s="41">
        <v>96.999999999999986</v>
      </c>
    </row>
    <row r="142" spans="1:6" x14ac:dyDescent="0.25">
      <c r="A142" s="6" t="s">
        <v>296</v>
      </c>
      <c r="B142" s="39">
        <v>1.8</v>
      </c>
      <c r="C142" s="40">
        <v>1</v>
      </c>
      <c r="D142" s="40">
        <v>1</v>
      </c>
      <c r="E142" s="40">
        <v>1</v>
      </c>
      <c r="F142" s="41">
        <v>96</v>
      </c>
    </row>
    <row r="143" spans="1:6" x14ac:dyDescent="0.25">
      <c r="A143" s="6" t="s">
        <v>297</v>
      </c>
      <c r="B143" s="39">
        <v>1.98</v>
      </c>
      <c r="C143" s="40">
        <v>1</v>
      </c>
      <c r="D143" s="40">
        <v>1</v>
      </c>
      <c r="E143" s="40">
        <v>1</v>
      </c>
      <c r="F143" s="41">
        <v>99.600000000000009</v>
      </c>
    </row>
    <row r="144" spans="1:6" x14ac:dyDescent="0.25">
      <c r="A144" s="6" t="s">
        <v>298</v>
      </c>
      <c r="B144" s="39">
        <v>1.99</v>
      </c>
      <c r="C144" s="40">
        <v>1</v>
      </c>
      <c r="D144" s="40">
        <v>1</v>
      </c>
      <c r="E144" s="40">
        <v>1</v>
      </c>
      <c r="F144" s="41">
        <v>99.8</v>
      </c>
    </row>
    <row r="145" spans="1:6" x14ac:dyDescent="0.25">
      <c r="A145" s="6" t="s">
        <v>299</v>
      </c>
      <c r="B145" s="39">
        <v>1.93</v>
      </c>
      <c r="C145" s="40">
        <v>1</v>
      </c>
      <c r="D145" s="40">
        <v>0.99</v>
      </c>
      <c r="E145" s="40">
        <v>0.97</v>
      </c>
      <c r="F145" s="41">
        <v>97.799999999999983</v>
      </c>
    </row>
    <row r="146" spans="1:6" x14ac:dyDescent="0.25">
      <c r="A146" s="6" t="s">
        <v>300</v>
      </c>
      <c r="B146" s="39">
        <v>1.66</v>
      </c>
      <c r="C146" s="40">
        <v>1</v>
      </c>
      <c r="D146" s="40">
        <v>1</v>
      </c>
      <c r="E146" s="40">
        <v>1</v>
      </c>
      <c r="F146" s="41">
        <v>93.2</v>
      </c>
    </row>
    <row r="147" spans="1:6" x14ac:dyDescent="0.25">
      <c r="A147" s="6" t="s">
        <v>301</v>
      </c>
      <c r="B147" s="39">
        <v>1.74</v>
      </c>
      <c r="C147" s="40">
        <v>1</v>
      </c>
      <c r="D147" s="40">
        <v>1</v>
      </c>
      <c r="E147" s="40">
        <v>0.97</v>
      </c>
      <c r="F147" s="41">
        <v>94.2</v>
      </c>
    </row>
    <row r="148" spans="1:6" x14ac:dyDescent="0.25">
      <c r="A148" s="6" t="s">
        <v>302</v>
      </c>
      <c r="B148" s="39">
        <v>1.76</v>
      </c>
      <c r="C148" s="40">
        <v>0.96</v>
      </c>
      <c r="D148" s="40">
        <v>0.93</v>
      </c>
      <c r="E148" s="40">
        <v>1</v>
      </c>
      <c r="F148" s="41">
        <v>93.000000000000014</v>
      </c>
    </row>
    <row r="149" spans="1:6" x14ac:dyDescent="0.25">
      <c r="A149" s="6" t="s">
        <v>303</v>
      </c>
      <c r="B149" s="39">
        <v>1.68</v>
      </c>
      <c r="C149" s="40">
        <v>1</v>
      </c>
      <c r="D149" s="40">
        <v>1</v>
      </c>
      <c r="E149" s="40">
        <v>1</v>
      </c>
      <c r="F149" s="41">
        <v>93.6</v>
      </c>
    </row>
    <row r="150" spans="1:6" x14ac:dyDescent="0.25">
      <c r="A150" s="6" t="s">
        <v>304</v>
      </c>
      <c r="B150" s="39">
        <v>1.56</v>
      </c>
      <c r="C150" s="40">
        <v>1</v>
      </c>
      <c r="D150" s="40">
        <v>1</v>
      </c>
      <c r="E150" s="40">
        <v>0.96</v>
      </c>
      <c r="F150" s="41">
        <v>90.399999999999991</v>
      </c>
    </row>
    <row r="151" spans="1:6" x14ac:dyDescent="0.25">
      <c r="A151" s="6" t="s">
        <v>305</v>
      </c>
      <c r="B151" s="39">
        <v>1.73</v>
      </c>
      <c r="C151" s="40">
        <v>0.99</v>
      </c>
      <c r="D151" s="40">
        <v>1</v>
      </c>
      <c r="E151" s="40">
        <v>1</v>
      </c>
      <c r="F151" s="41">
        <v>94.4</v>
      </c>
    </row>
    <row r="152" spans="1:6" x14ac:dyDescent="0.25">
      <c r="A152" s="6" t="s">
        <v>306</v>
      </c>
      <c r="B152" s="39">
        <v>1.96</v>
      </c>
      <c r="C152" s="40">
        <v>1</v>
      </c>
      <c r="D152" s="40">
        <v>1</v>
      </c>
      <c r="E152" s="40">
        <v>0.95</v>
      </c>
      <c r="F152" s="41">
        <v>98.2</v>
      </c>
    </row>
    <row r="153" spans="1:6" x14ac:dyDescent="0.25">
      <c r="A153" s="6" t="s">
        <v>161</v>
      </c>
      <c r="B153" s="39">
        <v>1.83</v>
      </c>
      <c r="C153" s="40">
        <v>1</v>
      </c>
      <c r="D153" s="40">
        <v>0.96</v>
      </c>
      <c r="E153" s="40">
        <v>1</v>
      </c>
      <c r="F153" s="41">
        <v>95.8</v>
      </c>
    </row>
    <row r="154" spans="1:6" x14ac:dyDescent="0.25">
      <c r="A154" s="6" t="s">
        <v>162</v>
      </c>
      <c r="B154" s="39">
        <v>1.83</v>
      </c>
      <c r="C154" s="40">
        <v>0.98</v>
      </c>
      <c r="D154" s="40">
        <v>1</v>
      </c>
      <c r="E154" s="40">
        <v>1</v>
      </c>
      <c r="F154" s="41">
        <v>96.199999999999989</v>
      </c>
    </row>
    <row r="155" spans="1:6" x14ac:dyDescent="0.25">
      <c r="A155" s="6" t="s">
        <v>309</v>
      </c>
      <c r="B155" s="39">
        <v>1.92</v>
      </c>
      <c r="C155" s="40">
        <v>0.89</v>
      </c>
      <c r="D155" s="40">
        <v>0</v>
      </c>
      <c r="E155" s="40">
        <v>1</v>
      </c>
      <c r="F155" s="41">
        <v>76.2</v>
      </c>
    </row>
    <row r="156" spans="1:6" x14ac:dyDescent="0.25">
      <c r="A156" s="6" t="s">
        <v>184</v>
      </c>
      <c r="B156" s="39">
        <v>1.95</v>
      </c>
      <c r="C156" s="40">
        <v>1</v>
      </c>
      <c r="D156" s="40">
        <v>1</v>
      </c>
      <c r="E156" s="40">
        <v>1</v>
      </c>
      <c r="F156" s="41">
        <v>99</v>
      </c>
    </row>
    <row r="157" spans="1:6" x14ac:dyDescent="0.25">
      <c r="A157" s="6" t="s">
        <v>320</v>
      </c>
      <c r="B157" s="39">
        <v>1.75</v>
      </c>
      <c r="C157" s="40">
        <v>0.95</v>
      </c>
      <c r="D157" s="40">
        <v>0.94</v>
      </c>
      <c r="E157" s="40">
        <v>0.97</v>
      </c>
      <c r="F157" s="41">
        <v>92.200000000000017</v>
      </c>
    </row>
    <row r="158" spans="1:6" x14ac:dyDescent="0.25">
      <c r="A158" s="7" t="s">
        <v>44</v>
      </c>
      <c r="B158" s="9">
        <v>279.62</v>
      </c>
      <c r="C158" s="42">
        <v>150.52999999999997</v>
      </c>
      <c r="D158" s="42">
        <v>146.25999999999993</v>
      </c>
      <c r="E158" s="42">
        <v>149.42999999999995</v>
      </c>
      <c r="F158" s="43">
        <v>14516.800000000001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5"/>
  <sheetViews>
    <sheetView zoomScale="70" zoomScaleNormal="70" workbookViewId="0">
      <selection activeCell="C171" sqref="C171"/>
    </sheetView>
  </sheetViews>
  <sheetFormatPr baseColWidth="10" defaultColWidth="8.7109375" defaultRowHeight="15" x14ac:dyDescent="0.25"/>
  <cols>
    <col min="1" max="1" width="39.5703125" customWidth="1"/>
    <col min="2" max="2" width="21" customWidth="1"/>
    <col min="3" max="3" width="52" bestFit="1" customWidth="1"/>
    <col min="4" max="7" width="20.28515625" customWidth="1"/>
    <col min="8" max="8" width="24.7109375" bestFit="1" customWidth="1"/>
    <col min="9" max="9" width="20.28515625" customWidth="1"/>
    <col min="10" max="10" width="19.5703125" customWidth="1"/>
    <col min="11" max="11" width="13" bestFit="1" customWidth="1"/>
    <col min="12" max="12" width="10" bestFit="1" customWidth="1"/>
    <col min="13" max="13" width="18" bestFit="1" customWidth="1"/>
    <col min="14" max="14" width="12" bestFit="1" customWidth="1"/>
    <col min="15" max="15" width="12.28515625" bestFit="1" customWidth="1"/>
    <col min="16" max="16" width="15.28515625" customWidth="1"/>
  </cols>
  <sheetData>
    <row r="1" spans="1:16" x14ac:dyDescent="0.25">
      <c r="A1" s="24" t="s">
        <v>496</v>
      </c>
      <c r="B1" s="25" t="s">
        <v>141</v>
      </c>
      <c r="C1" s="25" t="s">
        <v>0</v>
      </c>
      <c r="D1" s="25" t="s">
        <v>322</v>
      </c>
      <c r="E1" s="25" t="s">
        <v>323</v>
      </c>
      <c r="F1" s="25" t="s">
        <v>324</v>
      </c>
      <c r="G1" s="25" t="s">
        <v>325</v>
      </c>
      <c r="H1" s="25" t="s">
        <v>326</v>
      </c>
      <c r="I1" s="25" t="s">
        <v>327</v>
      </c>
      <c r="J1" s="25" t="s">
        <v>328</v>
      </c>
      <c r="K1" s="25" t="s">
        <v>1</v>
      </c>
      <c r="L1" s="25" t="s">
        <v>2</v>
      </c>
      <c r="M1" s="25" t="s">
        <v>3</v>
      </c>
      <c r="N1" s="25" t="s">
        <v>4</v>
      </c>
      <c r="O1" s="25" t="s">
        <v>321</v>
      </c>
      <c r="P1" s="25" t="s">
        <v>49</v>
      </c>
    </row>
    <row r="2" spans="1:16" x14ac:dyDescent="0.25">
      <c r="A2" s="23" t="s">
        <v>497</v>
      </c>
      <c r="B2" s="22" t="s">
        <v>329</v>
      </c>
      <c r="C2" s="22" t="s">
        <v>155</v>
      </c>
      <c r="D2" s="22">
        <v>61</v>
      </c>
      <c r="E2" s="22" t="s">
        <v>330</v>
      </c>
      <c r="F2" s="22" t="s">
        <v>76</v>
      </c>
      <c r="G2" s="22" t="s">
        <v>70</v>
      </c>
      <c r="H2" s="22" t="s">
        <v>331</v>
      </c>
      <c r="I2" s="22" t="s">
        <v>71</v>
      </c>
      <c r="J2" s="22" t="s">
        <v>332</v>
      </c>
      <c r="K2" s="22">
        <v>1.84</v>
      </c>
      <c r="L2" s="22">
        <v>0.99</v>
      </c>
      <c r="M2" s="22">
        <v>0.97</v>
      </c>
      <c r="N2" s="22">
        <v>1</v>
      </c>
      <c r="O2" s="22">
        <v>4.8</v>
      </c>
      <c r="P2" s="22">
        <v>96</v>
      </c>
    </row>
    <row r="3" spans="1:16" x14ac:dyDescent="0.25">
      <c r="A3" s="23" t="s">
        <v>497</v>
      </c>
      <c r="B3" s="22" t="s">
        <v>333</v>
      </c>
      <c r="C3" s="22" t="s">
        <v>156</v>
      </c>
      <c r="D3" s="22">
        <v>28</v>
      </c>
      <c r="E3" s="22" t="s">
        <v>98</v>
      </c>
      <c r="F3" s="22" t="s">
        <v>69</v>
      </c>
      <c r="G3" s="22" t="s">
        <v>70</v>
      </c>
      <c r="H3" s="22" t="s">
        <v>331</v>
      </c>
      <c r="I3" s="22" t="s">
        <v>71</v>
      </c>
      <c r="J3" s="22" t="s">
        <v>365</v>
      </c>
      <c r="K3" s="22">
        <v>1.68</v>
      </c>
      <c r="L3" s="22">
        <v>0.86</v>
      </c>
      <c r="M3" s="22">
        <v>1</v>
      </c>
      <c r="N3" s="22">
        <v>0.93</v>
      </c>
      <c r="O3" s="22">
        <v>4.47</v>
      </c>
      <c r="P3" s="22">
        <v>89.4</v>
      </c>
    </row>
    <row r="4" spans="1:16" x14ac:dyDescent="0.25">
      <c r="A4" s="23" t="s">
        <v>497</v>
      </c>
      <c r="B4" s="22" t="s">
        <v>334</v>
      </c>
      <c r="C4" s="22" t="s">
        <v>157</v>
      </c>
      <c r="D4" s="22">
        <v>35</v>
      </c>
      <c r="E4" s="22" t="s">
        <v>119</v>
      </c>
      <c r="F4" s="22" t="s">
        <v>76</v>
      </c>
      <c r="G4" s="22" t="s">
        <v>70</v>
      </c>
      <c r="H4" s="22" t="s">
        <v>331</v>
      </c>
      <c r="I4" s="22" t="s">
        <v>71</v>
      </c>
      <c r="J4" s="22" t="s">
        <v>365</v>
      </c>
      <c r="K4" s="22">
        <v>1.72</v>
      </c>
      <c r="L4" s="22">
        <v>1</v>
      </c>
      <c r="M4" s="22">
        <v>1</v>
      </c>
      <c r="N4" s="22">
        <v>1</v>
      </c>
      <c r="O4" s="22">
        <v>4.72</v>
      </c>
      <c r="P4" s="22">
        <v>94.4</v>
      </c>
    </row>
    <row r="5" spans="1:16" x14ac:dyDescent="0.25">
      <c r="A5" s="23" t="s">
        <v>497</v>
      </c>
      <c r="B5" s="22" t="s">
        <v>335</v>
      </c>
      <c r="C5" s="22" t="s">
        <v>158</v>
      </c>
      <c r="D5" s="22">
        <v>39</v>
      </c>
      <c r="E5" s="22" t="s">
        <v>336</v>
      </c>
      <c r="F5" s="22" t="s">
        <v>76</v>
      </c>
      <c r="G5" s="22" t="s">
        <v>70</v>
      </c>
      <c r="H5" s="22" t="s">
        <v>331</v>
      </c>
      <c r="I5" s="22" t="s">
        <v>71</v>
      </c>
      <c r="J5" s="22" t="s">
        <v>332</v>
      </c>
      <c r="K5" s="22">
        <v>1.94</v>
      </c>
      <c r="L5" s="22">
        <v>1</v>
      </c>
      <c r="M5" s="22">
        <v>0.94</v>
      </c>
      <c r="N5" s="22">
        <v>0.91</v>
      </c>
      <c r="O5" s="22">
        <v>4.79</v>
      </c>
      <c r="P5" s="22">
        <v>95.8</v>
      </c>
    </row>
    <row r="6" spans="1:16" x14ac:dyDescent="0.25">
      <c r="A6" s="23" t="s">
        <v>497</v>
      </c>
      <c r="B6" s="22" t="s">
        <v>337</v>
      </c>
      <c r="C6" s="22" t="s">
        <v>159</v>
      </c>
      <c r="D6" s="22">
        <v>41</v>
      </c>
      <c r="E6" s="22" t="s">
        <v>338</v>
      </c>
      <c r="F6" s="22" t="s">
        <v>69</v>
      </c>
      <c r="G6" s="22" t="s">
        <v>70</v>
      </c>
      <c r="H6" s="22" t="s">
        <v>331</v>
      </c>
      <c r="I6" s="22" t="s">
        <v>71</v>
      </c>
      <c r="J6" s="22" t="s">
        <v>332</v>
      </c>
      <c r="K6" s="22">
        <v>1.91</v>
      </c>
      <c r="L6" s="22">
        <v>1</v>
      </c>
      <c r="M6" s="22">
        <v>1</v>
      </c>
      <c r="N6" s="22">
        <v>0.98</v>
      </c>
      <c r="O6" s="22">
        <v>4.8899999999999997</v>
      </c>
      <c r="P6" s="22">
        <v>97.799999999999983</v>
      </c>
    </row>
    <row r="7" spans="1:16" x14ac:dyDescent="0.25">
      <c r="A7" s="23" t="s">
        <v>497</v>
      </c>
      <c r="B7" s="22" t="s">
        <v>143</v>
      </c>
      <c r="C7" s="22" t="s">
        <v>160</v>
      </c>
      <c r="D7" s="22">
        <v>38</v>
      </c>
      <c r="E7" s="22" t="s">
        <v>75</v>
      </c>
      <c r="F7" s="22" t="s">
        <v>69</v>
      </c>
      <c r="G7" s="22" t="s">
        <v>70</v>
      </c>
      <c r="H7" s="22" t="s">
        <v>331</v>
      </c>
      <c r="I7" s="22" t="s">
        <v>73</v>
      </c>
      <c r="J7" s="22" t="s">
        <v>339</v>
      </c>
      <c r="K7" s="22">
        <v>1.8</v>
      </c>
      <c r="L7" s="22">
        <v>1</v>
      </c>
      <c r="M7" s="22">
        <v>0.93</v>
      </c>
      <c r="N7" s="22">
        <v>0.92</v>
      </c>
      <c r="O7" s="22">
        <v>4.6500000000000004</v>
      </c>
      <c r="P7" s="22">
        <v>93.000000000000014</v>
      </c>
    </row>
    <row r="8" spans="1:16" x14ac:dyDescent="0.25">
      <c r="A8" s="23" t="s">
        <v>497</v>
      </c>
      <c r="B8" s="22" t="s">
        <v>307</v>
      </c>
      <c r="C8" s="22" t="s">
        <v>161</v>
      </c>
      <c r="D8" s="22">
        <v>43</v>
      </c>
      <c r="E8" s="22" t="s">
        <v>98</v>
      </c>
      <c r="F8" s="22" t="s">
        <v>76</v>
      </c>
      <c r="G8" s="22" t="s">
        <v>70</v>
      </c>
      <c r="H8" s="22" t="s">
        <v>331</v>
      </c>
      <c r="I8" s="22" t="s">
        <v>73</v>
      </c>
      <c r="J8" s="22" t="s">
        <v>72</v>
      </c>
      <c r="K8" s="22">
        <v>1.83</v>
      </c>
      <c r="L8" s="22">
        <v>0.96</v>
      </c>
      <c r="M8" s="22">
        <v>1</v>
      </c>
      <c r="N8" s="22">
        <v>1</v>
      </c>
      <c r="O8" s="22">
        <v>4.79</v>
      </c>
      <c r="P8" s="22">
        <v>95.8</v>
      </c>
    </row>
    <row r="9" spans="1:16" x14ac:dyDescent="0.25">
      <c r="A9" s="23" t="s">
        <v>497</v>
      </c>
      <c r="B9" s="22" t="s">
        <v>308</v>
      </c>
      <c r="C9" s="22" t="s">
        <v>162</v>
      </c>
      <c r="D9" s="22">
        <v>66</v>
      </c>
      <c r="E9" s="22" t="s">
        <v>98</v>
      </c>
      <c r="F9" s="22" t="s">
        <v>69</v>
      </c>
      <c r="G9" s="22" t="s">
        <v>70</v>
      </c>
      <c r="H9" s="22" t="s">
        <v>331</v>
      </c>
      <c r="I9" s="22" t="s">
        <v>340</v>
      </c>
      <c r="J9" s="22" t="s">
        <v>83</v>
      </c>
      <c r="K9" s="22">
        <v>1.83</v>
      </c>
      <c r="L9" s="22">
        <v>1</v>
      </c>
      <c r="M9" s="22">
        <v>0.98</v>
      </c>
      <c r="N9" s="22">
        <v>1</v>
      </c>
      <c r="O9" s="22">
        <v>4.8099999999999996</v>
      </c>
      <c r="P9" s="22">
        <v>96.199999999999989</v>
      </c>
    </row>
    <row r="10" spans="1:16" x14ac:dyDescent="0.25">
      <c r="A10" s="23" t="s">
        <v>497</v>
      </c>
      <c r="B10" s="22" t="s">
        <v>96</v>
      </c>
      <c r="C10" s="22" t="s">
        <v>163</v>
      </c>
      <c r="D10" s="22">
        <v>42</v>
      </c>
      <c r="E10" s="22" t="s">
        <v>75</v>
      </c>
      <c r="F10" s="22" t="s">
        <v>76</v>
      </c>
      <c r="G10" s="22" t="s">
        <v>70</v>
      </c>
      <c r="H10" s="22" t="s">
        <v>331</v>
      </c>
      <c r="I10" s="22" t="s">
        <v>73</v>
      </c>
      <c r="J10" s="22" t="s">
        <v>83</v>
      </c>
      <c r="K10" s="22">
        <v>1.85</v>
      </c>
      <c r="L10" s="22">
        <v>0</v>
      </c>
      <c r="M10" s="22">
        <v>1</v>
      </c>
      <c r="N10" s="22">
        <v>1</v>
      </c>
      <c r="O10" s="22">
        <v>3.85</v>
      </c>
      <c r="P10" s="22">
        <v>77</v>
      </c>
    </row>
    <row r="11" spans="1:16" x14ac:dyDescent="0.25">
      <c r="A11" s="23" t="s">
        <v>497</v>
      </c>
      <c r="B11" s="22" t="s">
        <v>341</v>
      </c>
      <c r="C11" s="22" t="s">
        <v>164</v>
      </c>
      <c r="D11" s="22">
        <v>55</v>
      </c>
      <c r="E11" s="22" t="s">
        <v>342</v>
      </c>
      <c r="F11" s="22" t="s">
        <v>76</v>
      </c>
      <c r="G11" s="22" t="s">
        <v>70</v>
      </c>
      <c r="H11" s="22" t="s">
        <v>331</v>
      </c>
      <c r="I11" s="22" t="s">
        <v>71</v>
      </c>
      <c r="J11" s="22" t="s">
        <v>93</v>
      </c>
      <c r="K11" s="22">
        <v>1.74</v>
      </c>
      <c r="L11" s="22">
        <v>0.97</v>
      </c>
      <c r="M11" s="22">
        <v>0.97</v>
      </c>
      <c r="N11" s="22">
        <v>0.97</v>
      </c>
      <c r="O11" s="22">
        <v>4.6500000000000004</v>
      </c>
      <c r="P11" s="22">
        <v>93.000000000000014</v>
      </c>
    </row>
    <row r="12" spans="1:16" x14ac:dyDescent="0.25">
      <c r="A12" s="23" t="s">
        <v>497</v>
      </c>
      <c r="B12" s="22" t="s">
        <v>343</v>
      </c>
      <c r="C12" s="22" t="s">
        <v>165</v>
      </c>
      <c r="D12" s="22">
        <v>49</v>
      </c>
      <c r="E12" s="22" t="s">
        <v>79</v>
      </c>
      <c r="F12" s="22" t="s">
        <v>76</v>
      </c>
      <c r="G12" s="22" t="s">
        <v>70</v>
      </c>
      <c r="H12" s="22" t="s">
        <v>331</v>
      </c>
      <c r="I12" s="22" t="s">
        <v>71</v>
      </c>
      <c r="J12" s="22" t="s">
        <v>344</v>
      </c>
      <c r="K12" s="22">
        <v>1.84</v>
      </c>
      <c r="L12" s="22">
        <v>1</v>
      </c>
      <c r="M12" s="22">
        <v>1</v>
      </c>
      <c r="N12" s="22">
        <v>1</v>
      </c>
      <c r="O12" s="22">
        <v>4.84</v>
      </c>
      <c r="P12" s="22">
        <v>96.8</v>
      </c>
    </row>
    <row r="13" spans="1:16" x14ac:dyDescent="0.25">
      <c r="A13" s="23" t="s">
        <v>497</v>
      </c>
      <c r="B13" s="22" t="s">
        <v>142</v>
      </c>
      <c r="C13" s="22" t="s">
        <v>166</v>
      </c>
      <c r="D13" s="22">
        <v>38</v>
      </c>
      <c r="E13" s="22" t="s">
        <v>82</v>
      </c>
      <c r="F13" s="22" t="s">
        <v>76</v>
      </c>
      <c r="G13" s="22" t="s">
        <v>70</v>
      </c>
      <c r="H13" s="22" t="s">
        <v>331</v>
      </c>
      <c r="I13" s="22" t="s">
        <v>73</v>
      </c>
      <c r="J13" s="22" t="s">
        <v>345</v>
      </c>
      <c r="K13" s="22">
        <v>1.96</v>
      </c>
      <c r="L13" s="22">
        <v>0.92</v>
      </c>
      <c r="M13" s="22">
        <v>0.94</v>
      </c>
      <c r="N13" s="22">
        <v>1</v>
      </c>
      <c r="O13" s="22">
        <v>4.82</v>
      </c>
      <c r="P13" s="22">
        <v>96.4</v>
      </c>
    </row>
    <row r="14" spans="1:16" x14ac:dyDescent="0.25">
      <c r="A14" s="23" t="s">
        <v>497</v>
      </c>
      <c r="B14" s="22" t="s">
        <v>346</v>
      </c>
      <c r="C14" s="22" t="s">
        <v>167</v>
      </c>
      <c r="D14" s="22">
        <v>32</v>
      </c>
      <c r="E14" s="22" t="s">
        <v>347</v>
      </c>
      <c r="F14" s="22" t="s">
        <v>69</v>
      </c>
      <c r="G14" s="22" t="s">
        <v>70</v>
      </c>
      <c r="H14" s="22" t="s">
        <v>331</v>
      </c>
      <c r="I14" s="22" t="s">
        <v>71</v>
      </c>
      <c r="J14" s="22" t="s">
        <v>339</v>
      </c>
      <c r="K14" s="22">
        <v>1.95</v>
      </c>
      <c r="L14" s="22">
        <v>0.99</v>
      </c>
      <c r="M14" s="22">
        <v>1</v>
      </c>
      <c r="N14" s="22">
        <v>1</v>
      </c>
      <c r="O14" s="22">
        <v>4.9400000000000004</v>
      </c>
      <c r="P14" s="22">
        <v>98.800000000000011</v>
      </c>
    </row>
    <row r="15" spans="1:16" x14ac:dyDescent="0.25">
      <c r="A15" s="23" t="s">
        <v>497</v>
      </c>
      <c r="B15" s="22" t="s">
        <v>348</v>
      </c>
      <c r="C15" s="22" t="s">
        <v>168</v>
      </c>
      <c r="D15" s="22">
        <v>35</v>
      </c>
      <c r="E15" s="22" t="s">
        <v>349</v>
      </c>
      <c r="F15" s="22" t="s">
        <v>69</v>
      </c>
      <c r="G15" s="22" t="s">
        <v>70</v>
      </c>
      <c r="H15" s="22" t="s">
        <v>331</v>
      </c>
      <c r="I15" s="22" t="s">
        <v>71</v>
      </c>
      <c r="J15" s="22" t="s">
        <v>350</v>
      </c>
      <c r="K15" s="22">
        <v>2</v>
      </c>
      <c r="L15" s="22">
        <v>0.98</v>
      </c>
      <c r="M15" s="22">
        <v>0.97</v>
      </c>
      <c r="N15" s="22">
        <v>1</v>
      </c>
      <c r="O15" s="22">
        <v>4.95</v>
      </c>
      <c r="P15" s="22">
        <v>99</v>
      </c>
    </row>
    <row r="16" spans="1:16" x14ac:dyDescent="0.25">
      <c r="A16" s="23" t="s">
        <v>497</v>
      </c>
      <c r="B16" s="22" t="s">
        <v>351</v>
      </c>
      <c r="C16" s="22" t="s">
        <v>169</v>
      </c>
      <c r="D16" s="22">
        <v>42</v>
      </c>
      <c r="E16" s="22" t="s">
        <v>352</v>
      </c>
      <c r="F16" s="22" t="s">
        <v>76</v>
      </c>
      <c r="G16" s="22" t="s">
        <v>70</v>
      </c>
      <c r="H16" s="22" t="s">
        <v>331</v>
      </c>
      <c r="I16" s="22" t="s">
        <v>71</v>
      </c>
      <c r="J16" s="22" t="s">
        <v>353</v>
      </c>
      <c r="K16" s="22">
        <v>1.92</v>
      </c>
      <c r="L16" s="22">
        <v>1</v>
      </c>
      <c r="M16" s="22">
        <v>1</v>
      </c>
      <c r="N16" s="22">
        <v>1</v>
      </c>
      <c r="O16" s="22">
        <v>4.92</v>
      </c>
      <c r="P16" s="22">
        <v>98.4</v>
      </c>
    </row>
    <row r="17" spans="1:16" x14ac:dyDescent="0.25">
      <c r="A17" s="23" t="s">
        <v>497</v>
      </c>
      <c r="B17" s="22" t="s">
        <v>95</v>
      </c>
      <c r="C17" s="22" t="s">
        <v>309</v>
      </c>
      <c r="D17" s="22">
        <v>45</v>
      </c>
      <c r="E17" s="22" t="s">
        <v>98</v>
      </c>
      <c r="F17" s="22" t="s">
        <v>69</v>
      </c>
      <c r="G17" s="22" t="s">
        <v>70</v>
      </c>
      <c r="H17" s="22" t="s">
        <v>331</v>
      </c>
      <c r="I17" s="22" t="s">
        <v>73</v>
      </c>
      <c r="J17" s="22" t="s">
        <v>93</v>
      </c>
      <c r="K17" s="22">
        <v>1.92</v>
      </c>
      <c r="L17" s="22">
        <v>0</v>
      </c>
      <c r="M17" s="22">
        <v>0.89</v>
      </c>
      <c r="N17" s="22">
        <v>1</v>
      </c>
      <c r="O17" s="22">
        <v>3.81</v>
      </c>
      <c r="P17" s="22">
        <v>76.2</v>
      </c>
    </row>
    <row r="18" spans="1:16" x14ac:dyDescent="0.25">
      <c r="A18" s="23" t="s">
        <v>497</v>
      </c>
      <c r="B18" s="22" t="s">
        <v>144</v>
      </c>
      <c r="C18" s="22" t="s">
        <v>170</v>
      </c>
      <c r="D18" s="22">
        <v>32</v>
      </c>
      <c r="E18" s="22" t="s">
        <v>75</v>
      </c>
      <c r="F18" s="22" t="s">
        <v>69</v>
      </c>
      <c r="G18" s="22" t="s">
        <v>70</v>
      </c>
      <c r="H18" s="22" t="s">
        <v>331</v>
      </c>
      <c r="I18" s="22" t="s">
        <v>73</v>
      </c>
      <c r="J18" s="22" t="s">
        <v>344</v>
      </c>
      <c r="K18" s="22">
        <v>1.93</v>
      </c>
      <c r="L18" s="22">
        <v>1</v>
      </c>
      <c r="M18" s="22">
        <v>1</v>
      </c>
      <c r="N18" s="22">
        <v>0.98</v>
      </c>
      <c r="O18" s="22">
        <v>4.91</v>
      </c>
      <c r="P18" s="22">
        <v>98.2</v>
      </c>
    </row>
    <row r="19" spans="1:16" x14ac:dyDescent="0.25">
      <c r="A19" s="23" t="s">
        <v>497</v>
      </c>
      <c r="B19" s="22" t="s">
        <v>354</v>
      </c>
      <c r="C19" s="22" t="s">
        <v>171</v>
      </c>
      <c r="D19" s="22">
        <v>51</v>
      </c>
      <c r="E19" s="22" t="s">
        <v>355</v>
      </c>
      <c r="F19" s="22" t="s">
        <v>69</v>
      </c>
      <c r="G19" s="22" t="s">
        <v>70</v>
      </c>
      <c r="H19" s="22" t="s">
        <v>331</v>
      </c>
      <c r="I19" s="22" t="s">
        <v>73</v>
      </c>
      <c r="J19" s="22" t="s">
        <v>72</v>
      </c>
      <c r="K19" s="22">
        <v>1.76</v>
      </c>
      <c r="L19" s="22">
        <v>0.99</v>
      </c>
      <c r="M19" s="22">
        <v>1</v>
      </c>
      <c r="N19" s="22">
        <v>1</v>
      </c>
      <c r="O19" s="22">
        <v>4.75</v>
      </c>
      <c r="P19" s="22">
        <v>95</v>
      </c>
    </row>
    <row r="20" spans="1:16" x14ac:dyDescent="0.25">
      <c r="A20" s="23" t="s">
        <v>497</v>
      </c>
      <c r="B20" s="22" t="s">
        <v>63</v>
      </c>
      <c r="C20" s="22" t="s">
        <v>172</v>
      </c>
      <c r="D20" s="22">
        <v>33</v>
      </c>
      <c r="E20" s="22" t="s">
        <v>98</v>
      </c>
      <c r="F20" s="22" t="s">
        <v>76</v>
      </c>
      <c r="G20" s="22" t="s">
        <v>70</v>
      </c>
      <c r="H20" s="22" t="s">
        <v>331</v>
      </c>
      <c r="I20" s="22" t="s">
        <v>73</v>
      </c>
      <c r="J20" s="22" t="s">
        <v>72</v>
      </c>
      <c r="K20" s="22">
        <v>1.94</v>
      </c>
      <c r="L20" s="22">
        <v>0</v>
      </c>
      <c r="M20" s="22">
        <v>1</v>
      </c>
      <c r="N20" s="22">
        <v>1</v>
      </c>
      <c r="O20" s="22">
        <v>3.94</v>
      </c>
      <c r="P20" s="22">
        <v>78.8</v>
      </c>
    </row>
    <row r="21" spans="1:16" x14ac:dyDescent="0.25">
      <c r="A21" s="23" t="s">
        <v>497</v>
      </c>
      <c r="B21" s="22" t="s">
        <v>145</v>
      </c>
      <c r="C21" s="22" t="s">
        <v>173</v>
      </c>
      <c r="D21" s="22">
        <v>62</v>
      </c>
      <c r="E21" s="22" t="s">
        <v>75</v>
      </c>
      <c r="F21" s="22" t="s">
        <v>69</v>
      </c>
      <c r="G21" s="22" t="s">
        <v>70</v>
      </c>
      <c r="H21" s="22" t="s">
        <v>331</v>
      </c>
      <c r="I21" s="22" t="s">
        <v>73</v>
      </c>
      <c r="J21" s="22" t="s">
        <v>356</v>
      </c>
      <c r="K21" s="22">
        <v>1.79</v>
      </c>
      <c r="L21" s="22">
        <v>0.97</v>
      </c>
      <c r="M21" s="22">
        <v>0.83</v>
      </c>
      <c r="N21" s="22">
        <v>0.77</v>
      </c>
      <c r="O21" s="22">
        <v>4.3600000000000003</v>
      </c>
      <c r="P21" s="22">
        <v>87.200000000000017</v>
      </c>
    </row>
    <row r="22" spans="1:16" x14ac:dyDescent="0.25">
      <c r="A22" s="23" t="s">
        <v>497</v>
      </c>
      <c r="B22" s="22" t="s">
        <v>146</v>
      </c>
      <c r="C22" s="22" t="s">
        <v>174</v>
      </c>
      <c r="D22" s="22">
        <v>30</v>
      </c>
      <c r="E22" s="22" t="s">
        <v>98</v>
      </c>
      <c r="F22" s="22" t="s">
        <v>76</v>
      </c>
      <c r="G22" s="22" t="s">
        <v>70</v>
      </c>
      <c r="H22" s="22" t="s">
        <v>331</v>
      </c>
      <c r="I22" s="22" t="s">
        <v>73</v>
      </c>
      <c r="J22" s="22" t="s">
        <v>93</v>
      </c>
      <c r="K22" s="22">
        <v>1.91</v>
      </c>
      <c r="L22" s="22">
        <v>1</v>
      </c>
      <c r="M22" s="22">
        <v>0.95</v>
      </c>
      <c r="N22" s="22">
        <v>0.93</v>
      </c>
      <c r="O22" s="22">
        <v>4.79</v>
      </c>
      <c r="P22" s="22">
        <v>95.8</v>
      </c>
    </row>
    <row r="23" spans="1:16" x14ac:dyDescent="0.25">
      <c r="A23" s="23" t="s">
        <v>497</v>
      </c>
      <c r="B23" s="22" t="s">
        <v>357</v>
      </c>
      <c r="C23" s="22" t="s">
        <v>175</v>
      </c>
      <c r="D23" s="22">
        <v>54</v>
      </c>
      <c r="E23" s="22" t="s">
        <v>358</v>
      </c>
      <c r="F23" s="22" t="s">
        <v>76</v>
      </c>
      <c r="G23" s="22" t="s">
        <v>70</v>
      </c>
      <c r="H23" s="22" t="s">
        <v>331</v>
      </c>
      <c r="I23" s="22" t="s">
        <v>71</v>
      </c>
      <c r="J23" s="22" t="s">
        <v>72</v>
      </c>
      <c r="K23" s="22">
        <v>1.95</v>
      </c>
      <c r="L23" s="22">
        <v>0.98</v>
      </c>
      <c r="M23" s="22">
        <v>1</v>
      </c>
      <c r="N23" s="22">
        <v>1</v>
      </c>
      <c r="O23" s="22">
        <v>4.93</v>
      </c>
      <c r="P23" s="22">
        <v>98.6</v>
      </c>
    </row>
    <row r="24" spans="1:16" x14ac:dyDescent="0.25">
      <c r="A24" s="23" t="s">
        <v>497</v>
      </c>
      <c r="B24" s="22" t="s">
        <v>359</v>
      </c>
      <c r="C24" s="22" t="s">
        <v>176</v>
      </c>
      <c r="D24" s="22">
        <v>50</v>
      </c>
      <c r="E24" s="22" t="s">
        <v>79</v>
      </c>
      <c r="F24" s="22" t="s">
        <v>69</v>
      </c>
      <c r="G24" s="22" t="s">
        <v>70</v>
      </c>
      <c r="H24" s="22" t="s">
        <v>331</v>
      </c>
      <c r="I24" s="22" t="s">
        <v>71</v>
      </c>
      <c r="J24" s="26" t="s">
        <v>362</v>
      </c>
      <c r="K24" s="22">
        <v>1.86</v>
      </c>
      <c r="L24" s="22">
        <v>0.97</v>
      </c>
      <c r="M24" s="22">
        <v>0.97</v>
      </c>
      <c r="N24" s="22">
        <v>1</v>
      </c>
      <c r="O24" s="22">
        <v>4.8</v>
      </c>
      <c r="P24" s="22">
        <v>96</v>
      </c>
    </row>
    <row r="25" spans="1:16" x14ac:dyDescent="0.25">
      <c r="A25" s="23" t="s">
        <v>497</v>
      </c>
      <c r="B25" s="22" t="s">
        <v>360</v>
      </c>
      <c r="C25" s="22" t="s">
        <v>177</v>
      </c>
      <c r="D25" s="22">
        <v>35</v>
      </c>
      <c r="E25" s="22" t="s">
        <v>98</v>
      </c>
      <c r="F25" s="22" t="s">
        <v>69</v>
      </c>
      <c r="G25" s="22" t="s">
        <v>70</v>
      </c>
      <c r="H25" s="22" t="s">
        <v>361</v>
      </c>
      <c r="I25" s="22" t="s">
        <v>73</v>
      </c>
      <c r="J25" s="22" t="s">
        <v>362</v>
      </c>
      <c r="K25" s="22">
        <v>1.8</v>
      </c>
      <c r="L25" s="22">
        <v>1</v>
      </c>
      <c r="M25" s="22">
        <v>1</v>
      </c>
      <c r="N25" s="22">
        <v>1</v>
      </c>
      <c r="O25" s="22">
        <v>4.8</v>
      </c>
      <c r="P25" s="22">
        <v>96</v>
      </c>
    </row>
    <row r="26" spans="1:16" x14ac:dyDescent="0.25">
      <c r="A26" s="23" t="s">
        <v>497</v>
      </c>
      <c r="B26" s="22" t="s">
        <v>363</v>
      </c>
      <c r="C26" s="22" t="s">
        <v>178</v>
      </c>
      <c r="D26" s="22">
        <v>58</v>
      </c>
      <c r="E26" s="22" t="s">
        <v>364</v>
      </c>
      <c r="F26" s="22" t="s">
        <v>69</v>
      </c>
      <c r="G26" s="22" t="s">
        <v>70</v>
      </c>
      <c r="H26" s="22" t="s">
        <v>331</v>
      </c>
      <c r="I26" s="22" t="s">
        <v>73</v>
      </c>
      <c r="J26" s="22" t="s">
        <v>83</v>
      </c>
      <c r="K26" s="22">
        <v>1.57</v>
      </c>
      <c r="L26" s="22">
        <v>1</v>
      </c>
      <c r="M26" s="22">
        <v>1</v>
      </c>
      <c r="N26" s="22">
        <v>0.91</v>
      </c>
      <c r="O26" s="22">
        <v>4.4800000000000004</v>
      </c>
      <c r="P26" s="22">
        <v>89.600000000000009</v>
      </c>
    </row>
    <row r="27" spans="1:16" x14ac:dyDescent="0.25">
      <c r="A27" s="23" t="s">
        <v>497</v>
      </c>
      <c r="B27" s="22" t="s">
        <v>147</v>
      </c>
      <c r="C27" s="22" t="s">
        <v>179</v>
      </c>
      <c r="D27" s="22">
        <v>64</v>
      </c>
      <c r="E27" s="22" t="s">
        <v>75</v>
      </c>
      <c r="F27" s="22" t="s">
        <v>76</v>
      </c>
      <c r="G27" s="22" t="s">
        <v>70</v>
      </c>
      <c r="H27" s="22" t="s">
        <v>361</v>
      </c>
      <c r="I27" s="22" t="s">
        <v>71</v>
      </c>
      <c r="J27" s="22" t="s">
        <v>365</v>
      </c>
      <c r="K27" s="22">
        <v>1.82</v>
      </c>
      <c r="L27" s="22">
        <v>1</v>
      </c>
      <c r="M27" s="22">
        <v>1</v>
      </c>
      <c r="N27" s="22">
        <v>1</v>
      </c>
      <c r="O27" s="22">
        <v>4.82</v>
      </c>
      <c r="P27" s="22">
        <v>96.4</v>
      </c>
    </row>
    <row r="28" spans="1:16" x14ac:dyDescent="0.25">
      <c r="A28" s="23" t="s">
        <v>497</v>
      </c>
      <c r="B28" s="22" t="s">
        <v>148</v>
      </c>
      <c r="C28" s="22" t="s">
        <v>180</v>
      </c>
      <c r="D28" s="22">
        <v>59</v>
      </c>
      <c r="E28" s="22" t="s">
        <v>75</v>
      </c>
      <c r="F28" s="22" t="s">
        <v>76</v>
      </c>
      <c r="G28" s="22" t="s">
        <v>70</v>
      </c>
      <c r="H28" s="22" t="s">
        <v>331</v>
      </c>
      <c r="I28" s="22" t="s">
        <v>73</v>
      </c>
      <c r="J28" s="22" t="s">
        <v>83</v>
      </c>
      <c r="K28" s="22">
        <v>1.76</v>
      </c>
      <c r="L28" s="22">
        <v>1</v>
      </c>
      <c r="M28" s="22">
        <v>1</v>
      </c>
      <c r="N28" s="22">
        <v>0.97</v>
      </c>
      <c r="O28" s="22">
        <v>4.7300000000000004</v>
      </c>
      <c r="P28" s="22">
        <v>94.600000000000009</v>
      </c>
    </row>
    <row r="29" spans="1:16" x14ac:dyDescent="0.25">
      <c r="A29" s="23" t="s">
        <v>497</v>
      </c>
      <c r="B29" s="22" t="s">
        <v>366</v>
      </c>
      <c r="C29" s="22" t="s">
        <v>181</v>
      </c>
      <c r="D29" s="22">
        <v>41</v>
      </c>
      <c r="E29" s="22" t="s">
        <v>94</v>
      </c>
      <c r="F29" s="22" t="s">
        <v>69</v>
      </c>
      <c r="G29" s="22" t="s">
        <v>70</v>
      </c>
      <c r="H29" s="22" t="s">
        <v>331</v>
      </c>
      <c r="I29" s="22" t="s">
        <v>71</v>
      </c>
      <c r="J29" s="22" t="s">
        <v>83</v>
      </c>
      <c r="K29" s="22">
        <v>1.8</v>
      </c>
      <c r="L29" s="22">
        <v>1</v>
      </c>
      <c r="M29" s="22">
        <v>1</v>
      </c>
      <c r="N29" s="22">
        <v>0.97</v>
      </c>
      <c r="O29" s="22">
        <v>4.7699999999999996</v>
      </c>
      <c r="P29" s="22">
        <v>95.399999999999991</v>
      </c>
    </row>
    <row r="30" spans="1:16" x14ac:dyDescent="0.25">
      <c r="A30" s="23" t="s">
        <v>497</v>
      </c>
      <c r="B30" s="22" t="s">
        <v>367</v>
      </c>
      <c r="C30" s="22" t="s">
        <v>182</v>
      </c>
      <c r="D30" s="22">
        <v>44</v>
      </c>
      <c r="E30" s="22" t="s">
        <v>98</v>
      </c>
      <c r="F30" s="22" t="s">
        <v>76</v>
      </c>
      <c r="G30" s="22" t="s">
        <v>70</v>
      </c>
      <c r="H30" s="22" t="s">
        <v>331</v>
      </c>
      <c r="I30" s="22" t="s">
        <v>73</v>
      </c>
      <c r="J30" s="22" t="s">
        <v>368</v>
      </c>
      <c r="K30" s="22">
        <v>1.58</v>
      </c>
      <c r="L30" s="22">
        <v>1</v>
      </c>
      <c r="M30" s="22">
        <v>1</v>
      </c>
      <c r="N30" s="22">
        <v>1</v>
      </c>
      <c r="O30" s="22">
        <v>4.58</v>
      </c>
      <c r="P30" s="22">
        <v>91.6</v>
      </c>
    </row>
    <row r="31" spans="1:16" x14ac:dyDescent="0.25">
      <c r="A31" s="23" t="s">
        <v>497</v>
      </c>
      <c r="B31" s="22" t="s">
        <v>369</v>
      </c>
      <c r="C31" s="22" t="s">
        <v>183</v>
      </c>
      <c r="D31" s="22">
        <v>29</v>
      </c>
      <c r="E31" s="22" t="s">
        <v>370</v>
      </c>
      <c r="F31" s="22" t="s">
        <v>69</v>
      </c>
      <c r="G31" s="22" t="s">
        <v>70</v>
      </c>
      <c r="H31" s="22" t="s">
        <v>331</v>
      </c>
      <c r="I31" s="22" t="s">
        <v>71</v>
      </c>
      <c r="J31" s="22" t="s">
        <v>365</v>
      </c>
      <c r="K31" s="22">
        <v>1.82</v>
      </c>
      <c r="L31" s="22">
        <v>1</v>
      </c>
      <c r="M31" s="22">
        <v>1</v>
      </c>
      <c r="N31" s="22">
        <v>0.95</v>
      </c>
      <c r="O31" s="22">
        <v>4.7699999999999996</v>
      </c>
      <c r="P31" s="22">
        <v>95.399999999999991</v>
      </c>
    </row>
    <row r="32" spans="1:16" x14ac:dyDescent="0.25">
      <c r="A32" s="23" t="s">
        <v>497</v>
      </c>
      <c r="B32" s="22" t="s">
        <v>310</v>
      </c>
      <c r="C32" s="22" t="s">
        <v>184</v>
      </c>
      <c r="D32" s="22">
        <v>38</v>
      </c>
      <c r="E32" s="22" t="s">
        <v>98</v>
      </c>
      <c r="F32" s="22" t="s">
        <v>69</v>
      </c>
      <c r="G32" s="22" t="s">
        <v>70</v>
      </c>
      <c r="H32" s="22" t="s">
        <v>331</v>
      </c>
      <c r="I32" s="22" t="s">
        <v>73</v>
      </c>
      <c r="J32" s="22" t="s">
        <v>362</v>
      </c>
      <c r="K32" s="22">
        <v>1.95</v>
      </c>
      <c r="L32" s="22">
        <v>1</v>
      </c>
      <c r="M32" s="22">
        <v>1</v>
      </c>
      <c r="N32" s="22">
        <v>1</v>
      </c>
      <c r="O32" s="22">
        <v>4.95</v>
      </c>
      <c r="P32" s="22">
        <v>99</v>
      </c>
    </row>
    <row r="33" spans="1:16" x14ac:dyDescent="0.25">
      <c r="A33" s="23" t="s">
        <v>497</v>
      </c>
      <c r="B33" s="22" t="s">
        <v>149</v>
      </c>
      <c r="C33" s="22" t="s">
        <v>185</v>
      </c>
      <c r="D33" s="22">
        <v>50</v>
      </c>
      <c r="E33" s="22" t="s">
        <v>75</v>
      </c>
      <c r="F33" s="22" t="s">
        <v>76</v>
      </c>
      <c r="G33" s="22" t="s">
        <v>70</v>
      </c>
      <c r="H33" s="22" t="s">
        <v>331</v>
      </c>
      <c r="I33" s="22" t="s">
        <v>73</v>
      </c>
      <c r="J33" s="22" t="s">
        <v>332</v>
      </c>
      <c r="K33" s="22">
        <v>1.86</v>
      </c>
      <c r="L33" s="22">
        <v>1</v>
      </c>
      <c r="M33" s="22">
        <v>0.94</v>
      </c>
      <c r="N33" s="22">
        <v>0.8</v>
      </c>
      <c r="O33" s="22">
        <v>4.5999999999999996</v>
      </c>
      <c r="P33" s="22">
        <v>91.999999999999986</v>
      </c>
    </row>
    <row r="34" spans="1:16" x14ac:dyDescent="0.25">
      <c r="A34" s="23" t="s">
        <v>497</v>
      </c>
      <c r="B34" s="22" t="s">
        <v>371</v>
      </c>
      <c r="C34" s="22" t="s">
        <v>186</v>
      </c>
      <c r="D34" s="22">
        <v>55</v>
      </c>
      <c r="E34" s="22" t="s">
        <v>80</v>
      </c>
      <c r="F34" s="22" t="s">
        <v>76</v>
      </c>
      <c r="G34" s="22" t="s">
        <v>70</v>
      </c>
      <c r="H34" s="22" t="s">
        <v>331</v>
      </c>
      <c r="I34" s="22" t="s">
        <v>71</v>
      </c>
      <c r="J34" s="22" t="s">
        <v>332</v>
      </c>
      <c r="K34" s="22">
        <v>1.82</v>
      </c>
      <c r="L34" s="22">
        <v>0.97</v>
      </c>
      <c r="M34" s="22">
        <v>0.97</v>
      </c>
      <c r="N34" s="22">
        <v>0.94</v>
      </c>
      <c r="O34" s="22">
        <v>4.7</v>
      </c>
      <c r="P34" s="22">
        <v>94</v>
      </c>
    </row>
    <row r="35" spans="1:16" x14ac:dyDescent="0.25">
      <c r="A35" s="23" t="s">
        <v>497</v>
      </c>
      <c r="B35" s="22" t="s">
        <v>372</v>
      </c>
      <c r="C35" s="22" t="s">
        <v>187</v>
      </c>
      <c r="D35" s="22">
        <v>65</v>
      </c>
      <c r="E35" s="22" t="s">
        <v>98</v>
      </c>
      <c r="F35" s="22" t="s">
        <v>69</v>
      </c>
      <c r="G35" s="22" t="s">
        <v>70</v>
      </c>
      <c r="H35" s="22" t="s">
        <v>331</v>
      </c>
      <c r="I35" s="22" t="s">
        <v>73</v>
      </c>
      <c r="J35" s="22" t="s">
        <v>93</v>
      </c>
      <c r="K35" s="22">
        <v>1.69</v>
      </c>
      <c r="L35" s="22">
        <v>0.99</v>
      </c>
      <c r="M35" s="22">
        <v>0.97</v>
      </c>
      <c r="N35" s="22">
        <v>0.93</v>
      </c>
      <c r="O35" s="22">
        <v>4.58</v>
      </c>
      <c r="P35" s="22">
        <v>91.6</v>
      </c>
    </row>
    <row r="36" spans="1:16" x14ac:dyDescent="0.25">
      <c r="A36" s="23" t="s">
        <v>497</v>
      </c>
      <c r="B36" s="22" t="s">
        <v>150</v>
      </c>
      <c r="C36" s="22" t="s">
        <v>188</v>
      </c>
      <c r="D36" s="22">
        <v>57</v>
      </c>
      <c r="E36" s="22" t="s">
        <v>338</v>
      </c>
      <c r="F36" s="22" t="s">
        <v>76</v>
      </c>
      <c r="G36" s="22" t="s">
        <v>70</v>
      </c>
      <c r="H36" s="22" t="s">
        <v>331</v>
      </c>
      <c r="I36" s="22" t="s">
        <v>73</v>
      </c>
      <c r="J36" s="22" t="s">
        <v>350</v>
      </c>
      <c r="K36" s="22">
        <v>1.45</v>
      </c>
      <c r="L36" s="22">
        <v>1</v>
      </c>
      <c r="M36" s="22">
        <v>1</v>
      </c>
      <c r="N36" s="22">
        <v>1</v>
      </c>
      <c r="O36" s="22">
        <v>4.45</v>
      </c>
      <c r="P36" s="22">
        <v>89</v>
      </c>
    </row>
    <row r="37" spans="1:16" x14ac:dyDescent="0.25">
      <c r="A37" s="23" t="s">
        <v>497</v>
      </c>
      <c r="B37" s="22" t="s">
        <v>373</v>
      </c>
      <c r="C37" s="22" t="s">
        <v>189</v>
      </c>
      <c r="D37" s="22">
        <v>31</v>
      </c>
      <c r="E37" s="22" t="s">
        <v>98</v>
      </c>
      <c r="F37" s="22" t="s">
        <v>76</v>
      </c>
      <c r="G37" s="22" t="s">
        <v>70</v>
      </c>
      <c r="H37" s="22" t="s">
        <v>331</v>
      </c>
      <c r="I37" s="22" t="s">
        <v>71</v>
      </c>
      <c r="J37" s="22" t="s">
        <v>365</v>
      </c>
      <c r="K37" s="22">
        <v>1.43</v>
      </c>
      <c r="L37" s="22">
        <v>0.95</v>
      </c>
      <c r="M37" s="22">
        <v>1</v>
      </c>
      <c r="N37" s="22">
        <v>0.89</v>
      </c>
      <c r="O37" s="22">
        <v>4.2699999999999996</v>
      </c>
      <c r="P37" s="22">
        <v>85.399999999999991</v>
      </c>
    </row>
    <row r="38" spans="1:16" x14ac:dyDescent="0.25">
      <c r="A38" s="23" t="s">
        <v>497</v>
      </c>
      <c r="B38" s="22" t="s">
        <v>374</v>
      </c>
      <c r="C38" s="22" t="s">
        <v>190</v>
      </c>
      <c r="D38" s="22">
        <v>32</v>
      </c>
      <c r="E38" s="22" t="s">
        <v>98</v>
      </c>
      <c r="F38" s="22" t="s">
        <v>69</v>
      </c>
      <c r="G38" s="22" t="s">
        <v>70</v>
      </c>
      <c r="H38" s="22" t="s">
        <v>331</v>
      </c>
      <c r="I38" s="22" t="s">
        <v>73</v>
      </c>
      <c r="J38" s="22" t="s">
        <v>339</v>
      </c>
      <c r="K38" s="22">
        <v>1.85</v>
      </c>
      <c r="L38" s="22">
        <v>1</v>
      </c>
      <c r="M38" s="22">
        <v>1</v>
      </c>
      <c r="N38" s="22">
        <v>0.94</v>
      </c>
      <c r="O38" s="22">
        <v>4.79</v>
      </c>
      <c r="P38" s="22">
        <v>95.8</v>
      </c>
    </row>
    <row r="39" spans="1:16" x14ac:dyDescent="0.25">
      <c r="A39" s="23" t="s">
        <v>497</v>
      </c>
      <c r="B39" s="22" t="s">
        <v>151</v>
      </c>
      <c r="C39" s="22" t="s">
        <v>191</v>
      </c>
      <c r="D39" s="22">
        <v>34</v>
      </c>
      <c r="E39" s="22" t="s">
        <v>98</v>
      </c>
      <c r="F39" s="22" t="s">
        <v>76</v>
      </c>
      <c r="G39" s="22" t="s">
        <v>70</v>
      </c>
      <c r="H39" s="22" t="s">
        <v>331</v>
      </c>
      <c r="I39" s="22" t="s">
        <v>73</v>
      </c>
      <c r="J39" s="22" t="s">
        <v>344</v>
      </c>
      <c r="K39" s="22">
        <v>1.94</v>
      </c>
      <c r="L39" s="22">
        <v>0.98</v>
      </c>
      <c r="M39" s="22">
        <v>1</v>
      </c>
      <c r="N39" s="22">
        <v>1</v>
      </c>
      <c r="O39" s="22">
        <v>4.92</v>
      </c>
      <c r="P39" s="22">
        <v>98.4</v>
      </c>
    </row>
    <row r="40" spans="1:16" x14ac:dyDescent="0.25">
      <c r="A40" s="23" t="s">
        <v>497</v>
      </c>
      <c r="B40" s="22" t="s">
        <v>152</v>
      </c>
      <c r="C40" s="22" t="s">
        <v>192</v>
      </c>
      <c r="D40" s="22">
        <v>45</v>
      </c>
      <c r="E40" s="22" t="s">
        <v>75</v>
      </c>
      <c r="F40" s="22" t="s">
        <v>76</v>
      </c>
      <c r="G40" s="22" t="s">
        <v>70</v>
      </c>
      <c r="H40" s="22" t="s">
        <v>331</v>
      </c>
      <c r="I40" s="22" t="s">
        <v>73</v>
      </c>
      <c r="J40" s="22" t="s">
        <v>344</v>
      </c>
      <c r="K40" s="22">
        <v>1.82</v>
      </c>
      <c r="L40" s="22">
        <v>0.87</v>
      </c>
      <c r="M40" s="22">
        <v>1</v>
      </c>
      <c r="N40" s="22">
        <v>1</v>
      </c>
      <c r="O40" s="22">
        <v>4.6900000000000004</v>
      </c>
      <c r="P40" s="22">
        <v>93.800000000000011</v>
      </c>
    </row>
    <row r="41" spans="1:16" x14ac:dyDescent="0.25">
      <c r="A41" s="23" t="s">
        <v>497</v>
      </c>
      <c r="B41" s="22" t="s">
        <v>375</v>
      </c>
      <c r="C41" s="22" t="s">
        <v>193</v>
      </c>
      <c r="D41" s="22">
        <v>55</v>
      </c>
      <c r="E41" s="22" t="s">
        <v>376</v>
      </c>
      <c r="F41" s="22" t="s">
        <v>69</v>
      </c>
      <c r="G41" s="22" t="s">
        <v>70</v>
      </c>
      <c r="H41" s="22" t="s">
        <v>331</v>
      </c>
      <c r="I41" s="22" t="s">
        <v>71</v>
      </c>
      <c r="J41" s="22" t="s">
        <v>93</v>
      </c>
      <c r="K41" s="22">
        <v>1.87</v>
      </c>
      <c r="L41" s="22">
        <v>1</v>
      </c>
      <c r="M41" s="22">
        <v>1</v>
      </c>
      <c r="N41" s="22">
        <v>1</v>
      </c>
      <c r="O41" s="22">
        <v>4.87</v>
      </c>
      <c r="P41" s="22">
        <v>97.4</v>
      </c>
    </row>
    <row r="42" spans="1:16" x14ac:dyDescent="0.25">
      <c r="A42" s="23" t="s">
        <v>497</v>
      </c>
      <c r="B42" s="22" t="s">
        <v>153</v>
      </c>
      <c r="C42" s="22" t="s">
        <v>194</v>
      </c>
      <c r="D42" s="22">
        <v>32</v>
      </c>
      <c r="E42" s="22" t="s">
        <v>98</v>
      </c>
      <c r="F42" s="22" t="s">
        <v>69</v>
      </c>
      <c r="G42" s="22" t="s">
        <v>70</v>
      </c>
      <c r="H42" s="22" t="s">
        <v>331</v>
      </c>
      <c r="I42" s="22" t="s">
        <v>73</v>
      </c>
      <c r="J42" s="22" t="s">
        <v>83</v>
      </c>
      <c r="K42" s="22">
        <v>1.65</v>
      </c>
      <c r="L42" s="22">
        <v>1</v>
      </c>
      <c r="M42" s="22">
        <v>1</v>
      </c>
      <c r="N42" s="22">
        <v>0.97</v>
      </c>
      <c r="O42" s="22">
        <v>4.62</v>
      </c>
      <c r="P42" s="22">
        <v>92.4</v>
      </c>
    </row>
    <row r="43" spans="1:16" x14ac:dyDescent="0.25">
      <c r="A43" s="23" t="s">
        <v>497</v>
      </c>
      <c r="B43" s="22" t="s">
        <v>377</v>
      </c>
      <c r="C43" s="22" t="s">
        <v>195</v>
      </c>
      <c r="D43" s="22">
        <v>34</v>
      </c>
      <c r="E43" s="22" t="s">
        <v>349</v>
      </c>
      <c r="F43" s="22" t="s">
        <v>76</v>
      </c>
      <c r="G43" s="22" t="s">
        <v>70</v>
      </c>
      <c r="H43" s="22" t="s">
        <v>331</v>
      </c>
      <c r="I43" s="22" t="s">
        <v>71</v>
      </c>
      <c r="J43" s="22" t="s">
        <v>350</v>
      </c>
      <c r="K43" s="22">
        <v>1.88</v>
      </c>
      <c r="L43" s="22">
        <v>1</v>
      </c>
      <c r="M43" s="22">
        <v>0.97</v>
      </c>
      <c r="N43" s="22">
        <v>1</v>
      </c>
      <c r="O43" s="22">
        <v>4.8499999999999996</v>
      </c>
      <c r="P43" s="22">
        <v>96.999999999999986</v>
      </c>
    </row>
    <row r="44" spans="1:16" x14ac:dyDescent="0.25">
      <c r="A44" s="23" t="s">
        <v>497</v>
      </c>
      <c r="B44" s="22" t="s">
        <v>378</v>
      </c>
      <c r="C44" s="22" t="s">
        <v>196</v>
      </c>
      <c r="D44" s="22">
        <v>36</v>
      </c>
      <c r="E44" s="22" t="s">
        <v>98</v>
      </c>
      <c r="F44" s="22" t="s">
        <v>76</v>
      </c>
      <c r="G44" s="22" t="s">
        <v>70</v>
      </c>
      <c r="H44" s="22" t="s">
        <v>331</v>
      </c>
      <c r="I44" s="22" t="s">
        <v>73</v>
      </c>
      <c r="J44" s="22" t="s">
        <v>345</v>
      </c>
      <c r="K44" s="22">
        <v>1.99</v>
      </c>
      <c r="L44" s="22">
        <v>1</v>
      </c>
      <c r="M44" s="22">
        <v>1</v>
      </c>
      <c r="N44" s="22">
        <v>0.91</v>
      </c>
      <c r="O44" s="22">
        <v>4.9000000000000004</v>
      </c>
      <c r="P44" s="22">
        <v>98.000000000000014</v>
      </c>
    </row>
    <row r="45" spans="1:16" x14ac:dyDescent="0.25">
      <c r="A45" s="23" t="s">
        <v>497</v>
      </c>
      <c r="B45" s="22" t="s">
        <v>379</v>
      </c>
      <c r="C45" s="22" t="s">
        <v>197</v>
      </c>
      <c r="D45" s="22">
        <v>30</v>
      </c>
      <c r="E45" s="22" t="s">
        <v>98</v>
      </c>
      <c r="F45" s="22" t="s">
        <v>76</v>
      </c>
      <c r="G45" s="22" t="s">
        <v>70</v>
      </c>
      <c r="H45" s="22" t="s">
        <v>331</v>
      </c>
      <c r="I45" s="22" t="s">
        <v>73</v>
      </c>
      <c r="J45" s="22" t="s">
        <v>345</v>
      </c>
      <c r="K45" s="22">
        <v>1.67</v>
      </c>
      <c r="L45" s="22">
        <v>1</v>
      </c>
      <c r="M45" s="22">
        <v>1</v>
      </c>
      <c r="N45" s="22">
        <v>0.86</v>
      </c>
      <c r="O45" s="22">
        <v>4.53</v>
      </c>
      <c r="P45" s="22">
        <v>90.6</v>
      </c>
    </row>
    <row r="46" spans="1:16" x14ac:dyDescent="0.25">
      <c r="A46" s="23" t="s">
        <v>497</v>
      </c>
      <c r="B46" s="22" t="s">
        <v>154</v>
      </c>
      <c r="C46" s="22" t="s">
        <v>198</v>
      </c>
      <c r="D46" s="22">
        <v>51</v>
      </c>
      <c r="E46" s="22" t="s">
        <v>380</v>
      </c>
      <c r="F46" s="22" t="s">
        <v>76</v>
      </c>
      <c r="G46" s="22" t="s">
        <v>70</v>
      </c>
      <c r="H46" s="22" t="s">
        <v>331</v>
      </c>
      <c r="I46" s="22" t="s">
        <v>71</v>
      </c>
      <c r="J46" s="22" t="s">
        <v>365</v>
      </c>
      <c r="K46" s="22">
        <v>1.82</v>
      </c>
      <c r="L46" s="22">
        <v>0.9</v>
      </c>
      <c r="M46" s="22">
        <v>1</v>
      </c>
      <c r="N46" s="22">
        <v>1</v>
      </c>
      <c r="O46" s="22">
        <v>4.72</v>
      </c>
      <c r="P46" s="22">
        <v>94.4</v>
      </c>
    </row>
    <row r="47" spans="1:16" x14ac:dyDescent="0.25">
      <c r="A47" s="23" t="s">
        <v>497</v>
      </c>
      <c r="B47" s="22" t="s">
        <v>113</v>
      </c>
      <c r="C47" s="22" t="s">
        <v>199</v>
      </c>
      <c r="D47" s="22">
        <v>32</v>
      </c>
      <c r="E47" s="22" t="s">
        <v>114</v>
      </c>
      <c r="F47" s="22" t="s">
        <v>69</v>
      </c>
      <c r="G47" s="22" t="s">
        <v>70</v>
      </c>
      <c r="H47" s="22" t="s">
        <v>331</v>
      </c>
      <c r="I47" s="22" t="s">
        <v>71</v>
      </c>
      <c r="J47" s="22" t="s">
        <v>72</v>
      </c>
      <c r="K47" s="22">
        <v>1.78</v>
      </c>
      <c r="L47" s="22">
        <v>0</v>
      </c>
      <c r="M47" s="22">
        <v>0.93</v>
      </c>
      <c r="N47" s="22">
        <v>1</v>
      </c>
      <c r="O47" s="22">
        <v>3.71</v>
      </c>
      <c r="P47" s="22">
        <v>74.2</v>
      </c>
    </row>
    <row r="48" spans="1:16" x14ac:dyDescent="0.25">
      <c r="A48" s="23" t="s">
        <v>497</v>
      </c>
      <c r="B48" s="22" t="s">
        <v>381</v>
      </c>
      <c r="C48" s="22" t="s">
        <v>200</v>
      </c>
      <c r="D48" s="22">
        <v>29</v>
      </c>
      <c r="E48" s="22" t="s">
        <v>80</v>
      </c>
      <c r="F48" s="22" t="s">
        <v>76</v>
      </c>
      <c r="G48" s="22" t="s">
        <v>70</v>
      </c>
      <c r="H48" s="22" t="s">
        <v>331</v>
      </c>
      <c r="I48" s="22" t="s">
        <v>71</v>
      </c>
      <c r="J48" s="22" t="s">
        <v>332</v>
      </c>
      <c r="K48" s="22">
        <v>1.45</v>
      </c>
      <c r="L48" s="22">
        <v>0.97</v>
      </c>
      <c r="M48" s="22">
        <v>0.94</v>
      </c>
      <c r="N48" s="22">
        <v>0.97</v>
      </c>
      <c r="O48" s="22">
        <v>4.33</v>
      </c>
      <c r="P48" s="22">
        <v>86.6</v>
      </c>
    </row>
    <row r="49" spans="1:16" x14ac:dyDescent="0.25">
      <c r="A49" s="23" t="s">
        <v>497</v>
      </c>
      <c r="B49" s="22" t="s">
        <v>311</v>
      </c>
      <c r="C49" s="22" t="s">
        <v>201</v>
      </c>
      <c r="D49" s="22">
        <v>42</v>
      </c>
      <c r="E49" s="22" t="s">
        <v>98</v>
      </c>
      <c r="F49" s="22" t="s">
        <v>69</v>
      </c>
      <c r="G49" s="22" t="s">
        <v>70</v>
      </c>
      <c r="H49" s="22" t="s">
        <v>331</v>
      </c>
      <c r="I49" s="22" t="s">
        <v>73</v>
      </c>
      <c r="J49" s="22" t="s">
        <v>345</v>
      </c>
      <c r="K49" s="22">
        <v>1.76</v>
      </c>
      <c r="L49" s="22">
        <v>1</v>
      </c>
      <c r="M49" s="22">
        <v>0.93</v>
      </c>
      <c r="N49" s="22">
        <v>0.77</v>
      </c>
      <c r="O49" s="22">
        <v>4.46</v>
      </c>
      <c r="P49" s="22">
        <v>89.2</v>
      </c>
    </row>
    <row r="50" spans="1:16" x14ac:dyDescent="0.25">
      <c r="A50" s="23" t="s">
        <v>497</v>
      </c>
      <c r="B50" s="22" t="s">
        <v>382</v>
      </c>
      <c r="C50" s="22" t="s">
        <v>202</v>
      </c>
      <c r="D50" s="22">
        <v>58</v>
      </c>
      <c r="E50" s="22" t="s">
        <v>383</v>
      </c>
      <c r="F50" s="22" t="s">
        <v>76</v>
      </c>
      <c r="G50" s="22" t="s">
        <v>70</v>
      </c>
      <c r="H50" s="22" t="s">
        <v>331</v>
      </c>
      <c r="I50" s="22" t="s">
        <v>71</v>
      </c>
      <c r="J50" s="22" t="s">
        <v>93</v>
      </c>
      <c r="K50" s="22">
        <v>1.51</v>
      </c>
      <c r="L50" s="22">
        <v>1</v>
      </c>
      <c r="M50" s="22">
        <v>0.97</v>
      </c>
      <c r="N50" s="22">
        <v>0.9</v>
      </c>
      <c r="O50" s="22">
        <v>4.38</v>
      </c>
      <c r="P50" s="22">
        <v>87.6</v>
      </c>
    </row>
    <row r="51" spans="1:16" x14ac:dyDescent="0.25">
      <c r="A51" s="23" t="s">
        <v>497</v>
      </c>
      <c r="B51" s="22" t="s">
        <v>384</v>
      </c>
      <c r="C51" s="22" t="s">
        <v>203</v>
      </c>
      <c r="D51" s="22">
        <v>36</v>
      </c>
      <c r="E51" s="22" t="s">
        <v>75</v>
      </c>
      <c r="F51" s="22" t="s">
        <v>69</v>
      </c>
      <c r="G51" s="22" t="s">
        <v>70</v>
      </c>
      <c r="H51" s="22" t="s">
        <v>331</v>
      </c>
      <c r="I51" s="22" t="s">
        <v>73</v>
      </c>
      <c r="J51" s="22" t="s">
        <v>93</v>
      </c>
      <c r="K51" s="22">
        <v>1.61</v>
      </c>
      <c r="L51" s="22">
        <v>1</v>
      </c>
      <c r="M51" s="22">
        <v>0.81</v>
      </c>
      <c r="N51" s="22">
        <v>0.97</v>
      </c>
      <c r="O51" s="22">
        <v>4.3899999999999997</v>
      </c>
      <c r="P51" s="22">
        <v>87.799999999999983</v>
      </c>
    </row>
    <row r="52" spans="1:16" x14ac:dyDescent="0.25">
      <c r="A52" s="23" t="s">
        <v>497</v>
      </c>
      <c r="B52" s="22" t="s">
        <v>385</v>
      </c>
      <c r="C52" s="22" t="s">
        <v>204</v>
      </c>
      <c r="D52" s="22">
        <v>36</v>
      </c>
      <c r="E52" s="22" t="s">
        <v>386</v>
      </c>
      <c r="F52" s="22" t="s">
        <v>76</v>
      </c>
      <c r="G52" s="22" t="s">
        <v>70</v>
      </c>
      <c r="H52" s="22" t="s">
        <v>331</v>
      </c>
      <c r="I52" s="22" t="s">
        <v>73</v>
      </c>
      <c r="J52" s="22" t="s">
        <v>93</v>
      </c>
      <c r="K52" s="22">
        <v>1.92</v>
      </c>
      <c r="L52" s="22">
        <v>1</v>
      </c>
      <c r="M52" s="22">
        <v>1</v>
      </c>
      <c r="N52" s="22">
        <v>1</v>
      </c>
      <c r="O52" s="22">
        <v>4.92</v>
      </c>
      <c r="P52" s="22">
        <v>98.4</v>
      </c>
    </row>
    <row r="53" spans="1:16" x14ac:dyDescent="0.25">
      <c r="A53" s="23" t="s">
        <v>497</v>
      </c>
      <c r="B53" s="22" t="s">
        <v>312</v>
      </c>
      <c r="C53" s="22" t="s">
        <v>205</v>
      </c>
      <c r="D53" s="22">
        <v>63</v>
      </c>
      <c r="E53" s="22" t="s">
        <v>119</v>
      </c>
      <c r="F53" s="22" t="s">
        <v>69</v>
      </c>
      <c r="G53" s="22" t="s">
        <v>70</v>
      </c>
      <c r="H53" s="22" t="s">
        <v>331</v>
      </c>
      <c r="I53" s="22" t="s">
        <v>71</v>
      </c>
      <c r="J53" s="22" t="s">
        <v>345</v>
      </c>
      <c r="K53" s="22">
        <v>1.88</v>
      </c>
      <c r="L53" s="22">
        <v>1</v>
      </c>
      <c r="M53" s="22">
        <v>0.95</v>
      </c>
      <c r="N53" s="22">
        <v>0.95</v>
      </c>
      <c r="O53" s="22">
        <v>4.78</v>
      </c>
      <c r="P53" s="22">
        <v>95.6</v>
      </c>
    </row>
    <row r="54" spans="1:16" x14ac:dyDescent="0.25">
      <c r="A54" s="23" t="s">
        <v>497</v>
      </c>
      <c r="B54" s="22" t="s">
        <v>313</v>
      </c>
      <c r="C54" s="22" t="s">
        <v>206</v>
      </c>
      <c r="D54" s="22">
        <v>33</v>
      </c>
      <c r="E54" s="22" t="s">
        <v>349</v>
      </c>
      <c r="F54" s="22" t="s">
        <v>69</v>
      </c>
      <c r="G54" s="22" t="s">
        <v>70</v>
      </c>
      <c r="H54" s="22" t="s">
        <v>331</v>
      </c>
      <c r="I54" s="22" t="s">
        <v>71</v>
      </c>
      <c r="J54" s="22" t="s">
        <v>345</v>
      </c>
      <c r="K54" s="22">
        <v>1.95</v>
      </c>
      <c r="L54" s="22">
        <v>0.96</v>
      </c>
      <c r="M54" s="22">
        <v>0.96</v>
      </c>
      <c r="N54" s="22">
        <v>1</v>
      </c>
      <c r="O54" s="22">
        <v>4.87</v>
      </c>
      <c r="P54" s="22">
        <v>97.4</v>
      </c>
    </row>
    <row r="55" spans="1:16" x14ac:dyDescent="0.25">
      <c r="A55" s="23" t="s">
        <v>497</v>
      </c>
      <c r="B55" s="22" t="s">
        <v>387</v>
      </c>
      <c r="C55" s="22" t="s">
        <v>207</v>
      </c>
      <c r="D55" s="22">
        <v>28</v>
      </c>
      <c r="E55" s="22" t="s">
        <v>80</v>
      </c>
      <c r="F55" s="22" t="s">
        <v>76</v>
      </c>
      <c r="G55" s="22" t="s">
        <v>70</v>
      </c>
      <c r="H55" s="22" t="s">
        <v>331</v>
      </c>
      <c r="I55" s="22" t="s">
        <v>71</v>
      </c>
      <c r="J55" s="22" t="s">
        <v>362</v>
      </c>
      <c r="K55" s="22">
        <v>1.91</v>
      </c>
      <c r="L55" s="22">
        <v>1</v>
      </c>
      <c r="M55" s="22">
        <v>1</v>
      </c>
      <c r="N55" s="22">
        <v>1</v>
      </c>
      <c r="O55" s="22">
        <v>4.91</v>
      </c>
      <c r="P55" s="22">
        <v>98.2</v>
      </c>
    </row>
    <row r="56" spans="1:16" x14ac:dyDescent="0.25">
      <c r="A56" s="23" t="s">
        <v>497</v>
      </c>
      <c r="B56" s="22" t="s">
        <v>388</v>
      </c>
      <c r="C56" s="22" t="s">
        <v>208</v>
      </c>
      <c r="D56" s="22">
        <v>36</v>
      </c>
      <c r="E56" s="22" t="s">
        <v>389</v>
      </c>
      <c r="F56" s="22" t="s">
        <v>69</v>
      </c>
      <c r="G56" s="22" t="s">
        <v>70</v>
      </c>
      <c r="H56" s="22" t="s">
        <v>331</v>
      </c>
      <c r="I56" s="22" t="s">
        <v>71</v>
      </c>
      <c r="J56" s="22" t="s">
        <v>345</v>
      </c>
      <c r="K56" s="22">
        <v>1.54</v>
      </c>
      <c r="L56" s="22">
        <v>0.93</v>
      </c>
      <c r="M56" s="22">
        <v>1</v>
      </c>
      <c r="N56" s="22">
        <v>0.96</v>
      </c>
      <c r="O56" s="22">
        <v>4.43</v>
      </c>
      <c r="P56" s="22">
        <v>88.6</v>
      </c>
    </row>
    <row r="57" spans="1:16" x14ac:dyDescent="0.25">
      <c r="A57" s="23" t="s">
        <v>497</v>
      </c>
      <c r="B57" s="22" t="s">
        <v>314</v>
      </c>
      <c r="C57" s="22" t="s">
        <v>209</v>
      </c>
      <c r="D57" s="22">
        <v>48</v>
      </c>
      <c r="E57" s="22" t="s">
        <v>98</v>
      </c>
      <c r="F57" s="22" t="s">
        <v>69</v>
      </c>
      <c r="G57" s="22" t="s">
        <v>70</v>
      </c>
      <c r="H57" s="22" t="s">
        <v>331</v>
      </c>
      <c r="I57" s="22" t="s">
        <v>73</v>
      </c>
      <c r="J57" s="22" t="s">
        <v>345</v>
      </c>
      <c r="K57" s="22">
        <v>1.95</v>
      </c>
      <c r="L57" s="22">
        <v>1</v>
      </c>
      <c r="M57" s="22">
        <v>0.94</v>
      </c>
      <c r="N57" s="22">
        <v>0.94</v>
      </c>
      <c r="O57" s="22">
        <v>4.83</v>
      </c>
      <c r="P57" s="22">
        <v>96.6</v>
      </c>
    </row>
    <row r="58" spans="1:16" x14ac:dyDescent="0.25">
      <c r="A58" s="23" t="s">
        <v>497</v>
      </c>
      <c r="B58" s="22" t="s">
        <v>390</v>
      </c>
      <c r="C58" s="22" t="s">
        <v>210</v>
      </c>
      <c r="D58" s="22">
        <v>47</v>
      </c>
      <c r="E58" s="22" t="s">
        <v>336</v>
      </c>
      <c r="F58" s="22" t="s">
        <v>69</v>
      </c>
      <c r="G58" s="22" t="s">
        <v>70</v>
      </c>
      <c r="H58" s="22" t="s">
        <v>331</v>
      </c>
      <c r="I58" s="22" t="s">
        <v>340</v>
      </c>
      <c r="J58" s="22" t="s">
        <v>83</v>
      </c>
      <c r="K58" s="22">
        <v>1.82</v>
      </c>
      <c r="L58" s="22">
        <v>1</v>
      </c>
      <c r="M58" s="22">
        <v>0.99</v>
      </c>
      <c r="N58" s="22">
        <v>1</v>
      </c>
      <c r="O58" s="22">
        <v>4.8099999999999996</v>
      </c>
      <c r="P58" s="22">
        <v>96.199999999999989</v>
      </c>
    </row>
    <row r="59" spans="1:16" x14ac:dyDescent="0.25">
      <c r="A59" s="23" t="s">
        <v>497</v>
      </c>
      <c r="B59" s="22" t="s">
        <v>315</v>
      </c>
      <c r="C59" s="22" t="s">
        <v>211</v>
      </c>
      <c r="D59" s="22">
        <v>39</v>
      </c>
      <c r="E59" s="22" t="s">
        <v>391</v>
      </c>
      <c r="F59" s="22" t="s">
        <v>69</v>
      </c>
      <c r="G59" s="22" t="s">
        <v>70</v>
      </c>
      <c r="H59" s="22" t="s">
        <v>331</v>
      </c>
      <c r="I59" s="22" t="s">
        <v>71</v>
      </c>
      <c r="J59" s="22" t="s">
        <v>365</v>
      </c>
      <c r="K59" s="22">
        <v>1.87</v>
      </c>
      <c r="L59" s="22">
        <v>1</v>
      </c>
      <c r="M59" s="22">
        <v>1</v>
      </c>
      <c r="N59" s="22">
        <v>0.98</v>
      </c>
      <c r="O59" s="22">
        <v>4.8499999999999996</v>
      </c>
      <c r="P59" s="22">
        <v>96.999999999999986</v>
      </c>
    </row>
    <row r="60" spans="1:16" x14ac:dyDescent="0.25">
      <c r="A60" s="23" t="s">
        <v>497</v>
      </c>
      <c r="B60" s="22" t="s">
        <v>392</v>
      </c>
      <c r="C60" s="22" t="s">
        <v>212</v>
      </c>
      <c r="D60" s="22">
        <v>35</v>
      </c>
      <c r="E60" s="22" t="s">
        <v>80</v>
      </c>
      <c r="F60" s="22" t="s">
        <v>76</v>
      </c>
      <c r="G60" s="22" t="s">
        <v>70</v>
      </c>
      <c r="H60" s="22" t="s">
        <v>331</v>
      </c>
      <c r="I60" s="22" t="s">
        <v>71</v>
      </c>
      <c r="J60" s="22" t="s">
        <v>350</v>
      </c>
      <c r="K60" s="22">
        <v>2</v>
      </c>
      <c r="L60" s="22">
        <v>0.94</v>
      </c>
      <c r="M60" s="22">
        <v>1</v>
      </c>
      <c r="N60" s="22">
        <v>0.98</v>
      </c>
      <c r="O60" s="22">
        <v>4.92</v>
      </c>
      <c r="P60" s="22">
        <v>98.4</v>
      </c>
    </row>
    <row r="61" spans="1:16" x14ac:dyDescent="0.25">
      <c r="A61" s="23" t="s">
        <v>497</v>
      </c>
      <c r="B61" s="22" t="s">
        <v>393</v>
      </c>
      <c r="C61" s="22" t="s">
        <v>213</v>
      </c>
      <c r="D61" s="22">
        <v>32</v>
      </c>
      <c r="E61" s="22" t="s">
        <v>391</v>
      </c>
      <c r="F61" s="22" t="s">
        <v>69</v>
      </c>
      <c r="G61" s="22" t="s">
        <v>70</v>
      </c>
      <c r="H61" s="22" t="s">
        <v>331</v>
      </c>
      <c r="I61" s="22" t="s">
        <v>71</v>
      </c>
      <c r="J61" s="22" t="s">
        <v>365</v>
      </c>
      <c r="K61" s="22">
        <v>1.77</v>
      </c>
      <c r="L61" s="22">
        <v>1</v>
      </c>
      <c r="M61" s="22">
        <v>1</v>
      </c>
      <c r="N61" s="22">
        <v>1</v>
      </c>
      <c r="O61" s="22">
        <v>4.7699999999999996</v>
      </c>
      <c r="P61" s="22">
        <v>95.399999999999991</v>
      </c>
    </row>
    <row r="62" spans="1:16" x14ac:dyDescent="0.25">
      <c r="A62" s="23" t="s">
        <v>497</v>
      </c>
      <c r="B62" s="22" t="s">
        <v>394</v>
      </c>
      <c r="C62" s="22" t="s">
        <v>214</v>
      </c>
      <c r="D62" s="22">
        <v>39</v>
      </c>
      <c r="E62" s="22" t="s">
        <v>98</v>
      </c>
      <c r="F62" s="22" t="s">
        <v>69</v>
      </c>
      <c r="G62" s="22" t="s">
        <v>70</v>
      </c>
      <c r="H62" s="22" t="s">
        <v>331</v>
      </c>
      <c r="I62" s="22" t="s">
        <v>73</v>
      </c>
      <c r="J62" s="22" t="s">
        <v>345</v>
      </c>
      <c r="K62" s="22">
        <v>1.93</v>
      </c>
      <c r="L62" s="22">
        <v>1</v>
      </c>
      <c r="M62" s="22">
        <v>0.97</v>
      </c>
      <c r="N62" s="22">
        <v>0.91</v>
      </c>
      <c r="O62" s="22">
        <v>4.8099999999999996</v>
      </c>
      <c r="P62" s="22">
        <v>96.199999999999989</v>
      </c>
    </row>
    <row r="63" spans="1:16" x14ac:dyDescent="0.25">
      <c r="A63" s="23" t="s">
        <v>497</v>
      </c>
      <c r="B63" s="22" t="s">
        <v>395</v>
      </c>
      <c r="C63" s="22" t="s">
        <v>215</v>
      </c>
      <c r="D63" s="22">
        <v>49</v>
      </c>
      <c r="E63" s="22" t="s">
        <v>98</v>
      </c>
      <c r="F63" s="22" t="s">
        <v>76</v>
      </c>
      <c r="G63" s="22" t="s">
        <v>70</v>
      </c>
      <c r="H63" s="22" t="s">
        <v>331</v>
      </c>
      <c r="I63" s="22" t="s">
        <v>73</v>
      </c>
      <c r="J63" s="22" t="s">
        <v>72</v>
      </c>
      <c r="K63" s="22">
        <v>1.84</v>
      </c>
      <c r="L63" s="22">
        <v>1</v>
      </c>
      <c r="M63" s="22">
        <v>1</v>
      </c>
      <c r="N63" s="22">
        <v>1</v>
      </c>
      <c r="O63" s="22">
        <v>4.84</v>
      </c>
      <c r="P63" s="22">
        <v>96.8</v>
      </c>
    </row>
    <row r="64" spans="1:16" x14ac:dyDescent="0.25">
      <c r="A64" s="23" t="s">
        <v>497</v>
      </c>
      <c r="B64" s="22" t="s">
        <v>396</v>
      </c>
      <c r="C64" s="22" t="s">
        <v>216</v>
      </c>
      <c r="D64" s="22">
        <v>46</v>
      </c>
      <c r="E64" s="22" t="s">
        <v>98</v>
      </c>
      <c r="F64" s="22" t="s">
        <v>76</v>
      </c>
      <c r="G64" s="22" t="s">
        <v>70</v>
      </c>
      <c r="H64" s="22" t="s">
        <v>331</v>
      </c>
      <c r="I64" s="22" t="s">
        <v>73</v>
      </c>
      <c r="J64" s="26" t="s">
        <v>93</v>
      </c>
      <c r="K64" s="22">
        <v>1.89</v>
      </c>
      <c r="L64" s="22">
        <v>1</v>
      </c>
      <c r="M64" s="22">
        <v>0.92</v>
      </c>
      <c r="N64" s="22">
        <v>0.97</v>
      </c>
      <c r="O64" s="22">
        <v>4.78</v>
      </c>
      <c r="P64" s="22">
        <v>95.6</v>
      </c>
    </row>
    <row r="65" spans="1:16" x14ac:dyDescent="0.25">
      <c r="A65" s="23" t="s">
        <v>497</v>
      </c>
      <c r="B65" s="22" t="s">
        <v>397</v>
      </c>
      <c r="C65" s="22" t="s">
        <v>217</v>
      </c>
      <c r="D65" s="22">
        <v>47</v>
      </c>
      <c r="E65" s="22" t="s">
        <v>84</v>
      </c>
      <c r="F65" s="22" t="s">
        <v>69</v>
      </c>
      <c r="G65" s="22" t="s">
        <v>70</v>
      </c>
      <c r="H65" s="22" t="s">
        <v>331</v>
      </c>
      <c r="I65" s="22" t="s">
        <v>71</v>
      </c>
      <c r="J65" s="22" t="s">
        <v>398</v>
      </c>
      <c r="K65" s="22">
        <v>1.6</v>
      </c>
      <c r="L65" s="22">
        <v>0.88</v>
      </c>
      <c r="M65" s="22">
        <v>0.92</v>
      </c>
      <c r="N65" s="22">
        <v>1</v>
      </c>
      <c r="O65" s="22">
        <v>4.4000000000000004</v>
      </c>
      <c r="P65" s="22">
        <v>88.000000000000014</v>
      </c>
    </row>
    <row r="66" spans="1:16" x14ac:dyDescent="0.25">
      <c r="A66" s="23" t="s">
        <v>497</v>
      </c>
      <c r="B66" s="22" t="s">
        <v>316</v>
      </c>
      <c r="C66" s="22" t="s">
        <v>218</v>
      </c>
      <c r="D66" s="22">
        <v>31</v>
      </c>
      <c r="E66" s="22" t="s">
        <v>98</v>
      </c>
      <c r="F66" s="22" t="s">
        <v>69</v>
      </c>
      <c r="G66" s="22" t="s">
        <v>70</v>
      </c>
      <c r="H66" s="22" t="s">
        <v>331</v>
      </c>
      <c r="I66" s="22" t="s">
        <v>73</v>
      </c>
      <c r="J66" s="22" t="s">
        <v>368</v>
      </c>
      <c r="K66" s="22">
        <v>1.89</v>
      </c>
      <c r="L66" s="22">
        <v>1</v>
      </c>
      <c r="M66" s="22">
        <v>0.98</v>
      </c>
      <c r="N66" s="22">
        <v>1</v>
      </c>
      <c r="O66" s="22">
        <v>4.87</v>
      </c>
      <c r="P66" s="22">
        <v>97.4</v>
      </c>
    </row>
    <row r="67" spans="1:16" x14ac:dyDescent="0.25">
      <c r="A67" s="23" t="s">
        <v>497</v>
      </c>
      <c r="B67" s="22" t="s">
        <v>399</v>
      </c>
      <c r="C67" s="22" t="s">
        <v>219</v>
      </c>
      <c r="D67" s="22">
        <v>56</v>
      </c>
      <c r="E67" s="22" t="s">
        <v>400</v>
      </c>
      <c r="F67" s="22" t="s">
        <v>76</v>
      </c>
      <c r="G67" s="22" t="s">
        <v>70</v>
      </c>
      <c r="H67" s="22" t="s">
        <v>331</v>
      </c>
      <c r="I67" s="22" t="s">
        <v>340</v>
      </c>
      <c r="J67" s="22" t="s">
        <v>401</v>
      </c>
      <c r="K67" s="22">
        <v>1.92</v>
      </c>
      <c r="L67" s="22">
        <v>1</v>
      </c>
      <c r="M67" s="22">
        <v>0.99</v>
      </c>
      <c r="N67" s="22">
        <v>0.98</v>
      </c>
      <c r="O67" s="22">
        <v>4.8899999999999997</v>
      </c>
      <c r="P67" s="22">
        <v>97.799999999999983</v>
      </c>
    </row>
    <row r="68" spans="1:16" x14ac:dyDescent="0.25">
      <c r="A68" s="23" t="s">
        <v>497</v>
      </c>
      <c r="B68" s="22" t="s">
        <v>402</v>
      </c>
      <c r="C68" s="22" t="s">
        <v>220</v>
      </c>
      <c r="D68" s="22">
        <v>42</v>
      </c>
      <c r="E68" s="22" t="s">
        <v>98</v>
      </c>
      <c r="F68" s="22" t="s">
        <v>76</v>
      </c>
      <c r="G68" s="22" t="s">
        <v>70</v>
      </c>
      <c r="H68" s="22" t="s">
        <v>331</v>
      </c>
      <c r="I68" s="22" t="s">
        <v>73</v>
      </c>
      <c r="J68" s="22" t="s">
        <v>93</v>
      </c>
      <c r="K68" s="22">
        <v>1.96</v>
      </c>
      <c r="L68" s="22">
        <v>1</v>
      </c>
      <c r="M68" s="22">
        <v>0.92</v>
      </c>
      <c r="N68" s="22">
        <v>0.96</v>
      </c>
      <c r="O68" s="22">
        <v>4.84</v>
      </c>
      <c r="P68" s="22">
        <v>96.8</v>
      </c>
    </row>
    <row r="69" spans="1:16" x14ac:dyDescent="0.25">
      <c r="A69" s="23" t="s">
        <v>497</v>
      </c>
      <c r="B69" s="22" t="s">
        <v>403</v>
      </c>
      <c r="C69" s="22" t="s">
        <v>221</v>
      </c>
      <c r="D69" s="22">
        <v>25</v>
      </c>
      <c r="E69" s="22" t="s">
        <v>389</v>
      </c>
      <c r="F69" s="22" t="s">
        <v>76</v>
      </c>
      <c r="G69" s="22" t="s">
        <v>70</v>
      </c>
      <c r="H69" s="22" t="s">
        <v>331</v>
      </c>
      <c r="I69" s="22" t="s">
        <v>71</v>
      </c>
      <c r="J69" s="22" t="s">
        <v>356</v>
      </c>
      <c r="K69" s="22">
        <v>1.93</v>
      </c>
      <c r="L69" s="22">
        <v>0.99</v>
      </c>
      <c r="M69" s="22">
        <v>1</v>
      </c>
      <c r="N69" s="22">
        <v>0.99</v>
      </c>
      <c r="O69" s="22">
        <v>4.91</v>
      </c>
      <c r="P69" s="22">
        <v>98.2</v>
      </c>
    </row>
    <row r="70" spans="1:16" x14ac:dyDescent="0.25">
      <c r="A70" s="23" t="s">
        <v>497</v>
      </c>
      <c r="B70" s="22" t="s">
        <v>404</v>
      </c>
      <c r="C70" s="22" t="s">
        <v>222</v>
      </c>
      <c r="D70" s="22">
        <v>39</v>
      </c>
      <c r="E70" s="22" t="s">
        <v>75</v>
      </c>
      <c r="F70" s="22" t="s">
        <v>76</v>
      </c>
      <c r="G70" s="22" t="s">
        <v>70</v>
      </c>
      <c r="H70" s="22" t="s">
        <v>331</v>
      </c>
      <c r="I70" s="22" t="s">
        <v>73</v>
      </c>
      <c r="J70" s="22" t="s">
        <v>398</v>
      </c>
      <c r="K70" s="22">
        <v>1.34</v>
      </c>
      <c r="L70" s="22">
        <v>1</v>
      </c>
      <c r="M70" s="22">
        <v>0.97</v>
      </c>
      <c r="N70" s="22">
        <v>0.96</v>
      </c>
      <c r="O70" s="22">
        <v>4.2699999999999996</v>
      </c>
      <c r="P70" s="22">
        <v>85.399999999999991</v>
      </c>
    </row>
    <row r="71" spans="1:16" x14ac:dyDescent="0.25">
      <c r="A71" s="23" t="s">
        <v>497</v>
      </c>
      <c r="B71" s="22" t="s">
        <v>405</v>
      </c>
      <c r="C71" s="22" t="s">
        <v>223</v>
      </c>
      <c r="D71" s="22">
        <v>60</v>
      </c>
      <c r="E71" s="22" t="s">
        <v>347</v>
      </c>
      <c r="F71" s="22" t="s">
        <v>76</v>
      </c>
      <c r="G71" s="22" t="s">
        <v>70</v>
      </c>
      <c r="H71" s="22" t="s">
        <v>331</v>
      </c>
      <c r="I71" s="22" t="s">
        <v>71</v>
      </c>
      <c r="J71" s="22" t="s">
        <v>93</v>
      </c>
      <c r="K71" s="22">
        <v>1.78</v>
      </c>
      <c r="L71" s="22">
        <v>0.99</v>
      </c>
      <c r="M71" s="22">
        <v>0.94</v>
      </c>
      <c r="N71" s="22">
        <v>1</v>
      </c>
      <c r="O71" s="22">
        <v>4.71</v>
      </c>
      <c r="P71" s="22">
        <v>94.2</v>
      </c>
    </row>
    <row r="72" spans="1:16" x14ac:dyDescent="0.25">
      <c r="A72" s="23" t="s">
        <v>497</v>
      </c>
      <c r="B72" s="22" t="s">
        <v>406</v>
      </c>
      <c r="C72" s="22" t="s">
        <v>224</v>
      </c>
      <c r="D72" s="22">
        <v>34</v>
      </c>
      <c r="E72" s="22" t="s">
        <v>98</v>
      </c>
      <c r="F72" s="22" t="s">
        <v>76</v>
      </c>
      <c r="G72" s="22" t="s">
        <v>70</v>
      </c>
      <c r="H72" s="22" t="s">
        <v>331</v>
      </c>
      <c r="I72" s="22" t="s">
        <v>73</v>
      </c>
      <c r="J72" s="22" t="s">
        <v>345</v>
      </c>
      <c r="K72" s="22">
        <v>1.82</v>
      </c>
      <c r="L72" s="22">
        <v>1</v>
      </c>
      <c r="M72" s="22">
        <v>1</v>
      </c>
      <c r="N72" s="22">
        <v>0.75</v>
      </c>
      <c r="O72" s="22">
        <v>4.57</v>
      </c>
      <c r="P72" s="22">
        <v>91.4</v>
      </c>
    </row>
    <row r="73" spans="1:16" x14ac:dyDescent="0.25">
      <c r="A73" s="23" t="s">
        <v>497</v>
      </c>
      <c r="B73" s="22" t="s">
        <v>407</v>
      </c>
      <c r="C73" s="22" t="s">
        <v>225</v>
      </c>
      <c r="D73" s="22">
        <v>44</v>
      </c>
      <c r="E73" s="22" t="s">
        <v>408</v>
      </c>
      <c r="F73" s="22" t="s">
        <v>76</v>
      </c>
      <c r="G73" s="22" t="s">
        <v>70</v>
      </c>
      <c r="H73" s="22" t="s">
        <v>331</v>
      </c>
      <c r="I73" s="22" t="s">
        <v>71</v>
      </c>
      <c r="J73" s="22" t="s">
        <v>398</v>
      </c>
      <c r="K73" s="22">
        <v>1.9</v>
      </c>
      <c r="L73" s="22">
        <v>0.99</v>
      </c>
      <c r="M73" s="22">
        <v>0.99</v>
      </c>
      <c r="N73" s="22">
        <v>1</v>
      </c>
      <c r="O73" s="22">
        <v>4.88</v>
      </c>
      <c r="P73" s="22">
        <v>97.6</v>
      </c>
    </row>
    <row r="74" spans="1:16" x14ac:dyDescent="0.25">
      <c r="A74" s="23" t="s">
        <v>497</v>
      </c>
      <c r="B74" s="22" t="s">
        <v>409</v>
      </c>
      <c r="C74" s="22" t="s">
        <v>226</v>
      </c>
      <c r="D74" s="22">
        <v>43</v>
      </c>
      <c r="E74" s="22" t="s">
        <v>370</v>
      </c>
      <c r="F74" s="22" t="s">
        <v>76</v>
      </c>
      <c r="G74" s="22" t="s">
        <v>70</v>
      </c>
      <c r="H74" s="22" t="s">
        <v>331</v>
      </c>
      <c r="I74" s="22" t="s">
        <v>71</v>
      </c>
      <c r="J74" s="22" t="s">
        <v>72</v>
      </c>
      <c r="K74" s="22">
        <v>1.81</v>
      </c>
      <c r="L74" s="22">
        <v>1</v>
      </c>
      <c r="M74" s="22">
        <v>1</v>
      </c>
      <c r="N74" s="22">
        <v>1</v>
      </c>
      <c r="O74" s="22">
        <v>4.8099999999999996</v>
      </c>
      <c r="P74" s="22">
        <v>96.199999999999989</v>
      </c>
    </row>
    <row r="75" spans="1:16" x14ac:dyDescent="0.25">
      <c r="A75" s="23" t="s">
        <v>497</v>
      </c>
      <c r="B75" s="22" t="s">
        <v>410</v>
      </c>
      <c r="C75" s="22" t="s">
        <v>227</v>
      </c>
      <c r="D75" s="22">
        <v>46</v>
      </c>
      <c r="E75" s="22" t="s">
        <v>376</v>
      </c>
      <c r="F75" s="22" t="s">
        <v>76</v>
      </c>
      <c r="G75" s="22" t="s">
        <v>70</v>
      </c>
      <c r="H75" s="22" t="s">
        <v>331</v>
      </c>
      <c r="I75" s="22" t="s">
        <v>71</v>
      </c>
      <c r="J75" s="22" t="s">
        <v>353</v>
      </c>
      <c r="K75" s="22">
        <v>1.93</v>
      </c>
      <c r="L75" s="22">
        <v>1</v>
      </c>
      <c r="M75" s="22">
        <v>0.98</v>
      </c>
      <c r="N75" s="22">
        <v>1</v>
      </c>
      <c r="O75" s="22">
        <v>4.91</v>
      </c>
      <c r="P75" s="22">
        <v>98.2</v>
      </c>
    </row>
    <row r="76" spans="1:16" x14ac:dyDescent="0.25">
      <c r="A76" s="23" t="s">
        <v>497</v>
      </c>
      <c r="B76" s="22" t="s">
        <v>411</v>
      </c>
      <c r="C76" s="22" t="s">
        <v>228</v>
      </c>
      <c r="D76" s="22">
        <v>49</v>
      </c>
      <c r="E76" s="22" t="s">
        <v>98</v>
      </c>
      <c r="F76" s="22" t="s">
        <v>76</v>
      </c>
      <c r="G76" s="22" t="s">
        <v>70</v>
      </c>
      <c r="H76" s="22" t="s">
        <v>331</v>
      </c>
      <c r="I76" s="22" t="s">
        <v>73</v>
      </c>
      <c r="J76" s="22" t="s">
        <v>72</v>
      </c>
      <c r="K76" s="22">
        <v>1.84</v>
      </c>
      <c r="L76" s="22">
        <v>1</v>
      </c>
      <c r="M76" s="22">
        <v>1</v>
      </c>
      <c r="N76" s="22">
        <v>1</v>
      </c>
      <c r="O76" s="22">
        <v>4.84</v>
      </c>
      <c r="P76" s="22">
        <v>96.8</v>
      </c>
    </row>
    <row r="77" spans="1:16" x14ac:dyDescent="0.25">
      <c r="A77" s="23" t="s">
        <v>497</v>
      </c>
      <c r="B77" s="22" t="s">
        <v>412</v>
      </c>
      <c r="C77" s="22" t="s">
        <v>229</v>
      </c>
      <c r="D77" s="22">
        <v>51</v>
      </c>
      <c r="E77" s="22" t="s">
        <v>347</v>
      </c>
      <c r="F77" s="22" t="s">
        <v>76</v>
      </c>
      <c r="G77" s="22" t="s">
        <v>70</v>
      </c>
      <c r="H77" s="22" t="s">
        <v>331</v>
      </c>
      <c r="I77" s="22" t="s">
        <v>71</v>
      </c>
      <c r="J77" s="22" t="s">
        <v>362</v>
      </c>
      <c r="K77" s="22">
        <v>1.87</v>
      </c>
      <c r="L77" s="22">
        <v>1</v>
      </c>
      <c r="M77" s="22">
        <v>0.97</v>
      </c>
      <c r="N77" s="22">
        <v>0.96</v>
      </c>
      <c r="O77" s="22">
        <v>4.8</v>
      </c>
      <c r="P77" s="22">
        <v>96</v>
      </c>
    </row>
    <row r="78" spans="1:16" x14ac:dyDescent="0.25">
      <c r="A78" s="23" t="s">
        <v>497</v>
      </c>
      <c r="B78" s="22" t="s">
        <v>317</v>
      </c>
      <c r="C78" s="22" t="s">
        <v>230</v>
      </c>
      <c r="D78" s="22">
        <v>52</v>
      </c>
      <c r="E78" s="22" t="s">
        <v>98</v>
      </c>
      <c r="F78" s="22" t="s">
        <v>76</v>
      </c>
      <c r="G78" s="22" t="s">
        <v>70</v>
      </c>
      <c r="H78" s="22" t="s">
        <v>331</v>
      </c>
      <c r="I78" s="22" t="s">
        <v>73</v>
      </c>
      <c r="J78" s="22" t="s">
        <v>345</v>
      </c>
      <c r="K78" s="22">
        <v>1.87</v>
      </c>
      <c r="L78" s="22">
        <v>1</v>
      </c>
      <c r="M78" s="22">
        <v>1</v>
      </c>
      <c r="N78" s="22">
        <v>0.9</v>
      </c>
      <c r="O78" s="22">
        <v>4.7699999999999996</v>
      </c>
      <c r="P78" s="22">
        <v>95.399999999999991</v>
      </c>
    </row>
    <row r="79" spans="1:16" x14ac:dyDescent="0.25">
      <c r="A79" s="23" t="s">
        <v>497</v>
      </c>
      <c r="B79" s="22" t="s">
        <v>318</v>
      </c>
      <c r="C79" s="22" t="s">
        <v>231</v>
      </c>
      <c r="D79" s="22">
        <v>27</v>
      </c>
      <c r="E79" s="22" t="s">
        <v>75</v>
      </c>
      <c r="F79" s="22" t="s">
        <v>76</v>
      </c>
      <c r="G79" s="22" t="s">
        <v>70</v>
      </c>
      <c r="H79" s="22" t="s">
        <v>331</v>
      </c>
      <c r="I79" s="22" t="s">
        <v>73</v>
      </c>
      <c r="J79" s="22" t="s">
        <v>104</v>
      </c>
      <c r="K79" s="22">
        <v>1.9</v>
      </c>
      <c r="L79" s="22">
        <v>1</v>
      </c>
      <c r="M79" s="22">
        <v>1</v>
      </c>
      <c r="N79" s="22">
        <v>1</v>
      </c>
      <c r="O79" s="22">
        <v>4.9000000000000004</v>
      </c>
      <c r="P79" s="22">
        <v>98.000000000000014</v>
      </c>
    </row>
    <row r="80" spans="1:16" x14ac:dyDescent="0.25">
      <c r="A80" s="23" t="s">
        <v>497</v>
      </c>
      <c r="B80" s="22" t="s">
        <v>413</v>
      </c>
      <c r="C80" s="22" t="s">
        <v>232</v>
      </c>
      <c r="D80" s="22">
        <v>42</v>
      </c>
      <c r="E80" s="22" t="s">
        <v>380</v>
      </c>
      <c r="F80" s="22" t="s">
        <v>69</v>
      </c>
      <c r="G80" s="22" t="s">
        <v>70</v>
      </c>
      <c r="H80" s="22" t="s">
        <v>331</v>
      </c>
      <c r="I80" s="22" t="s">
        <v>71</v>
      </c>
      <c r="J80" s="22" t="s">
        <v>350</v>
      </c>
      <c r="K80" s="22">
        <v>1.87</v>
      </c>
      <c r="L80" s="22">
        <v>0.99</v>
      </c>
      <c r="M80" s="22">
        <v>1</v>
      </c>
      <c r="N80" s="22">
        <v>1</v>
      </c>
      <c r="O80" s="22">
        <v>4.8600000000000003</v>
      </c>
      <c r="P80" s="22">
        <v>97.200000000000017</v>
      </c>
    </row>
    <row r="81" spans="1:16" x14ac:dyDescent="0.25">
      <c r="A81" s="23" t="s">
        <v>497</v>
      </c>
      <c r="B81" s="22" t="s">
        <v>92</v>
      </c>
      <c r="C81" s="22" t="s">
        <v>233</v>
      </c>
      <c r="D81" s="22">
        <v>42</v>
      </c>
      <c r="E81" s="22" t="s">
        <v>98</v>
      </c>
      <c r="F81" s="22" t="s">
        <v>76</v>
      </c>
      <c r="G81" s="22" t="s">
        <v>70</v>
      </c>
      <c r="H81" s="22" t="s">
        <v>331</v>
      </c>
      <c r="I81" s="22" t="s">
        <v>73</v>
      </c>
      <c r="J81" s="22" t="s">
        <v>93</v>
      </c>
      <c r="K81" s="22">
        <v>1.92</v>
      </c>
      <c r="L81" s="22">
        <v>0</v>
      </c>
      <c r="M81" s="22">
        <v>0.9</v>
      </c>
      <c r="N81" s="22">
        <v>1</v>
      </c>
      <c r="O81" s="22">
        <v>3.82</v>
      </c>
      <c r="P81" s="22">
        <v>76.400000000000006</v>
      </c>
    </row>
    <row r="82" spans="1:16" x14ac:dyDescent="0.25">
      <c r="A82" s="23" t="s">
        <v>497</v>
      </c>
      <c r="B82" s="22" t="s">
        <v>414</v>
      </c>
      <c r="C82" s="22" t="s">
        <v>234</v>
      </c>
      <c r="D82" s="22">
        <v>49</v>
      </c>
      <c r="E82" s="22" t="s">
        <v>80</v>
      </c>
      <c r="F82" s="22" t="s">
        <v>69</v>
      </c>
      <c r="G82" s="22" t="s">
        <v>70</v>
      </c>
      <c r="H82" s="22" t="s">
        <v>331</v>
      </c>
      <c r="I82" s="22" t="s">
        <v>71</v>
      </c>
      <c r="J82" s="22" t="s">
        <v>83</v>
      </c>
      <c r="K82" s="22">
        <v>1.76</v>
      </c>
      <c r="L82" s="22">
        <v>1</v>
      </c>
      <c r="M82" s="22">
        <v>1</v>
      </c>
      <c r="N82" s="22">
        <v>1</v>
      </c>
      <c r="O82" s="22">
        <v>4.76</v>
      </c>
      <c r="P82" s="22">
        <v>95.2</v>
      </c>
    </row>
    <row r="83" spans="1:16" x14ac:dyDescent="0.25">
      <c r="A83" s="23" t="s">
        <v>497</v>
      </c>
      <c r="B83" s="22" t="s">
        <v>415</v>
      </c>
      <c r="C83" s="22" t="s">
        <v>235</v>
      </c>
      <c r="D83" s="22">
        <v>44</v>
      </c>
      <c r="E83" s="22" t="s">
        <v>75</v>
      </c>
      <c r="F83" s="22" t="s">
        <v>69</v>
      </c>
      <c r="G83" s="22" t="s">
        <v>70</v>
      </c>
      <c r="H83" s="22" t="s">
        <v>331</v>
      </c>
      <c r="I83" s="22" t="s">
        <v>73</v>
      </c>
      <c r="J83" s="22" t="s">
        <v>93</v>
      </c>
      <c r="K83" s="22">
        <v>1.92</v>
      </c>
      <c r="L83" s="22">
        <v>1</v>
      </c>
      <c r="M83" s="22">
        <v>0.94</v>
      </c>
      <c r="N83" s="22">
        <v>1</v>
      </c>
      <c r="O83" s="22">
        <v>4.8600000000000003</v>
      </c>
      <c r="P83" s="22">
        <v>97.200000000000017</v>
      </c>
    </row>
    <row r="84" spans="1:16" x14ac:dyDescent="0.25">
      <c r="A84" s="23" t="s">
        <v>497</v>
      </c>
      <c r="B84" s="22" t="s">
        <v>416</v>
      </c>
      <c r="C84" s="22" t="s">
        <v>236</v>
      </c>
      <c r="D84" s="22">
        <v>62</v>
      </c>
      <c r="E84" s="22" t="s">
        <v>400</v>
      </c>
      <c r="F84" s="22" t="s">
        <v>76</v>
      </c>
      <c r="G84" s="22" t="s">
        <v>70</v>
      </c>
      <c r="H84" s="22" t="s">
        <v>331</v>
      </c>
      <c r="I84" s="22" t="s">
        <v>340</v>
      </c>
      <c r="J84" s="22" t="s">
        <v>368</v>
      </c>
      <c r="K84" s="22">
        <v>1.78</v>
      </c>
      <c r="L84" s="22">
        <v>1</v>
      </c>
      <c r="M84" s="22">
        <v>1</v>
      </c>
      <c r="N84" s="22">
        <v>0.97</v>
      </c>
      <c r="O84" s="22">
        <v>4.75</v>
      </c>
      <c r="P84" s="22">
        <v>95</v>
      </c>
    </row>
    <row r="85" spans="1:16" x14ac:dyDescent="0.25">
      <c r="A85" s="23" t="s">
        <v>497</v>
      </c>
      <c r="B85" s="22" t="s">
        <v>417</v>
      </c>
      <c r="C85" s="22" t="s">
        <v>237</v>
      </c>
      <c r="D85" s="22">
        <v>42</v>
      </c>
      <c r="E85" s="22" t="s">
        <v>98</v>
      </c>
      <c r="F85" s="22" t="s">
        <v>69</v>
      </c>
      <c r="G85" s="22" t="s">
        <v>70</v>
      </c>
      <c r="H85" s="22" t="s">
        <v>331</v>
      </c>
      <c r="I85" s="22" t="s">
        <v>71</v>
      </c>
      <c r="J85" s="22" t="s">
        <v>83</v>
      </c>
      <c r="K85" s="22">
        <v>1.82</v>
      </c>
      <c r="L85" s="22">
        <v>1</v>
      </c>
      <c r="M85" s="22">
        <v>1</v>
      </c>
      <c r="N85" s="22">
        <v>1</v>
      </c>
      <c r="O85" s="22">
        <v>4.82</v>
      </c>
      <c r="P85" s="22">
        <v>96.4</v>
      </c>
    </row>
    <row r="86" spans="1:16" x14ac:dyDescent="0.25">
      <c r="A86" s="23" t="s">
        <v>497</v>
      </c>
      <c r="B86" s="22" t="s">
        <v>418</v>
      </c>
      <c r="C86" s="22" t="s">
        <v>238</v>
      </c>
      <c r="D86" s="22">
        <v>31</v>
      </c>
      <c r="E86" s="22" t="s">
        <v>380</v>
      </c>
      <c r="F86" s="22" t="s">
        <v>69</v>
      </c>
      <c r="G86" s="22" t="s">
        <v>70</v>
      </c>
      <c r="H86" s="22" t="s">
        <v>331</v>
      </c>
      <c r="I86" s="22" t="s">
        <v>71</v>
      </c>
      <c r="J86" s="22" t="s">
        <v>332</v>
      </c>
      <c r="K86" s="22">
        <v>1.99</v>
      </c>
      <c r="L86" s="22">
        <v>0.98</v>
      </c>
      <c r="M86" s="22">
        <v>1</v>
      </c>
      <c r="N86" s="22">
        <v>1</v>
      </c>
      <c r="O86" s="22">
        <v>4.97</v>
      </c>
      <c r="P86" s="22">
        <v>99.4</v>
      </c>
    </row>
    <row r="87" spans="1:16" x14ac:dyDescent="0.25">
      <c r="A87" s="23" t="s">
        <v>497</v>
      </c>
      <c r="B87" s="22" t="s">
        <v>419</v>
      </c>
      <c r="C87" s="22" t="s">
        <v>239</v>
      </c>
      <c r="D87" s="22">
        <v>29</v>
      </c>
      <c r="E87" s="22" t="s">
        <v>420</v>
      </c>
      <c r="F87" s="22" t="s">
        <v>76</v>
      </c>
      <c r="G87" s="22" t="s">
        <v>70</v>
      </c>
      <c r="H87" s="22" t="s">
        <v>331</v>
      </c>
      <c r="I87" s="22" t="s">
        <v>71</v>
      </c>
      <c r="J87" s="22" t="s">
        <v>104</v>
      </c>
      <c r="K87" s="22">
        <v>1.79</v>
      </c>
      <c r="L87" s="22">
        <v>0.99</v>
      </c>
      <c r="M87" s="22">
        <v>1</v>
      </c>
      <c r="N87" s="22">
        <v>1</v>
      </c>
      <c r="O87" s="22">
        <v>4.78</v>
      </c>
      <c r="P87" s="22">
        <v>95.6</v>
      </c>
    </row>
    <row r="88" spans="1:16" x14ac:dyDescent="0.25">
      <c r="A88" s="23" t="s">
        <v>497</v>
      </c>
      <c r="B88" s="22" t="s">
        <v>421</v>
      </c>
      <c r="C88" s="22" t="s">
        <v>240</v>
      </c>
      <c r="D88" s="22">
        <v>37</v>
      </c>
      <c r="E88" s="22" t="s">
        <v>422</v>
      </c>
      <c r="F88" s="22" t="s">
        <v>69</v>
      </c>
      <c r="G88" s="22" t="s">
        <v>70</v>
      </c>
      <c r="H88" s="22" t="s">
        <v>423</v>
      </c>
      <c r="I88" s="22" t="s">
        <v>73</v>
      </c>
      <c r="J88" s="22" t="s">
        <v>93</v>
      </c>
      <c r="K88" s="22">
        <v>1.89</v>
      </c>
      <c r="L88" s="22">
        <v>0.99</v>
      </c>
      <c r="M88" s="22">
        <v>0.94</v>
      </c>
      <c r="N88" s="22">
        <v>1</v>
      </c>
      <c r="O88" s="22">
        <v>4.82</v>
      </c>
      <c r="P88" s="22">
        <v>96.4</v>
      </c>
    </row>
    <row r="89" spans="1:16" x14ac:dyDescent="0.25">
      <c r="A89" s="23" t="s">
        <v>497</v>
      </c>
      <c r="B89" s="22" t="s">
        <v>424</v>
      </c>
      <c r="C89" s="22" t="s">
        <v>241</v>
      </c>
      <c r="D89" s="22">
        <v>32</v>
      </c>
      <c r="E89" s="22" t="s">
        <v>386</v>
      </c>
      <c r="F89" s="22" t="s">
        <v>76</v>
      </c>
      <c r="G89" s="22" t="s">
        <v>70</v>
      </c>
      <c r="H89" s="22" t="s">
        <v>331</v>
      </c>
      <c r="I89" s="22" t="s">
        <v>71</v>
      </c>
      <c r="J89" s="22" t="s">
        <v>93</v>
      </c>
      <c r="K89" s="22">
        <v>1.9</v>
      </c>
      <c r="L89" s="22">
        <v>1</v>
      </c>
      <c r="M89" s="22">
        <v>1</v>
      </c>
      <c r="N89" s="22">
        <v>0.94</v>
      </c>
      <c r="O89" s="22">
        <v>4.84</v>
      </c>
      <c r="P89" s="22">
        <v>96.8</v>
      </c>
    </row>
    <row r="90" spans="1:16" x14ac:dyDescent="0.25">
      <c r="A90" s="23" t="s">
        <v>497</v>
      </c>
      <c r="B90" s="22" t="s">
        <v>425</v>
      </c>
      <c r="C90" s="22" t="s">
        <v>242</v>
      </c>
      <c r="D90" s="22">
        <v>56</v>
      </c>
      <c r="E90" s="22" t="s">
        <v>400</v>
      </c>
      <c r="F90" s="22" t="s">
        <v>76</v>
      </c>
      <c r="G90" s="22" t="s">
        <v>70</v>
      </c>
      <c r="H90" s="22" t="s">
        <v>361</v>
      </c>
      <c r="I90" s="22" t="s">
        <v>71</v>
      </c>
      <c r="J90" s="22" t="s">
        <v>93</v>
      </c>
      <c r="K90" s="22">
        <v>1.9</v>
      </c>
      <c r="L90" s="22">
        <v>1</v>
      </c>
      <c r="M90" s="22">
        <v>0.99</v>
      </c>
      <c r="N90" s="22">
        <v>1</v>
      </c>
      <c r="O90" s="22">
        <v>4.8899999999999997</v>
      </c>
      <c r="P90" s="22">
        <v>97.799999999999983</v>
      </c>
    </row>
    <row r="91" spans="1:16" x14ac:dyDescent="0.25">
      <c r="A91" s="23" t="s">
        <v>497</v>
      </c>
      <c r="B91" s="22" t="s">
        <v>426</v>
      </c>
      <c r="C91" s="22" t="s">
        <v>243</v>
      </c>
      <c r="D91" s="22">
        <v>58</v>
      </c>
      <c r="E91" s="22" t="s">
        <v>427</v>
      </c>
      <c r="F91" s="22" t="s">
        <v>76</v>
      </c>
      <c r="G91" s="22" t="s">
        <v>70</v>
      </c>
      <c r="H91" s="22" t="s">
        <v>331</v>
      </c>
      <c r="I91" s="22" t="s">
        <v>71</v>
      </c>
      <c r="J91" s="22" t="s">
        <v>93</v>
      </c>
      <c r="K91" s="22">
        <v>1.86</v>
      </c>
      <c r="L91" s="22">
        <v>1</v>
      </c>
      <c r="M91" s="22">
        <v>0.97</v>
      </c>
      <c r="N91" s="22">
        <v>0.98</v>
      </c>
      <c r="O91" s="22">
        <v>4.8099999999999996</v>
      </c>
      <c r="P91" s="22">
        <v>96.199999999999989</v>
      </c>
    </row>
    <row r="92" spans="1:16" x14ac:dyDescent="0.25">
      <c r="A92" s="23" t="s">
        <v>497</v>
      </c>
      <c r="B92" s="22" t="s">
        <v>428</v>
      </c>
      <c r="C92" s="22" t="s">
        <v>244</v>
      </c>
      <c r="D92" s="22">
        <v>36</v>
      </c>
      <c r="E92" s="22" t="s">
        <v>98</v>
      </c>
      <c r="F92" s="22" t="s">
        <v>76</v>
      </c>
      <c r="G92" s="22" t="s">
        <v>70</v>
      </c>
      <c r="H92" s="22" t="s">
        <v>331</v>
      </c>
      <c r="I92" s="22" t="s">
        <v>73</v>
      </c>
      <c r="J92" s="22" t="s">
        <v>93</v>
      </c>
      <c r="K92" s="22">
        <v>1.9</v>
      </c>
      <c r="L92" s="22">
        <v>0.98</v>
      </c>
      <c r="M92" s="22">
        <v>0.92</v>
      </c>
      <c r="N92" s="22">
        <v>1</v>
      </c>
      <c r="O92" s="22">
        <v>4.8</v>
      </c>
      <c r="P92" s="22">
        <v>96</v>
      </c>
    </row>
    <row r="93" spans="1:16" x14ac:dyDescent="0.25">
      <c r="A93" s="23" t="s">
        <v>497</v>
      </c>
      <c r="B93" s="22" t="s">
        <v>429</v>
      </c>
      <c r="C93" s="22" t="s">
        <v>245</v>
      </c>
      <c r="D93" s="22">
        <v>41</v>
      </c>
      <c r="E93" s="22" t="s">
        <v>79</v>
      </c>
      <c r="F93" s="22" t="s">
        <v>69</v>
      </c>
      <c r="G93" s="22" t="s">
        <v>70</v>
      </c>
      <c r="H93" s="22" t="s">
        <v>331</v>
      </c>
      <c r="I93" s="22" t="s">
        <v>71</v>
      </c>
      <c r="J93" s="22" t="s">
        <v>72</v>
      </c>
      <c r="K93" s="22">
        <v>1.81</v>
      </c>
      <c r="L93" s="22">
        <v>1</v>
      </c>
      <c r="M93" s="22">
        <v>0.99</v>
      </c>
      <c r="N93" s="22">
        <v>1</v>
      </c>
      <c r="O93" s="22">
        <v>4.8</v>
      </c>
      <c r="P93" s="22">
        <v>96</v>
      </c>
    </row>
    <row r="94" spans="1:16" x14ac:dyDescent="0.25">
      <c r="A94" s="23" t="s">
        <v>497</v>
      </c>
      <c r="B94" s="22" t="s">
        <v>430</v>
      </c>
      <c r="C94" s="22" t="s">
        <v>246</v>
      </c>
      <c r="D94" s="22">
        <v>52</v>
      </c>
      <c r="E94" s="22" t="s">
        <v>79</v>
      </c>
      <c r="F94" s="22" t="s">
        <v>76</v>
      </c>
      <c r="G94" s="22" t="s">
        <v>70</v>
      </c>
      <c r="H94" s="22" t="s">
        <v>331</v>
      </c>
      <c r="I94" s="22" t="s">
        <v>71</v>
      </c>
      <c r="J94" s="22" t="s">
        <v>72</v>
      </c>
      <c r="K94" s="22">
        <v>1.75</v>
      </c>
      <c r="L94" s="22">
        <v>0.99</v>
      </c>
      <c r="M94" s="22">
        <v>0.97</v>
      </c>
      <c r="N94" s="22">
        <v>1</v>
      </c>
      <c r="O94" s="22">
        <v>4.71</v>
      </c>
      <c r="P94" s="22">
        <v>94.2</v>
      </c>
    </row>
    <row r="95" spans="1:16" x14ac:dyDescent="0.25">
      <c r="A95" s="23" t="s">
        <v>497</v>
      </c>
      <c r="B95" s="22" t="s">
        <v>431</v>
      </c>
      <c r="C95" s="22" t="s">
        <v>247</v>
      </c>
      <c r="D95" s="22">
        <v>50</v>
      </c>
      <c r="E95" s="22" t="s">
        <v>370</v>
      </c>
      <c r="F95" s="22" t="s">
        <v>76</v>
      </c>
      <c r="G95" s="22" t="s">
        <v>70</v>
      </c>
      <c r="H95" s="22" t="s">
        <v>331</v>
      </c>
      <c r="I95" s="22" t="s">
        <v>71</v>
      </c>
      <c r="J95" s="22" t="s">
        <v>368</v>
      </c>
      <c r="K95" s="22">
        <v>1.94</v>
      </c>
      <c r="L95" s="22">
        <v>1</v>
      </c>
      <c r="M95" s="22">
        <v>1</v>
      </c>
      <c r="N95" s="22">
        <v>1</v>
      </c>
      <c r="O95" s="22">
        <v>4.9400000000000004</v>
      </c>
      <c r="P95" s="22">
        <v>98.800000000000011</v>
      </c>
    </row>
    <row r="96" spans="1:16" x14ac:dyDescent="0.25">
      <c r="A96" s="23" t="s">
        <v>497</v>
      </c>
      <c r="B96" s="22" t="s">
        <v>432</v>
      </c>
      <c r="C96" s="22" t="s">
        <v>248</v>
      </c>
      <c r="D96" s="22">
        <v>68</v>
      </c>
      <c r="E96" s="22" t="s">
        <v>433</v>
      </c>
      <c r="F96" s="22" t="s">
        <v>76</v>
      </c>
      <c r="G96" s="22" t="s">
        <v>70</v>
      </c>
      <c r="H96" s="22" t="s">
        <v>361</v>
      </c>
      <c r="I96" s="22" t="s">
        <v>71</v>
      </c>
      <c r="J96" s="22" t="s">
        <v>365</v>
      </c>
      <c r="K96" s="22">
        <v>1.4</v>
      </c>
      <c r="L96" s="22">
        <v>1</v>
      </c>
      <c r="M96" s="22">
        <v>1</v>
      </c>
      <c r="N96" s="22">
        <v>0.91</v>
      </c>
      <c r="O96" s="22">
        <v>4.3099999999999996</v>
      </c>
      <c r="P96" s="22">
        <v>86.199999999999989</v>
      </c>
    </row>
    <row r="97" spans="1:16" x14ac:dyDescent="0.25">
      <c r="A97" s="23" t="s">
        <v>497</v>
      </c>
      <c r="B97" s="22" t="s">
        <v>434</v>
      </c>
      <c r="C97" s="22" t="s">
        <v>249</v>
      </c>
      <c r="D97" s="22">
        <v>39</v>
      </c>
      <c r="E97" s="22" t="s">
        <v>435</v>
      </c>
      <c r="F97" s="22" t="s">
        <v>69</v>
      </c>
      <c r="G97" s="22" t="s">
        <v>70</v>
      </c>
      <c r="H97" s="22" t="s">
        <v>361</v>
      </c>
      <c r="I97" s="22" t="s">
        <v>71</v>
      </c>
      <c r="J97" s="22" t="s">
        <v>83</v>
      </c>
      <c r="K97" s="22">
        <v>1.75</v>
      </c>
      <c r="L97" s="22">
        <v>0.99</v>
      </c>
      <c r="M97" s="22">
        <v>1</v>
      </c>
      <c r="N97" s="22">
        <v>1</v>
      </c>
      <c r="O97" s="22">
        <v>4.74</v>
      </c>
      <c r="P97" s="22">
        <v>94.8</v>
      </c>
    </row>
    <row r="98" spans="1:16" x14ac:dyDescent="0.25">
      <c r="A98" s="23" t="s">
        <v>497</v>
      </c>
      <c r="B98" s="22" t="s">
        <v>436</v>
      </c>
      <c r="C98" s="22" t="s">
        <v>250</v>
      </c>
      <c r="D98" s="22">
        <v>37</v>
      </c>
      <c r="E98" s="22" t="s">
        <v>383</v>
      </c>
      <c r="F98" s="22" t="s">
        <v>76</v>
      </c>
      <c r="G98" s="22" t="s">
        <v>70</v>
      </c>
      <c r="H98" s="22" t="s">
        <v>331</v>
      </c>
      <c r="I98" s="22" t="s">
        <v>340</v>
      </c>
      <c r="J98" s="22" t="s">
        <v>93</v>
      </c>
      <c r="K98" s="22">
        <v>1.84</v>
      </c>
      <c r="L98" s="22">
        <v>1</v>
      </c>
      <c r="M98" s="22">
        <v>0.97</v>
      </c>
      <c r="N98" s="22">
        <v>1</v>
      </c>
      <c r="O98" s="22">
        <v>4.8099999999999996</v>
      </c>
      <c r="P98" s="22">
        <v>96.199999999999989</v>
      </c>
    </row>
    <row r="99" spans="1:16" x14ac:dyDescent="0.25">
      <c r="A99" s="23" t="s">
        <v>497</v>
      </c>
      <c r="B99" s="22" t="s">
        <v>437</v>
      </c>
      <c r="C99" s="22" t="s">
        <v>251</v>
      </c>
      <c r="D99" s="22">
        <v>48</v>
      </c>
      <c r="E99" s="22" t="s">
        <v>422</v>
      </c>
      <c r="F99" s="22" t="s">
        <v>69</v>
      </c>
      <c r="G99" s="22" t="s">
        <v>70</v>
      </c>
      <c r="H99" s="22" t="s">
        <v>331</v>
      </c>
      <c r="I99" s="22" t="s">
        <v>73</v>
      </c>
      <c r="J99" s="22" t="s">
        <v>83</v>
      </c>
      <c r="K99" s="22">
        <v>1.93</v>
      </c>
      <c r="L99" s="22">
        <v>1</v>
      </c>
      <c r="M99" s="22">
        <v>1</v>
      </c>
      <c r="N99" s="22">
        <v>1</v>
      </c>
      <c r="O99" s="22">
        <v>4.93</v>
      </c>
      <c r="P99" s="22">
        <v>98.6</v>
      </c>
    </row>
    <row r="100" spans="1:16" x14ac:dyDescent="0.25">
      <c r="A100" s="23" t="s">
        <v>497</v>
      </c>
      <c r="B100" s="22" t="s">
        <v>438</v>
      </c>
      <c r="C100" s="22" t="s">
        <v>252</v>
      </c>
      <c r="D100" s="22">
        <v>51</v>
      </c>
      <c r="E100" s="22" t="s">
        <v>98</v>
      </c>
      <c r="F100" s="22" t="s">
        <v>76</v>
      </c>
      <c r="G100" s="22" t="s">
        <v>70</v>
      </c>
      <c r="H100" s="22" t="s">
        <v>331</v>
      </c>
      <c r="I100" s="22" t="s">
        <v>73</v>
      </c>
      <c r="J100" s="22" t="s">
        <v>104</v>
      </c>
      <c r="K100" s="22">
        <v>1.99</v>
      </c>
      <c r="L100" s="22">
        <v>0.94</v>
      </c>
      <c r="M100" s="22">
        <v>0.96</v>
      </c>
      <c r="N100" s="22">
        <v>0.97</v>
      </c>
      <c r="O100" s="22">
        <v>4.8600000000000003</v>
      </c>
      <c r="P100" s="22">
        <v>97.200000000000017</v>
      </c>
    </row>
    <row r="101" spans="1:16" x14ac:dyDescent="0.25">
      <c r="A101" s="23" t="s">
        <v>497</v>
      </c>
      <c r="B101" s="22" t="s">
        <v>439</v>
      </c>
      <c r="C101" s="22" t="s">
        <v>253</v>
      </c>
      <c r="D101" s="22">
        <v>48</v>
      </c>
      <c r="E101" s="22" t="s">
        <v>98</v>
      </c>
      <c r="F101" s="22" t="s">
        <v>69</v>
      </c>
      <c r="G101" s="22" t="s">
        <v>70</v>
      </c>
      <c r="H101" s="22" t="s">
        <v>331</v>
      </c>
      <c r="I101" s="22" t="s">
        <v>73</v>
      </c>
      <c r="J101" s="22" t="s">
        <v>83</v>
      </c>
      <c r="K101" s="22">
        <v>1.86</v>
      </c>
      <c r="L101" s="22">
        <v>1</v>
      </c>
      <c r="M101" s="22">
        <v>1</v>
      </c>
      <c r="N101" s="22">
        <v>1</v>
      </c>
      <c r="O101" s="22">
        <v>4.8600000000000003</v>
      </c>
      <c r="P101" s="22">
        <v>97.200000000000017</v>
      </c>
    </row>
    <row r="102" spans="1:16" x14ac:dyDescent="0.25">
      <c r="A102" s="23" t="s">
        <v>497</v>
      </c>
      <c r="B102" s="22" t="s">
        <v>440</v>
      </c>
      <c r="C102" s="22" t="s">
        <v>254</v>
      </c>
      <c r="D102" s="22">
        <v>48</v>
      </c>
      <c r="E102" s="22" t="s">
        <v>441</v>
      </c>
      <c r="F102" s="22" t="s">
        <v>76</v>
      </c>
      <c r="G102" s="22" t="s">
        <v>70</v>
      </c>
      <c r="H102" s="22" t="s">
        <v>331</v>
      </c>
      <c r="I102" s="22" t="s">
        <v>71</v>
      </c>
      <c r="J102" s="22" t="s">
        <v>93</v>
      </c>
      <c r="K102" s="22">
        <v>1.87</v>
      </c>
      <c r="L102" s="22">
        <v>1</v>
      </c>
      <c r="M102" s="22">
        <v>0.98</v>
      </c>
      <c r="N102" s="22">
        <v>0.97</v>
      </c>
      <c r="O102" s="22">
        <v>4.82</v>
      </c>
      <c r="P102" s="22">
        <v>96.4</v>
      </c>
    </row>
    <row r="103" spans="1:16" x14ac:dyDescent="0.25">
      <c r="A103" s="23" t="s">
        <v>497</v>
      </c>
      <c r="B103" s="22" t="s">
        <v>442</v>
      </c>
      <c r="C103" s="22" t="s">
        <v>255</v>
      </c>
      <c r="D103" s="22">
        <v>51</v>
      </c>
      <c r="E103" s="22" t="s">
        <v>79</v>
      </c>
      <c r="F103" s="22" t="s">
        <v>69</v>
      </c>
      <c r="G103" s="22" t="s">
        <v>70</v>
      </c>
      <c r="H103" s="22" t="s">
        <v>331</v>
      </c>
      <c r="I103" s="22" t="s">
        <v>71</v>
      </c>
      <c r="J103" s="22" t="s">
        <v>93</v>
      </c>
      <c r="K103" s="22">
        <v>1.92</v>
      </c>
      <c r="L103" s="22">
        <v>1</v>
      </c>
      <c r="M103" s="22">
        <v>1</v>
      </c>
      <c r="N103" s="22">
        <v>1</v>
      </c>
      <c r="O103" s="22">
        <v>4.92</v>
      </c>
      <c r="P103" s="22">
        <v>98.4</v>
      </c>
    </row>
    <row r="104" spans="1:16" x14ac:dyDescent="0.25">
      <c r="A104" s="23" t="s">
        <v>497</v>
      </c>
      <c r="B104" s="22" t="s">
        <v>443</v>
      </c>
      <c r="C104" s="22" t="s">
        <v>256</v>
      </c>
      <c r="D104" s="22">
        <v>39</v>
      </c>
      <c r="E104" s="22" t="s">
        <v>98</v>
      </c>
      <c r="F104" s="22" t="s">
        <v>69</v>
      </c>
      <c r="G104" s="22" t="s">
        <v>70</v>
      </c>
      <c r="H104" s="22" t="s">
        <v>331</v>
      </c>
      <c r="I104" s="22" t="s">
        <v>73</v>
      </c>
      <c r="J104" s="22" t="s">
        <v>344</v>
      </c>
      <c r="K104" s="22">
        <v>1.8</v>
      </c>
      <c r="L104" s="22">
        <v>0.96</v>
      </c>
      <c r="M104" s="22">
        <v>0.97</v>
      </c>
      <c r="N104" s="22">
        <v>0.97</v>
      </c>
      <c r="O104" s="22">
        <v>4.7</v>
      </c>
      <c r="P104" s="22">
        <v>94</v>
      </c>
    </row>
    <row r="105" spans="1:16" x14ac:dyDescent="0.25">
      <c r="A105" s="23" t="s">
        <v>497</v>
      </c>
      <c r="B105" s="22" t="s">
        <v>444</v>
      </c>
      <c r="C105" s="22" t="s">
        <v>257</v>
      </c>
      <c r="D105" s="22">
        <v>59</v>
      </c>
      <c r="E105" s="22" t="s">
        <v>80</v>
      </c>
      <c r="F105" s="22" t="s">
        <v>69</v>
      </c>
      <c r="G105" s="22" t="s">
        <v>70</v>
      </c>
      <c r="H105" s="22" t="s">
        <v>331</v>
      </c>
      <c r="I105" s="22" t="s">
        <v>71</v>
      </c>
      <c r="J105" s="22" t="s">
        <v>93</v>
      </c>
      <c r="K105" s="22">
        <v>1.63</v>
      </c>
      <c r="L105" s="22">
        <v>1</v>
      </c>
      <c r="M105" s="22">
        <v>0.94</v>
      </c>
      <c r="N105" s="22">
        <v>0.98</v>
      </c>
      <c r="O105" s="22">
        <v>4.55</v>
      </c>
      <c r="P105" s="22">
        <v>91</v>
      </c>
    </row>
    <row r="106" spans="1:16" x14ac:dyDescent="0.25">
      <c r="A106" s="23" t="s">
        <v>497</v>
      </c>
      <c r="B106" s="22" t="s">
        <v>445</v>
      </c>
      <c r="C106" s="22" t="s">
        <v>258</v>
      </c>
      <c r="D106" s="22">
        <v>43</v>
      </c>
      <c r="E106" s="22" t="s">
        <v>98</v>
      </c>
      <c r="F106" s="22" t="s">
        <v>69</v>
      </c>
      <c r="G106" s="22" t="s">
        <v>70</v>
      </c>
      <c r="H106" s="22" t="s">
        <v>331</v>
      </c>
      <c r="I106" s="22" t="s">
        <v>73</v>
      </c>
      <c r="J106" s="22" t="s">
        <v>339</v>
      </c>
      <c r="K106" s="22">
        <v>1.73</v>
      </c>
      <c r="L106" s="22">
        <v>1</v>
      </c>
      <c r="M106" s="22">
        <v>1</v>
      </c>
      <c r="N106" s="22">
        <v>0.96</v>
      </c>
      <c r="O106" s="22">
        <v>4.6900000000000004</v>
      </c>
      <c r="P106" s="22">
        <v>93.800000000000011</v>
      </c>
    </row>
    <row r="107" spans="1:16" x14ac:dyDescent="0.25">
      <c r="A107" s="23" t="s">
        <v>497</v>
      </c>
      <c r="B107" s="22" t="s">
        <v>446</v>
      </c>
      <c r="C107" s="22" t="s">
        <v>259</v>
      </c>
      <c r="D107" s="22">
        <v>31</v>
      </c>
      <c r="E107" s="22" t="s">
        <v>349</v>
      </c>
      <c r="F107" s="22" t="s">
        <v>69</v>
      </c>
      <c r="G107" s="22" t="s">
        <v>70</v>
      </c>
      <c r="H107" s="22" t="s">
        <v>331</v>
      </c>
      <c r="I107" s="22" t="s">
        <v>73</v>
      </c>
      <c r="J107" s="22" t="s">
        <v>356</v>
      </c>
      <c r="K107" s="22">
        <v>1.99</v>
      </c>
      <c r="L107" s="22">
        <v>1</v>
      </c>
      <c r="M107" s="22">
        <v>1</v>
      </c>
      <c r="N107" s="22">
        <v>0.97</v>
      </c>
      <c r="O107" s="22">
        <v>4.96</v>
      </c>
      <c r="P107" s="22">
        <v>99.2</v>
      </c>
    </row>
    <row r="108" spans="1:16" x14ac:dyDescent="0.25">
      <c r="A108" s="23" t="s">
        <v>497</v>
      </c>
      <c r="B108" s="22" t="s">
        <v>447</v>
      </c>
      <c r="C108" s="22" t="s">
        <v>260</v>
      </c>
      <c r="D108" s="22">
        <v>46</v>
      </c>
      <c r="E108" s="22" t="s">
        <v>75</v>
      </c>
      <c r="F108" s="22" t="s">
        <v>76</v>
      </c>
      <c r="G108" s="22" t="s">
        <v>70</v>
      </c>
      <c r="H108" s="22" t="s">
        <v>331</v>
      </c>
      <c r="I108" s="22" t="s">
        <v>73</v>
      </c>
      <c r="J108" s="22" t="s">
        <v>74</v>
      </c>
      <c r="K108" s="22">
        <v>1.75</v>
      </c>
      <c r="L108" s="22">
        <v>1</v>
      </c>
      <c r="M108" s="22">
        <v>0.87</v>
      </c>
      <c r="N108" s="22">
        <v>0.8</v>
      </c>
      <c r="O108" s="22">
        <v>4.42</v>
      </c>
      <c r="P108" s="22">
        <v>88.4</v>
      </c>
    </row>
    <row r="109" spans="1:16" x14ac:dyDescent="0.25">
      <c r="A109" s="23" t="s">
        <v>497</v>
      </c>
      <c r="B109" s="22" t="s">
        <v>448</v>
      </c>
      <c r="C109" s="22" t="s">
        <v>261</v>
      </c>
      <c r="D109" s="22">
        <v>45</v>
      </c>
      <c r="E109" s="22" t="s">
        <v>79</v>
      </c>
      <c r="F109" s="22" t="s">
        <v>69</v>
      </c>
      <c r="G109" s="22" t="s">
        <v>70</v>
      </c>
      <c r="H109" s="22" t="s">
        <v>331</v>
      </c>
      <c r="I109" s="22" t="s">
        <v>71</v>
      </c>
      <c r="J109" s="22" t="s">
        <v>83</v>
      </c>
      <c r="K109" s="22">
        <v>1.9</v>
      </c>
      <c r="L109" s="22">
        <v>1</v>
      </c>
      <c r="M109" s="22">
        <v>1</v>
      </c>
      <c r="N109" s="22">
        <v>1</v>
      </c>
      <c r="O109" s="22">
        <v>4.9000000000000004</v>
      </c>
      <c r="P109" s="22">
        <v>98.000000000000014</v>
      </c>
    </row>
    <row r="110" spans="1:16" x14ac:dyDescent="0.25">
      <c r="A110" s="23" t="s">
        <v>497</v>
      </c>
      <c r="B110" s="22" t="s">
        <v>449</v>
      </c>
      <c r="C110" s="22" t="s">
        <v>262</v>
      </c>
      <c r="D110" s="22">
        <v>40</v>
      </c>
      <c r="E110" s="22" t="s">
        <v>391</v>
      </c>
      <c r="F110" s="22" t="s">
        <v>76</v>
      </c>
      <c r="G110" s="22" t="s">
        <v>70</v>
      </c>
      <c r="H110" s="22" t="s">
        <v>331</v>
      </c>
      <c r="I110" s="22" t="s">
        <v>71</v>
      </c>
      <c r="J110" s="22" t="s">
        <v>93</v>
      </c>
      <c r="K110" s="22">
        <v>1.79</v>
      </c>
      <c r="L110" s="22">
        <v>0.99</v>
      </c>
      <c r="M110" s="22">
        <v>0.97</v>
      </c>
      <c r="N110" s="22">
        <v>0.97</v>
      </c>
      <c r="O110" s="22">
        <v>4.72</v>
      </c>
      <c r="P110" s="22">
        <v>94.4</v>
      </c>
    </row>
    <row r="111" spans="1:16" x14ac:dyDescent="0.25">
      <c r="A111" s="23" t="s">
        <v>497</v>
      </c>
      <c r="B111" s="22" t="s">
        <v>450</v>
      </c>
      <c r="C111" s="22" t="s">
        <v>263</v>
      </c>
      <c r="D111" s="22">
        <v>35</v>
      </c>
      <c r="E111" s="22" t="s">
        <v>98</v>
      </c>
      <c r="F111" s="22" t="s">
        <v>76</v>
      </c>
      <c r="G111" s="22" t="s">
        <v>70</v>
      </c>
      <c r="H111" s="22" t="s">
        <v>423</v>
      </c>
      <c r="I111" s="22" t="s">
        <v>73</v>
      </c>
      <c r="J111" s="22" t="s">
        <v>93</v>
      </c>
      <c r="K111" s="22">
        <v>1.84</v>
      </c>
      <c r="L111" s="22">
        <v>0.99</v>
      </c>
      <c r="M111" s="22">
        <v>0.87</v>
      </c>
      <c r="N111" s="22">
        <v>0.83</v>
      </c>
      <c r="O111" s="22">
        <v>4.53</v>
      </c>
      <c r="P111" s="22">
        <v>90.6</v>
      </c>
    </row>
    <row r="112" spans="1:16" x14ac:dyDescent="0.25">
      <c r="A112" s="23" t="s">
        <v>497</v>
      </c>
      <c r="B112" s="22" t="s">
        <v>451</v>
      </c>
      <c r="C112" s="22" t="s">
        <v>264</v>
      </c>
      <c r="D112" s="22">
        <v>64</v>
      </c>
      <c r="E112" s="22" t="s">
        <v>380</v>
      </c>
      <c r="F112" s="22" t="s">
        <v>76</v>
      </c>
      <c r="G112" s="22" t="s">
        <v>70</v>
      </c>
      <c r="H112" s="22" t="s">
        <v>361</v>
      </c>
      <c r="I112" s="22" t="s">
        <v>71</v>
      </c>
      <c r="J112" s="22" t="s">
        <v>368</v>
      </c>
      <c r="K112" s="22">
        <v>1.91</v>
      </c>
      <c r="L112" s="22">
        <v>1</v>
      </c>
      <c r="M112" s="22">
        <v>1</v>
      </c>
      <c r="N112" s="22">
        <v>0.98</v>
      </c>
      <c r="O112" s="22">
        <v>4.8899999999999997</v>
      </c>
      <c r="P112" s="22">
        <v>97.799999999999983</v>
      </c>
    </row>
    <row r="113" spans="1:16" x14ac:dyDescent="0.25">
      <c r="A113" s="23" t="s">
        <v>497</v>
      </c>
      <c r="B113" s="22" t="s">
        <v>452</v>
      </c>
      <c r="C113" s="22" t="s">
        <v>265</v>
      </c>
      <c r="D113" s="22">
        <v>30</v>
      </c>
      <c r="E113" s="22" t="s">
        <v>98</v>
      </c>
      <c r="F113" s="22" t="s">
        <v>69</v>
      </c>
      <c r="G113" s="22" t="s">
        <v>70</v>
      </c>
      <c r="H113" s="22" t="s">
        <v>331</v>
      </c>
      <c r="I113" s="22" t="s">
        <v>73</v>
      </c>
      <c r="J113" s="22" t="s">
        <v>93</v>
      </c>
      <c r="K113" s="22">
        <v>1.94</v>
      </c>
      <c r="L113" s="22">
        <v>1</v>
      </c>
      <c r="M113" s="22">
        <v>0.99</v>
      </c>
      <c r="N113" s="22">
        <v>0.99</v>
      </c>
      <c r="O113" s="22">
        <v>4.92</v>
      </c>
      <c r="P113" s="22">
        <v>98.4</v>
      </c>
    </row>
    <row r="114" spans="1:16" x14ac:dyDescent="0.25">
      <c r="A114" s="23" t="s">
        <v>497</v>
      </c>
      <c r="B114" s="22" t="s">
        <v>453</v>
      </c>
      <c r="C114" s="22" t="s">
        <v>266</v>
      </c>
      <c r="D114" s="22">
        <v>54</v>
      </c>
      <c r="E114" s="22" t="s">
        <v>98</v>
      </c>
      <c r="F114" s="22" t="s">
        <v>76</v>
      </c>
      <c r="G114" s="22" t="s">
        <v>70</v>
      </c>
      <c r="H114" s="22" t="s">
        <v>331</v>
      </c>
      <c r="I114" s="22" t="s">
        <v>73</v>
      </c>
      <c r="J114" s="22" t="s">
        <v>93</v>
      </c>
      <c r="K114" s="22">
        <v>1.71</v>
      </c>
      <c r="L114" s="22">
        <v>1</v>
      </c>
      <c r="M114" s="22">
        <v>0.95</v>
      </c>
      <c r="N114" s="22">
        <v>0.97</v>
      </c>
      <c r="O114" s="22">
        <v>4.63</v>
      </c>
      <c r="P114" s="22">
        <v>92.6</v>
      </c>
    </row>
    <row r="115" spans="1:16" x14ac:dyDescent="0.25">
      <c r="A115" s="23" t="s">
        <v>497</v>
      </c>
      <c r="B115" s="22" t="s">
        <v>454</v>
      </c>
      <c r="C115" s="22" t="s">
        <v>267</v>
      </c>
      <c r="D115" s="22">
        <v>52</v>
      </c>
      <c r="E115" s="22" t="s">
        <v>455</v>
      </c>
      <c r="F115" s="22" t="s">
        <v>69</v>
      </c>
      <c r="G115" s="22" t="s">
        <v>70</v>
      </c>
      <c r="H115" s="22" t="s">
        <v>331</v>
      </c>
      <c r="I115" s="22" t="s">
        <v>71</v>
      </c>
      <c r="J115" s="22" t="s">
        <v>104</v>
      </c>
      <c r="K115" s="22">
        <v>1.59</v>
      </c>
      <c r="L115" s="22">
        <v>0.96</v>
      </c>
      <c r="M115" s="22">
        <v>1</v>
      </c>
      <c r="N115" s="22">
        <v>0.92</v>
      </c>
      <c r="O115" s="22">
        <v>4.47</v>
      </c>
      <c r="P115" s="22">
        <v>89.4</v>
      </c>
    </row>
    <row r="116" spans="1:16" x14ac:dyDescent="0.25">
      <c r="A116" s="23" t="s">
        <v>497</v>
      </c>
      <c r="B116" s="22" t="s">
        <v>456</v>
      </c>
      <c r="C116" s="22" t="s">
        <v>268</v>
      </c>
      <c r="D116" s="22">
        <v>39</v>
      </c>
      <c r="E116" s="22" t="s">
        <v>75</v>
      </c>
      <c r="F116" s="22" t="s">
        <v>69</v>
      </c>
      <c r="G116" s="22" t="s">
        <v>70</v>
      </c>
      <c r="H116" s="22" t="s">
        <v>331</v>
      </c>
      <c r="I116" s="22" t="s">
        <v>73</v>
      </c>
      <c r="J116" s="22" t="s">
        <v>339</v>
      </c>
      <c r="K116" s="22">
        <v>1.95</v>
      </c>
      <c r="L116" s="22">
        <v>1</v>
      </c>
      <c r="M116" s="22">
        <v>1</v>
      </c>
      <c r="N116" s="22">
        <v>0.98</v>
      </c>
      <c r="O116" s="22">
        <v>4.93</v>
      </c>
      <c r="P116" s="22">
        <v>98.6</v>
      </c>
    </row>
    <row r="117" spans="1:16" x14ac:dyDescent="0.25">
      <c r="A117" s="23" t="s">
        <v>497</v>
      </c>
      <c r="B117" s="22" t="s">
        <v>319</v>
      </c>
      <c r="C117" s="22" t="s">
        <v>320</v>
      </c>
      <c r="D117" s="22">
        <v>30</v>
      </c>
      <c r="E117" s="22" t="s">
        <v>391</v>
      </c>
      <c r="F117" s="22" t="s">
        <v>76</v>
      </c>
      <c r="G117" s="22" t="s">
        <v>70</v>
      </c>
      <c r="H117" s="22" t="s">
        <v>331</v>
      </c>
      <c r="I117" s="22" t="s">
        <v>71</v>
      </c>
      <c r="J117" s="22" t="s">
        <v>93</v>
      </c>
      <c r="K117" s="22">
        <v>1.75</v>
      </c>
      <c r="L117" s="22">
        <v>0.94</v>
      </c>
      <c r="M117" s="22">
        <v>0.95</v>
      </c>
      <c r="N117" s="22">
        <v>0.97</v>
      </c>
      <c r="O117" s="22">
        <v>4.6100000000000003</v>
      </c>
      <c r="P117" s="22">
        <v>92.200000000000017</v>
      </c>
    </row>
    <row r="118" spans="1:16" x14ac:dyDescent="0.25">
      <c r="A118" s="23" t="s">
        <v>497</v>
      </c>
      <c r="B118" s="22" t="s">
        <v>457</v>
      </c>
      <c r="C118" s="22" t="s">
        <v>269</v>
      </c>
      <c r="D118" s="22">
        <v>50</v>
      </c>
      <c r="E118" s="22" t="s">
        <v>422</v>
      </c>
      <c r="F118" s="22" t="s">
        <v>69</v>
      </c>
      <c r="G118" s="22" t="s">
        <v>70</v>
      </c>
      <c r="H118" s="22" t="s">
        <v>331</v>
      </c>
      <c r="I118" s="22" t="s">
        <v>73</v>
      </c>
      <c r="J118" s="22" t="s">
        <v>83</v>
      </c>
      <c r="K118" s="22">
        <v>1.8</v>
      </c>
      <c r="L118" s="22">
        <v>1</v>
      </c>
      <c r="M118" s="22">
        <v>1</v>
      </c>
      <c r="N118" s="22">
        <v>1</v>
      </c>
      <c r="O118" s="22">
        <v>4.8</v>
      </c>
      <c r="P118" s="22">
        <v>96</v>
      </c>
    </row>
    <row r="119" spans="1:16" x14ac:dyDescent="0.25">
      <c r="A119" s="23" t="s">
        <v>497</v>
      </c>
      <c r="B119" s="22" t="s">
        <v>458</v>
      </c>
      <c r="C119" s="22" t="s">
        <v>270</v>
      </c>
      <c r="D119" s="22">
        <v>31</v>
      </c>
      <c r="E119" s="22" t="s">
        <v>98</v>
      </c>
      <c r="F119" s="22" t="s">
        <v>76</v>
      </c>
      <c r="G119" s="22" t="s">
        <v>70</v>
      </c>
      <c r="H119" s="22" t="s">
        <v>331</v>
      </c>
      <c r="I119" s="22" t="s">
        <v>73</v>
      </c>
      <c r="J119" s="22" t="s">
        <v>368</v>
      </c>
      <c r="K119" s="22">
        <v>1.91</v>
      </c>
      <c r="L119" s="22">
        <v>0.94</v>
      </c>
      <c r="M119" s="22">
        <v>1</v>
      </c>
      <c r="N119" s="22">
        <v>1</v>
      </c>
      <c r="O119" s="22">
        <v>4.8499999999999996</v>
      </c>
      <c r="P119" s="22">
        <v>96.999999999999986</v>
      </c>
    </row>
    <row r="120" spans="1:16" x14ac:dyDescent="0.25">
      <c r="A120" s="23" t="s">
        <v>497</v>
      </c>
      <c r="B120" s="22" t="s">
        <v>459</v>
      </c>
      <c r="C120" s="22" t="s">
        <v>271</v>
      </c>
      <c r="D120" s="22">
        <v>38</v>
      </c>
      <c r="E120" s="22" t="s">
        <v>98</v>
      </c>
      <c r="F120" s="22" t="s">
        <v>76</v>
      </c>
      <c r="G120" s="22" t="s">
        <v>70</v>
      </c>
      <c r="H120" s="22" t="s">
        <v>331</v>
      </c>
      <c r="I120" s="22" t="s">
        <v>73</v>
      </c>
      <c r="J120" s="22" t="s">
        <v>345</v>
      </c>
      <c r="K120" s="22">
        <v>1.91</v>
      </c>
      <c r="L120" s="22">
        <v>1</v>
      </c>
      <c r="M120" s="22">
        <v>1</v>
      </c>
      <c r="N120" s="22">
        <v>0.97</v>
      </c>
      <c r="O120" s="22">
        <v>4.88</v>
      </c>
      <c r="P120" s="22">
        <v>97.6</v>
      </c>
    </row>
    <row r="121" spans="1:16" x14ac:dyDescent="0.25">
      <c r="A121" s="23" t="s">
        <v>497</v>
      </c>
      <c r="B121" s="22" t="s">
        <v>460</v>
      </c>
      <c r="C121" s="22" t="s">
        <v>272</v>
      </c>
      <c r="D121" s="22">
        <v>51</v>
      </c>
      <c r="E121" s="22" t="s">
        <v>98</v>
      </c>
      <c r="F121" s="22" t="s">
        <v>69</v>
      </c>
      <c r="G121" s="22" t="s">
        <v>70</v>
      </c>
      <c r="H121" s="22" t="s">
        <v>331</v>
      </c>
      <c r="I121" s="22" t="s">
        <v>73</v>
      </c>
      <c r="J121" s="22" t="s">
        <v>368</v>
      </c>
      <c r="K121" s="22">
        <v>1.88</v>
      </c>
      <c r="L121" s="22">
        <v>0.99</v>
      </c>
      <c r="M121" s="22">
        <v>1</v>
      </c>
      <c r="N121" s="22">
        <v>1</v>
      </c>
      <c r="O121" s="22">
        <v>4.87</v>
      </c>
      <c r="P121" s="22">
        <v>97.4</v>
      </c>
    </row>
    <row r="122" spans="1:16" x14ac:dyDescent="0.25">
      <c r="A122" s="23" t="s">
        <v>497</v>
      </c>
      <c r="B122" s="22" t="s">
        <v>461</v>
      </c>
      <c r="C122" s="22" t="s">
        <v>273</v>
      </c>
      <c r="D122" s="22">
        <v>38</v>
      </c>
      <c r="E122" s="22" t="s">
        <v>98</v>
      </c>
      <c r="F122" s="22" t="s">
        <v>69</v>
      </c>
      <c r="G122" s="22" t="s">
        <v>70</v>
      </c>
      <c r="H122" s="22" t="s">
        <v>331</v>
      </c>
      <c r="I122" s="22" t="s">
        <v>73</v>
      </c>
      <c r="J122" s="22" t="s">
        <v>398</v>
      </c>
      <c r="K122" s="22">
        <v>1.88</v>
      </c>
      <c r="L122" s="22">
        <v>0.94</v>
      </c>
      <c r="M122" s="22">
        <v>1</v>
      </c>
      <c r="N122" s="22">
        <v>1</v>
      </c>
      <c r="O122" s="22">
        <v>4.82</v>
      </c>
      <c r="P122" s="22">
        <v>96.4</v>
      </c>
    </row>
    <row r="123" spans="1:16" x14ac:dyDescent="0.25">
      <c r="A123" s="23" t="s">
        <v>497</v>
      </c>
      <c r="B123" s="22" t="s">
        <v>462</v>
      </c>
      <c r="C123" s="22" t="s">
        <v>274</v>
      </c>
      <c r="D123" s="22">
        <v>46</v>
      </c>
      <c r="E123" s="22" t="s">
        <v>80</v>
      </c>
      <c r="F123" s="22" t="s">
        <v>76</v>
      </c>
      <c r="G123" s="22" t="s">
        <v>70</v>
      </c>
      <c r="H123" s="22" t="s">
        <v>331</v>
      </c>
      <c r="I123" s="22" t="s">
        <v>71</v>
      </c>
      <c r="J123" s="22" t="s">
        <v>332</v>
      </c>
      <c r="K123" s="22">
        <v>1.93</v>
      </c>
      <c r="L123" s="22">
        <v>0.99</v>
      </c>
      <c r="M123" s="22">
        <v>0.94</v>
      </c>
      <c r="N123" s="22">
        <v>1</v>
      </c>
      <c r="O123" s="22">
        <v>4.8600000000000003</v>
      </c>
      <c r="P123" s="22">
        <v>97.200000000000017</v>
      </c>
    </row>
    <row r="124" spans="1:16" x14ac:dyDescent="0.25">
      <c r="A124" s="23" t="s">
        <v>497</v>
      </c>
      <c r="B124" s="22" t="s">
        <v>131</v>
      </c>
      <c r="C124" s="22" t="s">
        <v>275</v>
      </c>
      <c r="D124" s="22">
        <v>37</v>
      </c>
      <c r="E124" s="22" t="s">
        <v>75</v>
      </c>
      <c r="F124" s="22" t="s">
        <v>69</v>
      </c>
      <c r="G124" s="22" t="s">
        <v>70</v>
      </c>
      <c r="H124" s="22" t="s">
        <v>331</v>
      </c>
      <c r="I124" s="22" t="s">
        <v>73</v>
      </c>
      <c r="J124" s="22" t="s">
        <v>132</v>
      </c>
      <c r="K124" s="22">
        <v>1.54</v>
      </c>
      <c r="L124" s="22">
        <v>1</v>
      </c>
      <c r="M124" s="22">
        <v>0.96</v>
      </c>
      <c r="N124" s="22">
        <v>0.67</v>
      </c>
      <c r="O124" s="22">
        <v>4.17</v>
      </c>
      <c r="P124" s="22">
        <v>83.4</v>
      </c>
    </row>
    <row r="125" spans="1:16" x14ac:dyDescent="0.25">
      <c r="A125" s="23" t="s">
        <v>497</v>
      </c>
      <c r="B125" s="22" t="s">
        <v>463</v>
      </c>
      <c r="C125" s="22" t="s">
        <v>276</v>
      </c>
      <c r="D125" s="22">
        <v>28</v>
      </c>
      <c r="E125" s="22" t="s">
        <v>98</v>
      </c>
      <c r="F125" s="22" t="s">
        <v>69</v>
      </c>
      <c r="G125" s="22" t="s">
        <v>70</v>
      </c>
      <c r="H125" s="22" t="s">
        <v>331</v>
      </c>
      <c r="I125" s="22" t="s">
        <v>73</v>
      </c>
      <c r="J125" s="22" t="s">
        <v>72</v>
      </c>
      <c r="K125" s="22">
        <v>1.91</v>
      </c>
      <c r="L125" s="22">
        <v>1</v>
      </c>
      <c r="M125" s="22">
        <v>1</v>
      </c>
      <c r="N125" s="22">
        <v>1</v>
      </c>
      <c r="O125" s="22">
        <v>4.91</v>
      </c>
      <c r="P125" s="22">
        <v>98.2</v>
      </c>
    </row>
    <row r="126" spans="1:16" x14ac:dyDescent="0.25">
      <c r="A126" s="23" t="s">
        <v>497</v>
      </c>
      <c r="B126" s="22" t="s">
        <v>464</v>
      </c>
      <c r="C126" s="22" t="s">
        <v>277</v>
      </c>
      <c r="D126" s="22">
        <v>48</v>
      </c>
      <c r="E126" s="22" t="s">
        <v>75</v>
      </c>
      <c r="F126" s="22" t="s">
        <v>69</v>
      </c>
      <c r="G126" s="22" t="s">
        <v>70</v>
      </c>
      <c r="H126" s="22" t="s">
        <v>331</v>
      </c>
      <c r="I126" s="22" t="s">
        <v>73</v>
      </c>
      <c r="J126" s="22" t="s">
        <v>332</v>
      </c>
      <c r="K126" s="22">
        <v>1.91</v>
      </c>
      <c r="L126" s="22">
        <v>1</v>
      </c>
      <c r="M126" s="22">
        <v>0.97</v>
      </c>
      <c r="N126" s="22">
        <v>0.97</v>
      </c>
      <c r="O126" s="22">
        <v>4.8499999999999996</v>
      </c>
      <c r="P126" s="22">
        <v>96.999999999999986</v>
      </c>
    </row>
    <row r="127" spans="1:16" x14ac:dyDescent="0.25">
      <c r="A127" s="23" t="s">
        <v>497</v>
      </c>
      <c r="B127" s="22" t="s">
        <v>465</v>
      </c>
      <c r="C127" s="22" t="s">
        <v>278</v>
      </c>
      <c r="D127" s="22">
        <v>31</v>
      </c>
      <c r="E127" s="22" t="s">
        <v>98</v>
      </c>
      <c r="F127" s="22" t="s">
        <v>76</v>
      </c>
      <c r="G127" s="22" t="s">
        <v>70</v>
      </c>
      <c r="H127" s="22" t="s">
        <v>331</v>
      </c>
      <c r="I127" s="22" t="s">
        <v>71</v>
      </c>
      <c r="J127" s="22" t="s">
        <v>356</v>
      </c>
      <c r="K127" s="22">
        <v>1.91</v>
      </c>
      <c r="L127" s="22">
        <v>0.99</v>
      </c>
      <c r="M127" s="22">
        <v>0.76</v>
      </c>
      <c r="N127" s="22">
        <v>0.92</v>
      </c>
      <c r="O127" s="22">
        <v>4.58</v>
      </c>
      <c r="P127" s="22">
        <v>91.6</v>
      </c>
    </row>
    <row r="128" spans="1:16" x14ac:dyDescent="0.25">
      <c r="A128" s="23" t="s">
        <v>497</v>
      </c>
      <c r="B128" s="22" t="s">
        <v>466</v>
      </c>
      <c r="C128" s="22" t="s">
        <v>279</v>
      </c>
      <c r="D128" s="22">
        <v>41</v>
      </c>
      <c r="E128" s="22" t="s">
        <v>355</v>
      </c>
      <c r="F128" s="22" t="s">
        <v>69</v>
      </c>
      <c r="G128" s="22" t="s">
        <v>70</v>
      </c>
      <c r="H128" s="22" t="s">
        <v>331</v>
      </c>
      <c r="I128" s="22" t="s">
        <v>71</v>
      </c>
      <c r="J128" s="22" t="s">
        <v>83</v>
      </c>
      <c r="K128" s="22">
        <v>1.59</v>
      </c>
      <c r="L128" s="22">
        <v>1</v>
      </c>
      <c r="M128" s="22">
        <v>1</v>
      </c>
      <c r="N128" s="22">
        <v>0.97</v>
      </c>
      <c r="O128" s="22">
        <v>4.5599999999999996</v>
      </c>
      <c r="P128" s="22">
        <v>91.199999999999989</v>
      </c>
    </row>
    <row r="129" spans="1:16" x14ac:dyDescent="0.25">
      <c r="A129" s="23" t="s">
        <v>497</v>
      </c>
      <c r="B129" s="22" t="s">
        <v>467</v>
      </c>
      <c r="C129" s="22" t="s">
        <v>280</v>
      </c>
      <c r="D129" s="22">
        <v>30</v>
      </c>
      <c r="E129" s="22" t="s">
        <v>79</v>
      </c>
      <c r="F129" s="22" t="s">
        <v>69</v>
      </c>
      <c r="G129" s="22" t="s">
        <v>70</v>
      </c>
      <c r="H129" s="22" t="s">
        <v>331</v>
      </c>
      <c r="I129" s="22" t="s">
        <v>71</v>
      </c>
      <c r="J129" s="22" t="s">
        <v>356</v>
      </c>
      <c r="K129" s="22">
        <v>1.91</v>
      </c>
      <c r="L129" s="22">
        <v>0.98</v>
      </c>
      <c r="M129" s="22">
        <v>1</v>
      </c>
      <c r="N129" s="22">
        <v>1</v>
      </c>
      <c r="O129" s="22">
        <v>4.8899999999999997</v>
      </c>
      <c r="P129" s="22">
        <v>97.799999999999983</v>
      </c>
    </row>
    <row r="130" spans="1:16" x14ac:dyDescent="0.25">
      <c r="A130" s="23" t="s">
        <v>497</v>
      </c>
      <c r="B130" s="22" t="s">
        <v>468</v>
      </c>
      <c r="C130" s="22" t="s">
        <v>281</v>
      </c>
      <c r="D130" s="22">
        <v>31</v>
      </c>
      <c r="E130" s="22" t="s">
        <v>400</v>
      </c>
      <c r="F130" s="22" t="s">
        <v>69</v>
      </c>
      <c r="G130" s="22" t="s">
        <v>70</v>
      </c>
      <c r="H130" s="22" t="s">
        <v>331</v>
      </c>
      <c r="I130" s="22" t="s">
        <v>71</v>
      </c>
      <c r="J130" s="22" t="s">
        <v>344</v>
      </c>
      <c r="K130" s="22">
        <v>1.7</v>
      </c>
      <c r="L130" s="22">
        <v>0.99</v>
      </c>
      <c r="M130" s="22">
        <v>1</v>
      </c>
      <c r="N130" s="22">
        <v>1</v>
      </c>
      <c r="O130" s="22">
        <v>4.6900000000000004</v>
      </c>
      <c r="P130" s="22">
        <v>93.800000000000011</v>
      </c>
    </row>
    <row r="131" spans="1:16" x14ac:dyDescent="0.25">
      <c r="A131" s="23" t="s">
        <v>497</v>
      </c>
      <c r="B131" s="22" t="s">
        <v>469</v>
      </c>
      <c r="C131" s="22" t="s">
        <v>282</v>
      </c>
      <c r="D131" s="22">
        <v>37</v>
      </c>
      <c r="E131" s="22" t="s">
        <v>380</v>
      </c>
      <c r="F131" s="22" t="s">
        <v>76</v>
      </c>
      <c r="G131" s="22" t="s">
        <v>70</v>
      </c>
      <c r="H131" s="22" t="s">
        <v>331</v>
      </c>
      <c r="I131" s="22" t="s">
        <v>71</v>
      </c>
      <c r="J131" s="22" t="s">
        <v>104</v>
      </c>
      <c r="K131" s="22">
        <v>1.73</v>
      </c>
      <c r="L131" s="22">
        <v>1</v>
      </c>
      <c r="M131" s="22">
        <v>0.99</v>
      </c>
      <c r="N131" s="22">
        <v>0.99</v>
      </c>
      <c r="O131" s="22">
        <v>4.71</v>
      </c>
      <c r="P131" s="22">
        <v>94.2</v>
      </c>
    </row>
    <row r="132" spans="1:16" x14ac:dyDescent="0.25">
      <c r="A132" s="23" t="s">
        <v>497</v>
      </c>
      <c r="B132" s="22" t="s">
        <v>470</v>
      </c>
      <c r="C132" s="22" t="s">
        <v>283</v>
      </c>
      <c r="D132" s="22">
        <v>48</v>
      </c>
      <c r="E132" s="22" t="s">
        <v>471</v>
      </c>
      <c r="F132" s="22" t="s">
        <v>76</v>
      </c>
      <c r="G132" s="22" t="s">
        <v>70</v>
      </c>
      <c r="H132" s="22" t="s">
        <v>331</v>
      </c>
      <c r="I132" s="22" t="s">
        <v>71</v>
      </c>
      <c r="J132" s="22" t="s">
        <v>362</v>
      </c>
      <c r="K132" s="22">
        <v>1.85</v>
      </c>
      <c r="L132" s="22">
        <v>1</v>
      </c>
      <c r="M132" s="22">
        <v>0.97</v>
      </c>
      <c r="N132" s="22">
        <v>1</v>
      </c>
      <c r="O132" s="22">
        <v>4.82</v>
      </c>
      <c r="P132" s="22">
        <v>96.4</v>
      </c>
    </row>
    <row r="133" spans="1:16" x14ac:dyDescent="0.25">
      <c r="A133" s="23" t="s">
        <v>497</v>
      </c>
      <c r="B133" s="22" t="s">
        <v>472</v>
      </c>
      <c r="C133" s="22" t="s">
        <v>284</v>
      </c>
      <c r="D133" s="22">
        <v>58</v>
      </c>
      <c r="E133" s="22" t="s">
        <v>422</v>
      </c>
      <c r="F133" s="22" t="s">
        <v>76</v>
      </c>
      <c r="G133" s="22" t="s">
        <v>70</v>
      </c>
      <c r="H133" s="22" t="s">
        <v>331</v>
      </c>
      <c r="I133" s="22" t="s">
        <v>71</v>
      </c>
      <c r="J133" s="22" t="s">
        <v>93</v>
      </c>
      <c r="K133" s="22">
        <v>1.85</v>
      </c>
      <c r="L133" s="22">
        <v>0.99</v>
      </c>
      <c r="M133" s="22">
        <v>0.97</v>
      </c>
      <c r="N133" s="22">
        <v>1</v>
      </c>
      <c r="O133" s="22">
        <v>4.8099999999999996</v>
      </c>
      <c r="P133" s="22">
        <v>96.199999999999989</v>
      </c>
    </row>
    <row r="134" spans="1:16" x14ac:dyDescent="0.25">
      <c r="A134" s="23" t="s">
        <v>497</v>
      </c>
      <c r="B134" s="22" t="s">
        <v>473</v>
      </c>
      <c r="C134" s="22" t="s">
        <v>285</v>
      </c>
      <c r="D134" s="22">
        <v>67</v>
      </c>
      <c r="E134" s="22" t="s">
        <v>364</v>
      </c>
      <c r="F134" s="22" t="s">
        <v>69</v>
      </c>
      <c r="G134" s="22" t="s">
        <v>70</v>
      </c>
      <c r="H134" s="22" t="s">
        <v>331</v>
      </c>
      <c r="I134" s="22" t="s">
        <v>71</v>
      </c>
      <c r="J134" s="22" t="s">
        <v>93</v>
      </c>
      <c r="K134" s="22">
        <v>1.8</v>
      </c>
      <c r="L134" s="22">
        <v>1</v>
      </c>
      <c r="M134" s="22">
        <v>1</v>
      </c>
      <c r="N134" s="22">
        <v>0.98</v>
      </c>
      <c r="O134" s="22">
        <v>4.78</v>
      </c>
      <c r="P134" s="22">
        <v>95.6</v>
      </c>
    </row>
    <row r="135" spans="1:16" x14ac:dyDescent="0.25">
      <c r="A135" s="23" t="s">
        <v>497</v>
      </c>
      <c r="B135" s="22" t="s">
        <v>474</v>
      </c>
      <c r="C135" s="22" t="s">
        <v>286</v>
      </c>
      <c r="D135" s="22">
        <v>52</v>
      </c>
      <c r="E135" s="22" t="s">
        <v>75</v>
      </c>
      <c r="F135" s="22" t="s">
        <v>76</v>
      </c>
      <c r="G135" s="22" t="s">
        <v>70</v>
      </c>
      <c r="H135" s="22" t="s">
        <v>331</v>
      </c>
      <c r="I135" s="22" t="s">
        <v>73</v>
      </c>
      <c r="J135" s="22" t="s">
        <v>74</v>
      </c>
      <c r="K135" s="22">
        <v>1.75</v>
      </c>
      <c r="L135" s="22">
        <v>1</v>
      </c>
      <c r="M135" s="22">
        <v>0.98</v>
      </c>
      <c r="N135" s="22">
        <v>1</v>
      </c>
      <c r="O135" s="22">
        <v>4.7300000000000004</v>
      </c>
      <c r="P135" s="22">
        <v>94.600000000000009</v>
      </c>
    </row>
    <row r="136" spans="1:16" x14ac:dyDescent="0.25">
      <c r="A136" s="23" t="s">
        <v>497</v>
      </c>
      <c r="B136" s="22" t="s">
        <v>475</v>
      </c>
      <c r="C136" s="22" t="s">
        <v>287</v>
      </c>
      <c r="D136" s="22">
        <v>62</v>
      </c>
      <c r="E136" s="22" t="s">
        <v>98</v>
      </c>
      <c r="F136" s="22" t="s">
        <v>76</v>
      </c>
      <c r="G136" s="22" t="s">
        <v>70</v>
      </c>
      <c r="H136" s="22" t="s">
        <v>331</v>
      </c>
      <c r="I136" s="22" t="s">
        <v>73</v>
      </c>
      <c r="J136" s="22" t="s">
        <v>345</v>
      </c>
      <c r="K136" s="22">
        <v>1.92</v>
      </c>
      <c r="L136" s="22">
        <v>0.99</v>
      </c>
      <c r="M136" s="22">
        <v>0.97</v>
      </c>
      <c r="N136" s="22">
        <v>1</v>
      </c>
      <c r="O136" s="22">
        <v>4.88</v>
      </c>
      <c r="P136" s="22">
        <v>97.6</v>
      </c>
    </row>
    <row r="137" spans="1:16" x14ac:dyDescent="0.25">
      <c r="A137" s="23" t="s">
        <v>497</v>
      </c>
      <c r="B137" s="22" t="s">
        <v>476</v>
      </c>
      <c r="C137" s="22" t="s">
        <v>288</v>
      </c>
      <c r="D137" s="22">
        <v>54</v>
      </c>
      <c r="E137" s="22" t="s">
        <v>477</v>
      </c>
      <c r="F137" s="22" t="s">
        <v>76</v>
      </c>
      <c r="G137" s="22" t="s">
        <v>70</v>
      </c>
      <c r="H137" s="22" t="s">
        <v>331</v>
      </c>
      <c r="I137" s="22" t="s">
        <v>71</v>
      </c>
      <c r="J137" s="22" t="s">
        <v>93</v>
      </c>
      <c r="K137" s="22">
        <v>1.87</v>
      </c>
      <c r="L137" s="22">
        <v>1</v>
      </c>
      <c r="M137" s="22">
        <v>1</v>
      </c>
      <c r="N137" s="22">
        <v>1</v>
      </c>
      <c r="O137" s="22">
        <v>4.87</v>
      </c>
      <c r="P137" s="22">
        <v>97.4</v>
      </c>
    </row>
    <row r="138" spans="1:16" x14ac:dyDescent="0.25">
      <c r="A138" s="23" t="s">
        <v>497</v>
      </c>
      <c r="B138" s="22" t="s">
        <v>478</v>
      </c>
      <c r="C138" s="22" t="s">
        <v>289</v>
      </c>
      <c r="D138" s="22">
        <v>30</v>
      </c>
      <c r="E138" s="22" t="s">
        <v>98</v>
      </c>
      <c r="F138" s="22" t="s">
        <v>69</v>
      </c>
      <c r="G138" s="22" t="s">
        <v>70</v>
      </c>
      <c r="H138" s="22" t="s">
        <v>331</v>
      </c>
      <c r="I138" s="22" t="s">
        <v>73</v>
      </c>
      <c r="J138" s="22" t="s">
        <v>365</v>
      </c>
      <c r="K138" s="22">
        <v>1.62</v>
      </c>
      <c r="L138" s="22">
        <v>1</v>
      </c>
      <c r="M138" s="22">
        <v>1</v>
      </c>
      <c r="N138" s="22">
        <v>0.97</v>
      </c>
      <c r="O138" s="22">
        <v>4.59</v>
      </c>
      <c r="P138" s="22">
        <v>91.8</v>
      </c>
    </row>
    <row r="139" spans="1:16" x14ac:dyDescent="0.25">
      <c r="A139" s="23" t="s">
        <v>497</v>
      </c>
      <c r="B139" s="22" t="s">
        <v>136</v>
      </c>
      <c r="C139" s="22" t="s">
        <v>290</v>
      </c>
      <c r="D139" s="22">
        <v>43</v>
      </c>
      <c r="E139" s="22" t="s">
        <v>82</v>
      </c>
      <c r="F139" s="22" t="s">
        <v>76</v>
      </c>
      <c r="G139" s="22" t="s">
        <v>70</v>
      </c>
      <c r="H139" s="22" t="s">
        <v>331</v>
      </c>
      <c r="I139" s="22" t="s">
        <v>73</v>
      </c>
      <c r="J139" s="22" t="s">
        <v>72</v>
      </c>
      <c r="K139" s="22">
        <v>1.93</v>
      </c>
      <c r="L139" s="22">
        <v>0</v>
      </c>
      <c r="M139" s="22">
        <v>0.93</v>
      </c>
      <c r="N139" s="22">
        <v>1</v>
      </c>
      <c r="O139" s="22">
        <v>3.86</v>
      </c>
      <c r="P139" s="22">
        <v>77.2</v>
      </c>
    </row>
    <row r="140" spans="1:16" x14ac:dyDescent="0.25">
      <c r="A140" s="23" t="s">
        <v>497</v>
      </c>
      <c r="B140" s="22" t="s">
        <v>479</v>
      </c>
      <c r="C140" s="22" t="s">
        <v>291</v>
      </c>
      <c r="D140" s="22">
        <v>37</v>
      </c>
      <c r="E140" s="22" t="s">
        <v>98</v>
      </c>
      <c r="F140" s="22" t="s">
        <v>69</v>
      </c>
      <c r="G140" s="22" t="s">
        <v>70</v>
      </c>
      <c r="H140" s="22" t="s">
        <v>331</v>
      </c>
      <c r="I140" s="22" t="s">
        <v>73</v>
      </c>
      <c r="J140" s="22" t="s">
        <v>345</v>
      </c>
      <c r="K140" s="22">
        <v>1.9</v>
      </c>
      <c r="L140" s="22">
        <v>1</v>
      </c>
      <c r="M140" s="22">
        <v>1</v>
      </c>
      <c r="N140" s="22">
        <v>0.97</v>
      </c>
      <c r="O140" s="22">
        <v>4.87</v>
      </c>
      <c r="P140" s="22">
        <v>97.4</v>
      </c>
    </row>
    <row r="141" spans="1:16" x14ac:dyDescent="0.25">
      <c r="A141" s="23" t="s">
        <v>497</v>
      </c>
      <c r="B141" s="22" t="s">
        <v>480</v>
      </c>
      <c r="C141" s="22" t="s">
        <v>292</v>
      </c>
      <c r="D141" s="22">
        <v>47</v>
      </c>
      <c r="E141" s="22" t="s">
        <v>98</v>
      </c>
      <c r="F141" s="22" t="s">
        <v>69</v>
      </c>
      <c r="G141" s="22" t="s">
        <v>70</v>
      </c>
      <c r="H141" s="22" t="s">
        <v>331</v>
      </c>
      <c r="I141" s="22" t="s">
        <v>73</v>
      </c>
      <c r="J141" s="22" t="s">
        <v>345</v>
      </c>
      <c r="K141" s="22">
        <v>1.48</v>
      </c>
      <c r="L141" s="22">
        <v>1</v>
      </c>
      <c r="M141" s="22">
        <v>0.97</v>
      </c>
      <c r="N141" s="22">
        <v>0.91</v>
      </c>
      <c r="O141" s="22">
        <v>4.3600000000000003</v>
      </c>
      <c r="P141" s="22">
        <v>87.200000000000017</v>
      </c>
    </row>
    <row r="142" spans="1:16" x14ac:dyDescent="0.25">
      <c r="A142" s="23" t="s">
        <v>497</v>
      </c>
      <c r="B142" s="22" t="s">
        <v>481</v>
      </c>
      <c r="C142" s="22" t="s">
        <v>293</v>
      </c>
      <c r="D142" s="22">
        <v>42</v>
      </c>
      <c r="E142" s="22" t="s">
        <v>84</v>
      </c>
      <c r="F142" s="22" t="s">
        <v>76</v>
      </c>
      <c r="G142" s="22" t="s">
        <v>70</v>
      </c>
      <c r="H142" s="22" t="s">
        <v>331</v>
      </c>
      <c r="I142" s="22" t="s">
        <v>71</v>
      </c>
      <c r="J142" s="22" t="s">
        <v>398</v>
      </c>
      <c r="K142" s="22">
        <v>1.61</v>
      </c>
      <c r="L142" s="22">
        <v>0.98</v>
      </c>
      <c r="M142" s="22">
        <v>1</v>
      </c>
      <c r="N142" s="22">
        <v>1</v>
      </c>
      <c r="O142" s="22">
        <v>4.59</v>
      </c>
      <c r="P142" s="22">
        <v>91.8</v>
      </c>
    </row>
    <row r="143" spans="1:16" x14ac:dyDescent="0.25">
      <c r="A143" s="23" t="s">
        <v>497</v>
      </c>
      <c r="B143" s="22" t="s">
        <v>482</v>
      </c>
      <c r="C143" s="22" t="s">
        <v>294</v>
      </c>
      <c r="D143" s="22">
        <v>50</v>
      </c>
      <c r="E143" s="22" t="s">
        <v>94</v>
      </c>
      <c r="F143" s="22" t="s">
        <v>76</v>
      </c>
      <c r="G143" s="22" t="s">
        <v>70</v>
      </c>
      <c r="H143" s="22" t="s">
        <v>361</v>
      </c>
      <c r="I143" s="22" t="s">
        <v>340</v>
      </c>
      <c r="J143" s="22" t="s">
        <v>332</v>
      </c>
      <c r="K143" s="22">
        <v>1.78</v>
      </c>
      <c r="L143" s="22">
        <v>1</v>
      </c>
      <c r="M143" s="22">
        <v>0.97</v>
      </c>
      <c r="N143" s="22">
        <v>1</v>
      </c>
      <c r="O143" s="22">
        <v>4.75</v>
      </c>
      <c r="P143" s="22">
        <v>95</v>
      </c>
    </row>
    <row r="144" spans="1:16" x14ac:dyDescent="0.25">
      <c r="A144" s="23" t="s">
        <v>497</v>
      </c>
      <c r="B144" s="22" t="s">
        <v>483</v>
      </c>
      <c r="C144" s="22" t="s">
        <v>295</v>
      </c>
      <c r="D144" s="22">
        <v>31</v>
      </c>
      <c r="E144" s="22" t="s">
        <v>347</v>
      </c>
      <c r="F144" s="22" t="s">
        <v>69</v>
      </c>
      <c r="G144" s="22" t="s">
        <v>70</v>
      </c>
      <c r="H144" s="22" t="s">
        <v>331</v>
      </c>
      <c r="I144" s="22" t="s">
        <v>71</v>
      </c>
      <c r="J144" s="22" t="s">
        <v>83</v>
      </c>
      <c r="K144" s="22">
        <v>1.87</v>
      </c>
      <c r="L144" s="22">
        <v>0.98</v>
      </c>
      <c r="M144" s="22">
        <v>1</v>
      </c>
      <c r="N144" s="22">
        <v>1</v>
      </c>
      <c r="O144" s="22">
        <v>4.8499999999999996</v>
      </c>
      <c r="P144" s="22">
        <v>96.999999999999986</v>
      </c>
    </row>
    <row r="145" spans="1:16" x14ac:dyDescent="0.25">
      <c r="A145" s="23" t="s">
        <v>497</v>
      </c>
      <c r="B145" s="22" t="s">
        <v>484</v>
      </c>
      <c r="C145" s="22" t="s">
        <v>296</v>
      </c>
      <c r="D145" s="22">
        <v>36</v>
      </c>
      <c r="E145" s="22" t="s">
        <v>75</v>
      </c>
      <c r="F145" s="22" t="s">
        <v>76</v>
      </c>
      <c r="G145" s="22" t="s">
        <v>70</v>
      </c>
      <c r="H145" s="22" t="s">
        <v>331</v>
      </c>
      <c r="I145" s="22" t="s">
        <v>73</v>
      </c>
      <c r="J145" s="22" t="s">
        <v>72</v>
      </c>
      <c r="K145" s="22">
        <v>1.8</v>
      </c>
      <c r="L145" s="22">
        <v>1</v>
      </c>
      <c r="M145" s="22">
        <v>1</v>
      </c>
      <c r="N145" s="22">
        <v>1</v>
      </c>
      <c r="O145" s="22">
        <v>4.8</v>
      </c>
      <c r="P145" s="22">
        <v>96</v>
      </c>
    </row>
    <row r="146" spans="1:16" x14ac:dyDescent="0.25">
      <c r="A146" s="23" t="s">
        <v>497</v>
      </c>
      <c r="B146" s="22" t="s">
        <v>485</v>
      </c>
      <c r="C146" s="22" t="s">
        <v>297</v>
      </c>
      <c r="D146" s="22">
        <v>41</v>
      </c>
      <c r="E146" s="22" t="s">
        <v>75</v>
      </c>
      <c r="F146" s="22" t="s">
        <v>69</v>
      </c>
      <c r="G146" s="22" t="s">
        <v>70</v>
      </c>
      <c r="H146" s="22" t="s">
        <v>331</v>
      </c>
      <c r="I146" s="22" t="s">
        <v>73</v>
      </c>
      <c r="J146" s="22" t="s">
        <v>350</v>
      </c>
      <c r="K146" s="22">
        <v>1.98</v>
      </c>
      <c r="L146" s="22">
        <v>1</v>
      </c>
      <c r="M146" s="22">
        <v>1</v>
      </c>
      <c r="N146" s="22">
        <v>1</v>
      </c>
      <c r="O146" s="22">
        <v>4.9800000000000004</v>
      </c>
      <c r="P146" s="22">
        <v>99.600000000000009</v>
      </c>
    </row>
    <row r="147" spans="1:16" x14ac:dyDescent="0.25">
      <c r="A147" s="23" t="s">
        <v>497</v>
      </c>
      <c r="B147" s="22" t="s">
        <v>486</v>
      </c>
      <c r="C147" s="22" t="s">
        <v>298</v>
      </c>
      <c r="D147" s="22">
        <v>59</v>
      </c>
      <c r="E147" s="22" t="s">
        <v>94</v>
      </c>
      <c r="F147" s="22" t="s">
        <v>76</v>
      </c>
      <c r="G147" s="22" t="s">
        <v>70</v>
      </c>
      <c r="H147" s="22" t="s">
        <v>331</v>
      </c>
      <c r="I147" s="22" t="s">
        <v>340</v>
      </c>
      <c r="J147" s="22" t="s">
        <v>353</v>
      </c>
      <c r="K147" s="22">
        <v>1.99</v>
      </c>
      <c r="L147" s="22">
        <v>1</v>
      </c>
      <c r="M147" s="22">
        <v>1</v>
      </c>
      <c r="N147" s="22">
        <v>1</v>
      </c>
      <c r="O147" s="22">
        <v>4.99</v>
      </c>
      <c r="P147" s="22">
        <v>99.8</v>
      </c>
    </row>
    <row r="148" spans="1:16" x14ac:dyDescent="0.25">
      <c r="A148" s="23" t="s">
        <v>497</v>
      </c>
      <c r="B148" s="22" t="s">
        <v>487</v>
      </c>
      <c r="C148" s="22" t="s">
        <v>299</v>
      </c>
      <c r="D148" s="22">
        <v>39</v>
      </c>
      <c r="E148" s="22" t="s">
        <v>488</v>
      </c>
      <c r="F148" s="22" t="s">
        <v>76</v>
      </c>
      <c r="G148" s="22" t="s">
        <v>70</v>
      </c>
      <c r="H148" s="22" t="s">
        <v>331</v>
      </c>
      <c r="I148" s="22" t="s">
        <v>71</v>
      </c>
      <c r="J148" s="22" t="s">
        <v>350</v>
      </c>
      <c r="K148" s="22">
        <v>1.93</v>
      </c>
      <c r="L148" s="22">
        <v>0.99</v>
      </c>
      <c r="M148" s="22">
        <v>1</v>
      </c>
      <c r="N148" s="22">
        <v>0.97</v>
      </c>
      <c r="O148" s="22">
        <v>4.8899999999999997</v>
      </c>
      <c r="P148" s="22">
        <v>97.799999999999983</v>
      </c>
    </row>
    <row r="149" spans="1:16" x14ac:dyDescent="0.25">
      <c r="A149" s="23" t="s">
        <v>497</v>
      </c>
      <c r="B149" s="22" t="s">
        <v>489</v>
      </c>
      <c r="C149" s="22" t="s">
        <v>300</v>
      </c>
      <c r="D149" s="22">
        <v>35</v>
      </c>
      <c r="E149" s="22" t="s">
        <v>400</v>
      </c>
      <c r="F149" s="22" t="s">
        <v>76</v>
      </c>
      <c r="G149" s="22" t="s">
        <v>70</v>
      </c>
      <c r="H149" s="22" t="s">
        <v>331</v>
      </c>
      <c r="I149" s="22" t="s">
        <v>340</v>
      </c>
      <c r="J149" s="22" t="s">
        <v>104</v>
      </c>
      <c r="K149" s="22">
        <v>1.66</v>
      </c>
      <c r="L149" s="22">
        <v>1</v>
      </c>
      <c r="M149" s="22">
        <v>1</v>
      </c>
      <c r="N149" s="22">
        <v>1</v>
      </c>
      <c r="O149" s="22">
        <v>4.66</v>
      </c>
      <c r="P149" s="22">
        <v>93.2</v>
      </c>
    </row>
    <row r="150" spans="1:16" x14ac:dyDescent="0.25">
      <c r="A150" s="23" t="s">
        <v>497</v>
      </c>
      <c r="B150" s="22" t="s">
        <v>490</v>
      </c>
      <c r="C150" s="22" t="s">
        <v>301</v>
      </c>
      <c r="D150" s="22">
        <v>58</v>
      </c>
      <c r="E150" s="22" t="s">
        <v>342</v>
      </c>
      <c r="F150" s="22" t="s">
        <v>76</v>
      </c>
      <c r="G150" s="22" t="s">
        <v>70</v>
      </c>
      <c r="H150" s="22" t="s">
        <v>331</v>
      </c>
      <c r="I150" s="22" t="s">
        <v>71</v>
      </c>
      <c r="J150" s="22" t="s">
        <v>93</v>
      </c>
      <c r="K150" s="22">
        <v>1.74</v>
      </c>
      <c r="L150" s="22">
        <v>1</v>
      </c>
      <c r="M150" s="22">
        <v>1</v>
      </c>
      <c r="N150" s="22">
        <v>0.97</v>
      </c>
      <c r="O150" s="22">
        <v>4.71</v>
      </c>
      <c r="P150" s="22">
        <v>94.2</v>
      </c>
    </row>
    <row r="151" spans="1:16" x14ac:dyDescent="0.25">
      <c r="A151" s="23" t="s">
        <v>497</v>
      </c>
      <c r="B151" s="22" t="s">
        <v>491</v>
      </c>
      <c r="C151" s="22" t="s">
        <v>302</v>
      </c>
      <c r="D151" s="22">
        <v>33</v>
      </c>
      <c r="E151" s="22" t="s">
        <v>349</v>
      </c>
      <c r="F151" s="22" t="s">
        <v>69</v>
      </c>
      <c r="G151" s="22" t="s">
        <v>70</v>
      </c>
      <c r="H151" s="22" t="s">
        <v>331</v>
      </c>
      <c r="I151" s="22" t="s">
        <v>73</v>
      </c>
      <c r="J151" s="22" t="s">
        <v>72</v>
      </c>
      <c r="K151" s="22">
        <v>1.76</v>
      </c>
      <c r="L151" s="22">
        <v>0.93</v>
      </c>
      <c r="M151" s="22">
        <v>0.96</v>
      </c>
      <c r="N151" s="22">
        <v>1</v>
      </c>
      <c r="O151" s="22">
        <v>4.6500000000000004</v>
      </c>
      <c r="P151" s="22">
        <v>93.000000000000014</v>
      </c>
    </row>
    <row r="152" spans="1:16" x14ac:dyDescent="0.25">
      <c r="A152" s="23" t="s">
        <v>497</v>
      </c>
      <c r="B152" s="22" t="s">
        <v>492</v>
      </c>
      <c r="C152" s="22" t="s">
        <v>303</v>
      </c>
      <c r="D152" s="22">
        <v>35</v>
      </c>
      <c r="E152" s="22" t="s">
        <v>75</v>
      </c>
      <c r="F152" s="22" t="s">
        <v>76</v>
      </c>
      <c r="G152" s="22" t="s">
        <v>70</v>
      </c>
      <c r="H152" s="22" t="s">
        <v>331</v>
      </c>
      <c r="I152" s="22" t="s">
        <v>71</v>
      </c>
      <c r="J152" s="22" t="s">
        <v>365</v>
      </c>
      <c r="K152" s="22">
        <v>1.68</v>
      </c>
      <c r="L152" s="22">
        <v>1</v>
      </c>
      <c r="M152" s="22">
        <v>1</v>
      </c>
      <c r="N152" s="22">
        <v>1</v>
      </c>
      <c r="O152" s="22">
        <v>4.68</v>
      </c>
      <c r="P152" s="22">
        <v>93.6</v>
      </c>
    </row>
    <row r="153" spans="1:16" x14ac:dyDescent="0.25">
      <c r="A153" s="23" t="s">
        <v>497</v>
      </c>
      <c r="B153" s="22" t="s">
        <v>493</v>
      </c>
      <c r="C153" s="22" t="s">
        <v>304</v>
      </c>
      <c r="D153" s="22">
        <v>44</v>
      </c>
      <c r="E153" s="22" t="s">
        <v>98</v>
      </c>
      <c r="F153" s="22" t="s">
        <v>76</v>
      </c>
      <c r="G153" s="22" t="s">
        <v>70</v>
      </c>
      <c r="H153" s="22" t="s">
        <v>331</v>
      </c>
      <c r="I153" s="22" t="s">
        <v>73</v>
      </c>
      <c r="J153" s="22" t="s">
        <v>365</v>
      </c>
      <c r="K153" s="22">
        <v>1.56</v>
      </c>
      <c r="L153" s="22">
        <v>1</v>
      </c>
      <c r="M153" s="22">
        <v>1</v>
      </c>
      <c r="N153" s="22">
        <v>0.96</v>
      </c>
      <c r="O153" s="22">
        <v>4.5199999999999996</v>
      </c>
      <c r="P153" s="22">
        <v>90.399999999999991</v>
      </c>
    </row>
    <row r="154" spans="1:16" x14ac:dyDescent="0.25">
      <c r="A154" s="23" t="s">
        <v>497</v>
      </c>
      <c r="B154" s="22" t="s">
        <v>494</v>
      </c>
      <c r="C154" s="22" t="s">
        <v>305</v>
      </c>
      <c r="D154" s="22">
        <v>40</v>
      </c>
      <c r="E154" s="22" t="s">
        <v>338</v>
      </c>
      <c r="F154" s="22" t="s">
        <v>69</v>
      </c>
      <c r="G154" s="22" t="s">
        <v>70</v>
      </c>
      <c r="H154" s="22" t="s">
        <v>331</v>
      </c>
      <c r="I154" s="22" t="s">
        <v>340</v>
      </c>
      <c r="J154" s="22" t="s">
        <v>72</v>
      </c>
      <c r="K154" s="22">
        <v>1.73</v>
      </c>
      <c r="L154" s="22">
        <v>1</v>
      </c>
      <c r="M154" s="22">
        <v>0.99</v>
      </c>
      <c r="N154" s="22">
        <v>1</v>
      </c>
      <c r="O154" s="22">
        <v>4.72</v>
      </c>
      <c r="P154" s="22">
        <v>94.4</v>
      </c>
    </row>
    <row r="155" spans="1:16" x14ac:dyDescent="0.25">
      <c r="A155" s="23" t="s">
        <v>497</v>
      </c>
      <c r="B155" s="22" t="s">
        <v>495</v>
      </c>
      <c r="C155" s="22" t="s">
        <v>306</v>
      </c>
      <c r="D155" s="22">
        <v>50</v>
      </c>
      <c r="E155" s="22" t="s">
        <v>94</v>
      </c>
      <c r="F155" s="22" t="s">
        <v>76</v>
      </c>
      <c r="G155" s="22" t="s">
        <v>70</v>
      </c>
      <c r="H155" s="22" t="s">
        <v>331</v>
      </c>
      <c r="I155" s="22" t="s">
        <v>71</v>
      </c>
      <c r="J155" s="22" t="s">
        <v>344</v>
      </c>
      <c r="K155" s="22">
        <v>1.96</v>
      </c>
      <c r="L155" s="22">
        <v>1</v>
      </c>
      <c r="M155" s="22">
        <v>1</v>
      </c>
      <c r="N155" s="22">
        <v>0.95</v>
      </c>
      <c r="O155" s="22">
        <v>4.91</v>
      </c>
      <c r="P155" s="22">
        <v>98.2</v>
      </c>
    </row>
  </sheetData>
  <sheetProtection formatCells="0" formatColumns="0" formatRows="0" insertColumns="0" insertRows="0" insertHyperlinks="0" deleteColumns="0" deleteRows="0" sort="0" autoFilter="0" pivotTables="0"/>
  <autoFilter ref="A1:P155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D4ED-65D0-4B8B-8780-50F1A2DD7FEA}">
  <dimension ref="A1:N426"/>
  <sheetViews>
    <sheetView tabSelected="1" zoomScale="70" zoomScaleNormal="70" workbookViewId="0">
      <selection activeCell="C19" sqref="C19"/>
    </sheetView>
  </sheetViews>
  <sheetFormatPr baseColWidth="10" defaultColWidth="8.7109375" defaultRowHeight="15" x14ac:dyDescent="0.25"/>
  <cols>
    <col min="1" max="1" width="39.5703125" customWidth="1"/>
    <col min="2" max="2" width="21" customWidth="1"/>
    <col min="3" max="3" width="52" bestFit="1" customWidth="1"/>
    <col min="4" max="5" width="20.28515625" customWidth="1"/>
    <col min="6" max="6" width="24.7109375" bestFit="1" customWidth="1"/>
    <col min="7" max="7" width="20.28515625" customWidth="1"/>
    <col min="8" max="8" width="19.5703125" customWidth="1"/>
    <col min="9" max="9" width="13" bestFit="1" customWidth="1"/>
    <col min="10" max="10" width="10" bestFit="1" customWidth="1"/>
    <col min="11" max="11" width="18" bestFit="1" customWidth="1"/>
    <col min="12" max="12" width="12" bestFit="1" customWidth="1"/>
    <col min="13" max="13" width="16.140625" customWidth="1"/>
    <col min="14" max="14" width="19.42578125" customWidth="1"/>
  </cols>
  <sheetData>
    <row r="1" spans="1:14" x14ac:dyDescent="0.25">
      <c r="A1" s="52" t="s">
        <v>496</v>
      </c>
      <c r="B1" s="51" t="s">
        <v>141</v>
      </c>
      <c r="C1" s="51" t="s">
        <v>0</v>
      </c>
      <c r="D1" s="51" t="s">
        <v>324</v>
      </c>
      <c r="E1" s="51" t="s">
        <v>325</v>
      </c>
      <c r="F1" s="51" t="s">
        <v>326</v>
      </c>
      <c r="G1" s="51" t="s">
        <v>327</v>
      </c>
      <c r="H1" s="51" t="s">
        <v>328</v>
      </c>
      <c r="I1" s="51" t="s">
        <v>1</v>
      </c>
      <c r="J1" s="51" t="s">
        <v>2</v>
      </c>
      <c r="K1" s="51" t="s">
        <v>3</v>
      </c>
      <c r="L1" s="51" t="s">
        <v>4</v>
      </c>
      <c r="M1" s="51" t="s">
        <v>321</v>
      </c>
      <c r="N1" s="51" t="s">
        <v>49</v>
      </c>
    </row>
    <row r="2" spans="1:14" x14ac:dyDescent="0.25">
      <c r="A2" s="44" t="s">
        <v>497</v>
      </c>
      <c r="B2" s="45" t="s">
        <v>329</v>
      </c>
      <c r="C2" s="45" t="s">
        <v>155</v>
      </c>
      <c r="D2" s="45" t="s">
        <v>76</v>
      </c>
      <c r="E2" s="45" t="s">
        <v>70</v>
      </c>
      <c r="F2" s="45" t="s">
        <v>331</v>
      </c>
      <c r="G2" s="45" t="s">
        <v>71</v>
      </c>
      <c r="H2" s="45" t="s">
        <v>332</v>
      </c>
      <c r="I2" s="45">
        <v>1.84</v>
      </c>
      <c r="J2" s="45">
        <v>0.99</v>
      </c>
      <c r="K2" s="45">
        <v>0.97</v>
      </c>
      <c r="L2" s="45">
        <v>1</v>
      </c>
      <c r="M2" s="45">
        <v>4.8</v>
      </c>
      <c r="N2" s="45">
        <v>96</v>
      </c>
    </row>
    <row r="3" spans="1:14" x14ac:dyDescent="0.25">
      <c r="A3" s="44" t="s">
        <v>497</v>
      </c>
      <c r="B3" s="45" t="s">
        <v>333</v>
      </c>
      <c r="C3" s="45" t="s">
        <v>156</v>
      </c>
      <c r="D3" s="45" t="s">
        <v>69</v>
      </c>
      <c r="E3" s="45" t="s">
        <v>70</v>
      </c>
      <c r="F3" s="45" t="s">
        <v>331</v>
      </c>
      <c r="G3" s="45" t="s">
        <v>71</v>
      </c>
      <c r="H3" s="45" t="s">
        <v>365</v>
      </c>
      <c r="I3" s="45">
        <v>1.68</v>
      </c>
      <c r="J3" s="45">
        <v>0.86</v>
      </c>
      <c r="K3" s="45">
        <v>1</v>
      </c>
      <c r="L3" s="45">
        <v>0.93</v>
      </c>
      <c r="M3" s="45">
        <v>4.47</v>
      </c>
      <c r="N3" s="45">
        <v>89.4</v>
      </c>
    </row>
    <row r="4" spans="1:14" x14ac:dyDescent="0.25">
      <c r="A4" s="44" t="s">
        <v>497</v>
      </c>
      <c r="B4" s="45" t="s">
        <v>334</v>
      </c>
      <c r="C4" s="45" t="s">
        <v>157</v>
      </c>
      <c r="D4" s="45" t="s">
        <v>76</v>
      </c>
      <c r="E4" s="45" t="s">
        <v>70</v>
      </c>
      <c r="F4" s="45" t="s">
        <v>331</v>
      </c>
      <c r="G4" s="45" t="s">
        <v>71</v>
      </c>
      <c r="H4" s="45" t="s">
        <v>365</v>
      </c>
      <c r="I4" s="45">
        <v>1.72</v>
      </c>
      <c r="J4" s="45">
        <v>1</v>
      </c>
      <c r="K4" s="45">
        <v>1</v>
      </c>
      <c r="L4" s="45">
        <v>1</v>
      </c>
      <c r="M4" s="45">
        <v>4.72</v>
      </c>
      <c r="N4" s="45">
        <v>94.4</v>
      </c>
    </row>
    <row r="5" spans="1:14" x14ac:dyDescent="0.25">
      <c r="A5" s="44" t="s">
        <v>497</v>
      </c>
      <c r="B5" s="45" t="s">
        <v>335</v>
      </c>
      <c r="C5" s="45" t="s">
        <v>158</v>
      </c>
      <c r="D5" s="45" t="s">
        <v>76</v>
      </c>
      <c r="E5" s="45" t="s">
        <v>70</v>
      </c>
      <c r="F5" s="45" t="s">
        <v>331</v>
      </c>
      <c r="G5" s="45" t="s">
        <v>71</v>
      </c>
      <c r="H5" s="45" t="s">
        <v>332</v>
      </c>
      <c r="I5" s="45">
        <v>1.94</v>
      </c>
      <c r="J5" s="45">
        <v>1</v>
      </c>
      <c r="K5" s="45">
        <v>0.94</v>
      </c>
      <c r="L5" s="45">
        <v>0.91</v>
      </c>
      <c r="M5" s="45">
        <v>4.79</v>
      </c>
      <c r="N5" s="45">
        <v>95.8</v>
      </c>
    </row>
    <row r="6" spans="1:14" x14ac:dyDescent="0.25">
      <c r="A6" s="44" t="s">
        <v>497</v>
      </c>
      <c r="B6" s="45" t="s">
        <v>337</v>
      </c>
      <c r="C6" s="45" t="s">
        <v>159</v>
      </c>
      <c r="D6" s="45" t="s">
        <v>69</v>
      </c>
      <c r="E6" s="45" t="s">
        <v>70</v>
      </c>
      <c r="F6" s="45" t="s">
        <v>331</v>
      </c>
      <c r="G6" s="45" t="s">
        <v>71</v>
      </c>
      <c r="H6" s="45" t="s">
        <v>332</v>
      </c>
      <c r="I6" s="45">
        <v>1.91</v>
      </c>
      <c r="J6" s="45">
        <v>1</v>
      </c>
      <c r="K6" s="45">
        <v>1</v>
      </c>
      <c r="L6" s="45">
        <v>0.98</v>
      </c>
      <c r="M6" s="45">
        <v>4.8899999999999997</v>
      </c>
      <c r="N6" s="45">
        <v>97.799999999999983</v>
      </c>
    </row>
    <row r="7" spans="1:14" x14ac:dyDescent="0.25">
      <c r="A7" s="44" t="s">
        <v>497</v>
      </c>
      <c r="B7" s="45" t="s">
        <v>143</v>
      </c>
      <c r="C7" s="45" t="s">
        <v>160</v>
      </c>
      <c r="D7" s="45" t="s">
        <v>69</v>
      </c>
      <c r="E7" s="45" t="s">
        <v>70</v>
      </c>
      <c r="F7" s="45" t="s">
        <v>331</v>
      </c>
      <c r="G7" s="45" t="s">
        <v>73</v>
      </c>
      <c r="H7" s="45" t="s">
        <v>339</v>
      </c>
      <c r="I7" s="45">
        <v>1.8</v>
      </c>
      <c r="J7" s="45">
        <v>1</v>
      </c>
      <c r="K7" s="45">
        <v>0.93</v>
      </c>
      <c r="L7" s="45">
        <v>0.92</v>
      </c>
      <c r="M7" s="45">
        <v>4.6500000000000004</v>
      </c>
      <c r="N7" s="45">
        <v>93.000000000000014</v>
      </c>
    </row>
    <row r="8" spans="1:14" x14ac:dyDescent="0.25">
      <c r="A8" s="44" t="s">
        <v>497</v>
      </c>
      <c r="B8" s="45" t="s">
        <v>307</v>
      </c>
      <c r="C8" s="45" t="s">
        <v>161</v>
      </c>
      <c r="D8" s="45" t="s">
        <v>76</v>
      </c>
      <c r="E8" s="45" t="s">
        <v>70</v>
      </c>
      <c r="F8" s="45" t="s">
        <v>331</v>
      </c>
      <c r="G8" s="45" t="s">
        <v>73</v>
      </c>
      <c r="H8" s="45" t="s">
        <v>72</v>
      </c>
      <c r="I8" s="45">
        <v>1.83</v>
      </c>
      <c r="J8" s="45">
        <v>0.96</v>
      </c>
      <c r="K8" s="45">
        <v>1</v>
      </c>
      <c r="L8" s="45">
        <v>1</v>
      </c>
      <c r="M8" s="45">
        <v>4.79</v>
      </c>
      <c r="N8" s="45">
        <v>95.8</v>
      </c>
    </row>
    <row r="9" spans="1:14" x14ac:dyDescent="0.25">
      <c r="A9" s="44" t="s">
        <v>497</v>
      </c>
      <c r="B9" s="45" t="s">
        <v>308</v>
      </c>
      <c r="C9" s="45" t="s">
        <v>162</v>
      </c>
      <c r="D9" s="45" t="s">
        <v>69</v>
      </c>
      <c r="E9" s="45" t="s">
        <v>70</v>
      </c>
      <c r="F9" s="45" t="s">
        <v>331</v>
      </c>
      <c r="G9" s="45" t="s">
        <v>340</v>
      </c>
      <c r="H9" s="45" t="s">
        <v>83</v>
      </c>
      <c r="I9" s="45">
        <v>1.83</v>
      </c>
      <c r="J9" s="45">
        <v>1</v>
      </c>
      <c r="K9" s="45">
        <v>0.98</v>
      </c>
      <c r="L9" s="45">
        <v>1</v>
      </c>
      <c r="M9" s="45">
        <v>4.8099999999999996</v>
      </c>
      <c r="N9" s="45">
        <v>96.199999999999989</v>
      </c>
    </row>
    <row r="10" spans="1:14" x14ac:dyDescent="0.25">
      <c r="A10" s="44" t="s">
        <v>497</v>
      </c>
      <c r="B10" s="45" t="s">
        <v>96</v>
      </c>
      <c r="C10" s="45" t="s">
        <v>163</v>
      </c>
      <c r="D10" s="45" t="s">
        <v>76</v>
      </c>
      <c r="E10" s="45" t="s">
        <v>70</v>
      </c>
      <c r="F10" s="45" t="s">
        <v>331</v>
      </c>
      <c r="G10" s="45" t="s">
        <v>73</v>
      </c>
      <c r="H10" s="45" t="s">
        <v>83</v>
      </c>
      <c r="I10" s="45">
        <v>1.85</v>
      </c>
      <c r="J10" s="45">
        <v>0</v>
      </c>
      <c r="K10" s="45">
        <v>1</v>
      </c>
      <c r="L10" s="45">
        <v>1</v>
      </c>
      <c r="M10" s="45">
        <v>3.85</v>
      </c>
      <c r="N10" s="45">
        <v>77</v>
      </c>
    </row>
    <row r="11" spans="1:14" x14ac:dyDescent="0.25">
      <c r="A11" s="44" t="s">
        <v>497</v>
      </c>
      <c r="B11" s="45" t="s">
        <v>341</v>
      </c>
      <c r="C11" s="45" t="s">
        <v>164</v>
      </c>
      <c r="D11" s="45" t="s">
        <v>76</v>
      </c>
      <c r="E11" s="45" t="s">
        <v>70</v>
      </c>
      <c r="F11" s="45" t="s">
        <v>331</v>
      </c>
      <c r="G11" s="45" t="s">
        <v>71</v>
      </c>
      <c r="H11" s="45" t="s">
        <v>93</v>
      </c>
      <c r="I11" s="45">
        <v>1.74</v>
      </c>
      <c r="J11" s="45">
        <v>0.97</v>
      </c>
      <c r="K11" s="45">
        <v>0.97</v>
      </c>
      <c r="L11" s="45">
        <v>0.97</v>
      </c>
      <c r="M11" s="45">
        <v>4.6500000000000004</v>
      </c>
      <c r="N11" s="45">
        <v>93.000000000000014</v>
      </c>
    </row>
    <row r="12" spans="1:14" x14ac:dyDescent="0.25">
      <c r="A12" s="44" t="s">
        <v>497</v>
      </c>
      <c r="B12" s="45" t="s">
        <v>343</v>
      </c>
      <c r="C12" s="45" t="s">
        <v>165</v>
      </c>
      <c r="D12" s="45" t="s">
        <v>76</v>
      </c>
      <c r="E12" s="45" t="s">
        <v>70</v>
      </c>
      <c r="F12" s="45" t="s">
        <v>331</v>
      </c>
      <c r="G12" s="45" t="s">
        <v>71</v>
      </c>
      <c r="H12" s="45" t="s">
        <v>344</v>
      </c>
      <c r="I12" s="45">
        <v>1.84</v>
      </c>
      <c r="J12" s="45">
        <v>1</v>
      </c>
      <c r="K12" s="45">
        <v>1</v>
      </c>
      <c r="L12" s="45">
        <v>1</v>
      </c>
      <c r="M12" s="45">
        <v>4.84</v>
      </c>
      <c r="N12" s="45">
        <v>96.8</v>
      </c>
    </row>
    <row r="13" spans="1:14" x14ac:dyDescent="0.25">
      <c r="A13" s="44" t="s">
        <v>497</v>
      </c>
      <c r="B13" s="45" t="s">
        <v>142</v>
      </c>
      <c r="C13" s="45" t="s">
        <v>166</v>
      </c>
      <c r="D13" s="45" t="s">
        <v>76</v>
      </c>
      <c r="E13" s="45" t="s">
        <v>70</v>
      </c>
      <c r="F13" s="45" t="s">
        <v>331</v>
      </c>
      <c r="G13" s="45" t="s">
        <v>73</v>
      </c>
      <c r="H13" s="45" t="s">
        <v>345</v>
      </c>
      <c r="I13" s="45">
        <v>1.96</v>
      </c>
      <c r="J13" s="45">
        <v>0.92</v>
      </c>
      <c r="K13" s="45">
        <v>0.94</v>
      </c>
      <c r="L13" s="45">
        <v>1</v>
      </c>
      <c r="M13" s="45">
        <v>4.82</v>
      </c>
      <c r="N13" s="45">
        <v>96.4</v>
      </c>
    </row>
    <row r="14" spans="1:14" x14ac:dyDescent="0.25">
      <c r="A14" s="44" t="s">
        <v>497</v>
      </c>
      <c r="B14" s="45" t="s">
        <v>346</v>
      </c>
      <c r="C14" s="45" t="s">
        <v>167</v>
      </c>
      <c r="D14" s="45" t="s">
        <v>69</v>
      </c>
      <c r="E14" s="45" t="s">
        <v>70</v>
      </c>
      <c r="F14" s="45" t="s">
        <v>331</v>
      </c>
      <c r="G14" s="45" t="s">
        <v>71</v>
      </c>
      <c r="H14" s="45" t="s">
        <v>339</v>
      </c>
      <c r="I14" s="45">
        <v>1.95</v>
      </c>
      <c r="J14" s="45">
        <v>0.99</v>
      </c>
      <c r="K14" s="45">
        <v>1</v>
      </c>
      <c r="L14" s="45">
        <v>1</v>
      </c>
      <c r="M14" s="45">
        <v>4.9400000000000004</v>
      </c>
      <c r="N14" s="45">
        <v>98.800000000000011</v>
      </c>
    </row>
    <row r="15" spans="1:14" x14ac:dyDescent="0.25">
      <c r="A15" s="44" t="s">
        <v>497</v>
      </c>
      <c r="B15" s="45" t="s">
        <v>348</v>
      </c>
      <c r="C15" s="45" t="s">
        <v>168</v>
      </c>
      <c r="D15" s="45" t="s">
        <v>69</v>
      </c>
      <c r="E15" s="45" t="s">
        <v>70</v>
      </c>
      <c r="F15" s="45" t="s">
        <v>331</v>
      </c>
      <c r="G15" s="45" t="s">
        <v>71</v>
      </c>
      <c r="H15" s="45" t="s">
        <v>350</v>
      </c>
      <c r="I15" s="45">
        <v>2</v>
      </c>
      <c r="J15" s="45">
        <v>0.98</v>
      </c>
      <c r="K15" s="45">
        <v>0.97</v>
      </c>
      <c r="L15" s="45">
        <v>1</v>
      </c>
      <c r="M15" s="45">
        <v>4.95</v>
      </c>
      <c r="N15" s="45">
        <v>99</v>
      </c>
    </row>
    <row r="16" spans="1:14" x14ac:dyDescent="0.25">
      <c r="A16" s="44" t="s">
        <v>497</v>
      </c>
      <c r="B16" s="45" t="s">
        <v>351</v>
      </c>
      <c r="C16" s="45" t="s">
        <v>169</v>
      </c>
      <c r="D16" s="45" t="s">
        <v>76</v>
      </c>
      <c r="E16" s="45" t="s">
        <v>70</v>
      </c>
      <c r="F16" s="45" t="s">
        <v>331</v>
      </c>
      <c r="G16" s="45" t="s">
        <v>71</v>
      </c>
      <c r="H16" s="45" t="s">
        <v>353</v>
      </c>
      <c r="I16" s="45">
        <v>1.92</v>
      </c>
      <c r="J16" s="45">
        <v>1</v>
      </c>
      <c r="K16" s="45">
        <v>1</v>
      </c>
      <c r="L16" s="45">
        <v>1</v>
      </c>
      <c r="M16" s="45">
        <v>4.92</v>
      </c>
      <c r="N16" s="45">
        <v>98.4</v>
      </c>
    </row>
    <row r="17" spans="1:14" x14ac:dyDescent="0.25">
      <c r="A17" s="44" t="s">
        <v>497</v>
      </c>
      <c r="B17" s="45" t="s">
        <v>95</v>
      </c>
      <c r="C17" s="45" t="s">
        <v>309</v>
      </c>
      <c r="D17" s="45" t="s">
        <v>69</v>
      </c>
      <c r="E17" s="45" t="s">
        <v>70</v>
      </c>
      <c r="F17" s="45" t="s">
        <v>331</v>
      </c>
      <c r="G17" s="45" t="s">
        <v>73</v>
      </c>
      <c r="H17" s="45" t="s">
        <v>93</v>
      </c>
      <c r="I17" s="45">
        <v>1.92</v>
      </c>
      <c r="J17" s="45">
        <v>0</v>
      </c>
      <c r="K17" s="45">
        <v>0.89</v>
      </c>
      <c r="L17" s="45">
        <v>1</v>
      </c>
      <c r="M17" s="45">
        <v>3.81</v>
      </c>
      <c r="N17" s="45">
        <v>76.2</v>
      </c>
    </row>
    <row r="18" spans="1:14" x14ac:dyDescent="0.25">
      <c r="A18" s="44" t="s">
        <v>497</v>
      </c>
      <c r="B18" s="45" t="s">
        <v>144</v>
      </c>
      <c r="C18" s="45" t="s">
        <v>170</v>
      </c>
      <c r="D18" s="45" t="s">
        <v>69</v>
      </c>
      <c r="E18" s="45" t="s">
        <v>70</v>
      </c>
      <c r="F18" s="45" t="s">
        <v>331</v>
      </c>
      <c r="G18" s="45" t="s">
        <v>73</v>
      </c>
      <c r="H18" s="45" t="s">
        <v>344</v>
      </c>
      <c r="I18" s="45">
        <v>1.93</v>
      </c>
      <c r="J18" s="45">
        <v>1</v>
      </c>
      <c r="K18" s="45">
        <v>1</v>
      </c>
      <c r="L18" s="45">
        <v>0.98</v>
      </c>
      <c r="M18" s="45">
        <v>4.91</v>
      </c>
      <c r="N18" s="45">
        <v>98.2</v>
      </c>
    </row>
    <row r="19" spans="1:14" x14ac:dyDescent="0.25">
      <c r="A19" s="44" t="s">
        <v>497</v>
      </c>
      <c r="B19" s="45" t="s">
        <v>354</v>
      </c>
      <c r="C19" s="45" t="s">
        <v>171</v>
      </c>
      <c r="D19" s="45" t="s">
        <v>69</v>
      </c>
      <c r="E19" s="45" t="s">
        <v>70</v>
      </c>
      <c r="F19" s="45" t="s">
        <v>331</v>
      </c>
      <c r="G19" s="45" t="s">
        <v>73</v>
      </c>
      <c r="H19" s="45" t="s">
        <v>72</v>
      </c>
      <c r="I19" s="45">
        <v>1.76</v>
      </c>
      <c r="J19" s="45">
        <v>0.99</v>
      </c>
      <c r="K19" s="45">
        <v>1</v>
      </c>
      <c r="L19" s="45">
        <v>1</v>
      </c>
      <c r="M19" s="45">
        <v>4.75</v>
      </c>
      <c r="N19" s="45">
        <v>95</v>
      </c>
    </row>
    <row r="20" spans="1:14" x14ac:dyDescent="0.25">
      <c r="A20" s="44" t="s">
        <v>497</v>
      </c>
      <c r="B20" s="45" t="s">
        <v>63</v>
      </c>
      <c r="C20" s="45" t="s">
        <v>172</v>
      </c>
      <c r="D20" s="45" t="s">
        <v>76</v>
      </c>
      <c r="E20" s="45" t="s">
        <v>70</v>
      </c>
      <c r="F20" s="45" t="s">
        <v>331</v>
      </c>
      <c r="G20" s="45" t="s">
        <v>73</v>
      </c>
      <c r="H20" s="45" t="s">
        <v>72</v>
      </c>
      <c r="I20" s="45">
        <v>1.94</v>
      </c>
      <c r="J20" s="45">
        <v>0</v>
      </c>
      <c r="K20" s="45">
        <v>1</v>
      </c>
      <c r="L20" s="45">
        <v>1</v>
      </c>
      <c r="M20" s="45">
        <v>3.94</v>
      </c>
      <c r="N20" s="45">
        <v>78.8</v>
      </c>
    </row>
    <row r="21" spans="1:14" x14ac:dyDescent="0.25">
      <c r="A21" s="44" t="s">
        <v>497</v>
      </c>
      <c r="B21" s="45" t="s">
        <v>145</v>
      </c>
      <c r="C21" s="45" t="s">
        <v>173</v>
      </c>
      <c r="D21" s="45" t="s">
        <v>69</v>
      </c>
      <c r="E21" s="45" t="s">
        <v>70</v>
      </c>
      <c r="F21" s="45" t="s">
        <v>331</v>
      </c>
      <c r="G21" s="45" t="s">
        <v>73</v>
      </c>
      <c r="H21" s="45" t="s">
        <v>356</v>
      </c>
      <c r="I21" s="45">
        <v>1.79</v>
      </c>
      <c r="J21" s="45">
        <v>0.97</v>
      </c>
      <c r="K21" s="45">
        <v>0.83</v>
      </c>
      <c r="L21" s="45">
        <v>0.77</v>
      </c>
      <c r="M21" s="45">
        <v>4.3600000000000003</v>
      </c>
      <c r="N21" s="45">
        <v>87.200000000000017</v>
      </c>
    </row>
    <row r="22" spans="1:14" x14ac:dyDescent="0.25">
      <c r="A22" s="44" t="s">
        <v>497</v>
      </c>
      <c r="B22" s="45" t="s">
        <v>146</v>
      </c>
      <c r="C22" s="45" t="s">
        <v>174</v>
      </c>
      <c r="D22" s="45" t="s">
        <v>76</v>
      </c>
      <c r="E22" s="45" t="s">
        <v>70</v>
      </c>
      <c r="F22" s="45" t="s">
        <v>331</v>
      </c>
      <c r="G22" s="45" t="s">
        <v>73</v>
      </c>
      <c r="H22" s="45" t="s">
        <v>93</v>
      </c>
      <c r="I22" s="45">
        <v>1.91</v>
      </c>
      <c r="J22" s="45">
        <v>1</v>
      </c>
      <c r="K22" s="45">
        <v>0.95</v>
      </c>
      <c r="L22" s="45">
        <v>0.93</v>
      </c>
      <c r="M22" s="45">
        <v>4.79</v>
      </c>
      <c r="N22" s="45">
        <v>95.8</v>
      </c>
    </row>
    <row r="23" spans="1:14" x14ac:dyDescent="0.25">
      <c r="A23" s="44" t="s">
        <v>497</v>
      </c>
      <c r="B23" s="45" t="s">
        <v>357</v>
      </c>
      <c r="C23" s="45" t="s">
        <v>175</v>
      </c>
      <c r="D23" s="45" t="s">
        <v>76</v>
      </c>
      <c r="E23" s="45" t="s">
        <v>70</v>
      </c>
      <c r="F23" s="45" t="s">
        <v>331</v>
      </c>
      <c r="G23" s="45" t="s">
        <v>71</v>
      </c>
      <c r="H23" s="45" t="s">
        <v>72</v>
      </c>
      <c r="I23" s="45">
        <v>1.95</v>
      </c>
      <c r="J23" s="45">
        <v>0.98</v>
      </c>
      <c r="K23" s="45">
        <v>1</v>
      </c>
      <c r="L23" s="45">
        <v>1</v>
      </c>
      <c r="M23" s="45">
        <v>4.93</v>
      </c>
      <c r="N23" s="45">
        <v>98.6</v>
      </c>
    </row>
    <row r="24" spans="1:14" x14ac:dyDescent="0.25">
      <c r="A24" s="44" t="s">
        <v>497</v>
      </c>
      <c r="B24" s="45" t="s">
        <v>359</v>
      </c>
      <c r="C24" s="45" t="s">
        <v>176</v>
      </c>
      <c r="D24" s="45" t="s">
        <v>69</v>
      </c>
      <c r="E24" s="45" t="s">
        <v>70</v>
      </c>
      <c r="F24" s="45" t="s">
        <v>331</v>
      </c>
      <c r="G24" s="45" t="s">
        <v>71</v>
      </c>
      <c r="H24" s="46" t="s">
        <v>362</v>
      </c>
      <c r="I24" s="45">
        <v>1.86</v>
      </c>
      <c r="J24" s="45">
        <v>0.97</v>
      </c>
      <c r="K24" s="45">
        <v>0.97</v>
      </c>
      <c r="L24" s="45">
        <v>1</v>
      </c>
      <c r="M24" s="45">
        <v>4.8</v>
      </c>
      <c r="N24" s="45">
        <v>96</v>
      </c>
    </row>
    <row r="25" spans="1:14" x14ac:dyDescent="0.25">
      <c r="A25" s="44" t="s">
        <v>497</v>
      </c>
      <c r="B25" s="45" t="s">
        <v>360</v>
      </c>
      <c r="C25" s="45" t="s">
        <v>177</v>
      </c>
      <c r="D25" s="45" t="s">
        <v>69</v>
      </c>
      <c r="E25" s="45" t="s">
        <v>70</v>
      </c>
      <c r="F25" s="45" t="s">
        <v>361</v>
      </c>
      <c r="G25" s="45" t="s">
        <v>73</v>
      </c>
      <c r="H25" s="45" t="s">
        <v>362</v>
      </c>
      <c r="I25" s="45">
        <v>1.8</v>
      </c>
      <c r="J25" s="45">
        <v>1</v>
      </c>
      <c r="K25" s="45">
        <v>1</v>
      </c>
      <c r="L25" s="45">
        <v>1</v>
      </c>
      <c r="M25" s="45">
        <v>4.8</v>
      </c>
      <c r="N25" s="45">
        <v>96</v>
      </c>
    </row>
    <row r="26" spans="1:14" x14ac:dyDescent="0.25">
      <c r="A26" s="44" t="s">
        <v>497</v>
      </c>
      <c r="B26" s="45" t="s">
        <v>363</v>
      </c>
      <c r="C26" s="45" t="s">
        <v>178</v>
      </c>
      <c r="D26" s="45" t="s">
        <v>69</v>
      </c>
      <c r="E26" s="45" t="s">
        <v>70</v>
      </c>
      <c r="F26" s="45" t="s">
        <v>331</v>
      </c>
      <c r="G26" s="45" t="s">
        <v>73</v>
      </c>
      <c r="H26" s="45" t="s">
        <v>83</v>
      </c>
      <c r="I26" s="45">
        <v>1.57</v>
      </c>
      <c r="J26" s="45">
        <v>1</v>
      </c>
      <c r="K26" s="45">
        <v>1</v>
      </c>
      <c r="L26" s="45">
        <v>0.91</v>
      </c>
      <c r="M26" s="45">
        <v>4.4800000000000004</v>
      </c>
      <c r="N26" s="45">
        <v>89.600000000000009</v>
      </c>
    </row>
    <row r="27" spans="1:14" x14ac:dyDescent="0.25">
      <c r="A27" s="44" t="s">
        <v>497</v>
      </c>
      <c r="B27" s="45" t="s">
        <v>147</v>
      </c>
      <c r="C27" s="45" t="s">
        <v>179</v>
      </c>
      <c r="D27" s="45" t="s">
        <v>76</v>
      </c>
      <c r="E27" s="45" t="s">
        <v>70</v>
      </c>
      <c r="F27" s="45" t="s">
        <v>361</v>
      </c>
      <c r="G27" s="45" t="s">
        <v>71</v>
      </c>
      <c r="H27" s="45" t="s">
        <v>365</v>
      </c>
      <c r="I27" s="45">
        <v>1.82</v>
      </c>
      <c r="J27" s="45">
        <v>1</v>
      </c>
      <c r="K27" s="45">
        <v>1</v>
      </c>
      <c r="L27" s="45">
        <v>1</v>
      </c>
      <c r="M27" s="45">
        <v>4.82</v>
      </c>
      <c r="N27" s="45">
        <v>96.4</v>
      </c>
    </row>
    <row r="28" spans="1:14" x14ac:dyDescent="0.25">
      <c r="A28" s="44" t="s">
        <v>497</v>
      </c>
      <c r="B28" s="45" t="s">
        <v>148</v>
      </c>
      <c r="C28" s="45" t="s">
        <v>180</v>
      </c>
      <c r="D28" s="45" t="s">
        <v>76</v>
      </c>
      <c r="E28" s="45" t="s">
        <v>70</v>
      </c>
      <c r="F28" s="45" t="s">
        <v>331</v>
      </c>
      <c r="G28" s="45" t="s">
        <v>73</v>
      </c>
      <c r="H28" s="45" t="s">
        <v>83</v>
      </c>
      <c r="I28" s="45">
        <v>1.76</v>
      </c>
      <c r="J28" s="45">
        <v>1</v>
      </c>
      <c r="K28" s="45">
        <v>1</v>
      </c>
      <c r="L28" s="45">
        <v>0.97</v>
      </c>
      <c r="M28" s="45">
        <v>4.7300000000000004</v>
      </c>
      <c r="N28" s="45">
        <v>94.600000000000009</v>
      </c>
    </row>
    <row r="29" spans="1:14" x14ac:dyDescent="0.25">
      <c r="A29" s="44" t="s">
        <v>497</v>
      </c>
      <c r="B29" s="45" t="s">
        <v>366</v>
      </c>
      <c r="C29" s="45" t="s">
        <v>181</v>
      </c>
      <c r="D29" s="45" t="s">
        <v>69</v>
      </c>
      <c r="E29" s="45" t="s">
        <v>70</v>
      </c>
      <c r="F29" s="45" t="s">
        <v>331</v>
      </c>
      <c r="G29" s="45" t="s">
        <v>71</v>
      </c>
      <c r="H29" s="45" t="s">
        <v>83</v>
      </c>
      <c r="I29" s="45">
        <v>1.8</v>
      </c>
      <c r="J29" s="45">
        <v>1</v>
      </c>
      <c r="K29" s="45">
        <v>1</v>
      </c>
      <c r="L29" s="45">
        <v>0.97</v>
      </c>
      <c r="M29" s="45">
        <v>4.7699999999999996</v>
      </c>
      <c r="N29" s="45">
        <v>95.399999999999991</v>
      </c>
    </row>
    <row r="30" spans="1:14" x14ac:dyDescent="0.25">
      <c r="A30" s="44" t="s">
        <v>497</v>
      </c>
      <c r="B30" s="45" t="s">
        <v>367</v>
      </c>
      <c r="C30" s="45" t="s">
        <v>182</v>
      </c>
      <c r="D30" s="45" t="s">
        <v>76</v>
      </c>
      <c r="E30" s="45" t="s">
        <v>70</v>
      </c>
      <c r="F30" s="45" t="s">
        <v>331</v>
      </c>
      <c r="G30" s="45" t="s">
        <v>73</v>
      </c>
      <c r="H30" s="45" t="s">
        <v>368</v>
      </c>
      <c r="I30" s="45">
        <v>1.58</v>
      </c>
      <c r="J30" s="45">
        <v>1</v>
      </c>
      <c r="K30" s="45">
        <v>1</v>
      </c>
      <c r="L30" s="45">
        <v>1</v>
      </c>
      <c r="M30" s="45">
        <v>4.58</v>
      </c>
      <c r="N30" s="45">
        <v>91.6</v>
      </c>
    </row>
    <row r="31" spans="1:14" x14ac:dyDescent="0.25">
      <c r="A31" s="44" t="s">
        <v>497</v>
      </c>
      <c r="B31" s="45" t="s">
        <v>369</v>
      </c>
      <c r="C31" s="45" t="s">
        <v>183</v>
      </c>
      <c r="D31" s="45" t="s">
        <v>69</v>
      </c>
      <c r="E31" s="45" t="s">
        <v>70</v>
      </c>
      <c r="F31" s="45" t="s">
        <v>331</v>
      </c>
      <c r="G31" s="45" t="s">
        <v>71</v>
      </c>
      <c r="H31" s="45" t="s">
        <v>365</v>
      </c>
      <c r="I31" s="45">
        <v>1.82</v>
      </c>
      <c r="J31" s="45">
        <v>1</v>
      </c>
      <c r="K31" s="45">
        <v>1</v>
      </c>
      <c r="L31" s="45">
        <v>0.95</v>
      </c>
      <c r="M31" s="45">
        <v>4.7699999999999996</v>
      </c>
      <c r="N31" s="45">
        <v>95.399999999999991</v>
      </c>
    </row>
    <row r="32" spans="1:14" x14ac:dyDescent="0.25">
      <c r="A32" s="44" t="s">
        <v>497</v>
      </c>
      <c r="B32" s="45" t="s">
        <v>310</v>
      </c>
      <c r="C32" s="45" t="s">
        <v>184</v>
      </c>
      <c r="D32" s="45" t="s">
        <v>69</v>
      </c>
      <c r="E32" s="45" t="s">
        <v>70</v>
      </c>
      <c r="F32" s="45" t="s">
        <v>331</v>
      </c>
      <c r="G32" s="45" t="s">
        <v>73</v>
      </c>
      <c r="H32" s="45" t="s">
        <v>362</v>
      </c>
      <c r="I32" s="45">
        <v>1.95</v>
      </c>
      <c r="J32" s="45">
        <v>1</v>
      </c>
      <c r="K32" s="45">
        <v>1</v>
      </c>
      <c r="L32" s="45">
        <v>1</v>
      </c>
      <c r="M32" s="45">
        <v>4.95</v>
      </c>
      <c r="N32" s="45">
        <v>99</v>
      </c>
    </row>
    <row r="33" spans="1:14" x14ac:dyDescent="0.25">
      <c r="A33" s="44" t="s">
        <v>497</v>
      </c>
      <c r="B33" s="45" t="s">
        <v>149</v>
      </c>
      <c r="C33" s="45" t="s">
        <v>185</v>
      </c>
      <c r="D33" s="45" t="s">
        <v>76</v>
      </c>
      <c r="E33" s="45" t="s">
        <v>70</v>
      </c>
      <c r="F33" s="45" t="s">
        <v>331</v>
      </c>
      <c r="G33" s="45" t="s">
        <v>73</v>
      </c>
      <c r="H33" s="45" t="s">
        <v>332</v>
      </c>
      <c r="I33" s="45">
        <v>1.86</v>
      </c>
      <c r="J33" s="45">
        <v>1</v>
      </c>
      <c r="K33" s="45">
        <v>0.94</v>
      </c>
      <c r="L33" s="45">
        <v>0.8</v>
      </c>
      <c r="M33" s="45">
        <v>4.5999999999999996</v>
      </c>
      <c r="N33" s="45">
        <v>91.999999999999986</v>
      </c>
    </row>
    <row r="34" spans="1:14" x14ac:dyDescent="0.25">
      <c r="A34" s="44" t="s">
        <v>497</v>
      </c>
      <c r="B34" s="45" t="s">
        <v>371</v>
      </c>
      <c r="C34" s="45" t="s">
        <v>186</v>
      </c>
      <c r="D34" s="45" t="s">
        <v>76</v>
      </c>
      <c r="E34" s="45" t="s">
        <v>70</v>
      </c>
      <c r="F34" s="45" t="s">
        <v>331</v>
      </c>
      <c r="G34" s="45" t="s">
        <v>71</v>
      </c>
      <c r="H34" s="45" t="s">
        <v>332</v>
      </c>
      <c r="I34" s="45">
        <v>1.82</v>
      </c>
      <c r="J34" s="45">
        <v>0.97</v>
      </c>
      <c r="K34" s="45">
        <v>0.97</v>
      </c>
      <c r="L34" s="45">
        <v>0.94</v>
      </c>
      <c r="M34" s="45">
        <v>4.7</v>
      </c>
      <c r="N34" s="45">
        <v>94</v>
      </c>
    </row>
    <row r="35" spans="1:14" x14ac:dyDescent="0.25">
      <c r="A35" s="44" t="s">
        <v>497</v>
      </c>
      <c r="B35" s="45" t="s">
        <v>372</v>
      </c>
      <c r="C35" s="45" t="s">
        <v>187</v>
      </c>
      <c r="D35" s="45" t="s">
        <v>69</v>
      </c>
      <c r="E35" s="45" t="s">
        <v>70</v>
      </c>
      <c r="F35" s="45" t="s">
        <v>331</v>
      </c>
      <c r="G35" s="45" t="s">
        <v>73</v>
      </c>
      <c r="H35" s="45" t="s">
        <v>93</v>
      </c>
      <c r="I35" s="45">
        <v>1.69</v>
      </c>
      <c r="J35" s="45">
        <v>0.99</v>
      </c>
      <c r="K35" s="45">
        <v>0.97</v>
      </c>
      <c r="L35" s="45">
        <v>0.93</v>
      </c>
      <c r="M35" s="45">
        <v>4.58</v>
      </c>
      <c r="N35" s="45">
        <v>91.6</v>
      </c>
    </row>
    <row r="36" spans="1:14" x14ac:dyDescent="0.25">
      <c r="A36" s="44" t="s">
        <v>497</v>
      </c>
      <c r="B36" s="45" t="s">
        <v>150</v>
      </c>
      <c r="C36" s="45" t="s">
        <v>188</v>
      </c>
      <c r="D36" s="45" t="s">
        <v>76</v>
      </c>
      <c r="E36" s="45" t="s">
        <v>70</v>
      </c>
      <c r="F36" s="45" t="s">
        <v>331</v>
      </c>
      <c r="G36" s="45" t="s">
        <v>73</v>
      </c>
      <c r="H36" s="45" t="s">
        <v>350</v>
      </c>
      <c r="I36" s="45">
        <v>1.45</v>
      </c>
      <c r="J36" s="45">
        <v>1</v>
      </c>
      <c r="K36" s="45">
        <v>1</v>
      </c>
      <c r="L36" s="45">
        <v>1</v>
      </c>
      <c r="M36" s="45">
        <v>4.45</v>
      </c>
      <c r="N36" s="45">
        <v>89</v>
      </c>
    </row>
    <row r="37" spans="1:14" x14ac:dyDescent="0.25">
      <c r="A37" s="44" t="s">
        <v>497</v>
      </c>
      <c r="B37" s="45" t="s">
        <v>373</v>
      </c>
      <c r="C37" s="45" t="s">
        <v>189</v>
      </c>
      <c r="D37" s="45" t="s">
        <v>76</v>
      </c>
      <c r="E37" s="45" t="s">
        <v>70</v>
      </c>
      <c r="F37" s="45" t="s">
        <v>331</v>
      </c>
      <c r="G37" s="45" t="s">
        <v>71</v>
      </c>
      <c r="H37" s="45" t="s">
        <v>365</v>
      </c>
      <c r="I37" s="45">
        <v>1.43</v>
      </c>
      <c r="J37" s="45">
        <v>0.95</v>
      </c>
      <c r="K37" s="45">
        <v>1</v>
      </c>
      <c r="L37" s="45">
        <v>0.89</v>
      </c>
      <c r="M37" s="45">
        <v>4.2699999999999996</v>
      </c>
      <c r="N37" s="45">
        <v>85.399999999999991</v>
      </c>
    </row>
    <row r="38" spans="1:14" x14ac:dyDescent="0.25">
      <c r="A38" s="44" t="s">
        <v>497</v>
      </c>
      <c r="B38" s="45" t="s">
        <v>374</v>
      </c>
      <c r="C38" s="45" t="s">
        <v>190</v>
      </c>
      <c r="D38" s="45" t="s">
        <v>69</v>
      </c>
      <c r="E38" s="45" t="s">
        <v>70</v>
      </c>
      <c r="F38" s="45" t="s">
        <v>331</v>
      </c>
      <c r="G38" s="45" t="s">
        <v>73</v>
      </c>
      <c r="H38" s="45" t="s">
        <v>339</v>
      </c>
      <c r="I38" s="45">
        <v>1.85</v>
      </c>
      <c r="J38" s="45">
        <v>1</v>
      </c>
      <c r="K38" s="45">
        <v>1</v>
      </c>
      <c r="L38" s="45">
        <v>0.94</v>
      </c>
      <c r="M38" s="45">
        <v>4.79</v>
      </c>
      <c r="N38" s="45">
        <v>95.8</v>
      </c>
    </row>
    <row r="39" spans="1:14" x14ac:dyDescent="0.25">
      <c r="A39" s="44" t="s">
        <v>497</v>
      </c>
      <c r="B39" s="45" t="s">
        <v>151</v>
      </c>
      <c r="C39" s="45" t="s">
        <v>191</v>
      </c>
      <c r="D39" s="45" t="s">
        <v>76</v>
      </c>
      <c r="E39" s="45" t="s">
        <v>70</v>
      </c>
      <c r="F39" s="45" t="s">
        <v>331</v>
      </c>
      <c r="G39" s="45" t="s">
        <v>73</v>
      </c>
      <c r="H39" s="45" t="s">
        <v>344</v>
      </c>
      <c r="I39" s="45">
        <v>1.94</v>
      </c>
      <c r="J39" s="45">
        <v>0.98</v>
      </c>
      <c r="K39" s="45">
        <v>1</v>
      </c>
      <c r="L39" s="45">
        <v>1</v>
      </c>
      <c r="M39" s="45">
        <v>4.92</v>
      </c>
      <c r="N39" s="45">
        <v>98.4</v>
      </c>
    </row>
    <row r="40" spans="1:14" x14ac:dyDescent="0.25">
      <c r="A40" s="44" t="s">
        <v>497</v>
      </c>
      <c r="B40" s="45" t="s">
        <v>152</v>
      </c>
      <c r="C40" s="45" t="s">
        <v>192</v>
      </c>
      <c r="D40" s="45" t="s">
        <v>76</v>
      </c>
      <c r="E40" s="45" t="s">
        <v>70</v>
      </c>
      <c r="F40" s="45" t="s">
        <v>331</v>
      </c>
      <c r="G40" s="45" t="s">
        <v>73</v>
      </c>
      <c r="H40" s="45" t="s">
        <v>344</v>
      </c>
      <c r="I40" s="45">
        <v>1.82</v>
      </c>
      <c r="J40" s="45">
        <v>0.87</v>
      </c>
      <c r="K40" s="45">
        <v>1</v>
      </c>
      <c r="L40" s="45">
        <v>1</v>
      </c>
      <c r="M40" s="45">
        <v>4.6900000000000004</v>
      </c>
      <c r="N40" s="45">
        <v>93.800000000000011</v>
      </c>
    </row>
    <row r="41" spans="1:14" x14ac:dyDescent="0.25">
      <c r="A41" s="44" t="s">
        <v>497</v>
      </c>
      <c r="B41" s="45" t="s">
        <v>375</v>
      </c>
      <c r="C41" s="45" t="s">
        <v>193</v>
      </c>
      <c r="D41" s="45" t="s">
        <v>69</v>
      </c>
      <c r="E41" s="45" t="s">
        <v>70</v>
      </c>
      <c r="F41" s="45" t="s">
        <v>331</v>
      </c>
      <c r="G41" s="45" t="s">
        <v>71</v>
      </c>
      <c r="H41" s="45" t="s">
        <v>93</v>
      </c>
      <c r="I41" s="45">
        <v>1.87</v>
      </c>
      <c r="J41" s="45">
        <v>1</v>
      </c>
      <c r="K41" s="45">
        <v>1</v>
      </c>
      <c r="L41" s="45">
        <v>1</v>
      </c>
      <c r="M41" s="45">
        <v>4.87</v>
      </c>
      <c r="N41" s="45">
        <v>97.4</v>
      </c>
    </row>
    <row r="42" spans="1:14" x14ac:dyDescent="0.25">
      <c r="A42" s="44" t="s">
        <v>497</v>
      </c>
      <c r="B42" s="45" t="s">
        <v>153</v>
      </c>
      <c r="C42" s="45" t="s">
        <v>194</v>
      </c>
      <c r="D42" s="45" t="s">
        <v>69</v>
      </c>
      <c r="E42" s="45" t="s">
        <v>70</v>
      </c>
      <c r="F42" s="45" t="s">
        <v>331</v>
      </c>
      <c r="G42" s="45" t="s">
        <v>73</v>
      </c>
      <c r="H42" s="45" t="s">
        <v>83</v>
      </c>
      <c r="I42" s="45">
        <v>1.65</v>
      </c>
      <c r="J42" s="45">
        <v>1</v>
      </c>
      <c r="K42" s="45">
        <v>1</v>
      </c>
      <c r="L42" s="45">
        <v>0.97</v>
      </c>
      <c r="M42" s="45">
        <v>4.62</v>
      </c>
      <c r="N42" s="45">
        <v>92.4</v>
      </c>
    </row>
    <row r="43" spans="1:14" x14ac:dyDescent="0.25">
      <c r="A43" s="44" t="s">
        <v>497</v>
      </c>
      <c r="B43" s="45" t="s">
        <v>377</v>
      </c>
      <c r="C43" s="45" t="s">
        <v>195</v>
      </c>
      <c r="D43" s="45" t="s">
        <v>76</v>
      </c>
      <c r="E43" s="45" t="s">
        <v>70</v>
      </c>
      <c r="F43" s="45" t="s">
        <v>331</v>
      </c>
      <c r="G43" s="45" t="s">
        <v>71</v>
      </c>
      <c r="H43" s="45" t="s">
        <v>350</v>
      </c>
      <c r="I43" s="45">
        <v>1.88</v>
      </c>
      <c r="J43" s="45">
        <v>1</v>
      </c>
      <c r="K43" s="45">
        <v>0.97</v>
      </c>
      <c r="L43" s="45">
        <v>1</v>
      </c>
      <c r="M43" s="45">
        <v>4.8499999999999996</v>
      </c>
      <c r="N43" s="45">
        <v>96.999999999999986</v>
      </c>
    </row>
    <row r="44" spans="1:14" x14ac:dyDescent="0.25">
      <c r="A44" s="44" t="s">
        <v>497</v>
      </c>
      <c r="B44" s="45" t="s">
        <v>378</v>
      </c>
      <c r="C44" s="45" t="s">
        <v>196</v>
      </c>
      <c r="D44" s="45" t="s">
        <v>76</v>
      </c>
      <c r="E44" s="45" t="s">
        <v>70</v>
      </c>
      <c r="F44" s="45" t="s">
        <v>331</v>
      </c>
      <c r="G44" s="45" t="s">
        <v>73</v>
      </c>
      <c r="H44" s="45" t="s">
        <v>345</v>
      </c>
      <c r="I44" s="45">
        <v>1.99</v>
      </c>
      <c r="J44" s="45">
        <v>1</v>
      </c>
      <c r="K44" s="45">
        <v>1</v>
      </c>
      <c r="L44" s="45">
        <v>0.91</v>
      </c>
      <c r="M44" s="45">
        <v>4.9000000000000004</v>
      </c>
      <c r="N44" s="45">
        <v>98.000000000000014</v>
      </c>
    </row>
    <row r="45" spans="1:14" x14ac:dyDescent="0.25">
      <c r="A45" s="44" t="s">
        <v>497</v>
      </c>
      <c r="B45" s="45" t="s">
        <v>379</v>
      </c>
      <c r="C45" s="45" t="s">
        <v>197</v>
      </c>
      <c r="D45" s="45" t="s">
        <v>76</v>
      </c>
      <c r="E45" s="45" t="s">
        <v>70</v>
      </c>
      <c r="F45" s="45" t="s">
        <v>331</v>
      </c>
      <c r="G45" s="45" t="s">
        <v>73</v>
      </c>
      <c r="H45" s="45" t="s">
        <v>345</v>
      </c>
      <c r="I45" s="45">
        <v>1.67</v>
      </c>
      <c r="J45" s="45">
        <v>1</v>
      </c>
      <c r="K45" s="45">
        <v>1</v>
      </c>
      <c r="L45" s="45">
        <v>0.86</v>
      </c>
      <c r="M45" s="45">
        <v>4.53</v>
      </c>
      <c r="N45" s="45">
        <v>90.6</v>
      </c>
    </row>
    <row r="46" spans="1:14" x14ac:dyDescent="0.25">
      <c r="A46" s="44" t="s">
        <v>497</v>
      </c>
      <c r="B46" s="45" t="s">
        <v>154</v>
      </c>
      <c r="C46" s="45" t="s">
        <v>198</v>
      </c>
      <c r="D46" s="45" t="s">
        <v>76</v>
      </c>
      <c r="E46" s="45" t="s">
        <v>70</v>
      </c>
      <c r="F46" s="45" t="s">
        <v>331</v>
      </c>
      <c r="G46" s="45" t="s">
        <v>71</v>
      </c>
      <c r="H46" s="45" t="s">
        <v>365</v>
      </c>
      <c r="I46" s="45">
        <v>1.82</v>
      </c>
      <c r="J46" s="45">
        <v>0.9</v>
      </c>
      <c r="K46" s="45">
        <v>1</v>
      </c>
      <c r="L46" s="45">
        <v>1</v>
      </c>
      <c r="M46" s="45">
        <v>4.72</v>
      </c>
      <c r="N46" s="45">
        <v>94.4</v>
      </c>
    </row>
    <row r="47" spans="1:14" x14ac:dyDescent="0.25">
      <c r="A47" s="44" t="s">
        <v>497</v>
      </c>
      <c r="B47" s="45" t="s">
        <v>113</v>
      </c>
      <c r="C47" s="45" t="s">
        <v>199</v>
      </c>
      <c r="D47" s="45" t="s">
        <v>69</v>
      </c>
      <c r="E47" s="45" t="s">
        <v>70</v>
      </c>
      <c r="F47" s="45" t="s">
        <v>331</v>
      </c>
      <c r="G47" s="45" t="s">
        <v>71</v>
      </c>
      <c r="H47" s="45" t="s">
        <v>72</v>
      </c>
      <c r="I47" s="45">
        <v>1.78</v>
      </c>
      <c r="J47" s="45">
        <v>0</v>
      </c>
      <c r="K47" s="45">
        <v>0.93</v>
      </c>
      <c r="L47" s="45">
        <v>1</v>
      </c>
      <c r="M47" s="45">
        <v>3.71</v>
      </c>
      <c r="N47" s="45">
        <v>74.2</v>
      </c>
    </row>
    <row r="48" spans="1:14" x14ac:dyDescent="0.25">
      <c r="A48" s="44" t="s">
        <v>497</v>
      </c>
      <c r="B48" s="45" t="s">
        <v>381</v>
      </c>
      <c r="C48" s="45" t="s">
        <v>200</v>
      </c>
      <c r="D48" s="45" t="s">
        <v>76</v>
      </c>
      <c r="E48" s="45" t="s">
        <v>70</v>
      </c>
      <c r="F48" s="45" t="s">
        <v>331</v>
      </c>
      <c r="G48" s="45" t="s">
        <v>71</v>
      </c>
      <c r="H48" s="45" t="s">
        <v>332</v>
      </c>
      <c r="I48" s="45">
        <v>1.45</v>
      </c>
      <c r="J48" s="45">
        <v>0.97</v>
      </c>
      <c r="K48" s="45">
        <v>0.94</v>
      </c>
      <c r="L48" s="45">
        <v>0.97</v>
      </c>
      <c r="M48" s="45">
        <v>4.33</v>
      </c>
      <c r="N48" s="45">
        <v>86.6</v>
      </c>
    </row>
    <row r="49" spans="1:14" x14ac:dyDescent="0.25">
      <c r="A49" s="44" t="s">
        <v>497</v>
      </c>
      <c r="B49" s="45" t="s">
        <v>311</v>
      </c>
      <c r="C49" s="45" t="s">
        <v>201</v>
      </c>
      <c r="D49" s="45" t="s">
        <v>69</v>
      </c>
      <c r="E49" s="45" t="s">
        <v>70</v>
      </c>
      <c r="F49" s="45" t="s">
        <v>331</v>
      </c>
      <c r="G49" s="45" t="s">
        <v>73</v>
      </c>
      <c r="H49" s="45" t="s">
        <v>345</v>
      </c>
      <c r="I49" s="45">
        <v>1.76</v>
      </c>
      <c r="J49" s="45">
        <v>1</v>
      </c>
      <c r="K49" s="45">
        <v>0.93</v>
      </c>
      <c r="L49" s="45">
        <v>0.77</v>
      </c>
      <c r="M49" s="45">
        <v>4.46</v>
      </c>
      <c r="N49" s="45">
        <v>89.2</v>
      </c>
    </row>
    <row r="50" spans="1:14" x14ac:dyDescent="0.25">
      <c r="A50" s="44" t="s">
        <v>497</v>
      </c>
      <c r="B50" s="45" t="s">
        <v>382</v>
      </c>
      <c r="C50" s="45" t="s">
        <v>202</v>
      </c>
      <c r="D50" s="45" t="s">
        <v>76</v>
      </c>
      <c r="E50" s="45" t="s">
        <v>70</v>
      </c>
      <c r="F50" s="45" t="s">
        <v>331</v>
      </c>
      <c r="G50" s="45" t="s">
        <v>71</v>
      </c>
      <c r="H50" s="45" t="s">
        <v>93</v>
      </c>
      <c r="I50" s="45">
        <v>1.51</v>
      </c>
      <c r="J50" s="45">
        <v>1</v>
      </c>
      <c r="K50" s="45">
        <v>0.97</v>
      </c>
      <c r="L50" s="45">
        <v>0.9</v>
      </c>
      <c r="M50" s="45">
        <v>4.38</v>
      </c>
      <c r="N50" s="45">
        <v>87.6</v>
      </c>
    </row>
    <row r="51" spans="1:14" x14ac:dyDescent="0.25">
      <c r="A51" s="44" t="s">
        <v>497</v>
      </c>
      <c r="B51" s="45" t="s">
        <v>384</v>
      </c>
      <c r="C51" s="45" t="s">
        <v>203</v>
      </c>
      <c r="D51" s="45" t="s">
        <v>69</v>
      </c>
      <c r="E51" s="45" t="s">
        <v>70</v>
      </c>
      <c r="F51" s="45" t="s">
        <v>331</v>
      </c>
      <c r="G51" s="45" t="s">
        <v>73</v>
      </c>
      <c r="H51" s="45" t="s">
        <v>93</v>
      </c>
      <c r="I51" s="45">
        <v>1.61</v>
      </c>
      <c r="J51" s="45">
        <v>1</v>
      </c>
      <c r="K51" s="45">
        <v>0.81</v>
      </c>
      <c r="L51" s="45">
        <v>0.97</v>
      </c>
      <c r="M51" s="45">
        <v>4.3899999999999997</v>
      </c>
      <c r="N51" s="45">
        <v>87.799999999999983</v>
      </c>
    </row>
    <row r="52" spans="1:14" x14ac:dyDescent="0.25">
      <c r="A52" s="44" t="s">
        <v>497</v>
      </c>
      <c r="B52" s="45" t="s">
        <v>385</v>
      </c>
      <c r="C52" s="45" t="s">
        <v>204</v>
      </c>
      <c r="D52" s="45" t="s">
        <v>76</v>
      </c>
      <c r="E52" s="45" t="s">
        <v>70</v>
      </c>
      <c r="F52" s="45" t="s">
        <v>331</v>
      </c>
      <c r="G52" s="45" t="s">
        <v>73</v>
      </c>
      <c r="H52" s="45" t="s">
        <v>93</v>
      </c>
      <c r="I52" s="45">
        <v>1.92</v>
      </c>
      <c r="J52" s="45">
        <v>1</v>
      </c>
      <c r="K52" s="45">
        <v>1</v>
      </c>
      <c r="L52" s="45">
        <v>1</v>
      </c>
      <c r="M52" s="45">
        <v>4.92</v>
      </c>
      <c r="N52" s="45">
        <v>98.4</v>
      </c>
    </row>
    <row r="53" spans="1:14" x14ac:dyDescent="0.25">
      <c r="A53" s="44" t="s">
        <v>497</v>
      </c>
      <c r="B53" s="45" t="s">
        <v>312</v>
      </c>
      <c r="C53" s="45" t="s">
        <v>205</v>
      </c>
      <c r="D53" s="45" t="s">
        <v>69</v>
      </c>
      <c r="E53" s="45" t="s">
        <v>70</v>
      </c>
      <c r="F53" s="45" t="s">
        <v>331</v>
      </c>
      <c r="G53" s="45" t="s">
        <v>71</v>
      </c>
      <c r="H53" s="45" t="s">
        <v>345</v>
      </c>
      <c r="I53" s="45">
        <v>1.88</v>
      </c>
      <c r="J53" s="45">
        <v>1</v>
      </c>
      <c r="K53" s="45">
        <v>0.95</v>
      </c>
      <c r="L53" s="45">
        <v>0.95</v>
      </c>
      <c r="M53" s="45">
        <v>4.78</v>
      </c>
      <c r="N53" s="45">
        <v>95.6</v>
      </c>
    </row>
    <row r="54" spans="1:14" x14ac:dyDescent="0.25">
      <c r="A54" s="44" t="s">
        <v>497</v>
      </c>
      <c r="B54" s="45" t="s">
        <v>313</v>
      </c>
      <c r="C54" s="45" t="s">
        <v>206</v>
      </c>
      <c r="D54" s="45" t="s">
        <v>69</v>
      </c>
      <c r="E54" s="45" t="s">
        <v>70</v>
      </c>
      <c r="F54" s="45" t="s">
        <v>331</v>
      </c>
      <c r="G54" s="45" t="s">
        <v>71</v>
      </c>
      <c r="H54" s="45" t="s">
        <v>345</v>
      </c>
      <c r="I54" s="45">
        <v>1.95</v>
      </c>
      <c r="J54" s="45">
        <v>0.96</v>
      </c>
      <c r="K54" s="45">
        <v>0.96</v>
      </c>
      <c r="L54" s="45">
        <v>1</v>
      </c>
      <c r="M54" s="45">
        <v>4.87</v>
      </c>
      <c r="N54" s="45">
        <v>97.4</v>
      </c>
    </row>
    <row r="55" spans="1:14" x14ac:dyDescent="0.25">
      <c r="A55" s="44" t="s">
        <v>497</v>
      </c>
      <c r="B55" s="45" t="s">
        <v>387</v>
      </c>
      <c r="C55" s="45" t="s">
        <v>207</v>
      </c>
      <c r="D55" s="45" t="s">
        <v>76</v>
      </c>
      <c r="E55" s="45" t="s">
        <v>70</v>
      </c>
      <c r="F55" s="45" t="s">
        <v>331</v>
      </c>
      <c r="G55" s="45" t="s">
        <v>71</v>
      </c>
      <c r="H55" s="45" t="s">
        <v>362</v>
      </c>
      <c r="I55" s="45">
        <v>1.91</v>
      </c>
      <c r="J55" s="45">
        <v>1</v>
      </c>
      <c r="K55" s="45">
        <v>1</v>
      </c>
      <c r="L55" s="45">
        <v>1</v>
      </c>
      <c r="M55" s="45">
        <v>4.91</v>
      </c>
      <c r="N55" s="45">
        <v>98.2</v>
      </c>
    </row>
    <row r="56" spans="1:14" x14ac:dyDescent="0.25">
      <c r="A56" s="44" t="s">
        <v>497</v>
      </c>
      <c r="B56" s="45" t="s">
        <v>388</v>
      </c>
      <c r="C56" s="45" t="s">
        <v>208</v>
      </c>
      <c r="D56" s="45" t="s">
        <v>69</v>
      </c>
      <c r="E56" s="45" t="s">
        <v>70</v>
      </c>
      <c r="F56" s="45" t="s">
        <v>331</v>
      </c>
      <c r="G56" s="45" t="s">
        <v>71</v>
      </c>
      <c r="H56" s="45" t="s">
        <v>345</v>
      </c>
      <c r="I56" s="45">
        <v>1.54</v>
      </c>
      <c r="J56" s="45">
        <v>0.93</v>
      </c>
      <c r="K56" s="45">
        <v>1</v>
      </c>
      <c r="L56" s="45">
        <v>0.96</v>
      </c>
      <c r="M56" s="45">
        <v>4.43</v>
      </c>
      <c r="N56" s="45">
        <v>88.6</v>
      </c>
    </row>
    <row r="57" spans="1:14" x14ac:dyDescent="0.25">
      <c r="A57" s="44" t="s">
        <v>497</v>
      </c>
      <c r="B57" s="45" t="s">
        <v>314</v>
      </c>
      <c r="C57" s="45" t="s">
        <v>209</v>
      </c>
      <c r="D57" s="45" t="s">
        <v>69</v>
      </c>
      <c r="E57" s="45" t="s">
        <v>70</v>
      </c>
      <c r="F57" s="45" t="s">
        <v>331</v>
      </c>
      <c r="G57" s="45" t="s">
        <v>73</v>
      </c>
      <c r="H57" s="45" t="s">
        <v>345</v>
      </c>
      <c r="I57" s="45">
        <v>1.95</v>
      </c>
      <c r="J57" s="45">
        <v>1</v>
      </c>
      <c r="K57" s="45">
        <v>0.94</v>
      </c>
      <c r="L57" s="45">
        <v>0.94</v>
      </c>
      <c r="M57" s="45">
        <v>4.83</v>
      </c>
      <c r="N57" s="45">
        <v>96.6</v>
      </c>
    </row>
    <row r="58" spans="1:14" x14ac:dyDescent="0.25">
      <c r="A58" s="44" t="s">
        <v>497</v>
      </c>
      <c r="B58" s="45" t="s">
        <v>390</v>
      </c>
      <c r="C58" s="45" t="s">
        <v>210</v>
      </c>
      <c r="D58" s="45" t="s">
        <v>69</v>
      </c>
      <c r="E58" s="45" t="s">
        <v>70</v>
      </c>
      <c r="F58" s="45" t="s">
        <v>331</v>
      </c>
      <c r="G58" s="45" t="s">
        <v>340</v>
      </c>
      <c r="H58" s="45" t="s">
        <v>83</v>
      </c>
      <c r="I58" s="45">
        <v>1.82</v>
      </c>
      <c r="J58" s="45">
        <v>1</v>
      </c>
      <c r="K58" s="45">
        <v>0.99</v>
      </c>
      <c r="L58" s="45">
        <v>1</v>
      </c>
      <c r="M58" s="45">
        <v>4.8099999999999996</v>
      </c>
      <c r="N58" s="45">
        <v>96.199999999999989</v>
      </c>
    </row>
    <row r="59" spans="1:14" x14ac:dyDescent="0.25">
      <c r="A59" s="44" t="s">
        <v>497</v>
      </c>
      <c r="B59" s="45" t="s">
        <v>315</v>
      </c>
      <c r="C59" s="45" t="s">
        <v>211</v>
      </c>
      <c r="D59" s="45" t="s">
        <v>69</v>
      </c>
      <c r="E59" s="45" t="s">
        <v>70</v>
      </c>
      <c r="F59" s="45" t="s">
        <v>331</v>
      </c>
      <c r="G59" s="45" t="s">
        <v>71</v>
      </c>
      <c r="H59" s="45" t="s">
        <v>365</v>
      </c>
      <c r="I59" s="45">
        <v>1.87</v>
      </c>
      <c r="J59" s="45">
        <v>1</v>
      </c>
      <c r="K59" s="45">
        <v>1</v>
      </c>
      <c r="L59" s="45">
        <v>0.98</v>
      </c>
      <c r="M59" s="45">
        <v>4.8499999999999996</v>
      </c>
      <c r="N59" s="45">
        <v>96.999999999999986</v>
      </c>
    </row>
    <row r="60" spans="1:14" x14ac:dyDescent="0.25">
      <c r="A60" s="44" t="s">
        <v>497</v>
      </c>
      <c r="B60" s="45" t="s">
        <v>392</v>
      </c>
      <c r="C60" s="45" t="s">
        <v>212</v>
      </c>
      <c r="D60" s="45" t="s">
        <v>76</v>
      </c>
      <c r="E60" s="45" t="s">
        <v>70</v>
      </c>
      <c r="F60" s="45" t="s">
        <v>331</v>
      </c>
      <c r="G60" s="45" t="s">
        <v>71</v>
      </c>
      <c r="H60" s="45" t="s">
        <v>350</v>
      </c>
      <c r="I60" s="45">
        <v>2</v>
      </c>
      <c r="J60" s="45">
        <v>0.94</v>
      </c>
      <c r="K60" s="45">
        <v>1</v>
      </c>
      <c r="L60" s="45">
        <v>0.98</v>
      </c>
      <c r="M60" s="45">
        <v>4.92</v>
      </c>
      <c r="N60" s="45">
        <v>98.4</v>
      </c>
    </row>
    <row r="61" spans="1:14" x14ac:dyDescent="0.25">
      <c r="A61" s="44" t="s">
        <v>497</v>
      </c>
      <c r="B61" s="45" t="s">
        <v>393</v>
      </c>
      <c r="C61" s="45" t="s">
        <v>213</v>
      </c>
      <c r="D61" s="45" t="s">
        <v>69</v>
      </c>
      <c r="E61" s="45" t="s">
        <v>70</v>
      </c>
      <c r="F61" s="45" t="s">
        <v>331</v>
      </c>
      <c r="G61" s="45" t="s">
        <v>71</v>
      </c>
      <c r="H61" s="45" t="s">
        <v>365</v>
      </c>
      <c r="I61" s="45">
        <v>1.77</v>
      </c>
      <c r="J61" s="45">
        <v>1</v>
      </c>
      <c r="K61" s="45">
        <v>1</v>
      </c>
      <c r="L61" s="45">
        <v>1</v>
      </c>
      <c r="M61" s="45">
        <v>4.7699999999999996</v>
      </c>
      <c r="N61" s="45">
        <v>95.399999999999991</v>
      </c>
    </row>
    <row r="62" spans="1:14" x14ac:dyDescent="0.25">
      <c r="A62" s="44" t="s">
        <v>497</v>
      </c>
      <c r="B62" s="45" t="s">
        <v>394</v>
      </c>
      <c r="C62" s="45" t="s">
        <v>214</v>
      </c>
      <c r="D62" s="45" t="s">
        <v>69</v>
      </c>
      <c r="E62" s="45" t="s">
        <v>70</v>
      </c>
      <c r="F62" s="45" t="s">
        <v>331</v>
      </c>
      <c r="G62" s="45" t="s">
        <v>73</v>
      </c>
      <c r="H62" s="45" t="s">
        <v>345</v>
      </c>
      <c r="I62" s="45">
        <v>1.93</v>
      </c>
      <c r="J62" s="45">
        <v>1</v>
      </c>
      <c r="K62" s="45">
        <v>0.97</v>
      </c>
      <c r="L62" s="45">
        <v>0.91</v>
      </c>
      <c r="M62" s="45">
        <v>4.8099999999999996</v>
      </c>
      <c r="N62" s="45">
        <v>96.199999999999989</v>
      </c>
    </row>
    <row r="63" spans="1:14" x14ac:dyDescent="0.25">
      <c r="A63" s="44" t="s">
        <v>497</v>
      </c>
      <c r="B63" s="45" t="s">
        <v>395</v>
      </c>
      <c r="C63" s="45" t="s">
        <v>215</v>
      </c>
      <c r="D63" s="45" t="s">
        <v>76</v>
      </c>
      <c r="E63" s="45" t="s">
        <v>70</v>
      </c>
      <c r="F63" s="45" t="s">
        <v>331</v>
      </c>
      <c r="G63" s="45" t="s">
        <v>73</v>
      </c>
      <c r="H63" s="45" t="s">
        <v>72</v>
      </c>
      <c r="I63" s="45">
        <v>1.84</v>
      </c>
      <c r="J63" s="45">
        <v>1</v>
      </c>
      <c r="K63" s="45">
        <v>1</v>
      </c>
      <c r="L63" s="45">
        <v>1</v>
      </c>
      <c r="M63" s="45">
        <v>4.84</v>
      </c>
      <c r="N63" s="45">
        <v>96.8</v>
      </c>
    </row>
    <row r="64" spans="1:14" x14ac:dyDescent="0.25">
      <c r="A64" s="44" t="s">
        <v>497</v>
      </c>
      <c r="B64" s="45" t="s">
        <v>396</v>
      </c>
      <c r="C64" s="45" t="s">
        <v>216</v>
      </c>
      <c r="D64" s="45" t="s">
        <v>76</v>
      </c>
      <c r="E64" s="45" t="s">
        <v>70</v>
      </c>
      <c r="F64" s="45" t="s">
        <v>331</v>
      </c>
      <c r="G64" s="45" t="s">
        <v>73</v>
      </c>
      <c r="H64" s="46" t="s">
        <v>93</v>
      </c>
      <c r="I64" s="45">
        <v>1.89</v>
      </c>
      <c r="J64" s="45">
        <v>1</v>
      </c>
      <c r="K64" s="45">
        <v>0.92</v>
      </c>
      <c r="L64" s="45">
        <v>0.97</v>
      </c>
      <c r="M64" s="45">
        <v>4.78</v>
      </c>
      <c r="N64" s="45">
        <v>95.6</v>
      </c>
    </row>
    <row r="65" spans="1:14" x14ac:dyDescent="0.25">
      <c r="A65" s="44" t="s">
        <v>497</v>
      </c>
      <c r="B65" s="45" t="s">
        <v>397</v>
      </c>
      <c r="C65" s="45" t="s">
        <v>217</v>
      </c>
      <c r="D65" s="45" t="s">
        <v>69</v>
      </c>
      <c r="E65" s="45" t="s">
        <v>70</v>
      </c>
      <c r="F65" s="45" t="s">
        <v>331</v>
      </c>
      <c r="G65" s="45" t="s">
        <v>71</v>
      </c>
      <c r="H65" s="45" t="s">
        <v>398</v>
      </c>
      <c r="I65" s="45">
        <v>1.6</v>
      </c>
      <c r="J65" s="45">
        <v>0.88</v>
      </c>
      <c r="K65" s="45">
        <v>0.92</v>
      </c>
      <c r="L65" s="45">
        <v>1</v>
      </c>
      <c r="M65" s="45">
        <v>4.4000000000000004</v>
      </c>
      <c r="N65" s="45">
        <v>88.000000000000014</v>
      </c>
    </row>
    <row r="66" spans="1:14" x14ac:dyDescent="0.25">
      <c r="A66" s="44" t="s">
        <v>497</v>
      </c>
      <c r="B66" s="45" t="s">
        <v>316</v>
      </c>
      <c r="C66" s="45" t="s">
        <v>218</v>
      </c>
      <c r="D66" s="45" t="s">
        <v>69</v>
      </c>
      <c r="E66" s="45" t="s">
        <v>70</v>
      </c>
      <c r="F66" s="45" t="s">
        <v>331</v>
      </c>
      <c r="G66" s="45" t="s">
        <v>73</v>
      </c>
      <c r="H66" s="45" t="s">
        <v>368</v>
      </c>
      <c r="I66" s="45">
        <v>1.89</v>
      </c>
      <c r="J66" s="45">
        <v>1</v>
      </c>
      <c r="K66" s="45">
        <v>0.98</v>
      </c>
      <c r="L66" s="45">
        <v>1</v>
      </c>
      <c r="M66" s="45">
        <v>4.87</v>
      </c>
      <c r="N66" s="45">
        <v>97.4</v>
      </c>
    </row>
    <row r="67" spans="1:14" x14ac:dyDescent="0.25">
      <c r="A67" s="44" t="s">
        <v>497</v>
      </c>
      <c r="B67" s="45" t="s">
        <v>399</v>
      </c>
      <c r="C67" s="45" t="s">
        <v>219</v>
      </c>
      <c r="D67" s="45" t="s">
        <v>76</v>
      </c>
      <c r="E67" s="45" t="s">
        <v>70</v>
      </c>
      <c r="F67" s="45" t="s">
        <v>331</v>
      </c>
      <c r="G67" s="45" t="s">
        <v>340</v>
      </c>
      <c r="H67" s="45" t="s">
        <v>401</v>
      </c>
      <c r="I67" s="45">
        <v>1.92</v>
      </c>
      <c r="J67" s="45">
        <v>1</v>
      </c>
      <c r="K67" s="45">
        <v>0.99</v>
      </c>
      <c r="L67" s="45">
        <v>0.98</v>
      </c>
      <c r="M67" s="45">
        <v>4.8899999999999997</v>
      </c>
      <c r="N67" s="45">
        <v>97.799999999999983</v>
      </c>
    </row>
    <row r="68" spans="1:14" x14ac:dyDescent="0.25">
      <c r="A68" s="44" t="s">
        <v>497</v>
      </c>
      <c r="B68" s="45" t="s">
        <v>402</v>
      </c>
      <c r="C68" s="45" t="s">
        <v>220</v>
      </c>
      <c r="D68" s="45" t="s">
        <v>76</v>
      </c>
      <c r="E68" s="45" t="s">
        <v>70</v>
      </c>
      <c r="F68" s="45" t="s">
        <v>331</v>
      </c>
      <c r="G68" s="45" t="s">
        <v>73</v>
      </c>
      <c r="H68" s="45" t="s">
        <v>93</v>
      </c>
      <c r="I68" s="45">
        <v>1.96</v>
      </c>
      <c r="J68" s="45">
        <v>1</v>
      </c>
      <c r="K68" s="45">
        <v>0.92</v>
      </c>
      <c r="L68" s="45">
        <v>0.96</v>
      </c>
      <c r="M68" s="45">
        <v>4.84</v>
      </c>
      <c r="N68" s="45">
        <v>96.8</v>
      </c>
    </row>
    <row r="69" spans="1:14" x14ac:dyDescent="0.25">
      <c r="A69" s="44" t="s">
        <v>497</v>
      </c>
      <c r="B69" s="45" t="s">
        <v>403</v>
      </c>
      <c r="C69" s="45" t="s">
        <v>221</v>
      </c>
      <c r="D69" s="45" t="s">
        <v>76</v>
      </c>
      <c r="E69" s="45" t="s">
        <v>70</v>
      </c>
      <c r="F69" s="45" t="s">
        <v>331</v>
      </c>
      <c r="G69" s="45" t="s">
        <v>71</v>
      </c>
      <c r="H69" s="45" t="s">
        <v>356</v>
      </c>
      <c r="I69" s="45">
        <v>1.93</v>
      </c>
      <c r="J69" s="45">
        <v>0.99</v>
      </c>
      <c r="K69" s="45">
        <v>1</v>
      </c>
      <c r="L69" s="45">
        <v>0.99</v>
      </c>
      <c r="M69" s="45">
        <v>4.91</v>
      </c>
      <c r="N69" s="45">
        <v>98.2</v>
      </c>
    </row>
    <row r="70" spans="1:14" x14ac:dyDescent="0.25">
      <c r="A70" s="44" t="s">
        <v>497</v>
      </c>
      <c r="B70" s="45" t="s">
        <v>404</v>
      </c>
      <c r="C70" s="45" t="s">
        <v>222</v>
      </c>
      <c r="D70" s="45" t="s">
        <v>76</v>
      </c>
      <c r="E70" s="45" t="s">
        <v>70</v>
      </c>
      <c r="F70" s="45" t="s">
        <v>331</v>
      </c>
      <c r="G70" s="45" t="s">
        <v>73</v>
      </c>
      <c r="H70" s="45" t="s">
        <v>398</v>
      </c>
      <c r="I70" s="45">
        <v>1.34</v>
      </c>
      <c r="J70" s="45">
        <v>1</v>
      </c>
      <c r="K70" s="45">
        <v>0.97</v>
      </c>
      <c r="L70" s="45">
        <v>0.96</v>
      </c>
      <c r="M70" s="45">
        <v>4.2699999999999996</v>
      </c>
      <c r="N70" s="45">
        <v>85.399999999999991</v>
      </c>
    </row>
    <row r="71" spans="1:14" x14ac:dyDescent="0.25">
      <c r="A71" s="44" t="s">
        <v>497</v>
      </c>
      <c r="B71" s="45" t="s">
        <v>405</v>
      </c>
      <c r="C71" s="45" t="s">
        <v>223</v>
      </c>
      <c r="D71" s="45" t="s">
        <v>76</v>
      </c>
      <c r="E71" s="45" t="s">
        <v>70</v>
      </c>
      <c r="F71" s="45" t="s">
        <v>331</v>
      </c>
      <c r="G71" s="45" t="s">
        <v>71</v>
      </c>
      <c r="H71" s="45" t="s">
        <v>93</v>
      </c>
      <c r="I71" s="45">
        <v>1.78</v>
      </c>
      <c r="J71" s="45">
        <v>0.99</v>
      </c>
      <c r="K71" s="45">
        <v>0.94</v>
      </c>
      <c r="L71" s="45">
        <v>1</v>
      </c>
      <c r="M71" s="45">
        <v>4.71</v>
      </c>
      <c r="N71" s="45">
        <v>94.2</v>
      </c>
    </row>
    <row r="72" spans="1:14" x14ac:dyDescent="0.25">
      <c r="A72" s="44" t="s">
        <v>497</v>
      </c>
      <c r="B72" s="45" t="s">
        <v>406</v>
      </c>
      <c r="C72" s="45" t="s">
        <v>224</v>
      </c>
      <c r="D72" s="45" t="s">
        <v>76</v>
      </c>
      <c r="E72" s="45" t="s">
        <v>70</v>
      </c>
      <c r="F72" s="45" t="s">
        <v>331</v>
      </c>
      <c r="G72" s="45" t="s">
        <v>73</v>
      </c>
      <c r="H72" s="45" t="s">
        <v>345</v>
      </c>
      <c r="I72" s="45">
        <v>1.82</v>
      </c>
      <c r="J72" s="45">
        <v>1</v>
      </c>
      <c r="K72" s="45">
        <v>1</v>
      </c>
      <c r="L72" s="45">
        <v>0.75</v>
      </c>
      <c r="M72" s="45">
        <v>4.57</v>
      </c>
      <c r="N72" s="45">
        <v>91.4</v>
      </c>
    </row>
    <row r="73" spans="1:14" x14ac:dyDescent="0.25">
      <c r="A73" s="44" t="s">
        <v>497</v>
      </c>
      <c r="B73" s="45" t="s">
        <v>407</v>
      </c>
      <c r="C73" s="45" t="s">
        <v>225</v>
      </c>
      <c r="D73" s="45" t="s">
        <v>76</v>
      </c>
      <c r="E73" s="45" t="s">
        <v>70</v>
      </c>
      <c r="F73" s="45" t="s">
        <v>331</v>
      </c>
      <c r="G73" s="45" t="s">
        <v>71</v>
      </c>
      <c r="H73" s="45" t="s">
        <v>398</v>
      </c>
      <c r="I73" s="45">
        <v>1.9</v>
      </c>
      <c r="J73" s="45">
        <v>0.99</v>
      </c>
      <c r="K73" s="45">
        <v>0.99</v>
      </c>
      <c r="L73" s="45">
        <v>1</v>
      </c>
      <c r="M73" s="45">
        <v>4.88</v>
      </c>
      <c r="N73" s="45">
        <v>97.6</v>
      </c>
    </row>
    <row r="74" spans="1:14" x14ac:dyDescent="0.25">
      <c r="A74" s="44" t="s">
        <v>497</v>
      </c>
      <c r="B74" s="45" t="s">
        <v>409</v>
      </c>
      <c r="C74" s="45" t="s">
        <v>226</v>
      </c>
      <c r="D74" s="45" t="s">
        <v>76</v>
      </c>
      <c r="E74" s="45" t="s">
        <v>70</v>
      </c>
      <c r="F74" s="45" t="s">
        <v>331</v>
      </c>
      <c r="G74" s="45" t="s">
        <v>71</v>
      </c>
      <c r="H74" s="45" t="s">
        <v>72</v>
      </c>
      <c r="I74" s="45">
        <v>1.81</v>
      </c>
      <c r="J74" s="45">
        <v>1</v>
      </c>
      <c r="K74" s="45">
        <v>1</v>
      </c>
      <c r="L74" s="45">
        <v>1</v>
      </c>
      <c r="M74" s="45">
        <v>4.8099999999999996</v>
      </c>
      <c r="N74" s="45">
        <v>96.199999999999989</v>
      </c>
    </row>
    <row r="75" spans="1:14" x14ac:dyDescent="0.25">
      <c r="A75" s="44" t="s">
        <v>497</v>
      </c>
      <c r="B75" s="45" t="s">
        <v>410</v>
      </c>
      <c r="C75" s="45" t="s">
        <v>227</v>
      </c>
      <c r="D75" s="45" t="s">
        <v>76</v>
      </c>
      <c r="E75" s="45" t="s">
        <v>70</v>
      </c>
      <c r="F75" s="45" t="s">
        <v>331</v>
      </c>
      <c r="G75" s="45" t="s">
        <v>71</v>
      </c>
      <c r="H75" s="45" t="s">
        <v>353</v>
      </c>
      <c r="I75" s="45">
        <v>1.93</v>
      </c>
      <c r="J75" s="45">
        <v>1</v>
      </c>
      <c r="K75" s="45">
        <v>0.98</v>
      </c>
      <c r="L75" s="45">
        <v>1</v>
      </c>
      <c r="M75" s="45">
        <v>4.91</v>
      </c>
      <c r="N75" s="45">
        <v>98.2</v>
      </c>
    </row>
    <row r="76" spans="1:14" x14ac:dyDescent="0.25">
      <c r="A76" s="44" t="s">
        <v>497</v>
      </c>
      <c r="B76" s="45" t="s">
        <v>411</v>
      </c>
      <c r="C76" s="45" t="s">
        <v>228</v>
      </c>
      <c r="D76" s="45" t="s">
        <v>76</v>
      </c>
      <c r="E76" s="45" t="s">
        <v>70</v>
      </c>
      <c r="F76" s="45" t="s">
        <v>331</v>
      </c>
      <c r="G76" s="45" t="s">
        <v>73</v>
      </c>
      <c r="H76" s="45" t="s">
        <v>72</v>
      </c>
      <c r="I76" s="45">
        <v>1.84</v>
      </c>
      <c r="J76" s="45">
        <v>1</v>
      </c>
      <c r="K76" s="45">
        <v>1</v>
      </c>
      <c r="L76" s="45">
        <v>1</v>
      </c>
      <c r="M76" s="45">
        <v>4.84</v>
      </c>
      <c r="N76" s="45">
        <v>96.8</v>
      </c>
    </row>
    <row r="77" spans="1:14" x14ac:dyDescent="0.25">
      <c r="A77" s="44" t="s">
        <v>497</v>
      </c>
      <c r="B77" s="45" t="s">
        <v>412</v>
      </c>
      <c r="C77" s="45" t="s">
        <v>229</v>
      </c>
      <c r="D77" s="45" t="s">
        <v>76</v>
      </c>
      <c r="E77" s="45" t="s">
        <v>70</v>
      </c>
      <c r="F77" s="45" t="s">
        <v>331</v>
      </c>
      <c r="G77" s="45" t="s">
        <v>71</v>
      </c>
      <c r="H77" s="45" t="s">
        <v>362</v>
      </c>
      <c r="I77" s="45">
        <v>1.87</v>
      </c>
      <c r="J77" s="45">
        <v>1</v>
      </c>
      <c r="K77" s="45">
        <v>0.97</v>
      </c>
      <c r="L77" s="45">
        <v>0.96</v>
      </c>
      <c r="M77" s="45">
        <v>4.8</v>
      </c>
      <c r="N77" s="45">
        <v>96</v>
      </c>
    </row>
    <row r="78" spans="1:14" x14ac:dyDescent="0.25">
      <c r="A78" s="44" t="s">
        <v>497</v>
      </c>
      <c r="B78" s="45" t="s">
        <v>317</v>
      </c>
      <c r="C78" s="45" t="s">
        <v>230</v>
      </c>
      <c r="D78" s="45" t="s">
        <v>76</v>
      </c>
      <c r="E78" s="45" t="s">
        <v>70</v>
      </c>
      <c r="F78" s="45" t="s">
        <v>331</v>
      </c>
      <c r="G78" s="45" t="s">
        <v>73</v>
      </c>
      <c r="H78" s="45" t="s">
        <v>345</v>
      </c>
      <c r="I78" s="45">
        <v>1.87</v>
      </c>
      <c r="J78" s="45">
        <v>1</v>
      </c>
      <c r="K78" s="45">
        <v>1</v>
      </c>
      <c r="L78" s="45">
        <v>0.9</v>
      </c>
      <c r="M78" s="45">
        <v>4.7699999999999996</v>
      </c>
      <c r="N78" s="45">
        <v>95.399999999999991</v>
      </c>
    </row>
    <row r="79" spans="1:14" x14ac:dyDescent="0.25">
      <c r="A79" s="44" t="s">
        <v>497</v>
      </c>
      <c r="B79" s="45" t="s">
        <v>318</v>
      </c>
      <c r="C79" s="45" t="s">
        <v>231</v>
      </c>
      <c r="D79" s="45" t="s">
        <v>76</v>
      </c>
      <c r="E79" s="45" t="s">
        <v>70</v>
      </c>
      <c r="F79" s="45" t="s">
        <v>331</v>
      </c>
      <c r="G79" s="45" t="s">
        <v>73</v>
      </c>
      <c r="H79" s="45" t="s">
        <v>104</v>
      </c>
      <c r="I79" s="45">
        <v>1.9</v>
      </c>
      <c r="J79" s="45">
        <v>1</v>
      </c>
      <c r="K79" s="45">
        <v>1</v>
      </c>
      <c r="L79" s="45">
        <v>1</v>
      </c>
      <c r="M79" s="45">
        <v>4.9000000000000004</v>
      </c>
      <c r="N79" s="45">
        <v>98.000000000000014</v>
      </c>
    </row>
    <row r="80" spans="1:14" x14ac:dyDescent="0.25">
      <c r="A80" s="44" t="s">
        <v>497</v>
      </c>
      <c r="B80" s="45" t="s">
        <v>413</v>
      </c>
      <c r="C80" s="45" t="s">
        <v>232</v>
      </c>
      <c r="D80" s="45" t="s">
        <v>69</v>
      </c>
      <c r="E80" s="45" t="s">
        <v>70</v>
      </c>
      <c r="F80" s="45" t="s">
        <v>331</v>
      </c>
      <c r="G80" s="45" t="s">
        <v>71</v>
      </c>
      <c r="H80" s="45" t="s">
        <v>350</v>
      </c>
      <c r="I80" s="45">
        <v>1.87</v>
      </c>
      <c r="J80" s="45">
        <v>0.99</v>
      </c>
      <c r="K80" s="45">
        <v>1</v>
      </c>
      <c r="L80" s="45">
        <v>1</v>
      </c>
      <c r="M80" s="45">
        <v>4.8600000000000003</v>
      </c>
      <c r="N80" s="45">
        <v>97.200000000000017</v>
      </c>
    </row>
    <row r="81" spans="1:14" x14ac:dyDescent="0.25">
      <c r="A81" s="44" t="s">
        <v>497</v>
      </c>
      <c r="B81" s="45" t="s">
        <v>92</v>
      </c>
      <c r="C81" s="45" t="s">
        <v>233</v>
      </c>
      <c r="D81" s="45" t="s">
        <v>76</v>
      </c>
      <c r="E81" s="45" t="s">
        <v>70</v>
      </c>
      <c r="F81" s="45" t="s">
        <v>331</v>
      </c>
      <c r="G81" s="45" t="s">
        <v>73</v>
      </c>
      <c r="H81" s="45" t="s">
        <v>93</v>
      </c>
      <c r="I81" s="45">
        <v>1.92</v>
      </c>
      <c r="J81" s="45">
        <v>0</v>
      </c>
      <c r="K81" s="45">
        <v>0.9</v>
      </c>
      <c r="L81" s="45">
        <v>1</v>
      </c>
      <c r="M81" s="45">
        <v>3.82</v>
      </c>
      <c r="N81" s="45">
        <v>76.400000000000006</v>
      </c>
    </row>
    <row r="82" spans="1:14" x14ac:dyDescent="0.25">
      <c r="A82" s="44" t="s">
        <v>497</v>
      </c>
      <c r="B82" s="45" t="s">
        <v>414</v>
      </c>
      <c r="C82" s="45" t="s">
        <v>234</v>
      </c>
      <c r="D82" s="45" t="s">
        <v>69</v>
      </c>
      <c r="E82" s="45" t="s">
        <v>70</v>
      </c>
      <c r="F82" s="45" t="s">
        <v>331</v>
      </c>
      <c r="G82" s="45" t="s">
        <v>71</v>
      </c>
      <c r="H82" s="45" t="s">
        <v>83</v>
      </c>
      <c r="I82" s="45">
        <v>1.76</v>
      </c>
      <c r="J82" s="45">
        <v>1</v>
      </c>
      <c r="K82" s="45">
        <v>1</v>
      </c>
      <c r="L82" s="45">
        <v>1</v>
      </c>
      <c r="M82" s="45">
        <v>4.76</v>
      </c>
      <c r="N82" s="45">
        <v>95.2</v>
      </c>
    </row>
    <row r="83" spans="1:14" x14ac:dyDescent="0.25">
      <c r="A83" s="44" t="s">
        <v>497</v>
      </c>
      <c r="B83" s="45" t="s">
        <v>415</v>
      </c>
      <c r="C83" s="45" t="s">
        <v>235</v>
      </c>
      <c r="D83" s="45" t="s">
        <v>69</v>
      </c>
      <c r="E83" s="45" t="s">
        <v>70</v>
      </c>
      <c r="F83" s="45" t="s">
        <v>331</v>
      </c>
      <c r="G83" s="45" t="s">
        <v>73</v>
      </c>
      <c r="H83" s="45" t="s">
        <v>93</v>
      </c>
      <c r="I83" s="45">
        <v>1.92</v>
      </c>
      <c r="J83" s="45">
        <v>1</v>
      </c>
      <c r="K83" s="45">
        <v>0.94</v>
      </c>
      <c r="L83" s="45">
        <v>1</v>
      </c>
      <c r="M83" s="45">
        <v>4.8600000000000003</v>
      </c>
      <c r="N83" s="45">
        <v>97.200000000000017</v>
      </c>
    </row>
    <row r="84" spans="1:14" x14ac:dyDescent="0.25">
      <c r="A84" s="44" t="s">
        <v>497</v>
      </c>
      <c r="B84" s="45" t="s">
        <v>416</v>
      </c>
      <c r="C84" s="45" t="s">
        <v>236</v>
      </c>
      <c r="D84" s="45" t="s">
        <v>76</v>
      </c>
      <c r="E84" s="45" t="s">
        <v>70</v>
      </c>
      <c r="F84" s="45" t="s">
        <v>331</v>
      </c>
      <c r="G84" s="45" t="s">
        <v>340</v>
      </c>
      <c r="H84" s="45" t="s">
        <v>368</v>
      </c>
      <c r="I84" s="45">
        <v>1.78</v>
      </c>
      <c r="J84" s="45">
        <v>1</v>
      </c>
      <c r="K84" s="45">
        <v>1</v>
      </c>
      <c r="L84" s="45">
        <v>0.97</v>
      </c>
      <c r="M84" s="45">
        <v>4.75</v>
      </c>
      <c r="N84" s="45">
        <v>95</v>
      </c>
    </row>
    <row r="85" spans="1:14" x14ac:dyDescent="0.25">
      <c r="A85" s="44" t="s">
        <v>497</v>
      </c>
      <c r="B85" s="45" t="s">
        <v>417</v>
      </c>
      <c r="C85" s="45" t="s">
        <v>237</v>
      </c>
      <c r="D85" s="45" t="s">
        <v>69</v>
      </c>
      <c r="E85" s="45" t="s">
        <v>70</v>
      </c>
      <c r="F85" s="45" t="s">
        <v>331</v>
      </c>
      <c r="G85" s="45" t="s">
        <v>71</v>
      </c>
      <c r="H85" s="45" t="s">
        <v>83</v>
      </c>
      <c r="I85" s="45">
        <v>1.82</v>
      </c>
      <c r="J85" s="45">
        <v>1</v>
      </c>
      <c r="K85" s="45">
        <v>1</v>
      </c>
      <c r="L85" s="45">
        <v>1</v>
      </c>
      <c r="M85" s="45">
        <v>4.82</v>
      </c>
      <c r="N85" s="45">
        <v>96.4</v>
      </c>
    </row>
    <row r="86" spans="1:14" x14ac:dyDescent="0.25">
      <c r="A86" s="44" t="s">
        <v>497</v>
      </c>
      <c r="B86" s="45" t="s">
        <v>418</v>
      </c>
      <c r="C86" s="45" t="s">
        <v>238</v>
      </c>
      <c r="D86" s="45" t="s">
        <v>69</v>
      </c>
      <c r="E86" s="45" t="s">
        <v>70</v>
      </c>
      <c r="F86" s="45" t="s">
        <v>331</v>
      </c>
      <c r="G86" s="45" t="s">
        <v>71</v>
      </c>
      <c r="H86" s="45" t="s">
        <v>332</v>
      </c>
      <c r="I86" s="45">
        <v>1.99</v>
      </c>
      <c r="J86" s="45">
        <v>0.98</v>
      </c>
      <c r="K86" s="45">
        <v>1</v>
      </c>
      <c r="L86" s="45">
        <v>1</v>
      </c>
      <c r="M86" s="45">
        <v>4.97</v>
      </c>
      <c r="N86" s="45">
        <v>99.4</v>
      </c>
    </row>
    <row r="87" spans="1:14" x14ac:dyDescent="0.25">
      <c r="A87" s="44" t="s">
        <v>497</v>
      </c>
      <c r="B87" s="45" t="s">
        <v>419</v>
      </c>
      <c r="C87" s="45" t="s">
        <v>239</v>
      </c>
      <c r="D87" s="45" t="s">
        <v>76</v>
      </c>
      <c r="E87" s="45" t="s">
        <v>70</v>
      </c>
      <c r="F87" s="45" t="s">
        <v>331</v>
      </c>
      <c r="G87" s="45" t="s">
        <v>71</v>
      </c>
      <c r="H87" s="45" t="s">
        <v>104</v>
      </c>
      <c r="I87" s="45">
        <v>1.79</v>
      </c>
      <c r="J87" s="45">
        <v>0.99</v>
      </c>
      <c r="K87" s="45">
        <v>1</v>
      </c>
      <c r="L87" s="45">
        <v>1</v>
      </c>
      <c r="M87" s="45">
        <v>4.78</v>
      </c>
      <c r="N87" s="45">
        <v>95.6</v>
      </c>
    </row>
    <row r="88" spans="1:14" x14ac:dyDescent="0.25">
      <c r="A88" s="44" t="s">
        <v>497</v>
      </c>
      <c r="B88" s="45" t="s">
        <v>421</v>
      </c>
      <c r="C88" s="45" t="s">
        <v>240</v>
      </c>
      <c r="D88" s="45" t="s">
        <v>69</v>
      </c>
      <c r="E88" s="45" t="s">
        <v>70</v>
      </c>
      <c r="F88" s="45" t="s">
        <v>423</v>
      </c>
      <c r="G88" s="45" t="s">
        <v>73</v>
      </c>
      <c r="H88" s="45" t="s">
        <v>93</v>
      </c>
      <c r="I88" s="45">
        <v>1.89</v>
      </c>
      <c r="J88" s="45">
        <v>0.99</v>
      </c>
      <c r="K88" s="45">
        <v>0.94</v>
      </c>
      <c r="L88" s="45">
        <v>1</v>
      </c>
      <c r="M88" s="45">
        <v>4.82</v>
      </c>
      <c r="N88" s="45">
        <v>96.4</v>
      </c>
    </row>
    <row r="89" spans="1:14" x14ac:dyDescent="0.25">
      <c r="A89" s="44" t="s">
        <v>497</v>
      </c>
      <c r="B89" s="45" t="s">
        <v>424</v>
      </c>
      <c r="C89" s="45" t="s">
        <v>241</v>
      </c>
      <c r="D89" s="45" t="s">
        <v>76</v>
      </c>
      <c r="E89" s="45" t="s">
        <v>70</v>
      </c>
      <c r="F89" s="45" t="s">
        <v>331</v>
      </c>
      <c r="G89" s="45" t="s">
        <v>71</v>
      </c>
      <c r="H89" s="45" t="s">
        <v>93</v>
      </c>
      <c r="I89" s="45">
        <v>1.9</v>
      </c>
      <c r="J89" s="45">
        <v>1</v>
      </c>
      <c r="K89" s="45">
        <v>1</v>
      </c>
      <c r="L89" s="45">
        <v>0.94</v>
      </c>
      <c r="M89" s="45">
        <v>4.84</v>
      </c>
      <c r="N89" s="45">
        <v>96.8</v>
      </c>
    </row>
    <row r="90" spans="1:14" x14ac:dyDescent="0.25">
      <c r="A90" s="44" t="s">
        <v>497</v>
      </c>
      <c r="B90" s="45" t="s">
        <v>425</v>
      </c>
      <c r="C90" s="45" t="s">
        <v>242</v>
      </c>
      <c r="D90" s="45" t="s">
        <v>76</v>
      </c>
      <c r="E90" s="45" t="s">
        <v>70</v>
      </c>
      <c r="F90" s="45" t="s">
        <v>361</v>
      </c>
      <c r="G90" s="45" t="s">
        <v>71</v>
      </c>
      <c r="H90" s="45" t="s">
        <v>93</v>
      </c>
      <c r="I90" s="45">
        <v>1.9</v>
      </c>
      <c r="J90" s="45">
        <v>1</v>
      </c>
      <c r="K90" s="45">
        <v>0.99</v>
      </c>
      <c r="L90" s="45">
        <v>1</v>
      </c>
      <c r="M90" s="45">
        <v>4.8899999999999997</v>
      </c>
      <c r="N90" s="45">
        <v>97.799999999999983</v>
      </c>
    </row>
    <row r="91" spans="1:14" x14ac:dyDescent="0.25">
      <c r="A91" s="44" t="s">
        <v>497</v>
      </c>
      <c r="B91" s="45" t="s">
        <v>426</v>
      </c>
      <c r="C91" s="45" t="s">
        <v>243</v>
      </c>
      <c r="D91" s="45" t="s">
        <v>76</v>
      </c>
      <c r="E91" s="45" t="s">
        <v>70</v>
      </c>
      <c r="F91" s="45" t="s">
        <v>331</v>
      </c>
      <c r="G91" s="45" t="s">
        <v>71</v>
      </c>
      <c r="H91" s="45" t="s">
        <v>93</v>
      </c>
      <c r="I91" s="45">
        <v>1.86</v>
      </c>
      <c r="J91" s="45">
        <v>1</v>
      </c>
      <c r="K91" s="45">
        <v>0.97</v>
      </c>
      <c r="L91" s="45">
        <v>0.98</v>
      </c>
      <c r="M91" s="45">
        <v>4.8099999999999996</v>
      </c>
      <c r="N91" s="45">
        <v>96.199999999999989</v>
      </c>
    </row>
    <row r="92" spans="1:14" x14ac:dyDescent="0.25">
      <c r="A92" s="44" t="s">
        <v>497</v>
      </c>
      <c r="B92" s="45" t="s">
        <v>428</v>
      </c>
      <c r="C92" s="45" t="s">
        <v>244</v>
      </c>
      <c r="D92" s="45" t="s">
        <v>76</v>
      </c>
      <c r="E92" s="45" t="s">
        <v>70</v>
      </c>
      <c r="F92" s="45" t="s">
        <v>331</v>
      </c>
      <c r="G92" s="45" t="s">
        <v>73</v>
      </c>
      <c r="H92" s="45" t="s">
        <v>93</v>
      </c>
      <c r="I92" s="45">
        <v>1.9</v>
      </c>
      <c r="J92" s="45">
        <v>0.98</v>
      </c>
      <c r="K92" s="45">
        <v>0.92</v>
      </c>
      <c r="L92" s="45">
        <v>1</v>
      </c>
      <c r="M92" s="45">
        <v>4.8</v>
      </c>
      <c r="N92" s="45">
        <v>96</v>
      </c>
    </row>
    <row r="93" spans="1:14" x14ac:dyDescent="0.25">
      <c r="A93" s="44" t="s">
        <v>497</v>
      </c>
      <c r="B93" s="45" t="s">
        <v>429</v>
      </c>
      <c r="C93" s="45" t="s">
        <v>245</v>
      </c>
      <c r="D93" s="45" t="s">
        <v>69</v>
      </c>
      <c r="E93" s="45" t="s">
        <v>70</v>
      </c>
      <c r="F93" s="45" t="s">
        <v>331</v>
      </c>
      <c r="G93" s="45" t="s">
        <v>71</v>
      </c>
      <c r="H93" s="45" t="s">
        <v>72</v>
      </c>
      <c r="I93" s="45">
        <v>1.81</v>
      </c>
      <c r="J93" s="45">
        <v>1</v>
      </c>
      <c r="K93" s="45">
        <v>0.99</v>
      </c>
      <c r="L93" s="45">
        <v>1</v>
      </c>
      <c r="M93" s="45">
        <v>4.8</v>
      </c>
      <c r="N93" s="45">
        <v>96</v>
      </c>
    </row>
    <row r="94" spans="1:14" x14ac:dyDescent="0.25">
      <c r="A94" s="44" t="s">
        <v>497</v>
      </c>
      <c r="B94" s="45" t="s">
        <v>430</v>
      </c>
      <c r="C94" s="45" t="s">
        <v>246</v>
      </c>
      <c r="D94" s="45" t="s">
        <v>76</v>
      </c>
      <c r="E94" s="45" t="s">
        <v>70</v>
      </c>
      <c r="F94" s="45" t="s">
        <v>331</v>
      </c>
      <c r="G94" s="45" t="s">
        <v>71</v>
      </c>
      <c r="H94" s="45" t="s">
        <v>72</v>
      </c>
      <c r="I94" s="45">
        <v>1.75</v>
      </c>
      <c r="J94" s="45">
        <v>0.99</v>
      </c>
      <c r="K94" s="45">
        <v>0.97</v>
      </c>
      <c r="L94" s="45">
        <v>1</v>
      </c>
      <c r="M94" s="45">
        <v>4.71</v>
      </c>
      <c r="N94" s="45">
        <v>94.2</v>
      </c>
    </row>
    <row r="95" spans="1:14" x14ac:dyDescent="0.25">
      <c r="A95" s="44" t="s">
        <v>497</v>
      </c>
      <c r="B95" s="45" t="s">
        <v>431</v>
      </c>
      <c r="C95" s="45" t="s">
        <v>247</v>
      </c>
      <c r="D95" s="45" t="s">
        <v>76</v>
      </c>
      <c r="E95" s="45" t="s">
        <v>70</v>
      </c>
      <c r="F95" s="45" t="s">
        <v>331</v>
      </c>
      <c r="G95" s="45" t="s">
        <v>71</v>
      </c>
      <c r="H95" s="45" t="s">
        <v>368</v>
      </c>
      <c r="I95" s="45">
        <v>1.94</v>
      </c>
      <c r="J95" s="45">
        <v>1</v>
      </c>
      <c r="K95" s="45">
        <v>1</v>
      </c>
      <c r="L95" s="45">
        <v>1</v>
      </c>
      <c r="M95" s="45">
        <v>4.9400000000000004</v>
      </c>
      <c r="N95" s="45">
        <v>98.800000000000011</v>
      </c>
    </row>
    <row r="96" spans="1:14" x14ac:dyDescent="0.25">
      <c r="A96" s="44" t="s">
        <v>497</v>
      </c>
      <c r="B96" s="45" t="s">
        <v>432</v>
      </c>
      <c r="C96" s="45" t="s">
        <v>248</v>
      </c>
      <c r="D96" s="45" t="s">
        <v>76</v>
      </c>
      <c r="E96" s="45" t="s">
        <v>70</v>
      </c>
      <c r="F96" s="45" t="s">
        <v>361</v>
      </c>
      <c r="G96" s="45" t="s">
        <v>71</v>
      </c>
      <c r="H96" s="45" t="s">
        <v>365</v>
      </c>
      <c r="I96" s="45">
        <v>1.4</v>
      </c>
      <c r="J96" s="45">
        <v>1</v>
      </c>
      <c r="K96" s="45">
        <v>1</v>
      </c>
      <c r="L96" s="45">
        <v>0.91</v>
      </c>
      <c r="M96" s="45">
        <v>4.3099999999999996</v>
      </c>
      <c r="N96" s="45">
        <v>86.199999999999989</v>
      </c>
    </row>
    <row r="97" spans="1:14" x14ac:dyDescent="0.25">
      <c r="A97" s="44" t="s">
        <v>497</v>
      </c>
      <c r="B97" s="45" t="s">
        <v>434</v>
      </c>
      <c r="C97" s="45" t="s">
        <v>249</v>
      </c>
      <c r="D97" s="45" t="s">
        <v>69</v>
      </c>
      <c r="E97" s="45" t="s">
        <v>70</v>
      </c>
      <c r="F97" s="45" t="s">
        <v>361</v>
      </c>
      <c r="G97" s="45" t="s">
        <v>71</v>
      </c>
      <c r="H97" s="45" t="s">
        <v>83</v>
      </c>
      <c r="I97" s="45">
        <v>1.75</v>
      </c>
      <c r="J97" s="45">
        <v>0.99</v>
      </c>
      <c r="K97" s="45">
        <v>1</v>
      </c>
      <c r="L97" s="45">
        <v>1</v>
      </c>
      <c r="M97" s="45">
        <v>4.74</v>
      </c>
      <c r="N97" s="45">
        <v>94.8</v>
      </c>
    </row>
    <row r="98" spans="1:14" x14ac:dyDescent="0.25">
      <c r="A98" s="44" t="s">
        <v>497</v>
      </c>
      <c r="B98" s="45" t="s">
        <v>436</v>
      </c>
      <c r="C98" s="45" t="s">
        <v>250</v>
      </c>
      <c r="D98" s="45" t="s">
        <v>76</v>
      </c>
      <c r="E98" s="45" t="s">
        <v>70</v>
      </c>
      <c r="F98" s="45" t="s">
        <v>331</v>
      </c>
      <c r="G98" s="45" t="s">
        <v>340</v>
      </c>
      <c r="H98" s="45" t="s">
        <v>93</v>
      </c>
      <c r="I98" s="45">
        <v>1.84</v>
      </c>
      <c r="J98" s="45">
        <v>1</v>
      </c>
      <c r="K98" s="45">
        <v>0.97</v>
      </c>
      <c r="L98" s="45">
        <v>1</v>
      </c>
      <c r="M98" s="45">
        <v>4.8099999999999996</v>
      </c>
      <c r="N98" s="45">
        <v>96.199999999999989</v>
      </c>
    </row>
    <row r="99" spans="1:14" x14ac:dyDescent="0.25">
      <c r="A99" s="44" t="s">
        <v>497</v>
      </c>
      <c r="B99" s="45" t="s">
        <v>437</v>
      </c>
      <c r="C99" s="45" t="s">
        <v>251</v>
      </c>
      <c r="D99" s="45" t="s">
        <v>69</v>
      </c>
      <c r="E99" s="45" t="s">
        <v>70</v>
      </c>
      <c r="F99" s="45" t="s">
        <v>331</v>
      </c>
      <c r="G99" s="45" t="s">
        <v>73</v>
      </c>
      <c r="H99" s="45" t="s">
        <v>83</v>
      </c>
      <c r="I99" s="45">
        <v>1.93</v>
      </c>
      <c r="J99" s="45">
        <v>1</v>
      </c>
      <c r="K99" s="45">
        <v>1</v>
      </c>
      <c r="L99" s="45">
        <v>1</v>
      </c>
      <c r="M99" s="45">
        <v>4.93</v>
      </c>
      <c r="N99" s="45">
        <v>98.6</v>
      </c>
    </row>
    <row r="100" spans="1:14" x14ac:dyDescent="0.25">
      <c r="A100" s="44" t="s">
        <v>497</v>
      </c>
      <c r="B100" s="45" t="s">
        <v>438</v>
      </c>
      <c r="C100" s="45" t="s">
        <v>252</v>
      </c>
      <c r="D100" s="45" t="s">
        <v>76</v>
      </c>
      <c r="E100" s="45" t="s">
        <v>70</v>
      </c>
      <c r="F100" s="45" t="s">
        <v>331</v>
      </c>
      <c r="G100" s="45" t="s">
        <v>73</v>
      </c>
      <c r="H100" s="45" t="s">
        <v>104</v>
      </c>
      <c r="I100" s="45">
        <v>1.99</v>
      </c>
      <c r="J100" s="45">
        <v>0.94</v>
      </c>
      <c r="K100" s="45">
        <v>0.96</v>
      </c>
      <c r="L100" s="45">
        <v>0.97</v>
      </c>
      <c r="M100" s="45">
        <v>4.8600000000000003</v>
      </c>
      <c r="N100" s="45">
        <v>97.200000000000017</v>
      </c>
    </row>
    <row r="101" spans="1:14" x14ac:dyDescent="0.25">
      <c r="A101" s="44" t="s">
        <v>497</v>
      </c>
      <c r="B101" s="45" t="s">
        <v>439</v>
      </c>
      <c r="C101" s="45" t="s">
        <v>253</v>
      </c>
      <c r="D101" s="45" t="s">
        <v>69</v>
      </c>
      <c r="E101" s="45" t="s">
        <v>70</v>
      </c>
      <c r="F101" s="45" t="s">
        <v>331</v>
      </c>
      <c r="G101" s="45" t="s">
        <v>73</v>
      </c>
      <c r="H101" s="45" t="s">
        <v>83</v>
      </c>
      <c r="I101" s="45">
        <v>1.86</v>
      </c>
      <c r="J101" s="45">
        <v>1</v>
      </c>
      <c r="K101" s="45">
        <v>1</v>
      </c>
      <c r="L101" s="45">
        <v>1</v>
      </c>
      <c r="M101" s="45">
        <v>4.8600000000000003</v>
      </c>
      <c r="N101" s="45">
        <v>97.200000000000017</v>
      </c>
    </row>
    <row r="102" spans="1:14" x14ac:dyDescent="0.25">
      <c r="A102" s="44" t="s">
        <v>497</v>
      </c>
      <c r="B102" s="45" t="s">
        <v>440</v>
      </c>
      <c r="C102" s="45" t="s">
        <v>254</v>
      </c>
      <c r="D102" s="45" t="s">
        <v>76</v>
      </c>
      <c r="E102" s="45" t="s">
        <v>70</v>
      </c>
      <c r="F102" s="45" t="s">
        <v>331</v>
      </c>
      <c r="G102" s="45" t="s">
        <v>71</v>
      </c>
      <c r="H102" s="45" t="s">
        <v>93</v>
      </c>
      <c r="I102" s="45">
        <v>1.87</v>
      </c>
      <c r="J102" s="45">
        <v>1</v>
      </c>
      <c r="K102" s="45">
        <v>0.98</v>
      </c>
      <c r="L102" s="45">
        <v>0.97</v>
      </c>
      <c r="M102" s="45">
        <v>4.82</v>
      </c>
      <c r="N102" s="45">
        <v>96.4</v>
      </c>
    </row>
    <row r="103" spans="1:14" x14ac:dyDescent="0.25">
      <c r="A103" s="44" t="s">
        <v>497</v>
      </c>
      <c r="B103" s="45" t="s">
        <v>442</v>
      </c>
      <c r="C103" s="45" t="s">
        <v>255</v>
      </c>
      <c r="D103" s="45" t="s">
        <v>69</v>
      </c>
      <c r="E103" s="45" t="s">
        <v>70</v>
      </c>
      <c r="F103" s="45" t="s">
        <v>331</v>
      </c>
      <c r="G103" s="45" t="s">
        <v>71</v>
      </c>
      <c r="H103" s="45" t="s">
        <v>93</v>
      </c>
      <c r="I103" s="45">
        <v>1.92</v>
      </c>
      <c r="J103" s="45">
        <v>1</v>
      </c>
      <c r="K103" s="45">
        <v>1</v>
      </c>
      <c r="L103" s="45">
        <v>1</v>
      </c>
      <c r="M103" s="45">
        <v>4.92</v>
      </c>
      <c r="N103" s="45">
        <v>98.4</v>
      </c>
    </row>
    <row r="104" spans="1:14" x14ac:dyDescent="0.25">
      <c r="A104" s="44" t="s">
        <v>497</v>
      </c>
      <c r="B104" s="45" t="s">
        <v>443</v>
      </c>
      <c r="C104" s="45" t="s">
        <v>256</v>
      </c>
      <c r="D104" s="45" t="s">
        <v>69</v>
      </c>
      <c r="E104" s="45" t="s">
        <v>70</v>
      </c>
      <c r="F104" s="45" t="s">
        <v>331</v>
      </c>
      <c r="G104" s="45" t="s">
        <v>73</v>
      </c>
      <c r="H104" s="45" t="s">
        <v>344</v>
      </c>
      <c r="I104" s="45">
        <v>1.8</v>
      </c>
      <c r="J104" s="45">
        <v>0.96</v>
      </c>
      <c r="K104" s="45">
        <v>0.97</v>
      </c>
      <c r="L104" s="45">
        <v>0.97</v>
      </c>
      <c r="M104" s="45">
        <v>4.7</v>
      </c>
      <c r="N104" s="45">
        <v>94</v>
      </c>
    </row>
    <row r="105" spans="1:14" x14ac:dyDescent="0.25">
      <c r="A105" s="44" t="s">
        <v>497</v>
      </c>
      <c r="B105" s="45" t="s">
        <v>444</v>
      </c>
      <c r="C105" s="45" t="s">
        <v>257</v>
      </c>
      <c r="D105" s="45" t="s">
        <v>69</v>
      </c>
      <c r="E105" s="45" t="s">
        <v>70</v>
      </c>
      <c r="F105" s="45" t="s">
        <v>331</v>
      </c>
      <c r="G105" s="45" t="s">
        <v>71</v>
      </c>
      <c r="H105" s="45" t="s">
        <v>93</v>
      </c>
      <c r="I105" s="45">
        <v>1.63</v>
      </c>
      <c r="J105" s="45">
        <v>1</v>
      </c>
      <c r="K105" s="45">
        <v>0.94</v>
      </c>
      <c r="L105" s="45">
        <v>0.98</v>
      </c>
      <c r="M105" s="45">
        <v>4.55</v>
      </c>
      <c r="N105" s="45">
        <v>91</v>
      </c>
    </row>
    <row r="106" spans="1:14" x14ac:dyDescent="0.25">
      <c r="A106" s="44" t="s">
        <v>497</v>
      </c>
      <c r="B106" s="45" t="s">
        <v>445</v>
      </c>
      <c r="C106" s="45" t="s">
        <v>258</v>
      </c>
      <c r="D106" s="45" t="s">
        <v>69</v>
      </c>
      <c r="E106" s="45" t="s">
        <v>70</v>
      </c>
      <c r="F106" s="45" t="s">
        <v>331</v>
      </c>
      <c r="G106" s="45" t="s">
        <v>73</v>
      </c>
      <c r="H106" s="45" t="s">
        <v>339</v>
      </c>
      <c r="I106" s="45">
        <v>1.73</v>
      </c>
      <c r="J106" s="45">
        <v>1</v>
      </c>
      <c r="K106" s="45">
        <v>1</v>
      </c>
      <c r="L106" s="45">
        <v>0.96</v>
      </c>
      <c r="M106" s="45">
        <v>4.6900000000000004</v>
      </c>
      <c r="N106" s="45">
        <v>93.800000000000011</v>
      </c>
    </row>
    <row r="107" spans="1:14" x14ac:dyDescent="0.25">
      <c r="A107" s="44" t="s">
        <v>497</v>
      </c>
      <c r="B107" s="45" t="s">
        <v>446</v>
      </c>
      <c r="C107" s="45" t="s">
        <v>259</v>
      </c>
      <c r="D107" s="45" t="s">
        <v>69</v>
      </c>
      <c r="E107" s="45" t="s">
        <v>70</v>
      </c>
      <c r="F107" s="45" t="s">
        <v>331</v>
      </c>
      <c r="G107" s="45" t="s">
        <v>73</v>
      </c>
      <c r="H107" s="45" t="s">
        <v>356</v>
      </c>
      <c r="I107" s="45">
        <v>1.99</v>
      </c>
      <c r="J107" s="45">
        <v>1</v>
      </c>
      <c r="K107" s="45">
        <v>1</v>
      </c>
      <c r="L107" s="45">
        <v>0.97</v>
      </c>
      <c r="M107" s="45">
        <v>4.96</v>
      </c>
      <c r="N107" s="45">
        <v>99.2</v>
      </c>
    </row>
    <row r="108" spans="1:14" x14ac:dyDescent="0.25">
      <c r="A108" s="44" t="s">
        <v>497</v>
      </c>
      <c r="B108" s="45" t="s">
        <v>447</v>
      </c>
      <c r="C108" s="45" t="s">
        <v>260</v>
      </c>
      <c r="D108" s="45" t="s">
        <v>76</v>
      </c>
      <c r="E108" s="45" t="s">
        <v>70</v>
      </c>
      <c r="F108" s="45" t="s">
        <v>331</v>
      </c>
      <c r="G108" s="45" t="s">
        <v>73</v>
      </c>
      <c r="H108" s="45" t="s">
        <v>74</v>
      </c>
      <c r="I108" s="45">
        <v>1.75</v>
      </c>
      <c r="J108" s="45">
        <v>1</v>
      </c>
      <c r="K108" s="45">
        <v>0.87</v>
      </c>
      <c r="L108" s="45">
        <v>0.8</v>
      </c>
      <c r="M108" s="45">
        <v>4.42</v>
      </c>
      <c r="N108" s="45">
        <v>88.4</v>
      </c>
    </row>
    <row r="109" spans="1:14" x14ac:dyDescent="0.25">
      <c r="A109" s="44" t="s">
        <v>497</v>
      </c>
      <c r="B109" s="45" t="s">
        <v>448</v>
      </c>
      <c r="C109" s="45" t="s">
        <v>261</v>
      </c>
      <c r="D109" s="45" t="s">
        <v>69</v>
      </c>
      <c r="E109" s="45" t="s">
        <v>70</v>
      </c>
      <c r="F109" s="45" t="s">
        <v>331</v>
      </c>
      <c r="G109" s="45" t="s">
        <v>71</v>
      </c>
      <c r="H109" s="45" t="s">
        <v>83</v>
      </c>
      <c r="I109" s="45">
        <v>1.9</v>
      </c>
      <c r="J109" s="45">
        <v>1</v>
      </c>
      <c r="K109" s="45">
        <v>1</v>
      </c>
      <c r="L109" s="45">
        <v>1</v>
      </c>
      <c r="M109" s="45">
        <v>4.9000000000000004</v>
      </c>
      <c r="N109" s="45">
        <v>98.000000000000014</v>
      </c>
    </row>
    <row r="110" spans="1:14" x14ac:dyDescent="0.25">
      <c r="A110" s="44" t="s">
        <v>497</v>
      </c>
      <c r="B110" s="45" t="s">
        <v>449</v>
      </c>
      <c r="C110" s="45" t="s">
        <v>262</v>
      </c>
      <c r="D110" s="45" t="s">
        <v>76</v>
      </c>
      <c r="E110" s="45" t="s">
        <v>70</v>
      </c>
      <c r="F110" s="45" t="s">
        <v>331</v>
      </c>
      <c r="G110" s="45" t="s">
        <v>71</v>
      </c>
      <c r="H110" s="45" t="s">
        <v>93</v>
      </c>
      <c r="I110" s="45">
        <v>1.79</v>
      </c>
      <c r="J110" s="45">
        <v>0.99</v>
      </c>
      <c r="K110" s="45">
        <v>0.97</v>
      </c>
      <c r="L110" s="45">
        <v>0.97</v>
      </c>
      <c r="M110" s="45">
        <v>4.72</v>
      </c>
      <c r="N110" s="45">
        <v>94.4</v>
      </c>
    </row>
    <row r="111" spans="1:14" x14ac:dyDescent="0.25">
      <c r="A111" s="44" t="s">
        <v>497</v>
      </c>
      <c r="B111" s="45" t="s">
        <v>450</v>
      </c>
      <c r="C111" s="45" t="s">
        <v>263</v>
      </c>
      <c r="D111" s="45" t="s">
        <v>76</v>
      </c>
      <c r="E111" s="45" t="s">
        <v>70</v>
      </c>
      <c r="F111" s="45" t="s">
        <v>423</v>
      </c>
      <c r="G111" s="45" t="s">
        <v>73</v>
      </c>
      <c r="H111" s="45" t="s">
        <v>93</v>
      </c>
      <c r="I111" s="45">
        <v>1.84</v>
      </c>
      <c r="J111" s="45">
        <v>0.99</v>
      </c>
      <c r="K111" s="45">
        <v>0.87</v>
      </c>
      <c r="L111" s="45">
        <v>0.83</v>
      </c>
      <c r="M111" s="45">
        <v>4.53</v>
      </c>
      <c r="N111" s="45">
        <v>90.6</v>
      </c>
    </row>
    <row r="112" spans="1:14" x14ac:dyDescent="0.25">
      <c r="A112" s="44" t="s">
        <v>497</v>
      </c>
      <c r="B112" s="45" t="s">
        <v>451</v>
      </c>
      <c r="C112" s="45" t="s">
        <v>264</v>
      </c>
      <c r="D112" s="45" t="s">
        <v>76</v>
      </c>
      <c r="E112" s="45" t="s">
        <v>70</v>
      </c>
      <c r="F112" s="45" t="s">
        <v>361</v>
      </c>
      <c r="G112" s="45" t="s">
        <v>71</v>
      </c>
      <c r="H112" s="45" t="s">
        <v>368</v>
      </c>
      <c r="I112" s="45">
        <v>1.91</v>
      </c>
      <c r="J112" s="45">
        <v>1</v>
      </c>
      <c r="K112" s="45">
        <v>1</v>
      </c>
      <c r="L112" s="45">
        <v>0.98</v>
      </c>
      <c r="M112" s="45">
        <v>4.8899999999999997</v>
      </c>
      <c r="N112" s="45">
        <v>97.799999999999983</v>
      </c>
    </row>
    <row r="113" spans="1:14" x14ac:dyDescent="0.25">
      <c r="A113" s="44" t="s">
        <v>497</v>
      </c>
      <c r="B113" s="45" t="s">
        <v>452</v>
      </c>
      <c r="C113" s="45" t="s">
        <v>265</v>
      </c>
      <c r="D113" s="45" t="s">
        <v>69</v>
      </c>
      <c r="E113" s="45" t="s">
        <v>70</v>
      </c>
      <c r="F113" s="45" t="s">
        <v>331</v>
      </c>
      <c r="G113" s="45" t="s">
        <v>73</v>
      </c>
      <c r="H113" s="45" t="s">
        <v>93</v>
      </c>
      <c r="I113" s="45">
        <v>1.94</v>
      </c>
      <c r="J113" s="45">
        <v>1</v>
      </c>
      <c r="K113" s="45">
        <v>0.99</v>
      </c>
      <c r="L113" s="45">
        <v>0.99</v>
      </c>
      <c r="M113" s="45">
        <v>4.92</v>
      </c>
      <c r="N113" s="45">
        <v>98.4</v>
      </c>
    </row>
    <row r="114" spans="1:14" x14ac:dyDescent="0.25">
      <c r="A114" s="44" t="s">
        <v>497</v>
      </c>
      <c r="B114" s="45" t="s">
        <v>453</v>
      </c>
      <c r="C114" s="45" t="s">
        <v>266</v>
      </c>
      <c r="D114" s="45" t="s">
        <v>76</v>
      </c>
      <c r="E114" s="45" t="s">
        <v>70</v>
      </c>
      <c r="F114" s="45" t="s">
        <v>331</v>
      </c>
      <c r="G114" s="45" t="s">
        <v>73</v>
      </c>
      <c r="H114" s="45" t="s">
        <v>93</v>
      </c>
      <c r="I114" s="45">
        <v>1.71</v>
      </c>
      <c r="J114" s="45">
        <v>1</v>
      </c>
      <c r="K114" s="45">
        <v>0.95</v>
      </c>
      <c r="L114" s="45">
        <v>0.97</v>
      </c>
      <c r="M114" s="45">
        <v>4.63</v>
      </c>
      <c r="N114" s="45">
        <v>92.6</v>
      </c>
    </row>
    <row r="115" spans="1:14" x14ac:dyDescent="0.25">
      <c r="A115" s="44" t="s">
        <v>497</v>
      </c>
      <c r="B115" s="45" t="s">
        <v>454</v>
      </c>
      <c r="C115" s="45" t="s">
        <v>267</v>
      </c>
      <c r="D115" s="45" t="s">
        <v>69</v>
      </c>
      <c r="E115" s="45" t="s">
        <v>70</v>
      </c>
      <c r="F115" s="45" t="s">
        <v>331</v>
      </c>
      <c r="G115" s="45" t="s">
        <v>71</v>
      </c>
      <c r="H115" s="45" t="s">
        <v>104</v>
      </c>
      <c r="I115" s="45">
        <v>1.59</v>
      </c>
      <c r="J115" s="45">
        <v>0.96</v>
      </c>
      <c r="K115" s="45">
        <v>1</v>
      </c>
      <c r="L115" s="45">
        <v>0.92</v>
      </c>
      <c r="M115" s="45">
        <v>4.47</v>
      </c>
      <c r="N115" s="45">
        <v>89.4</v>
      </c>
    </row>
    <row r="116" spans="1:14" x14ac:dyDescent="0.25">
      <c r="A116" s="44" t="s">
        <v>497</v>
      </c>
      <c r="B116" s="45" t="s">
        <v>456</v>
      </c>
      <c r="C116" s="45" t="s">
        <v>268</v>
      </c>
      <c r="D116" s="45" t="s">
        <v>69</v>
      </c>
      <c r="E116" s="45" t="s">
        <v>70</v>
      </c>
      <c r="F116" s="45" t="s">
        <v>331</v>
      </c>
      <c r="G116" s="45" t="s">
        <v>73</v>
      </c>
      <c r="H116" s="45" t="s">
        <v>339</v>
      </c>
      <c r="I116" s="45">
        <v>1.95</v>
      </c>
      <c r="J116" s="45">
        <v>1</v>
      </c>
      <c r="K116" s="45">
        <v>1</v>
      </c>
      <c r="L116" s="45">
        <v>0.98</v>
      </c>
      <c r="M116" s="45">
        <v>4.93</v>
      </c>
      <c r="N116" s="45">
        <v>98.6</v>
      </c>
    </row>
    <row r="117" spans="1:14" x14ac:dyDescent="0.25">
      <c r="A117" s="44" t="s">
        <v>497</v>
      </c>
      <c r="B117" s="45" t="s">
        <v>319</v>
      </c>
      <c r="C117" s="45" t="s">
        <v>320</v>
      </c>
      <c r="D117" s="45" t="s">
        <v>76</v>
      </c>
      <c r="E117" s="45" t="s">
        <v>70</v>
      </c>
      <c r="F117" s="45" t="s">
        <v>331</v>
      </c>
      <c r="G117" s="45" t="s">
        <v>71</v>
      </c>
      <c r="H117" s="45" t="s">
        <v>93</v>
      </c>
      <c r="I117" s="45">
        <v>1.75</v>
      </c>
      <c r="J117" s="45">
        <v>0.94</v>
      </c>
      <c r="K117" s="45">
        <v>0.95</v>
      </c>
      <c r="L117" s="45">
        <v>0.97</v>
      </c>
      <c r="M117" s="45">
        <v>4.6100000000000003</v>
      </c>
      <c r="N117" s="45">
        <v>92.200000000000017</v>
      </c>
    </row>
    <row r="118" spans="1:14" x14ac:dyDescent="0.25">
      <c r="A118" s="44" t="s">
        <v>497</v>
      </c>
      <c r="B118" s="45" t="s">
        <v>457</v>
      </c>
      <c r="C118" s="45" t="s">
        <v>269</v>
      </c>
      <c r="D118" s="45" t="s">
        <v>69</v>
      </c>
      <c r="E118" s="45" t="s">
        <v>70</v>
      </c>
      <c r="F118" s="45" t="s">
        <v>331</v>
      </c>
      <c r="G118" s="45" t="s">
        <v>73</v>
      </c>
      <c r="H118" s="45" t="s">
        <v>83</v>
      </c>
      <c r="I118" s="45">
        <v>1.8</v>
      </c>
      <c r="J118" s="45">
        <v>1</v>
      </c>
      <c r="K118" s="45">
        <v>1</v>
      </c>
      <c r="L118" s="45">
        <v>1</v>
      </c>
      <c r="M118" s="45">
        <v>4.8</v>
      </c>
      <c r="N118" s="45">
        <v>96</v>
      </c>
    </row>
    <row r="119" spans="1:14" x14ac:dyDescent="0.25">
      <c r="A119" s="44" t="s">
        <v>497</v>
      </c>
      <c r="B119" s="45" t="s">
        <v>458</v>
      </c>
      <c r="C119" s="45" t="s">
        <v>270</v>
      </c>
      <c r="D119" s="45" t="s">
        <v>76</v>
      </c>
      <c r="E119" s="45" t="s">
        <v>70</v>
      </c>
      <c r="F119" s="45" t="s">
        <v>331</v>
      </c>
      <c r="G119" s="45" t="s">
        <v>73</v>
      </c>
      <c r="H119" s="45" t="s">
        <v>368</v>
      </c>
      <c r="I119" s="45">
        <v>1.91</v>
      </c>
      <c r="J119" s="45">
        <v>0.94</v>
      </c>
      <c r="K119" s="45">
        <v>1</v>
      </c>
      <c r="L119" s="45">
        <v>1</v>
      </c>
      <c r="M119" s="45">
        <v>4.8499999999999996</v>
      </c>
      <c r="N119" s="45">
        <v>96.999999999999986</v>
      </c>
    </row>
    <row r="120" spans="1:14" x14ac:dyDescent="0.25">
      <c r="A120" s="44" t="s">
        <v>497</v>
      </c>
      <c r="B120" s="45" t="s">
        <v>459</v>
      </c>
      <c r="C120" s="45" t="s">
        <v>271</v>
      </c>
      <c r="D120" s="45" t="s">
        <v>76</v>
      </c>
      <c r="E120" s="45" t="s">
        <v>70</v>
      </c>
      <c r="F120" s="45" t="s">
        <v>331</v>
      </c>
      <c r="G120" s="45" t="s">
        <v>73</v>
      </c>
      <c r="H120" s="45" t="s">
        <v>345</v>
      </c>
      <c r="I120" s="45">
        <v>1.91</v>
      </c>
      <c r="J120" s="45">
        <v>1</v>
      </c>
      <c r="K120" s="45">
        <v>1</v>
      </c>
      <c r="L120" s="45">
        <v>0.97</v>
      </c>
      <c r="M120" s="45">
        <v>4.88</v>
      </c>
      <c r="N120" s="45">
        <v>97.6</v>
      </c>
    </row>
    <row r="121" spans="1:14" x14ac:dyDescent="0.25">
      <c r="A121" s="44" t="s">
        <v>497</v>
      </c>
      <c r="B121" s="45" t="s">
        <v>460</v>
      </c>
      <c r="C121" s="45" t="s">
        <v>272</v>
      </c>
      <c r="D121" s="45" t="s">
        <v>69</v>
      </c>
      <c r="E121" s="45" t="s">
        <v>70</v>
      </c>
      <c r="F121" s="45" t="s">
        <v>331</v>
      </c>
      <c r="G121" s="45" t="s">
        <v>73</v>
      </c>
      <c r="H121" s="45" t="s">
        <v>368</v>
      </c>
      <c r="I121" s="45">
        <v>1.88</v>
      </c>
      <c r="J121" s="45">
        <v>0.99</v>
      </c>
      <c r="K121" s="45">
        <v>1</v>
      </c>
      <c r="L121" s="45">
        <v>1</v>
      </c>
      <c r="M121" s="45">
        <v>4.87</v>
      </c>
      <c r="N121" s="45">
        <v>97.4</v>
      </c>
    </row>
    <row r="122" spans="1:14" x14ac:dyDescent="0.25">
      <c r="A122" s="44" t="s">
        <v>497</v>
      </c>
      <c r="B122" s="45" t="s">
        <v>461</v>
      </c>
      <c r="C122" s="45" t="s">
        <v>273</v>
      </c>
      <c r="D122" s="45" t="s">
        <v>69</v>
      </c>
      <c r="E122" s="45" t="s">
        <v>70</v>
      </c>
      <c r="F122" s="45" t="s">
        <v>331</v>
      </c>
      <c r="G122" s="45" t="s">
        <v>73</v>
      </c>
      <c r="H122" s="45" t="s">
        <v>398</v>
      </c>
      <c r="I122" s="45">
        <v>1.88</v>
      </c>
      <c r="J122" s="45">
        <v>0.94</v>
      </c>
      <c r="K122" s="45">
        <v>1</v>
      </c>
      <c r="L122" s="45">
        <v>1</v>
      </c>
      <c r="M122" s="45">
        <v>4.82</v>
      </c>
      <c r="N122" s="45">
        <v>96.4</v>
      </c>
    </row>
    <row r="123" spans="1:14" x14ac:dyDescent="0.25">
      <c r="A123" s="44" t="s">
        <v>497</v>
      </c>
      <c r="B123" s="45" t="s">
        <v>462</v>
      </c>
      <c r="C123" s="45" t="s">
        <v>274</v>
      </c>
      <c r="D123" s="45" t="s">
        <v>76</v>
      </c>
      <c r="E123" s="45" t="s">
        <v>70</v>
      </c>
      <c r="F123" s="45" t="s">
        <v>331</v>
      </c>
      <c r="G123" s="45" t="s">
        <v>71</v>
      </c>
      <c r="H123" s="45" t="s">
        <v>332</v>
      </c>
      <c r="I123" s="45">
        <v>1.93</v>
      </c>
      <c r="J123" s="45">
        <v>0.99</v>
      </c>
      <c r="K123" s="45">
        <v>0.94</v>
      </c>
      <c r="L123" s="45">
        <v>1</v>
      </c>
      <c r="M123" s="45">
        <v>4.8600000000000003</v>
      </c>
      <c r="N123" s="45">
        <v>97.200000000000017</v>
      </c>
    </row>
    <row r="124" spans="1:14" x14ac:dyDescent="0.25">
      <c r="A124" s="44" t="s">
        <v>497</v>
      </c>
      <c r="B124" s="45" t="s">
        <v>131</v>
      </c>
      <c r="C124" s="45" t="s">
        <v>275</v>
      </c>
      <c r="D124" s="45" t="s">
        <v>69</v>
      </c>
      <c r="E124" s="45" t="s">
        <v>70</v>
      </c>
      <c r="F124" s="45" t="s">
        <v>331</v>
      </c>
      <c r="G124" s="45" t="s">
        <v>73</v>
      </c>
      <c r="H124" s="45" t="s">
        <v>132</v>
      </c>
      <c r="I124" s="45">
        <v>1.54</v>
      </c>
      <c r="J124" s="45">
        <v>1</v>
      </c>
      <c r="K124" s="45">
        <v>0.96</v>
      </c>
      <c r="L124" s="45">
        <v>0.67</v>
      </c>
      <c r="M124" s="45">
        <v>4.17</v>
      </c>
      <c r="N124" s="45">
        <v>83.4</v>
      </c>
    </row>
    <row r="125" spans="1:14" x14ac:dyDescent="0.25">
      <c r="A125" s="44" t="s">
        <v>497</v>
      </c>
      <c r="B125" s="45" t="s">
        <v>463</v>
      </c>
      <c r="C125" s="45" t="s">
        <v>276</v>
      </c>
      <c r="D125" s="45" t="s">
        <v>69</v>
      </c>
      <c r="E125" s="45" t="s">
        <v>70</v>
      </c>
      <c r="F125" s="45" t="s">
        <v>331</v>
      </c>
      <c r="G125" s="45" t="s">
        <v>73</v>
      </c>
      <c r="H125" s="45" t="s">
        <v>72</v>
      </c>
      <c r="I125" s="45">
        <v>1.91</v>
      </c>
      <c r="J125" s="45">
        <v>1</v>
      </c>
      <c r="K125" s="45">
        <v>1</v>
      </c>
      <c r="L125" s="45">
        <v>1</v>
      </c>
      <c r="M125" s="45">
        <v>4.91</v>
      </c>
      <c r="N125" s="45">
        <v>98.2</v>
      </c>
    </row>
    <row r="126" spans="1:14" x14ac:dyDescent="0.25">
      <c r="A126" s="44" t="s">
        <v>497</v>
      </c>
      <c r="B126" s="45" t="s">
        <v>464</v>
      </c>
      <c r="C126" s="45" t="s">
        <v>277</v>
      </c>
      <c r="D126" s="45" t="s">
        <v>69</v>
      </c>
      <c r="E126" s="45" t="s">
        <v>70</v>
      </c>
      <c r="F126" s="45" t="s">
        <v>331</v>
      </c>
      <c r="G126" s="45" t="s">
        <v>73</v>
      </c>
      <c r="H126" s="45" t="s">
        <v>332</v>
      </c>
      <c r="I126" s="45">
        <v>1.91</v>
      </c>
      <c r="J126" s="45">
        <v>1</v>
      </c>
      <c r="K126" s="45">
        <v>0.97</v>
      </c>
      <c r="L126" s="45">
        <v>0.97</v>
      </c>
      <c r="M126" s="45">
        <v>4.8499999999999996</v>
      </c>
      <c r="N126" s="45">
        <v>96.999999999999986</v>
      </c>
    </row>
    <row r="127" spans="1:14" x14ac:dyDescent="0.25">
      <c r="A127" s="44" t="s">
        <v>497</v>
      </c>
      <c r="B127" s="45" t="s">
        <v>465</v>
      </c>
      <c r="C127" s="45" t="s">
        <v>278</v>
      </c>
      <c r="D127" s="45" t="s">
        <v>76</v>
      </c>
      <c r="E127" s="45" t="s">
        <v>70</v>
      </c>
      <c r="F127" s="45" t="s">
        <v>331</v>
      </c>
      <c r="G127" s="45" t="s">
        <v>71</v>
      </c>
      <c r="H127" s="45" t="s">
        <v>356</v>
      </c>
      <c r="I127" s="45">
        <v>1.91</v>
      </c>
      <c r="J127" s="45">
        <v>0.99</v>
      </c>
      <c r="K127" s="45">
        <v>0.76</v>
      </c>
      <c r="L127" s="45">
        <v>0.92</v>
      </c>
      <c r="M127" s="45">
        <v>4.58</v>
      </c>
      <c r="N127" s="45">
        <v>91.6</v>
      </c>
    </row>
    <row r="128" spans="1:14" x14ac:dyDescent="0.25">
      <c r="A128" s="44" t="s">
        <v>497</v>
      </c>
      <c r="B128" s="45" t="s">
        <v>466</v>
      </c>
      <c r="C128" s="45" t="s">
        <v>279</v>
      </c>
      <c r="D128" s="45" t="s">
        <v>69</v>
      </c>
      <c r="E128" s="45" t="s">
        <v>70</v>
      </c>
      <c r="F128" s="45" t="s">
        <v>331</v>
      </c>
      <c r="G128" s="45" t="s">
        <v>71</v>
      </c>
      <c r="H128" s="45" t="s">
        <v>83</v>
      </c>
      <c r="I128" s="45">
        <v>1.59</v>
      </c>
      <c r="J128" s="45">
        <v>1</v>
      </c>
      <c r="K128" s="45">
        <v>1</v>
      </c>
      <c r="L128" s="45">
        <v>0.97</v>
      </c>
      <c r="M128" s="45">
        <v>4.5599999999999996</v>
      </c>
      <c r="N128" s="45">
        <v>91.199999999999989</v>
      </c>
    </row>
    <row r="129" spans="1:14" x14ac:dyDescent="0.25">
      <c r="A129" s="44" t="s">
        <v>497</v>
      </c>
      <c r="B129" s="45" t="s">
        <v>467</v>
      </c>
      <c r="C129" s="45" t="s">
        <v>280</v>
      </c>
      <c r="D129" s="45" t="s">
        <v>69</v>
      </c>
      <c r="E129" s="45" t="s">
        <v>70</v>
      </c>
      <c r="F129" s="45" t="s">
        <v>331</v>
      </c>
      <c r="G129" s="45" t="s">
        <v>71</v>
      </c>
      <c r="H129" s="45" t="s">
        <v>356</v>
      </c>
      <c r="I129" s="45">
        <v>1.91</v>
      </c>
      <c r="J129" s="45">
        <v>0.98</v>
      </c>
      <c r="K129" s="45">
        <v>1</v>
      </c>
      <c r="L129" s="45">
        <v>1</v>
      </c>
      <c r="M129" s="45">
        <v>4.8899999999999997</v>
      </c>
      <c r="N129" s="45">
        <v>97.799999999999983</v>
      </c>
    </row>
    <row r="130" spans="1:14" x14ac:dyDescent="0.25">
      <c r="A130" s="44" t="s">
        <v>497</v>
      </c>
      <c r="B130" s="45" t="s">
        <v>468</v>
      </c>
      <c r="C130" s="45" t="s">
        <v>281</v>
      </c>
      <c r="D130" s="45" t="s">
        <v>69</v>
      </c>
      <c r="E130" s="45" t="s">
        <v>70</v>
      </c>
      <c r="F130" s="45" t="s">
        <v>331</v>
      </c>
      <c r="G130" s="45" t="s">
        <v>71</v>
      </c>
      <c r="H130" s="45" t="s">
        <v>344</v>
      </c>
      <c r="I130" s="45">
        <v>1.7</v>
      </c>
      <c r="J130" s="45">
        <v>0.99</v>
      </c>
      <c r="K130" s="45">
        <v>1</v>
      </c>
      <c r="L130" s="45">
        <v>1</v>
      </c>
      <c r="M130" s="45">
        <v>4.6900000000000004</v>
      </c>
      <c r="N130" s="45">
        <v>93.800000000000011</v>
      </c>
    </row>
    <row r="131" spans="1:14" x14ac:dyDescent="0.25">
      <c r="A131" s="44" t="s">
        <v>497</v>
      </c>
      <c r="B131" s="45" t="s">
        <v>469</v>
      </c>
      <c r="C131" s="45" t="s">
        <v>282</v>
      </c>
      <c r="D131" s="45" t="s">
        <v>76</v>
      </c>
      <c r="E131" s="45" t="s">
        <v>70</v>
      </c>
      <c r="F131" s="45" t="s">
        <v>331</v>
      </c>
      <c r="G131" s="45" t="s">
        <v>71</v>
      </c>
      <c r="H131" s="45" t="s">
        <v>104</v>
      </c>
      <c r="I131" s="45">
        <v>1.73</v>
      </c>
      <c r="J131" s="45">
        <v>1</v>
      </c>
      <c r="K131" s="45">
        <v>0.99</v>
      </c>
      <c r="L131" s="45">
        <v>0.99</v>
      </c>
      <c r="M131" s="45">
        <v>4.71</v>
      </c>
      <c r="N131" s="45">
        <v>94.2</v>
      </c>
    </row>
    <row r="132" spans="1:14" x14ac:dyDescent="0.25">
      <c r="A132" s="44" t="s">
        <v>497</v>
      </c>
      <c r="B132" s="45" t="s">
        <v>470</v>
      </c>
      <c r="C132" s="45" t="s">
        <v>283</v>
      </c>
      <c r="D132" s="45" t="s">
        <v>76</v>
      </c>
      <c r="E132" s="45" t="s">
        <v>70</v>
      </c>
      <c r="F132" s="45" t="s">
        <v>331</v>
      </c>
      <c r="G132" s="45" t="s">
        <v>71</v>
      </c>
      <c r="H132" s="45" t="s">
        <v>362</v>
      </c>
      <c r="I132" s="45">
        <v>1.85</v>
      </c>
      <c r="J132" s="45">
        <v>1</v>
      </c>
      <c r="K132" s="45">
        <v>0.97</v>
      </c>
      <c r="L132" s="45">
        <v>1</v>
      </c>
      <c r="M132" s="45">
        <v>4.82</v>
      </c>
      <c r="N132" s="45">
        <v>96.4</v>
      </c>
    </row>
    <row r="133" spans="1:14" x14ac:dyDescent="0.25">
      <c r="A133" s="44" t="s">
        <v>497</v>
      </c>
      <c r="B133" s="45" t="s">
        <v>472</v>
      </c>
      <c r="C133" s="45" t="s">
        <v>284</v>
      </c>
      <c r="D133" s="45" t="s">
        <v>76</v>
      </c>
      <c r="E133" s="45" t="s">
        <v>70</v>
      </c>
      <c r="F133" s="45" t="s">
        <v>331</v>
      </c>
      <c r="G133" s="45" t="s">
        <v>71</v>
      </c>
      <c r="H133" s="45" t="s">
        <v>93</v>
      </c>
      <c r="I133" s="45">
        <v>1.85</v>
      </c>
      <c r="J133" s="45">
        <v>0.99</v>
      </c>
      <c r="K133" s="45">
        <v>0.97</v>
      </c>
      <c r="L133" s="45">
        <v>1</v>
      </c>
      <c r="M133" s="45">
        <v>4.8099999999999996</v>
      </c>
      <c r="N133" s="45">
        <v>96.199999999999989</v>
      </c>
    </row>
    <row r="134" spans="1:14" x14ac:dyDescent="0.25">
      <c r="A134" s="44" t="s">
        <v>497</v>
      </c>
      <c r="B134" s="45" t="s">
        <v>473</v>
      </c>
      <c r="C134" s="45" t="s">
        <v>285</v>
      </c>
      <c r="D134" s="45" t="s">
        <v>69</v>
      </c>
      <c r="E134" s="45" t="s">
        <v>70</v>
      </c>
      <c r="F134" s="45" t="s">
        <v>331</v>
      </c>
      <c r="G134" s="45" t="s">
        <v>71</v>
      </c>
      <c r="H134" s="45" t="s">
        <v>93</v>
      </c>
      <c r="I134" s="45">
        <v>1.8</v>
      </c>
      <c r="J134" s="45">
        <v>1</v>
      </c>
      <c r="K134" s="45">
        <v>1</v>
      </c>
      <c r="L134" s="45">
        <v>0.98</v>
      </c>
      <c r="M134" s="45">
        <v>4.78</v>
      </c>
      <c r="N134" s="45">
        <v>95.6</v>
      </c>
    </row>
    <row r="135" spans="1:14" x14ac:dyDescent="0.25">
      <c r="A135" s="44" t="s">
        <v>497</v>
      </c>
      <c r="B135" s="45" t="s">
        <v>474</v>
      </c>
      <c r="C135" s="45" t="s">
        <v>286</v>
      </c>
      <c r="D135" s="45" t="s">
        <v>76</v>
      </c>
      <c r="E135" s="45" t="s">
        <v>70</v>
      </c>
      <c r="F135" s="45" t="s">
        <v>331</v>
      </c>
      <c r="G135" s="45" t="s">
        <v>73</v>
      </c>
      <c r="H135" s="45" t="s">
        <v>74</v>
      </c>
      <c r="I135" s="45">
        <v>1.75</v>
      </c>
      <c r="J135" s="45">
        <v>1</v>
      </c>
      <c r="K135" s="45">
        <v>0.98</v>
      </c>
      <c r="L135" s="45">
        <v>1</v>
      </c>
      <c r="M135" s="45">
        <v>4.7300000000000004</v>
      </c>
      <c r="N135" s="45">
        <v>94.600000000000009</v>
      </c>
    </row>
    <row r="136" spans="1:14" x14ac:dyDescent="0.25">
      <c r="A136" s="44" t="s">
        <v>497</v>
      </c>
      <c r="B136" s="45" t="s">
        <v>475</v>
      </c>
      <c r="C136" s="45" t="s">
        <v>287</v>
      </c>
      <c r="D136" s="45" t="s">
        <v>76</v>
      </c>
      <c r="E136" s="45" t="s">
        <v>70</v>
      </c>
      <c r="F136" s="45" t="s">
        <v>331</v>
      </c>
      <c r="G136" s="45" t="s">
        <v>73</v>
      </c>
      <c r="H136" s="45" t="s">
        <v>345</v>
      </c>
      <c r="I136" s="45">
        <v>1.92</v>
      </c>
      <c r="J136" s="45">
        <v>0.99</v>
      </c>
      <c r="K136" s="45">
        <v>0.97</v>
      </c>
      <c r="L136" s="45">
        <v>1</v>
      </c>
      <c r="M136" s="45">
        <v>4.88</v>
      </c>
      <c r="N136" s="45">
        <v>97.6</v>
      </c>
    </row>
    <row r="137" spans="1:14" x14ac:dyDescent="0.25">
      <c r="A137" s="44" t="s">
        <v>497</v>
      </c>
      <c r="B137" s="45" t="s">
        <v>476</v>
      </c>
      <c r="C137" s="45" t="s">
        <v>288</v>
      </c>
      <c r="D137" s="45" t="s">
        <v>76</v>
      </c>
      <c r="E137" s="45" t="s">
        <v>70</v>
      </c>
      <c r="F137" s="45" t="s">
        <v>331</v>
      </c>
      <c r="G137" s="45" t="s">
        <v>71</v>
      </c>
      <c r="H137" s="45" t="s">
        <v>93</v>
      </c>
      <c r="I137" s="45">
        <v>1.87</v>
      </c>
      <c r="J137" s="45">
        <v>1</v>
      </c>
      <c r="K137" s="45">
        <v>1</v>
      </c>
      <c r="L137" s="45">
        <v>1</v>
      </c>
      <c r="M137" s="45">
        <v>4.87</v>
      </c>
      <c r="N137" s="45">
        <v>97.4</v>
      </c>
    </row>
    <row r="138" spans="1:14" x14ac:dyDescent="0.25">
      <c r="A138" s="44" t="s">
        <v>497</v>
      </c>
      <c r="B138" s="45" t="s">
        <v>478</v>
      </c>
      <c r="C138" s="45" t="s">
        <v>289</v>
      </c>
      <c r="D138" s="45" t="s">
        <v>69</v>
      </c>
      <c r="E138" s="45" t="s">
        <v>70</v>
      </c>
      <c r="F138" s="45" t="s">
        <v>331</v>
      </c>
      <c r="G138" s="45" t="s">
        <v>73</v>
      </c>
      <c r="H138" s="45" t="s">
        <v>365</v>
      </c>
      <c r="I138" s="45">
        <v>1.62</v>
      </c>
      <c r="J138" s="45">
        <v>1</v>
      </c>
      <c r="K138" s="45">
        <v>1</v>
      </c>
      <c r="L138" s="45">
        <v>0.97</v>
      </c>
      <c r="M138" s="45">
        <v>4.59</v>
      </c>
      <c r="N138" s="45">
        <v>91.8</v>
      </c>
    </row>
    <row r="139" spans="1:14" x14ac:dyDescent="0.25">
      <c r="A139" s="44" t="s">
        <v>497</v>
      </c>
      <c r="B139" s="45" t="s">
        <v>136</v>
      </c>
      <c r="C139" s="45" t="s">
        <v>290</v>
      </c>
      <c r="D139" s="45" t="s">
        <v>76</v>
      </c>
      <c r="E139" s="45" t="s">
        <v>70</v>
      </c>
      <c r="F139" s="45" t="s">
        <v>331</v>
      </c>
      <c r="G139" s="45" t="s">
        <v>73</v>
      </c>
      <c r="H139" s="45" t="s">
        <v>72</v>
      </c>
      <c r="I139" s="45">
        <v>1.93</v>
      </c>
      <c r="J139" s="45">
        <v>0</v>
      </c>
      <c r="K139" s="45">
        <v>0.93</v>
      </c>
      <c r="L139" s="45">
        <v>1</v>
      </c>
      <c r="M139" s="45">
        <v>3.86</v>
      </c>
      <c r="N139" s="45">
        <v>77.2</v>
      </c>
    </row>
    <row r="140" spans="1:14" x14ac:dyDescent="0.25">
      <c r="A140" s="44" t="s">
        <v>497</v>
      </c>
      <c r="B140" s="45" t="s">
        <v>479</v>
      </c>
      <c r="C140" s="45" t="s">
        <v>291</v>
      </c>
      <c r="D140" s="45" t="s">
        <v>69</v>
      </c>
      <c r="E140" s="45" t="s">
        <v>70</v>
      </c>
      <c r="F140" s="45" t="s">
        <v>331</v>
      </c>
      <c r="G140" s="45" t="s">
        <v>73</v>
      </c>
      <c r="H140" s="45" t="s">
        <v>345</v>
      </c>
      <c r="I140" s="45">
        <v>1.9</v>
      </c>
      <c r="J140" s="45">
        <v>1</v>
      </c>
      <c r="K140" s="45">
        <v>1</v>
      </c>
      <c r="L140" s="45">
        <v>0.97</v>
      </c>
      <c r="M140" s="45">
        <v>4.87</v>
      </c>
      <c r="N140" s="45">
        <v>97.4</v>
      </c>
    </row>
    <row r="141" spans="1:14" x14ac:dyDescent="0.25">
      <c r="A141" s="44" t="s">
        <v>497</v>
      </c>
      <c r="B141" s="45" t="s">
        <v>480</v>
      </c>
      <c r="C141" s="45" t="s">
        <v>292</v>
      </c>
      <c r="D141" s="45" t="s">
        <v>69</v>
      </c>
      <c r="E141" s="45" t="s">
        <v>70</v>
      </c>
      <c r="F141" s="45" t="s">
        <v>331</v>
      </c>
      <c r="G141" s="45" t="s">
        <v>73</v>
      </c>
      <c r="H141" s="45" t="s">
        <v>345</v>
      </c>
      <c r="I141" s="45">
        <v>1.48</v>
      </c>
      <c r="J141" s="45">
        <v>1</v>
      </c>
      <c r="K141" s="45">
        <v>0.97</v>
      </c>
      <c r="L141" s="45">
        <v>0.91</v>
      </c>
      <c r="M141" s="45">
        <v>4.3600000000000003</v>
      </c>
      <c r="N141" s="45">
        <v>87.200000000000017</v>
      </c>
    </row>
    <row r="142" spans="1:14" x14ac:dyDescent="0.25">
      <c r="A142" s="44" t="s">
        <v>497</v>
      </c>
      <c r="B142" s="45" t="s">
        <v>481</v>
      </c>
      <c r="C142" s="45" t="s">
        <v>293</v>
      </c>
      <c r="D142" s="45" t="s">
        <v>76</v>
      </c>
      <c r="E142" s="45" t="s">
        <v>70</v>
      </c>
      <c r="F142" s="45" t="s">
        <v>331</v>
      </c>
      <c r="G142" s="45" t="s">
        <v>71</v>
      </c>
      <c r="H142" s="45" t="s">
        <v>398</v>
      </c>
      <c r="I142" s="45">
        <v>1.61</v>
      </c>
      <c r="J142" s="45">
        <v>0.98</v>
      </c>
      <c r="K142" s="45">
        <v>1</v>
      </c>
      <c r="L142" s="45">
        <v>1</v>
      </c>
      <c r="M142" s="45">
        <v>4.59</v>
      </c>
      <c r="N142" s="45">
        <v>91.8</v>
      </c>
    </row>
    <row r="143" spans="1:14" x14ac:dyDescent="0.25">
      <c r="A143" s="44" t="s">
        <v>497</v>
      </c>
      <c r="B143" s="45" t="s">
        <v>482</v>
      </c>
      <c r="C143" s="45" t="s">
        <v>294</v>
      </c>
      <c r="D143" s="45" t="s">
        <v>76</v>
      </c>
      <c r="E143" s="45" t="s">
        <v>70</v>
      </c>
      <c r="F143" s="45" t="s">
        <v>361</v>
      </c>
      <c r="G143" s="45" t="s">
        <v>340</v>
      </c>
      <c r="H143" s="45" t="s">
        <v>332</v>
      </c>
      <c r="I143" s="45">
        <v>1.78</v>
      </c>
      <c r="J143" s="45">
        <v>1</v>
      </c>
      <c r="K143" s="45">
        <v>0.97</v>
      </c>
      <c r="L143" s="45">
        <v>1</v>
      </c>
      <c r="M143" s="45">
        <v>4.75</v>
      </c>
      <c r="N143" s="45">
        <v>95</v>
      </c>
    </row>
    <row r="144" spans="1:14" x14ac:dyDescent="0.25">
      <c r="A144" s="44" t="s">
        <v>497</v>
      </c>
      <c r="B144" s="45" t="s">
        <v>483</v>
      </c>
      <c r="C144" s="45" t="s">
        <v>295</v>
      </c>
      <c r="D144" s="45" t="s">
        <v>69</v>
      </c>
      <c r="E144" s="45" t="s">
        <v>70</v>
      </c>
      <c r="F144" s="45" t="s">
        <v>331</v>
      </c>
      <c r="G144" s="45" t="s">
        <v>71</v>
      </c>
      <c r="H144" s="45" t="s">
        <v>83</v>
      </c>
      <c r="I144" s="45">
        <v>1.87</v>
      </c>
      <c r="J144" s="45">
        <v>0.98</v>
      </c>
      <c r="K144" s="45">
        <v>1</v>
      </c>
      <c r="L144" s="45">
        <v>1</v>
      </c>
      <c r="M144" s="45">
        <v>4.8499999999999996</v>
      </c>
      <c r="N144" s="45">
        <v>96.999999999999986</v>
      </c>
    </row>
    <row r="145" spans="1:14" x14ac:dyDescent="0.25">
      <c r="A145" s="44" t="s">
        <v>497</v>
      </c>
      <c r="B145" s="45" t="s">
        <v>484</v>
      </c>
      <c r="C145" s="45" t="s">
        <v>296</v>
      </c>
      <c r="D145" s="45" t="s">
        <v>76</v>
      </c>
      <c r="E145" s="45" t="s">
        <v>70</v>
      </c>
      <c r="F145" s="45" t="s">
        <v>331</v>
      </c>
      <c r="G145" s="45" t="s">
        <v>73</v>
      </c>
      <c r="H145" s="45" t="s">
        <v>72</v>
      </c>
      <c r="I145" s="45">
        <v>1.8</v>
      </c>
      <c r="J145" s="45">
        <v>1</v>
      </c>
      <c r="K145" s="45">
        <v>1</v>
      </c>
      <c r="L145" s="45">
        <v>1</v>
      </c>
      <c r="M145" s="45">
        <v>4.8</v>
      </c>
      <c r="N145" s="45">
        <v>96</v>
      </c>
    </row>
    <row r="146" spans="1:14" x14ac:dyDescent="0.25">
      <c r="A146" s="44" t="s">
        <v>497</v>
      </c>
      <c r="B146" s="45" t="s">
        <v>485</v>
      </c>
      <c r="C146" s="45" t="s">
        <v>297</v>
      </c>
      <c r="D146" s="45" t="s">
        <v>69</v>
      </c>
      <c r="E146" s="45" t="s">
        <v>70</v>
      </c>
      <c r="F146" s="45" t="s">
        <v>331</v>
      </c>
      <c r="G146" s="45" t="s">
        <v>73</v>
      </c>
      <c r="H146" s="45" t="s">
        <v>350</v>
      </c>
      <c r="I146" s="45">
        <v>1.98</v>
      </c>
      <c r="J146" s="45">
        <v>1</v>
      </c>
      <c r="K146" s="45">
        <v>1</v>
      </c>
      <c r="L146" s="45">
        <v>1</v>
      </c>
      <c r="M146" s="45">
        <v>4.9800000000000004</v>
      </c>
      <c r="N146" s="45">
        <v>99.600000000000009</v>
      </c>
    </row>
    <row r="147" spans="1:14" x14ac:dyDescent="0.25">
      <c r="A147" s="44" t="s">
        <v>497</v>
      </c>
      <c r="B147" s="45" t="s">
        <v>486</v>
      </c>
      <c r="C147" s="45" t="s">
        <v>298</v>
      </c>
      <c r="D147" s="45" t="s">
        <v>76</v>
      </c>
      <c r="E147" s="45" t="s">
        <v>70</v>
      </c>
      <c r="F147" s="45" t="s">
        <v>331</v>
      </c>
      <c r="G147" s="45" t="s">
        <v>340</v>
      </c>
      <c r="H147" s="45" t="s">
        <v>353</v>
      </c>
      <c r="I147" s="45">
        <v>1.99</v>
      </c>
      <c r="J147" s="45">
        <v>1</v>
      </c>
      <c r="K147" s="45">
        <v>1</v>
      </c>
      <c r="L147" s="45">
        <v>1</v>
      </c>
      <c r="M147" s="45">
        <v>4.99</v>
      </c>
      <c r="N147" s="45">
        <v>99.8</v>
      </c>
    </row>
    <row r="148" spans="1:14" x14ac:dyDescent="0.25">
      <c r="A148" s="44" t="s">
        <v>497</v>
      </c>
      <c r="B148" s="45" t="s">
        <v>487</v>
      </c>
      <c r="C148" s="45" t="s">
        <v>299</v>
      </c>
      <c r="D148" s="45" t="s">
        <v>76</v>
      </c>
      <c r="E148" s="45" t="s">
        <v>70</v>
      </c>
      <c r="F148" s="45" t="s">
        <v>331</v>
      </c>
      <c r="G148" s="45" t="s">
        <v>71</v>
      </c>
      <c r="H148" s="45" t="s">
        <v>350</v>
      </c>
      <c r="I148" s="45">
        <v>1.93</v>
      </c>
      <c r="J148" s="45">
        <v>0.99</v>
      </c>
      <c r="K148" s="45">
        <v>1</v>
      </c>
      <c r="L148" s="45">
        <v>0.97</v>
      </c>
      <c r="M148" s="45">
        <v>4.8899999999999997</v>
      </c>
      <c r="N148" s="45">
        <v>97.799999999999983</v>
      </c>
    </row>
    <row r="149" spans="1:14" x14ac:dyDescent="0.25">
      <c r="A149" s="44" t="s">
        <v>497</v>
      </c>
      <c r="B149" s="45" t="s">
        <v>489</v>
      </c>
      <c r="C149" s="45" t="s">
        <v>300</v>
      </c>
      <c r="D149" s="45" t="s">
        <v>76</v>
      </c>
      <c r="E149" s="45" t="s">
        <v>70</v>
      </c>
      <c r="F149" s="45" t="s">
        <v>331</v>
      </c>
      <c r="G149" s="45" t="s">
        <v>340</v>
      </c>
      <c r="H149" s="45" t="s">
        <v>104</v>
      </c>
      <c r="I149" s="45">
        <v>1.66</v>
      </c>
      <c r="J149" s="45">
        <v>1</v>
      </c>
      <c r="K149" s="45">
        <v>1</v>
      </c>
      <c r="L149" s="45">
        <v>1</v>
      </c>
      <c r="M149" s="45">
        <v>4.66</v>
      </c>
      <c r="N149" s="45">
        <v>93.2</v>
      </c>
    </row>
    <row r="150" spans="1:14" x14ac:dyDescent="0.25">
      <c r="A150" s="44" t="s">
        <v>497</v>
      </c>
      <c r="B150" s="45" t="s">
        <v>490</v>
      </c>
      <c r="C150" s="45" t="s">
        <v>301</v>
      </c>
      <c r="D150" s="45" t="s">
        <v>76</v>
      </c>
      <c r="E150" s="45" t="s">
        <v>70</v>
      </c>
      <c r="F150" s="45" t="s">
        <v>331</v>
      </c>
      <c r="G150" s="45" t="s">
        <v>71</v>
      </c>
      <c r="H150" s="45" t="s">
        <v>93</v>
      </c>
      <c r="I150" s="45">
        <v>1.74</v>
      </c>
      <c r="J150" s="45">
        <v>1</v>
      </c>
      <c r="K150" s="45">
        <v>1</v>
      </c>
      <c r="L150" s="45">
        <v>0.97</v>
      </c>
      <c r="M150" s="45">
        <v>4.71</v>
      </c>
      <c r="N150" s="45">
        <v>94.2</v>
      </c>
    </row>
    <row r="151" spans="1:14" x14ac:dyDescent="0.25">
      <c r="A151" s="44" t="s">
        <v>497</v>
      </c>
      <c r="B151" s="45" t="s">
        <v>491</v>
      </c>
      <c r="C151" s="45" t="s">
        <v>302</v>
      </c>
      <c r="D151" s="45" t="s">
        <v>69</v>
      </c>
      <c r="E151" s="45" t="s">
        <v>70</v>
      </c>
      <c r="F151" s="45" t="s">
        <v>331</v>
      </c>
      <c r="G151" s="45" t="s">
        <v>73</v>
      </c>
      <c r="H151" s="45" t="s">
        <v>72</v>
      </c>
      <c r="I151" s="45">
        <v>1.76</v>
      </c>
      <c r="J151" s="45">
        <v>0.93</v>
      </c>
      <c r="K151" s="45">
        <v>0.96</v>
      </c>
      <c r="L151" s="45">
        <v>1</v>
      </c>
      <c r="M151" s="45">
        <v>4.6500000000000004</v>
      </c>
      <c r="N151" s="45">
        <v>93.000000000000014</v>
      </c>
    </row>
    <row r="152" spans="1:14" x14ac:dyDescent="0.25">
      <c r="A152" s="44" t="s">
        <v>497</v>
      </c>
      <c r="B152" s="45" t="s">
        <v>492</v>
      </c>
      <c r="C152" s="45" t="s">
        <v>303</v>
      </c>
      <c r="D152" s="45" t="s">
        <v>76</v>
      </c>
      <c r="E152" s="45" t="s">
        <v>70</v>
      </c>
      <c r="F152" s="45" t="s">
        <v>331</v>
      </c>
      <c r="G152" s="45" t="s">
        <v>71</v>
      </c>
      <c r="H152" s="45" t="s">
        <v>365</v>
      </c>
      <c r="I152" s="45">
        <v>1.68</v>
      </c>
      <c r="J152" s="45">
        <v>1</v>
      </c>
      <c r="K152" s="45">
        <v>1</v>
      </c>
      <c r="L152" s="45">
        <v>1</v>
      </c>
      <c r="M152" s="45">
        <v>4.68</v>
      </c>
      <c r="N152" s="45">
        <v>93.6</v>
      </c>
    </row>
    <row r="153" spans="1:14" x14ac:dyDescent="0.25">
      <c r="A153" s="44" t="s">
        <v>497</v>
      </c>
      <c r="B153" s="45" t="s">
        <v>493</v>
      </c>
      <c r="C153" s="45" t="s">
        <v>304</v>
      </c>
      <c r="D153" s="45" t="s">
        <v>76</v>
      </c>
      <c r="E153" s="45" t="s">
        <v>70</v>
      </c>
      <c r="F153" s="45" t="s">
        <v>331</v>
      </c>
      <c r="G153" s="45" t="s">
        <v>73</v>
      </c>
      <c r="H153" s="45" t="s">
        <v>365</v>
      </c>
      <c r="I153" s="45">
        <v>1.56</v>
      </c>
      <c r="J153" s="45">
        <v>1</v>
      </c>
      <c r="K153" s="45">
        <v>1</v>
      </c>
      <c r="L153" s="45">
        <v>0.96</v>
      </c>
      <c r="M153" s="45">
        <v>4.5199999999999996</v>
      </c>
      <c r="N153" s="45">
        <v>90.399999999999991</v>
      </c>
    </row>
    <row r="154" spans="1:14" x14ac:dyDescent="0.25">
      <c r="A154" s="44" t="s">
        <v>497</v>
      </c>
      <c r="B154" s="45" t="s">
        <v>494</v>
      </c>
      <c r="C154" s="45" t="s">
        <v>305</v>
      </c>
      <c r="D154" s="45" t="s">
        <v>69</v>
      </c>
      <c r="E154" s="45" t="s">
        <v>70</v>
      </c>
      <c r="F154" s="45" t="s">
        <v>331</v>
      </c>
      <c r="G154" s="45" t="s">
        <v>340</v>
      </c>
      <c r="H154" s="45" t="s">
        <v>72</v>
      </c>
      <c r="I154" s="45">
        <v>1.73</v>
      </c>
      <c r="J154" s="45">
        <v>1</v>
      </c>
      <c r="K154" s="45">
        <v>0.99</v>
      </c>
      <c r="L154" s="45">
        <v>1</v>
      </c>
      <c r="M154" s="45">
        <v>4.72</v>
      </c>
      <c r="N154" s="45">
        <v>94.4</v>
      </c>
    </row>
    <row r="155" spans="1:14" x14ac:dyDescent="0.25">
      <c r="A155" s="44" t="s">
        <v>497</v>
      </c>
      <c r="B155" s="45" t="s">
        <v>495</v>
      </c>
      <c r="C155" s="45" t="s">
        <v>306</v>
      </c>
      <c r="D155" s="45" t="s">
        <v>76</v>
      </c>
      <c r="E155" s="45" t="s">
        <v>70</v>
      </c>
      <c r="F155" s="45" t="s">
        <v>331</v>
      </c>
      <c r="G155" s="45" t="s">
        <v>71</v>
      </c>
      <c r="H155" s="45" t="s">
        <v>344</v>
      </c>
      <c r="I155" s="45">
        <v>1.96</v>
      </c>
      <c r="J155" s="45">
        <v>1</v>
      </c>
      <c r="K155" s="45">
        <v>1</v>
      </c>
      <c r="L155" s="45">
        <v>0.95</v>
      </c>
      <c r="M155" s="45">
        <v>4.91</v>
      </c>
      <c r="N155" s="45">
        <v>98.2</v>
      </c>
    </row>
    <row r="156" spans="1:14" x14ac:dyDescent="0.25">
      <c r="A156" s="44" t="s">
        <v>627</v>
      </c>
      <c r="B156" s="45" t="s">
        <v>329</v>
      </c>
      <c r="C156" s="47" t="s">
        <v>501</v>
      </c>
      <c r="D156" s="47" t="s">
        <v>76</v>
      </c>
      <c r="E156" s="45" t="s">
        <v>70</v>
      </c>
      <c r="F156" s="47" t="s">
        <v>331</v>
      </c>
      <c r="G156" s="45" t="s">
        <v>71</v>
      </c>
      <c r="H156" s="45" t="s">
        <v>332</v>
      </c>
      <c r="I156" s="47">
        <v>1.83</v>
      </c>
      <c r="J156" s="47">
        <v>0.99</v>
      </c>
      <c r="K156" s="47">
        <v>1</v>
      </c>
      <c r="L156" s="47">
        <v>1</v>
      </c>
      <c r="M156" s="47">
        <v>4.82</v>
      </c>
      <c r="N156" s="45">
        <f>+M156*100/5</f>
        <v>96.4</v>
      </c>
    </row>
    <row r="157" spans="1:14" x14ac:dyDescent="0.25">
      <c r="A157" s="44" t="s">
        <v>627</v>
      </c>
      <c r="B157" s="45" t="s">
        <v>333</v>
      </c>
      <c r="C157" s="47" t="s">
        <v>502</v>
      </c>
      <c r="D157" s="47" t="s">
        <v>69</v>
      </c>
      <c r="E157" s="45" t="s">
        <v>70</v>
      </c>
      <c r="F157" s="47" t="s">
        <v>331</v>
      </c>
      <c r="G157" s="45" t="s">
        <v>71</v>
      </c>
      <c r="H157" s="45" t="s">
        <v>503</v>
      </c>
      <c r="I157" s="47">
        <v>1.76</v>
      </c>
      <c r="J157" s="47">
        <v>0.97</v>
      </c>
      <c r="K157" s="47">
        <v>1</v>
      </c>
      <c r="L157" s="47">
        <v>0.98</v>
      </c>
      <c r="M157" s="47">
        <v>4.71</v>
      </c>
      <c r="N157" s="45">
        <f t="shared" ref="N157:N220" si="0">+M157*100/5</f>
        <v>94.2</v>
      </c>
    </row>
    <row r="158" spans="1:14" x14ac:dyDescent="0.25">
      <c r="A158" s="44" t="s">
        <v>627</v>
      </c>
      <c r="B158" s="45">
        <v>1803528049</v>
      </c>
      <c r="C158" s="47" t="s">
        <v>504</v>
      </c>
      <c r="D158" s="47" t="s">
        <v>76</v>
      </c>
      <c r="E158" s="45" t="s">
        <v>70</v>
      </c>
      <c r="F158" s="47" t="s">
        <v>331</v>
      </c>
      <c r="G158" s="45" t="s">
        <v>71</v>
      </c>
      <c r="H158" s="45" t="s">
        <v>365</v>
      </c>
      <c r="I158" s="47">
        <v>1.7</v>
      </c>
      <c r="J158" s="47">
        <v>1</v>
      </c>
      <c r="K158" s="47">
        <v>1</v>
      </c>
      <c r="L158" s="47">
        <v>1</v>
      </c>
      <c r="M158" s="47">
        <v>4.7</v>
      </c>
      <c r="N158" s="45">
        <f t="shared" si="0"/>
        <v>94</v>
      </c>
    </row>
    <row r="159" spans="1:14" x14ac:dyDescent="0.25">
      <c r="A159" s="44" t="s">
        <v>627</v>
      </c>
      <c r="B159" s="45" t="s">
        <v>335</v>
      </c>
      <c r="C159" s="47" t="s">
        <v>505</v>
      </c>
      <c r="D159" s="47" t="s">
        <v>76</v>
      </c>
      <c r="E159" s="45" t="s">
        <v>70</v>
      </c>
      <c r="F159" s="47" t="s">
        <v>331</v>
      </c>
      <c r="G159" s="45" t="s">
        <v>71</v>
      </c>
      <c r="H159" s="45" t="s">
        <v>332</v>
      </c>
      <c r="I159" s="47">
        <v>1.79</v>
      </c>
      <c r="J159" s="47">
        <v>0.85</v>
      </c>
      <c r="K159" s="47">
        <v>1</v>
      </c>
      <c r="L159" s="47">
        <v>1</v>
      </c>
      <c r="M159" s="47">
        <v>4.6399999999999997</v>
      </c>
      <c r="N159" s="45">
        <f t="shared" si="0"/>
        <v>92.799999999999983</v>
      </c>
    </row>
    <row r="160" spans="1:14" x14ac:dyDescent="0.25">
      <c r="A160" s="44" t="s">
        <v>627</v>
      </c>
      <c r="B160" s="45" t="s">
        <v>307</v>
      </c>
      <c r="C160" s="47" t="s">
        <v>506</v>
      </c>
      <c r="D160" s="47" t="s">
        <v>76</v>
      </c>
      <c r="E160" s="45" t="s">
        <v>70</v>
      </c>
      <c r="F160" s="47" t="s">
        <v>331</v>
      </c>
      <c r="G160" s="45" t="s">
        <v>73</v>
      </c>
      <c r="H160" s="45" t="s">
        <v>72</v>
      </c>
      <c r="I160" s="47">
        <v>1.86</v>
      </c>
      <c r="J160" s="47">
        <v>0</v>
      </c>
      <c r="K160" s="47">
        <v>1</v>
      </c>
      <c r="L160" s="47">
        <v>1</v>
      </c>
      <c r="M160" s="47">
        <v>3.86</v>
      </c>
      <c r="N160" s="45">
        <f t="shared" si="0"/>
        <v>77.2</v>
      </c>
    </row>
    <row r="161" spans="1:14" x14ac:dyDescent="0.25">
      <c r="A161" s="44" t="s">
        <v>627</v>
      </c>
      <c r="B161" s="45" t="s">
        <v>308</v>
      </c>
      <c r="C161" s="47" t="s">
        <v>507</v>
      </c>
      <c r="D161" s="47" t="s">
        <v>69</v>
      </c>
      <c r="E161" s="45" t="s">
        <v>70</v>
      </c>
      <c r="F161" s="47" t="s">
        <v>331</v>
      </c>
      <c r="G161" s="45" t="s">
        <v>340</v>
      </c>
      <c r="H161" s="45" t="s">
        <v>83</v>
      </c>
      <c r="I161" s="47">
        <v>1.83</v>
      </c>
      <c r="J161" s="47">
        <v>0</v>
      </c>
      <c r="K161" s="47">
        <v>0.94</v>
      </c>
      <c r="L161" s="47">
        <v>1</v>
      </c>
      <c r="M161" s="47">
        <v>3.77</v>
      </c>
      <c r="N161" s="45">
        <f t="shared" si="0"/>
        <v>75.400000000000006</v>
      </c>
    </row>
    <row r="162" spans="1:14" x14ac:dyDescent="0.25">
      <c r="A162" s="44" t="s">
        <v>627</v>
      </c>
      <c r="B162" s="45" t="s">
        <v>343</v>
      </c>
      <c r="C162" s="47" t="s">
        <v>508</v>
      </c>
      <c r="D162" s="47" t="s">
        <v>76</v>
      </c>
      <c r="E162" s="45" t="s">
        <v>70</v>
      </c>
      <c r="F162" s="47" t="s">
        <v>331</v>
      </c>
      <c r="G162" s="45" t="s">
        <v>71</v>
      </c>
      <c r="H162" s="45" t="s">
        <v>344</v>
      </c>
      <c r="I162" s="47">
        <v>1.78</v>
      </c>
      <c r="J162" s="47">
        <v>1</v>
      </c>
      <c r="K162" s="47">
        <v>1</v>
      </c>
      <c r="L162" s="47">
        <v>1</v>
      </c>
      <c r="M162" s="47">
        <v>4.78</v>
      </c>
      <c r="N162" s="45">
        <f t="shared" si="0"/>
        <v>95.6</v>
      </c>
    </row>
    <row r="163" spans="1:14" x14ac:dyDescent="0.25">
      <c r="A163" s="44" t="s">
        <v>627</v>
      </c>
      <c r="B163" s="45" t="s">
        <v>346</v>
      </c>
      <c r="C163" s="47" t="s">
        <v>509</v>
      </c>
      <c r="D163" s="47" t="s">
        <v>69</v>
      </c>
      <c r="E163" s="45" t="s">
        <v>70</v>
      </c>
      <c r="F163" s="47" t="s">
        <v>331</v>
      </c>
      <c r="G163" s="45" t="s">
        <v>71</v>
      </c>
      <c r="H163" s="45" t="s">
        <v>339</v>
      </c>
      <c r="I163" s="47">
        <v>1.92</v>
      </c>
      <c r="J163" s="47">
        <v>0.93</v>
      </c>
      <c r="K163" s="47">
        <v>0.97</v>
      </c>
      <c r="L163" s="47">
        <v>1</v>
      </c>
      <c r="M163" s="47">
        <v>4.82</v>
      </c>
      <c r="N163" s="45">
        <f t="shared" si="0"/>
        <v>96.4</v>
      </c>
    </row>
    <row r="164" spans="1:14" x14ac:dyDescent="0.25">
      <c r="A164" s="44" t="s">
        <v>627</v>
      </c>
      <c r="B164" s="45" t="s">
        <v>348</v>
      </c>
      <c r="C164" s="47" t="s">
        <v>510</v>
      </c>
      <c r="D164" s="47" t="s">
        <v>69</v>
      </c>
      <c r="E164" s="45" t="s">
        <v>70</v>
      </c>
      <c r="F164" s="47" t="s">
        <v>331</v>
      </c>
      <c r="G164" s="45" t="s">
        <v>71</v>
      </c>
      <c r="H164" s="45" t="s">
        <v>350</v>
      </c>
      <c r="I164" s="47">
        <v>1.93</v>
      </c>
      <c r="J164" s="47">
        <v>0.99</v>
      </c>
      <c r="K164" s="47">
        <v>1</v>
      </c>
      <c r="L164" s="47">
        <v>1</v>
      </c>
      <c r="M164" s="47">
        <v>4.92</v>
      </c>
      <c r="N164" s="45">
        <f t="shared" si="0"/>
        <v>98.4</v>
      </c>
    </row>
    <row r="165" spans="1:14" x14ac:dyDescent="0.25">
      <c r="A165" s="44" t="s">
        <v>627</v>
      </c>
      <c r="B165" s="45" t="s">
        <v>95</v>
      </c>
      <c r="C165" s="48" t="s">
        <v>62</v>
      </c>
      <c r="D165" s="47" t="s">
        <v>69</v>
      </c>
      <c r="E165" s="45" t="s">
        <v>70</v>
      </c>
      <c r="F165" s="47" t="s">
        <v>331</v>
      </c>
      <c r="G165" s="45" t="s">
        <v>73</v>
      </c>
      <c r="H165" s="45" t="s">
        <v>93</v>
      </c>
      <c r="I165" s="47">
        <v>1.89</v>
      </c>
      <c r="J165" s="47">
        <v>0</v>
      </c>
      <c r="K165" s="47">
        <v>1</v>
      </c>
      <c r="L165" s="47">
        <v>0</v>
      </c>
      <c r="M165" s="47">
        <v>2.89</v>
      </c>
      <c r="N165" s="45">
        <f t="shared" si="0"/>
        <v>57.8</v>
      </c>
    </row>
    <row r="166" spans="1:14" x14ac:dyDescent="0.25">
      <c r="A166" s="44" t="s">
        <v>627</v>
      </c>
      <c r="B166" s="45" t="s">
        <v>511</v>
      </c>
      <c r="C166" s="47" t="s">
        <v>512</v>
      </c>
      <c r="D166" s="47" t="s">
        <v>69</v>
      </c>
      <c r="E166" s="45" t="s">
        <v>70</v>
      </c>
      <c r="F166" s="47" t="s">
        <v>361</v>
      </c>
      <c r="G166" s="45" t="s">
        <v>73</v>
      </c>
      <c r="H166" s="45" t="s">
        <v>78</v>
      </c>
      <c r="I166" s="47">
        <v>1.63</v>
      </c>
      <c r="J166" s="47">
        <v>0</v>
      </c>
      <c r="K166" s="47">
        <v>1</v>
      </c>
      <c r="L166" s="47">
        <v>1</v>
      </c>
      <c r="M166" s="47">
        <v>3.63</v>
      </c>
      <c r="N166" s="45">
        <f t="shared" si="0"/>
        <v>72.599999999999994</v>
      </c>
    </row>
    <row r="167" spans="1:14" x14ac:dyDescent="0.25">
      <c r="A167" s="44" t="s">
        <v>627</v>
      </c>
      <c r="B167" s="45" t="s">
        <v>144</v>
      </c>
      <c r="C167" s="47" t="s">
        <v>513</v>
      </c>
      <c r="D167" s="47" t="s">
        <v>69</v>
      </c>
      <c r="E167" s="45" t="s">
        <v>70</v>
      </c>
      <c r="F167" s="47" t="s">
        <v>331</v>
      </c>
      <c r="G167" s="45" t="s">
        <v>73</v>
      </c>
      <c r="H167" s="45" t="s">
        <v>344</v>
      </c>
      <c r="I167" s="47">
        <v>1.66</v>
      </c>
      <c r="J167" s="47">
        <v>0</v>
      </c>
      <c r="K167" s="47">
        <v>1</v>
      </c>
      <c r="L167" s="47">
        <v>0.93</v>
      </c>
      <c r="M167" s="47">
        <v>3.59</v>
      </c>
      <c r="N167" s="45">
        <f t="shared" si="0"/>
        <v>71.8</v>
      </c>
    </row>
    <row r="168" spans="1:14" x14ac:dyDescent="0.25">
      <c r="A168" s="44" t="s">
        <v>627</v>
      </c>
      <c r="B168" s="45" t="s">
        <v>103</v>
      </c>
      <c r="C168" s="47" t="s">
        <v>10</v>
      </c>
      <c r="D168" s="47" t="s">
        <v>69</v>
      </c>
      <c r="E168" s="45" t="s">
        <v>70</v>
      </c>
      <c r="F168" s="47" t="s">
        <v>331</v>
      </c>
      <c r="G168" s="45" t="s">
        <v>73</v>
      </c>
      <c r="H168" s="45" t="s">
        <v>124</v>
      </c>
      <c r="I168" s="47">
        <v>1.78</v>
      </c>
      <c r="J168" s="47">
        <v>0</v>
      </c>
      <c r="K168" s="47">
        <v>0.95</v>
      </c>
      <c r="L168" s="47">
        <v>0.85</v>
      </c>
      <c r="M168" s="47">
        <v>3.58</v>
      </c>
      <c r="N168" s="45">
        <f t="shared" si="0"/>
        <v>71.599999999999994</v>
      </c>
    </row>
    <row r="169" spans="1:14" x14ac:dyDescent="0.25">
      <c r="A169" s="44" t="s">
        <v>627</v>
      </c>
      <c r="B169" s="45" t="s">
        <v>354</v>
      </c>
      <c r="C169" s="47" t="s">
        <v>514</v>
      </c>
      <c r="D169" s="47" t="s">
        <v>69</v>
      </c>
      <c r="E169" s="45" t="s">
        <v>70</v>
      </c>
      <c r="F169" s="47" t="s">
        <v>331</v>
      </c>
      <c r="G169" s="45" t="s">
        <v>73</v>
      </c>
      <c r="H169" s="45" t="s">
        <v>72</v>
      </c>
      <c r="I169" s="47">
        <v>1.88</v>
      </c>
      <c r="J169" s="47">
        <v>0.99</v>
      </c>
      <c r="K169" s="47">
        <v>1</v>
      </c>
      <c r="L169" s="47">
        <v>1</v>
      </c>
      <c r="M169" s="47">
        <v>4.87</v>
      </c>
      <c r="N169" s="45">
        <f t="shared" si="0"/>
        <v>97.4</v>
      </c>
    </row>
    <row r="170" spans="1:14" x14ac:dyDescent="0.25">
      <c r="A170" s="44" t="s">
        <v>627</v>
      </c>
      <c r="B170" s="45" t="s">
        <v>63</v>
      </c>
      <c r="C170" s="47" t="s">
        <v>11</v>
      </c>
      <c r="D170" s="47" t="s">
        <v>76</v>
      </c>
      <c r="E170" s="45" t="s">
        <v>70</v>
      </c>
      <c r="F170" s="47" t="s">
        <v>331</v>
      </c>
      <c r="G170" s="45" t="s">
        <v>73</v>
      </c>
      <c r="H170" s="45" t="s">
        <v>72</v>
      </c>
      <c r="I170" s="47">
        <v>1.82</v>
      </c>
      <c r="J170" s="47">
        <v>0.99</v>
      </c>
      <c r="K170" s="47">
        <v>1</v>
      </c>
      <c r="L170" s="47">
        <v>0.98</v>
      </c>
      <c r="M170" s="47">
        <v>4.79</v>
      </c>
      <c r="N170" s="45">
        <f t="shared" si="0"/>
        <v>95.8</v>
      </c>
    </row>
    <row r="171" spans="1:14" x14ac:dyDescent="0.25">
      <c r="A171" s="44" t="s">
        <v>627</v>
      </c>
      <c r="B171" s="45" t="s">
        <v>146</v>
      </c>
      <c r="C171" s="47" t="s">
        <v>515</v>
      </c>
      <c r="D171" s="47" t="s">
        <v>76</v>
      </c>
      <c r="E171" s="45" t="s">
        <v>70</v>
      </c>
      <c r="F171" s="47" t="s">
        <v>331</v>
      </c>
      <c r="G171" s="45" t="s">
        <v>73</v>
      </c>
      <c r="H171" s="45" t="s">
        <v>93</v>
      </c>
      <c r="I171" s="47">
        <v>1.94</v>
      </c>
      <c r="J171" s="47">
        <v>1</v>
      </c>
      <c r="K171" s="47">
        <v>0.94</v>
      </c>
      <c r="L171" s="47">
        <v>0.97</v>
      </c>
      <c r="M171" s="47">
        <v>4.8499999999999996</v>
      </c>
      <c r="N171" s="45">
        <f t="shared" si="0"/>
        <v>96.999999999999986</v>
      </c>
    </row>
    <row r="172" spans="1:14" x14ac:dyDescent="0.25">
      <c r="A172" s="44" t="s">
        <v>627</v>
      </c>
      <c r="B172" s="45" t="s">
        <v>357</v>
      </c>
      <c r="C172" s="47" t="s">
        <v>516</v>
      </c>
      <c r="D172" s="47" t="s">
        <v>76</v>
      </c>
      <c r="E172" s="45" t="s">
        <v>70</v>
      </c>
      <c r="F172" s="47" t="s">
        <v>331</v>
      </c>
      <c r="G172" s="45" t="s">
        <v>71</v>
      </c>
      <c r="H172" s="45" t="s">
        <v>72</v>
      </c>
      <c r="I172" s="47">
        <v>1.98</v>
      </c>
      <c r="J172" s="47">
        <v>0.98</v>
      </c>
      <c r="K172" s="47">
        <v>1</v>
      </c>
      <c r="L172" s="47">
        <v>1</v>
      </c>
      <c r="M172" s="47">
        <v>4.96</v>
      </c>
      <c r="N172" s="45">
        <f t="shared" si="0"/>
        <v>99.2</v>
      </c>
    </row>
    <row r="173" spans="1:14" x14ac:dyDescent="0.25">
      <c r="A173" s="44" t="s">
        <v>627</v>
      </c>
      <c r="B173" s="45" t="s">
        <v>359</v>
      </c>
      <c r="C173" s="47" t="s">
        <v>517</v>
      </c>
      <c r="D173" s="47" t="s">
        <v>69</v>
      </c>
      <c r="E173" s="45" t="s">
        <v>70</v>
      </c>
      <c r="F173" s="47" t="s">
        <v>331</v>
      </c>
      <c r="G173" s="45" t="s">
        <v>71</v>
      </c>
      <c r="H173" s="45" t="s">
        <v>124</v>
      </c>
      <c r="I173" s="47">
        <v>1.79</v>
      </c>
      <c r="J173" s="47">
        <v>0.97</v>
      </c>
      <c r="K173" s="47">
        <v>0.95</v>
      </c>
      <c r="L173" s="47">
        <v>0.97</v>
      </c>
      <c r="M173" s="47">
        <v>4.68</v>
      </c>
      <c r="N173" s="45">
        <f t="shared" si="0"/>
        <v>93.6</v>
      </c>
    </row>
    <row r="174" spans="1:14" x14ac:dyDescent="0.25">
      <c r="A174" s="44" t="s">
        <v>627</v>
      </c>
      <c r="B174" s="45" t="s">
        <v>360</v>
      </c>
      <c r="C174" s="47" t="s">
        <v>518</v>
      </c>
      <c r="D174" s="47" t="s">
        <v>69</v>
      </c>
      <c r="E174" s="45" t="s">
        <v>70</v>
      </c>
      <c r="F174" s="47" t="s">
        <v>361</v>
      </c>
      <c r="G174" s="45" t="s">
        <v>73</v>
      </c>
      <c r="H174" s="45" t="s">
        <v>362</v>
      </c>
      <c r="I174" s="47">
        <v>1.79</v>
      </c>
      <c r="J174" s="47">
        <v>1</v>
      </c>
      <c r="K174" s="47">
        <v>0.92</v>
      </c>
      <c r="L174" s="47">
        <v>0.97</v>
      </c>
      <c r="M174" s="47">
        <v>4.68</v>
      </c>
      <c r="N174" s="45">
        <f t="shared" si="0"/>
        <v>93.6</v>
      </c>
    </row>
    <row r="175" spans="1:14" x14ac:dyDescent="0.25">
      <c r="A175" s="44" t="s">
        <v>627</v>
      </c>
      <c r="B175" s="45" t="s">
        <v>363</v>
      </c>
      <c r="C175" s="47" t="s">
        <v>519</v>
      </c>
      <c r="D175" s="47" t="s">
        <v>69</v>
      </c>
      <c r="E175" s="45" t="s">
        <v>70</v>
      </c>
      <c r="F175" s="47" t="s">
        <v>331</v>
      </c>
      <c r="G175" s="45" t="s">
        <v>73</v>
      </c>
      <c r="H175" s="45" t="s">
        <v>83</v>
      </c>
      <c r="I175" s="47">
        <v>1.87</v>
      </c>
      <c r="J175" s="47">
        <v>1</v>
      </c>
      <c r="K175" s="47">
        <v>0.8</v>
      </c>
      <c r="L175" s="47">
        <v>1</v>
      </c>
      <c r="M175" s="47">
        <v>4.67</v>
      </c>
      <c r="N175" s="45">
        <f t="shared" si="0"/>
        <v>93.4</v>
      </c>
    </row>
    <row r="176" spans="1:14" x14ac:dyDescent="0.25">
      <c r="A176" s="44" t="s">
        <v>627</v>
      </c>
      <c r="B176" s="45" t="s">
        <v>366</v>
      </c>
      <c r="C176" s="47" t="s">
        <v>520</v>
      </c>
      <c r="D176" s="47" t="s">
        <v>69</v>
      </c>
      <c r="E176" s="45" t="s">
        <v>70</v>
      </c>
      <c r="F176" s="47" t="s">
        <v>331</v>
      </c>
      <c r="G176" s="45" t="s">
        <v>71</v>
      </c>
      <c r="H176" s="45" t="s">
        <v>83</v>
      </c>
      <c r="I176" s="47">
        <v>1.79</v>
      </c>
      <c r="J176" s="47">
        <v>1</v>
      </c>
      <c r="K176" s="47">
        <v>0.94</v>
      </c>
      <c r="L176" s="47">
        <v>1</v>
      </c>
      <c r="M176" s="47">
        <v>4.7300000000000004</v>
      </c>
      <c r="N176" s="45">
        <f t="shared" si="0"/>
        <v>94.600000000000009</v>
      </c>
    </row>
    <row r="177" spans="1:14" x14ac:dyDescent="0.25">
      <c r="A177" s="44" t="s">
        <v>627</v>
      </c>
      <c r="B177" s="45" t="s">
        <v>367</v>
      </c>
      <c r="C177" s="47" t="s">
        <v>521</v>
      </c>
      <c r="D177" s="47" t="s">
        <v>76</v>
      </c>
      <c r="E177" s="45" t="s">
        <v>70</v>
      </c>
      <c r="F177" s="47" t="s">
        <v>331</v>
      </c>
      <c r="G177" s="45" t="s">
        <v>73</v>
      </c>
      <c r="H177" s="45" t="s">
        <v>368</v>
      </c>
      <c r="I177" s="47">
        <v>1.88</v>
      </c>
      <c r="J177" s="47">
        <v>1</v>
      </c>
      <c r="K177" s="47">
        <v>1</v>
      </c>
      <c r="L177" s="47">
        <v>1</v>
      </c>
      <c r="M177" s="47">
        <v>4.88</v>
      </c>
      <c r="N177" s="45">
        <f t="shared" si="0"/>
        <v>97.6</v>
      </c>
    </row>
    <row r="178" spans="1:14" x14ac:dyDescent="0.25">
      <c r="A178" s="44" t="s">
        <v>627</v>
      </c>
      <c r="B178" s="45" t="s">
        <v>369</v>
      </c>
      <c r="C178" s="47" t="s">
        <v>522</v>
      </c>
      <c r="D178" s="47" t="s">
        <v>69</v>
      </c>
      <c r="E178" s="45" t="s">
        <v>70</v>
      </c>
      <c r="F178" s="47" t="s">
        <v>331</v>
      </c>
      <c r="G178" s="45" t="s">
        <v>71</v>
      </c>
      <c r="H178" s="45" t="s">
        <v>503</v>
      </c>
      <c r="I178" s="47">
        <v>1.76</v>
      </c>
      <c r="J178" s="47">
        <v>1</v>
      </c>
      <c r="K178" s="47">
        <v>1</v>
      </c>
      <c r="L178" s="47">
        <v>1</v>
      </c>
      <c r="M178" s="47">
        <v>4.76</v>
      </c>
      <c r="N178" s="45">
        <f t="shared" si="0"/>
        <v>95.2</v>
      </c>
    </row>
    <row r="179" spans="1:14" x14ac:dyDescent="0.25">
      <c r="A179" s="44" t="s">
        <v>627</v>
      </c>
      <c r="B179" s="45" t="s">
        <v>523</v>
      </c>
      <c r="C179" s="47" t="s">
        <v>524</v>
      </c>
      <c r="D179" s="47" t="s">
        <v>69</v>
      </c>
      <c r="E179" s="45" t="s">
        <v>89</v>
      </c>
      <c r="F179" s="47">
        <v>0</v>
      </c>
      <c r="G179" s="45" t="s">
        <v>73</v>
      </c>
      <c r="H179" s="45" t="s">
        <v>72</v>
      </c>
      <c r="I179" s="47">
        <v>1.86</v>
      </c>
      <c r="J179" s="47">
        <v>0</v>
      </c>
      <c r="K179" s="47">
        <v>0.86</v>
      </c>
      <c r="L179" s="47">
        <v>0.96</v>
      </c>
      <c r="M179" s="47">
        <v>3.68</v>
      </c>
      <c r="N179" s="45">
        <f t="shared" si="0"/>
        <v>73.599999999999994</v>
      </c>
    </row>
    <row r="180" spans="1:14" x14ac:dyDescent="0.25">
      <c r="A180" s="44" t="s">
        <v>627</v>
      </c>
      <c r="B180" s="45" t="s">
        <v>371</v>
      </c>
      <c r="C180" s="47" t="s">
        <v>525</v>
      </c>
      <c r="D180" s="47" t="s">
        <v>76</v>
      </c>
      <c r="E180" s="45" t="s">
        <v>70</v>
      </c>
      <c r="F180" s="47" t="s">
        <v>331</v>
      </c>
      <c r="G180" s="45" t="s">
        <v>71</v>
      </c>
      <c r="H180" s="45" t="s">
        <v>332</v>
      </c>
      <c r="I180" s="47">
        <v>1.88</v>
      </c>
      <c r="J180" s="47">
        <v>0.98</v>
      </c>
      <c r="K180" s="47">
        <v>1</v>
      </c>
      <c r="L180" s="47">
        <v>1</v>
      </c>
      <c r="M180" s="47">
        <v>4.8600000000000003</v>
      </c>
      <c r="N180" s="45">
        <f t="shared" si="0"/>
        <v>97.200000000000017</v>
      </c>
    </row>
    <row r="181" spans="1:14" x14ac:dyDescent="0.25">
      <c r="A181" s="44" t="s">
        <v>627</v>
      </c>
      <c r="B181" s="45" t="s">
        <v>372</v>
      </c>
      <c r="C181" s="47" t="s">
        <v>526</v>
      </c>
      <c r="D181" s="47" t="s">
        <v>69</v>
      </c>
      <c r="E181" s="45" t="s">
        <v>70</v>
      </c>
      <c r="F181" s="47" t="s">
        <v>331</v>
      </c>
      <c r="G181" s="45" t="s">
        <v>73</v>
      </c>
      <c r="H181" s="45" t="s">
        <v>93</v>
      </c>
      <c r="I181" s="47">
        <v>1.81</v>
      </c>
      <c r="J181" s="47">
        <v>0.98</v>
      </c>
      <c r="K181" s="47">
        <v>0.97</v>
      </c>
      <c r="L181" s="47">
        <v>0.94</v>
      </c>
      <c r="M181" s="47">
        <v>4.7</v>
      </c>
      <c r="N181" s="45">
        <f t="shared" si="0"/>
        <v>94</v>
      </c>
    </row>
    <row r="182" spans="1:14" x14ac:dyDescent="0.25">
      <c r="A182" s="44" t="s">
        <v>627</v>
      </c>
      <c r="B182" s="45" t="s">
        <v>373</v>
      </c>
      <c r="C182" s="47" t="s">
        <v>527</v>
      </c>
      <c r="D182" s="47" t="s">
        <v>76</v>
      </c>
      <c r="E182" s="45" t="s">
        <v>70</v>
      </c>
      <c r="F182" s="47" t="s">
        <v>331</v>
      </c>
      <c r="G182" s="45" t="s">
        <v>71</v>
      </c>
      <c r="H182" s="45" t="s">
        <v>503</v>
      </c>
      <c r="I182" s="47">
        <v>1.67</v>
      </c>
      <c r="J182" s="47">
        <v>1</v>
      </c>
      <c r="K182" s="47">
        <v>1</v>
      </c>
      <c r="L182" s="47">
        <v>1</v>
      </c>
      <c r="M182" s="47">
        <v>4.67</v>
      </c>
      <c r="N182" s="45">
        <f t="shared" si="0"/>
        <v>93.4</v>
      </c>
    </row>
    <row r="183" spans="1:14" x14ac:dyDescent="0.25">
      <c r="A183" s="44" t="s">
        <v>627</v>
      </c>
      <c r="B183" s="45" t="s">
        <v>374</v>
      </c>
      <c r="C183" s="47" t="s">
        <v>528</v>
      </c>
      <c r="D183" s="47" t="s">
        <v>69</v>
      </c>
      <c r="E183" s="45" t="s">
        <v>70</v>
      </c>
      <c r="F183" s="47" t="s">
        <v>331</v>
      </c>
      <c r="G183" s="45" t="s">
        <v>73</v>
      </c>
      <c r="H183" s="45" t="s">
        <v>339</v>
      </c>
      <c r="I183" s="47">
        <v>1.8</v>
      </c>
      <c r="J183" s="47">
        <v>0</v>
      </c>
      <c r="K183" s="47">
        <v>0.8</v>
      </c>
      <c r="L183" s="47">
        <v>0.85</v>
      </c>
      <c r="M183" s="47">
        <v>3.45</v>
      </c>
      <c r="N183" s="45">
        <f t="shared" si="0"/>
        <v>69</v>
      </c>
    </row>
    <row r="184" spans="1:14" x14ac:dyDescent="0.25">
      <c r="A184" s="44" t="s">
        <v>627</v>
      </c>
      <c r="B184" s="45" t="s">
        <v>151</v>
      </c>
      <c r="C184" s="47" t="s">
        <v>529</v>
      </c>
      <c r="D184" s="47" t="s">
        <v>76</v>
      </c>
      <c r="E184" s="45" t="s">
        <v>70</v>
      </c>
      <c r="F184" s="47" t="s">
        <v>331</v>
      </c>
      <c r="G184" s="45" t="s">
        <v>73</v>
      </c>
      <c r="H184" s="45" t="s">
        <v>344</v>
      </c>
      <c r="I184" s="47">
        <v>1.59</v>
      </c>
      <c r="J184" s="47">
        <v>0</v>
      </c>
      <c r="K184" s="47">
        <v>1</v>
      </c>
      <c r="L184" s="47">
        <v>1</v>
      </c>
      <c r="M184" s="47">
        <v>3.59</v>
      </c>
      <c r="N184" s="45">
        <f t="shared" si="0"/>
        <v>71.8</v>
      </c>
    </row>
    <row r="185" spans="1:14" x14ac:dyDescent="0.25">
      <c r="A185" s="44" t="s">
        <v>627</v>
      </c>
      <c r="B185" s="45" t="s">
        <v>152</v>
      </c>
      <c r="C185" s="47" t="s">
        <v>530</v>
      </c>
      <c r="D185" s="47" t="s">
        <v>76</v>
      </c>
      <c r="E185" s="45" t="s">
        <v>70</v>
      </c>
      <c r="F185" s="47" t="s">
        <v>331</v>
      </c>
      <c r="G185" s="45" t="s">
        <v>73</v>
      </c>
      <c r="H185" s="45" t="s">
        <v>344</v>
      </c>
      <c r="I185" s="47">
        <v>1.41</v>
      </c>
      <c r="J185" s="47">
        <v>0.99</v>
      </c>
      <c r="K185" s="47">
        <v>1</v>
      </c>
      <c r="L185" s="47">
        <v>1</v>
      </c>
      <c r="M185" s="47">
        <v>4.4000000000000004</v>
      </c>
      <c r="N185" s="45">
        <f t="shared" si="0"/>
        <v>88.000000000000014</v>
      </c>
    </row>
    <row r="186" spans="1:14" x14ac:dyDescent="0.25">
      <c r="A186" s="44" t="s">
        <v>627</v>
      </c>
      <c r="B186" s="45" t="s">
        <v>153</v>
      </c>
      <c r="C186" s="47" t="s">
        <v>531</v>
      </c>
      <c r="D186" s="47" t="s">
        <v>69</v>
      </c>
      <c r="E186" s="45" t="s">
        <v>70</v>
      </c>
      <c r="F186" s="47" t="s">
        <v>331</v>
      </c>
      <c r="G186" s="45" t="s">
        <v>73</v>
      </c>
      <c r="H186" s="45" t="s">
        <v>83</v>
      </c>
      <c r="I186" s="47">
        <v>1.69</v>
      </c>
      <c r="J186" s="47">
        <v>1</v>
      </c>
      <c r="K186" s="47">
        <v>0.95</v>
      </c>
      <c r="L186" s="47">
        <v>0.78</v>
      </c>
      <c r="M186" s="47">
        <v>4.42</v>
      </c>
      <c r="N186" s="45">
        <f t="shared" si="0"/>
        <v>88.4</v>
      </c>
    </row>
    <row r="187" spans="1:14" x14ac:dyDescent="0.25">
      <c r="A187" s="44" t="s">
        <v>627</v>
      </c>
      <c r="B187" s="45" t="s">
        <v>377</v>
      </c>
      <c r="C187" s="47" t="s">
        <v>532</v>
      </c>
      <c r="D187" s="47" t="s">
        <v>76</v>
      </c>
      <c r="E187" s="45" t="s">
        <v>70</v>
      </c>
      <c r="F187" s="47" t="s">
        <v>331</v>
      </c>
      <c r="G187" s="45" t="s">
        <v>71</v>
      </c>
      <c r="H187" s="45" t="s">
        <v>350</v>
      </c>
      <c r="I187" s="47">
        <v>1.93</v>
      </c>
      <c r="J187" s="47">
        <v>0.99</v>
      </c>
      <c r="K187" s="47">
        <v>0.95</v>
      </c>
      <c r="L187" s="47">
        <v>1</v>
      </c>
      <c r="M187" s="47">
        <v>4.87</v>
      </c>
      <c r="N187" s="45">
        <f t="shared" si="0"/>
        <v>97.4</v>
      </c>
    </row>
    <row r="188" spans="1:14" x14ac:dyDescent="0.25">
      <c r="A188" s="44" t="s">
        <v>627</v>
      </c>
      <c r="B188" s="45" t="s">
        <v>379</v>
      </c>
      <c r="C188" s="47" t="s">
        <v>533</v>
      </c>
      <c r="D188" s="47" t="s">
        <v>76</v>
      </c>
      <c r="E188" s="45" t="s">
        <v>70</v>
      </c>
      <c r="F188" s="47" t="s">
        <v>331</v>
      </c>
      <c r="G188" s="45" t="s">
        <v>73</v>
      </c>
      <c r="H188" s="45" t="s">
        <v>345</v>
      </c>
      <c r="I188" s="47">
        <v>1.73</v>
      </c>
      <c r="J188" s="47">
        <v>0</v>
      </c>
      <c r="K188" s="47">
        <v>1</v>
      </c>
      <c r="L188" s="47">
        <v>1</v>
      </c>
      <c r="M188" s="47">
        <v>3.73</v>
      </c>
      <c r="N188" s="45">
        <f t="shared" si="0"/>
        <v>74.599999999999994</v>
      </c>
    </row>
    <row r="189" spans="1:14" x14ac:dyDescent="0.25">
      <c r="A189" s="44" t="s">
        <v>627</v>
      </c>
      <c r="B189" s="45" t="s">
        <v>381</v>
      </c>
      <c r="C189" s="47" t="s">
        <v>534</v>
      </c>
      <c r="D189" s="47" t="s">
        <v>76</v>
      </c>
      <c r="E189" s="45" t="s">
        <v>70</v>
      </c>
      <c r="F189" s="47" t="s">
        <v>331</v>
      </c>
      <c r="G189" s="45" t="s">
        <v>71</v>
      </c>
      <c r="H189" s="45" t="s">
        <v>332</v>
      </c>
      <c r="I189" s="47">
        <v>1.59</v>
      </c>
      <c r="J189" s="47">
        <v>0.99</v>
      </c>
      <c r="K189" s="47">
        <v>1</v>
      </c>
      <c r="L189" s="47">
        <v>1</v>
      </c>
      <c r="M189" s="47">
        <v>4.58</v>
      </c>
      <c r="N189" s="45">
        <f t="shared" si="0"/>
        <v>91.6</v>
      </c>
    </row>
    <row r="190" spans="1:14" x14ac:dyDescent="0.25">
      <c r="A190" s="44" t="s">
        <v>627</v>
      </c>
      <c r="B190" s="45" t="s">
        <v>311</v>
      </c>
      <c r="C190" s="47" t="s">
        <v>535</v>
      </c>
      <c r="D190" s="47" t="s">
        <v>69</v>
      </c>
      <c r="E190" s="45" t="s">
        <v>70</v>
      </c>
      <c r="F190" s="47" t="s">
        <v>331</v>
      </c>
      <c r="G190" s="45" t="s">
        <v>73</v>
      </c>
      <c r="H190" s="45" t="s">
        <v>345</v>
      </c>
      <c r="I190" s="47">
        <v>1.9</v>
      </c>
      <c r="J190" s="47">
        <v>0</v>
      </c>
      <c r="K190" s="47">
        <v>1</v>
      </c>
      <c r="L190" s="47">
        <v>0.8</v>
      </c>
      <c r="M190" s="47">
        <v>3.7</v>
      </c>
      <c r="N190" s="45">
        <f t="shared" si="0"/>
        <v>74</v>
      </c>
    </row>
    <row r="191" spans="1:14" x14ac:dyDescent="0.25">
      <c r="A191" s="44" t="s">
        <v>627</v>
      </c>
      <c r="B191" s="45" t="s">
        <v>536</v>
      </c>
      <c r="C191" s="47" t="s">
        <v>537</v>
      </c>
      <c r="D191" s="47" t="s">
        <v>76</v>
      </c>
      <c r="E191" s="45" t="s">
        <v>70</v>
      </c>
      <c r="F191" s="47" t="s">
        <v>331</v>
      </c>
      <c r="G191" s="45" t="s">
        <v>73</v>
      </c>
      <c r="H191" s="45" t="s">
        <v>401</v>
      </c>
      <c r="I191" s="47">
        <v>2</v>
      </c>
      <c r="J191" s="47">
        <v>1</v>
      </c>
      <c r="K191" s="47">
        <v>1</v>
      </c>
      <c r="L191" s="47">
        <v>0.94</v>
      </c>
      <c r="M191" s="47">
        <v>4.9400000000000004</v>
      </c>
      <c r="N191" s="45">
        <f t="shared" si="0"/>
        <v>98.800000000000011</v>
      </c>
    </row>
    <row r="192" spans="1:14" x14ac:dyDescent="0.25">
      <c r="A192" s="44" t="s">
        <v>627</v>
      </c>
      <c r="B192" s="45" t="s">
        <v>312</v>
      </c>
      <c r="C192" s="47" t="s">
        <v>538</v>
      </c>
      <c r="D192" s="47" t="s">
        <v>69</v>
      </c>
      <c r="E192" s="45" t="s">
        <v>70</v>
      </c>
      <c r="F192" s="47" t="s">
        <v>331</v>
      </c>
      <c r="G192" s="45" t="s">
        <v>71</v>
      </c>
      <c r="H192" s="45" t="s">
        <v>345</v>
      </c>
      <c r="I192" s="47">
        <v>1.85</v>
      </c>
      <c r="J192" s="47">
        <v>0.99</v>
      </c>
      <c r="K192" s="47">
        <v>1</v>
      </c>
      <c r="L192" s="47">
        <v>1</v>
      </c>
      <c r="M192" s="47">
        <v>4.84</v>
      </c>
      <c r="N192" s="45">
        <f t="shared" si="0"/>
        <v>96.8</v>
      </c>
    </row>
    <row r="193" spans="1:14" x14ac:dyDescent="0.25">
      <c r="A193" s="44" t="s">
        <v>627</v>
      </c>
      <c r="B193" s="45" t="s">
        <v>313</v>
      </c>
      <c r="C193" s="47" t="s">
        <v>539</v>
      </c>
      <c r="D193" s="47" t="s">
        <v>69</v>
      </c>
      <c r="E193" s="45" t="s">
        <v>70</v>
      </c>
      <c r="F193" s="47" t="s">
        <v>331</v>
      </c>
      <c r="G193" s="45" t="s">
        <v>71</v>
      </c>
      <c r="H193" s="45" t="s">
        <v>345</v>
      </c>
      <c r="I193" s="47">
        <v>2</v>
      </c>
      <c r="J193" s="47">
        <v>0.97</v>
      </c>
      <c r="K193" s="47">
        <v>0.98</v>
      </c>
      <c r="L193" s="47">
        <v>0.9</v>
      </c>
      <c r="M193" s="47">
        <v>4.8499999999999996</v>
      </c>
      <c r="N193" s="45">
        <f t="shared" si="0"/>
        <v>96.999999999999986</v>
      </c>
    </row>
    <row r="194" spans="1:14" x14ac:dyDescent="0.25">
      <c r="A194" s="44" t="s">
        <v>627</v>
      </c>
      <c r="B194" s="45" t="s">
        <v>388</v>
      </c>
      <c r="C194" s="47" t="s">
        <v>540</v>
      </c>
      <c r="D194" s="47" t="s">
        <v>69</v>
      </c>
      <c r="E194" s="45" t="s">
        <v>70</v>
      </c>
      <c r="F194" s="47" t="s">
        <v>331</v>
      </c>
      <c r="G194" s="45" t="s">
        <v>71</v>
      </c>
      <c r="H194" s="45" t="s">
        <v>345</v>
      </c>
      <c r="I194" s="47">
        <v>1.83</v>
      </c>
      <c r="J194" s="47">
        <v>0.96</v>
      </c>
      <c r="K194" s="47">
        <v>1</v>
      </c>
      <c r="L194" s="47">
        <v>0.95</v>
      </c>
      <c r="M194" s="47">
        <v>4.74</v>
      </c>
      <c r="N194" s="45">
        <f t="shared" si="0"/>
        <v>94.8</v>
      </c>
    </row>
    <row r="195" spans="1:14" x14ac:dyDescent="0.25">
      <c r="A195" s="44" t="s">
        <v>627</v>
      </c>
      <c r="B195" s="45" t="s">
        <v>314</v>
      </c>
      <c r="C195" s="47" t="s">
        <v>541</v>
      </c>
      <c r="D195" s="47" t="s">
        <v>69</v>
      </c>
      <c r="E195" s="45" t="s">
        <v>70</v>
      </c>
      <c r="F195" s="47" t="s">
        <v>331</v>
      </c>
      <c r="G195" s="45" t="s">
        <v>73</v>
      </c>
      <c r="H195" s="45" t="s">
        <v>345</v>
      </c>
      <c r="I195" s="47">
        <v>1.65</v>
      </c>
      <c r="J195" s="47">
        <v>1</v>
      </c>
      <c r="K195" s="47">
        <v>1</v>
      </c>
      <c r="L195" s="47">
        <v>1</v>
      </c>
      <c r="M195" s="47">
        <v>4.6500000000000004</v>
      </c>
      <c r="N195" s="45">
        <f t="shared" si="0"/>
        <v>93.000000000000014</v>
      </c>
    </row>
    <row r="196" spans="1:14" x14ac:dyDescent="0.25">
      <c r="A196" s="44" t="s">
        <v>627</v>
      </c>
      <c r="B196" s="45" t="s">
        <v>315</v>
      </c>
      <c r="C196" s="47" t="s">
        <v>542</v>
      </c>
      <c r="D196" s="47" t="s">
        <v>69</v>
      </c>
      <c r="E196" s="45" t="s">
        <v>70</v>
      </c>
      <c r="F196" s="47" t="s">
        <v>331</v>
      </c>
      <c r="G196" s="45" t="s">
        <v>71</v>
      </c>
      <c r="H196" s="45" t="s">
        <v>503</v>
      </c>
      <c r="I196" s="47">
        <v>1.87</v>
      </c>
      <c r="J196" s="47">
        <v>1</v>
      </c>
      <c r="K196" s="47">
        <v>1</v>
      </c>
      <c r="L196" s="47">
        <v>1</v>
      </c>
      <c r="M196" s="47">
        <v>4.87</v>
      </c>
      <c r="N196" s="45">
        <f t="shared" si="0"/>
        <v>97.4</v>
      </c>
    </row>
    <row r="197" spans="1:14" x14ac:dyDescent="0.25">
      <c r="A197" s="44" t="s">
        <v>627</v>
      </c>
      <c r="B197" s="45" t="s">
        <v>392</v>
      </c>
      <c r="C197" s="47" t="s">
        <v>543</v>
      </c>
      <c r="D197" s="47" t="s">
        <v>76</v>
      </c>
      <c r="E197" s="45" t="s">
        <v>70</v>
      </c>
      <c r="F197" s="47" t="s">
        <v>331</v>
      </c>
      <c r="G197" s="45" t="s">
        <v>71</v>
      </c>
      <c r="H197" s="45" t="s">
        <v>350</v>
      </c>
      <c r="I197" s="47">
        <v>1.81</v>
      </c>
      <c r="J197" s="47">
        <v>0.95</v>
      </c>
      <c r="K197" s="47">
        <v>1</v>
      </c>
      <c r="L197" s="47">
        <v>1</v>
      </c>
      <c r="M197" s="47">
        <v>4.76</v>
      </c>
      <c r="N197" s="45">
        <f t="shared" si="0"/>
        <v>95.2</v>
      </c>
    </row>
    <row r="198" spans="1:14" x14ac:dyDescent="0.25">
      <c r="A198" s="44" t="s">
        <v>627</v>
      </c>
      <c r="B198" s="45" t="s">
        <v>394</v>
      </c>
      <c r="C198" s="47" t="s">
        <v>544</v>
      </c>
      <c r="D198" s="47" t="s">
        <v>69</v>
      </c>
      <c r="E198" s="45" t="s">
        <v>70</v>
      </c>
      <c r="F198" s="47" t="s">
        <v>331</v>
      </c>
      <c r="G198" s="45" t="s">
        <v>73</v>
      </c>
      <c r="H198" s="45" t="s">
        <v>345</v>
      </c>
      <c r="I198" s="47">
        <v>1.81</v>
      </c>
      <c r="J198" s="47">
        <v>1</v>
      </c>
      <c r="K198" s="47">
        <v>1</v>
      </c>
      <c r="L198" s="47">
        <v>1</v>
      </c>
      <c r="M198" s="47">
        <v>4.8099999999999996</v>
      </c>
      <c r="N198" s="45">
        <f t="shared" si="0"/>
        <v>96.199999999999989</v>
      </c>
    </row>
    <row r="199" spans="1:14" x14ac:dyDescent="0.25">
      <c r="A199" s="44" t="s">
        <v>627</v>
      </c>
      <c r="B199" s="45" t="s">
        <v>395</v>
      </c>
      <c r="C199" s="47" t="s">
        <v>545</v>
      </c>
      <c r="D199" s="47" t="s">
        <v>76</v>
      </c>
      <c r="E199" s="45" t="s">
        <v>70</v>
      </c>
      <c r="F199" s="47" t="s">
        <v>331</v>
      </c>
      <c r="G199" s="45" t="s">
        <v>73</v>
      </c>
      <c r="H199" s="45" t="s">
        <v>72</v>
      </c>
      <c r="I199" s="47">
        <v>1.96</v>
      </c>
      <c r="J199" s="47">
        <v>0.99</v>
      </c>
      <c r="K199" s="47">
        <v>1</v>
      </c>
      <c r="L199" s="47">
        <v>1</v>
      </c>
      <c r="M199" s="47">
        <v>4.95</v>
      </c>
      <c r="N199" s="45">
        <f t="shared" si="0"/>
        <v>99</v>
      </c>
    </row>
    <row r="200" spans="1:14" x14ac:dyDescent="0.25">
      <c r="A200" s="44" t="s">
        <v>627</v>
      </c>
      <c r="B200" s="45" t="s">
        <v>397</v>
      </c>
      <c r="C200" s="47" t="s">
        <v>546</v>
      </c>
      <c r="D200" s="47" t="s">
        <v>69</v>
      </c>
      <c r="E200" s="45" t="s">
        <v>70</v>
      </c>
      <c r="F200" s="47" t="s">
        <v>331</v>
      </c>
      <c r="G200" s="45" t="s">
        <v>71</v>
      </c>
      <c r="H200" s="45" t="s">
        <v>398</v>
      </c>
      <c r="I200" s="47">
        <v>1.44</v>
      </c>
      <c r="J200" s="47">
        <v>0.9</v>
      </c>
      <c r="K200" s="47">
        <v>1</v>
      </c>
      <c r="L200" s="47">
        <v>0.92</v>
      </c>
      <c r="M200" s="47">
        <v>4.26</v>
      </c>
      <c r="N200" s="45">
        <f t="shared" si="0"/>
        <v>85.2</v>
      </c>
    </row>
    <row r="201" spans="1:14" x14ac:dyDescent="0.25">
      <c r="A201" s="44" t="s">
        <v>627</v>
      </c>
      <c r="B201" s="45" t="s">
        <v>316</v>
      </c>
      <c r="C201" s="47" t="s">
        <v>547</v>
      </c>
      <c r="D201" s="47" t="s">
        <v>69</v>
      </c>
      <c r="E201" s="45" t="s">
        <v>70</v>
      </c>
      <c r="F201" s="47" t="s">
        <v>331</v>
      </c>
      <c r="G201" s="45" t="s">
        <v>73</v>
      </c>
      <c r="H201" s="45" t="s">
        <v>368</v>
      </c>
      <c r="I201" s="47">
        <v>1.94</v>
      </c>
      <c r="J201" s="47">
        <v>0</v>
      </c>
      <c r="K201" s="47">
        <v>0.91</v>
      </c>
      <c r="L201" s="47">
        <v>0.94</v>
      </c>
      <c r="M201" s="47">
        <v>3.79</v>
      </c>
      <c r="N201" s="45">
        <f t="shared" si="0"/>
        <v>75.8</v>
      </c>
    </row>
    <row r="202" spans="1:14" x14ac:dyDescent="0.25">
      <c r="A202" s="44" t="s">
        <v>627</v>
      </c>
      <c r="B202" s="45" t="s">
        <v>402</v>
      </c>
      <c r="C202" s="47" t="s">
        <v>548</v>
      </c>
      <c r="D202" s="47" t="s">
        <v>76</v>
      </c>
      <c r="E202" s="45" t="s">
        <v>70</v>
      </c>
      <c r="F202" s="47" t="s">
        <v>331</v>
      </c>
      <c r="G202" s="45" t="s">
        <v>73</v>
      </c>
      <c r="H202" s="45" t="s">
        <v>93</v>
      </c>
      <c r="I202" s="47">
        <v>1.84</v>
      </c>
      <c r="J202" s="47">
        <v>1</v>
      </c>
      <c r="K202" s="47">
        <v>0.94</v>
      </c>
      <c r="L202" s="47">
        <v>0.95</v>
      </c>
      <c r="M202" s="47">
        <v>4.7300000000000004</v>
      </c>
      <c r="N202" s="45">
        <f t="shared" si="0"/>
        <v>94.600000000000009</v>
      </c>
    </row>
    <row r="203" spans="1:14" x14ac:dyDescent="0.25">
      <c r="A203" s="44" t="s">
        <v>627</v>
      </c>
      <c r="B203" s="45" t="s">
        <v>403</v>
      </c>
      <c r="C203" s="47" t="s">
        <v>549</v>
      </c>
      <c r="D203" s="47" t="s">
        <v>76</v>
      </c>
      <c r="E203" s="45" t="s">
        <v>70</v>
      </c>
      <c r="F203" s="47" t="s">
        <v>331</v>
      </c>
      <c r="G203" s="45" t="s">
        <v>71</v>
      </c>
      <c r="H203" s="45" t="s">
        <v>356</v>
      </c>
      <c r="I203" s="47">
        <v>1.88</v>
      </c>
      <c r="J203" s="47">
        <v>1</v>
      </c>
      <c r="K203" s="47">
        <v>1</v>
      </c>
      <c r="L203" s="47">
        <v>0.93</v>
      </c>
      <c r="M203" s="47">
        <v>4.8099999999999996</v>
      </c>
      <c r="N203" s="45">
        <f t="shared" si="0"/>
        <v>96.199999999999989</v>
      </c>
    </row>
    <row r="204" spans="1:14" x14ac:dyDescent="0.25">
      <c r="A204" s="44" t="s">
        <v>627</v>
      </c>
      <c r="B204" s="45" t="s">
        <v>405</v>
      </c>
      <c r="C204" s="47" t="s">
        <v>550</v>
      </c>
      <c r="D204" s="47" t="s">
        <v>76</v>
      </c>
      <c r="E204" s="45" t="s">
        <v>70</v>
      </c>
      <c r="F204" s="47" t="s">
        <v>331</v>
      </c>
      <c r="G204" s="45" t="s">
        <v>71</v>
      </c>
      <c r="H204" s="45" t="s">
        <v>93</v>
      </c>
      <c r="I204" s="47">
        <v>1.62</v>
      </c>
      <c r="J204" s="47">
        <v>1</v>
      </c>
      <c r="K204" s="47">
        <v>1</v>
      </c>
      <c r="L204" s="47">
        <v>1</v>
      </c>
      <c r="M204" s="47">
        <v>4.62</v>
      </c>
      <c r="N204" s="45">
        <f t="shared" si="0"/>
        <v>92.4</v>
      </c>
    </row>
    <row r="205" spans="1:14" x14ac:dyDescent="0.25">
      <c r="A205" s="44" t="s">
        <v>627</v>
      </c>
      <c r="B205" s="45" t="s">
        <v>406</v>
      </c>
      <c r="C205" s="47" t="s">
        <v>551</v>
      </c>
      <c r="D205" s="47" t="s">
        <v>76</v>
      </c>
      <c r="E205" s="45" t="s">
        <v>70</v>
      </c>
      <c r="F205" s="47" t="s">
        <v>331</v>
      </c>
      <c r="G205" s="45" t="s">
        <v>73</v>
      </c>
      <c r="H205" s="45" t="s">
        <v>345</v>
      </c>
      <c r="I205" s="47">
        <v>1.62</v>
      </c>
      <c r="J205" s="47">
        <v>0</v>
      </c>
      <c r="K205" s="47">
        <v>1</v>
      </c>
      <c r="L205" s="47">
        <v>1</v>
      </c>
      <c r="M205" s="47">
        <v>3.62</v>
      </c>
      <c r="N205" s="45">
        <f t="shared" si="0"/>
        <v>72.400000000000006</v>
      </c>
    </row>
    <row r="206" spans="1:14" x14ac:dyDescent="0.25">
      <c r="A206" s="44" t="s">
        <v>627</v>
      </c>
      <c r="B206" s="45" t="s">
        <v>407</v>
      </c>
      <c r="C206" s="47" t="s">
        <v>552</v>
      </c>
      <c r="D206" s="47" t="s">
        <v>76</v>
      </c>
      <c r="E206" s="45" t="s">
        <v>70</v>
      </c>
      <c r="F206" s="47" t="s">
        <v>331</v>
      </c>
      <c r="G206" s="45" t="s">
        <v>71</v>
      </c>
      <c r="H206" s="45" t="s">
        <v>398</v>
      </c>
      <c r="I206" s="47">
        <v>1.92</v>
      </c>
      <c r="J206" s="47">
        <v>0.97</v>
      </c>
      <c r="K206" s="47">
        <v>1</v>
      </c>
      <c r="L206" s="47">
        <v>0.97</v>
      </c>
      <c r="M206" s="47">
        <v>4.8600000000000003</v>
      </c>
      <c r="N206" s="45">
        <f t="shared" si="0"/>
        <v>97.200000000000017</v>
      </c>
    </row>
    <row r="207" spans="1:14" x14ac:dyDescent="0.25">
      <c r="A207" s="44" t="s">
        <v>627</v>
      </c>
      <c r="B207" s="45" t="s">
        <v>409</v>
      </c>
      <c r="C207" s="47" t="s">
        <v>553</v>
      </c>
      <c r="D207" s="47" t="s">
        <v>76</v>
      </c>
      <c r="E207" s="45" t="s">
        <v>70</v>
      </c>
      <c r="F207" s="47" t="s">
        <v>331</v>
      </c>
      <c r="G207" s="45" t="s">
        <v>71</v>
      </c>
      <c r="H207" s="45" t="s">
        <v>72</v>
      </c>
      <c r="I207" s="47">
        <v>1.76</v>
      </c>
      <c r="J207" s="47">
        <v>1</v>
      </c>
      <c r="K207" s="47">
        <v>0.97</v>
      </c>
      <c r="L207" s="47">
        <v>0</v>
      </c>
      <c r="M207" s="47">
        <v>3.73</v>
      </c>
      <c r="N207" s="45">
        <f t="shared" si="0"/>
        <v>74.599999999999994</v>
      </c>
    </row>
    <row r="208" spans="1:14" x14ac:dyDescent="0.25">
      <c r="A208" s="44" t="s">
        <v>627</v>
      </c>
      <c r="B208" s="45" t="s">
        <v>411</v>
      </c>
      <c r="C208" s="47" t="s">
        <v>554</v>
      </c>
      <c r="D208" s="47" t="s">
        <v>76</v>
      </c>
      <c r="E208" s="45" t="s">
        <v>70</v>
      </c>
      <c r="F208" s="47" t="s">
        <v>331</v>
      </c>
      <c r="G208" s="45" t="s">
        <v>73</v>
      </c>
      <c r="H208" s="45" t="s">
        <v>72</v>
      </c>
      <c r="I208" s="47">
        <v>1.87</v>
      </c>
      <c r="J208" s="47">
        <v>1</v>
      </c>
      <c r="K208" s="47">
        <v>1</v>
      </c>
      <c r="L208" s="47">
        <v>0</v>
      </c>
      <c r="M208" s="47">
        <v>3.87</v>
      </c>
      <c r="N208" s="45">
        <f t="shared" si="0"/>
        <v>77.400000000000006</v>
      </c>
    </row>
    <row r="209" spans="1:14" x14ac:dyDescent="0.25">
      <c r="A209" s="44" t="s">
        <v>627</v>
      </c>
      <c r="B209" s="45" t="s">
        <v>412</v>
      </c>
      <c r="C209" s="47" t="s">
        <v>555</v>
      </c>
      <c r="D209" s="47" t="s">
        <v>76</v>
      </c>
      <c r="E209" s="45" t="s">
        <v>70</v>
      </c>
      <c r="F209" s="47" t="s">
        <v>331</v>
      </c>
      <c r="G209" s="45" t="s">
        <v>71</v>
      </c>
      <c r="H209" s="45" t="s">
        <v>362</v>
      </c>
      <c r="I209" s="47">
        <v>1.79</v>
      </c>
      <c r="J209" s="47">
        <v>1</v>
      </c>
      <c r="K209" s="47">
        <v>0</v>
      </c>
      <c r="L209" s="47">
        <v>0</v>
      </c>
      <c r="M209" s="47">
        <v>2.79</v>
      </c>
      <c r="N209" s="45">
        <f t="shared" si="0"/>
        <v>55.8</v>
      </c>
    </row>
    <row r="210" spans="1:14" x14ac:dyDescent="0.25">
      <c r="A210" s="44" t="s">
        <v>627</v>
      </c>
      <c r="B210" s="45" t="s">
        <v>317</v>
      </c>
      <c r="C210" s="47" t="s">
        <v>556</v>
      </c>
      <c r="D210" s="47" t="s">
        <v>76</v>
      </c>
      <c r="E210" s="45" t="s">
        <v>70</v>
      </c>
      <c r="F210" s="47" t="s">
        <v>331</v>
      </c>
      <c r="G210" s="45" t="s">
        <v>73</v>
      </c>
      <c r="H210" s="45" t="s">
        <v>345</v>
      </c>
      <c r="I210" s="47">
        <v>1.88</v>
      </c>
      <c r="J210" s="47">
        <v>1</v>
      </c>
      <c r="K210" s="47">
        <v>1</v>
      </c>
      <c r="L210" s="47">
        <v>1</v>
      </c>
      <c r="M210" s="47">
        <v>4.88</v>
      </c>
      <c r="N210" s="45">
        <f t="shared" si="0"/>
        <v>97.6</v>
      </c>
    </row>
    <row r="211" spans="1:14" x14ac:dyDescent="0.25">
      <c r="A211" s="44" t="s">
        <v>627</v>
      </c>
      <c r="B211" s="45" t="s">
        <v>318</v>
      </c>
      <c r="C211" s="47" t="s">
        <v>557</v>
      </c>
      <c r="D211" s="47" t="s">
        <v>76</v>
      </c>
      <c r="E211" s="45" t="s">
        <v>70</v>
      </c>
      <c r="F211" s="47" t="s">
        <v>331</v>
      </c>
      <c r="G211" s="45" t="s">
        <v>73</v>
      </c>
      <c r="H211" s="45" t="s">
        <v>104</v>
      </c>
      <c r="I211" s="47">
        <v>1.96</v>
      </c>
      <c r="J211" s="47">
        <v>0</v>
      </c>
      <c r="K211" s="47">
        <v>1</v>
      </c>
      <c r="L211" s="47">
        <v>1</v>
      </c>
      <c r="M211" s="47">
        <v>3.96</v>
      </c>
      <c r="N211" s="45">
        <f t="shared" si="0"/>
        <v>79.2</v>
      </c>
    </row>
    <row r="212" spans="1:14" x14ac:dyDescent="0.25">
      <c r="A212" s="44" t="s">
        <v>627</v>
      </c>
      <c r="B212" s="45" t="s">
        <v>558</v>
      </c>
      <c r="C212" s="47" t="s">
        <v>559</v>
      </c>
      <c r="D212" s="47" t="s">
        <v>76</v>
      </c>
      <c r="E212" s="45" t="s">
        <v>70</v>
      </c>
      <c r="F212" s="47" t="s">
        <v>331</v>
      </c>
      <c r="G212" s="45" t="s">
        <v>340</v>
      </c>
      <c r="H212" s="45" t="s">
        <v>344</v>
      </c>
      <c r="I212" s="47">
        <v>1.94</v>
      </c>
      <c r="J212" s="47">
        <v>0</v>
      </c>
      <c r="K212" s="47">
        <v>1</v>
      </c>
      <c r="L212" s="47">
        <v>0.97</v>
      </c>
      <c r="M212" s="47">
        <v>3.91</v>
      </c>
      <c r="N212" s="45">
        <f t="shared" si="0"/>
        <v>78.2</v>
      </c>
    </row>
    <row r="213" spans="1:14" x14ac:dyDescent="0.25">
      <c r="A213" s="44" t="s">
        <v>627</v>
      </c>
      <c r="B213" s="45" t="s">
        <v>413</v>
      </c>
      <c r="C213" s="47" t="s">
        <v>560</v>
      </c>
      <c r="D213" s="47" t="s">
        <v>69</v>
      </c>
      <c r="E213" s="45" t="s">
        <v>70</v>
      </c>
      <c r="F213" s="47" t="s">
        <v>331</v>
      </c>
      <c r="G213" s="45" t="s">
        <v>71</v>
      </c>
      <c r="H213" s="45" t="s">
        <v>350</v>
      </c>
      <c r="I213" s="47">
        <v>1.9</v>
      </c>
      <c r="J213" s="47">
        <v>0.99</v>
      </c>
      <c r="K213" s="47">
        <v>1</v>
      </c>
      <c r="L213" s="47">
        <v>1</v>
      </c>
      <c r="M213" s="47">
        <v>4.8899999999999997</v>
      </c>
      <c r="N213" s="45">
        <f t="shared" si="0"/>
        <v>97.799999999999983</v>
      </c>
    </row>
    <row r="214" spans="1:14" x14ac:dyDescent="0.25">
      <c r="A214" s="44" t="s">
        <v>627</v>
      </c>
      <c r="B214" s="45" t="s">
        <v>92</v>
      </c>
      <c r="C214" s="47" t="s">
        <v>29</v>
      </c>
      <c r="D214" s="47" t="s">
        <v>76</v>
      </c>
      <c r="E214" s="45" t="s">
        <v>70</v>
      </c>
      <c r="F214" s="47" t="s">
        <v>331</v>
      </c>
      <c r="G214" s="45" t="s">
        <v>73</v>
      </c>
      <c r="H214" s="45" t="s">
        <v>93</v>
      </c>
      <c r="I214" s="47">
        <v>1.94</v>
      </c>
      <c r="J214" s="47">
        <v>1</v>
      </c>
      <c r="K214" s="47">
        <v>0.94</v>
      </c>
      <c r="L214" s="47">
        <v>0.97</v>
      </c>
      <c r="M214" s="47">
        <v>4.8499999999999996</v>
      </c>
      <c r="N214" s="45">
        <f t="shared" si="0"/>
        <v>96.999999999999986</v>
      </c>
    </row>
    <row r="215" spans="1:14" x14ac:dyDescent="0.25">
      <c r="A215" s="44" t="s">
        <v>627</v>
      </c>
      <c r="B215" s="45" t="s">
        <v>414</v>
      </c>
      <c r="C215" s="47" t="s">
        <v>561</v>
      </c>
      <c r="D215" s="47" t="s">
        <v>69</v>
      </c>
      <c r="E215" s="45" t="s">
        <v>70</v>
      </c>
      <c r="F215" s="47" t="s">
        <v>331</v>
      </c>
      <c r="G215" s="45" t="s">
        <v>71</v>
      </c>
      <c r="H215" s="45" t="s">
        <v>83</v>
      </c>
      <c r="I215" s="47">
        <v>1.63</v>
      </c>
      <c r="J215" s="47">
        <v>0.99</v>
      </c>
      <c r="K215" s="47">
        <v>0.91</v>
      </c>
      <c r="L215" s="47">
        <v>0.88</v>
      </c>
      <c r="M215" s="47">
        <v>4.41</v>
      </c>
      <c r="N215" s="45">
        <f t="shared" si="0"/>
        <v>88.2</v>
      </c>
    </row>
    <row r="216" spans="1:14" x14ac:dyDescent="0.25">
      <c r="A216" s="44" t="s">
        <v>627</v>
      </c>
      <c r="B216" s="45" t="s">
        <v>416</v>
      </c>
      <c r="C216" s="47" t="s">
        <v>562</v>
      </c>
      <c r="D216" s="47" t="s">
        <v>76</v>
      </c>
      <c r="E216" s="45" t="s">
        <v>70</v>
      </c>
      <c r="F216" s="47" t="s">
        <v>331</v>
      </c>
      <c r="G216" s="45" t="s">
        <v>340</v>
      </c>
      <c r="H216" s="45" t="s">
        <v>368</v>
      </c>
      <c r="I216" s="47">
        <v>1.82</v>
      </c>
      <c r="J216" s="47">
        <v>1</v>
      </c>
      <c r="K216" s="47">
        <v>1</v>
      </c>
      <c r="L216" s="47">
        <v>0.97</v>
      </c>
      <c r="M216" s="47">
        <v>4.79</v>
      </c>
      <c r="N216" s="45">
        <f t="shared" si="0"/>
        <v>95.8</v>
      </c>
    </row>
    <row r="217" spans="1:14" x14ac:dyDescent="0.25">
      <c r="A217" s="44" t="s">
        <v>627</v>
      </c>
      <c r="B217" s="45" t="s">
        <v>417</v>
      </c>
      <c r="C217" s="47" t="s">
        <v>563</v>
      </c>
      <c r="D217" s="47" t="s">
        <v>69</v>
      </c>
      <c r="E217" s="45" t="s">
        <v>70</v>
      </c>
      <c r="F217" s="47" t="s">
        <v>331</v>
      </c>
      <c r="G217" s="45" t="s">
        <v>71</v>
      </c>
      <c r="H217" s="45" t="s">
        <v>83</v>
      </c>
      <c r="I217" s="47">
        <v>1.67</v>
      </c>
      <c r="J217" s="47">
        <v>1</v>
      </c>
      <c r="K217" s="47">
        <v>0.91</v>
      </c>
      <c r="L217" s="47">
        <v>1</v>
      </c>
      <c r="M217" s="47">
        <v>4.58</v>
      </c>
      <c r="N217" s="45">
        <f t="shared" si="0"/>
        <v>91.6</v>
      </c>
    </row>
    <row r="218" spans="1:14" x14ac:dyDescent="0.25">
      <c r="A218" s="44" t="s">
        <v>627</v>
      </c>
      <c r="B218" s="45" t="s">
        <v>418</v>
      </c>
      <c r="C218" s="47" t="s">
        <v>564</v>
      </c>
      <c r="D218" s="47" t="s">
        <v>69</v>
      </c>
      <c r="E218" s="45" t="s">
        <v>70</v>
      </c>
      <c r="F218" s="47" t="s">
        <v>331</v>
      </c>
      <c r="G218" s="45" t="s">
        <v>71</v>
      </c>
      <c r="H218" s="45" t="s">
        <v>332</v>
      </c>
      <c r="I218" s="47">
        <v>1.94</v>
      </c>
      <c r="J218" s="47">
        <v>0.96</v>
      </c>
      <c r="K218" s="47">
        <v>1</v>
      </c>
      <c r="L218" s="47">
        <v>1</v>
      </c>
      <c r="M218" s="47">
        <v>4.9000000000000004</v>
      </c>
      <c r="N218" s="45">
        <f t="shared" si="0"/>
        <v>98.000000000000014</v>
      </c>
    </row>
    <row r="219" spans="1:14" x14ac:dyDescent="0.25">
      <c r="A219" s="44" t="s">
        <v>627</v>
      </c>
      <c r="B219" s="45" t="s">
        <v>419</v>
      </c>
      <c r="C219" s="47" t="s">
        <v>565</v>
      </c>
      <c r="D219" s="47" t="s">
        <v>76</v>
      </c>
      <c r="E219" s="45" t="s">
        <v>70</v>
      </c>
      <c r="F219" s="47" t="s">
        <v>331</v>
      </c>
      <c r="G219" s="45" t="s">
        <v>71</v>
      </c>
      <c r="H219" s="45" t="s">
        <v>104</v>
      </c>
      <c r="I219" s="47">
        <v>1.5</v>
      </c>
      <c r="J219" s="47">
        <v>1</v>
      </c>
      <c r="K219" s="47">
        <v>1</v>
      </c>
      <c r="L219" s="47">
        <v>1</v>
      </c>
      <c r="M219" s="47">
        <v>4.5</v>
      </c>
      <c r="N219" s="45">
        <f t="shared" si="0"/>
        <v>90</v>
      </c>
    </row>
    <row r="220" spans="1:14" x14ac:dyDescent="0.25">
      <c r="A220" s="44" t="s">
        <v>627</v>
      </c>
      <c r="B220" s="45" t="s">
        <v>421</v>
      </c>
      <c r="C220" s="47" t="s">
        <v>566</v>
      </c>
      <c r="D220" s="47" t="s">
        <v>69</v>
      </c>
      <c r="E220" s="45" t="s">
        <v>70</v>
      </c>
      <c r="F220" s="47" t="s">
        <v>423</v>
      </c>
      <c r="G220" s="45" t="s">
        <v>73</v>
      </c>
      <c r="H220" s="45" t="s">
        <v>93</v>
      </c>
      <c r="I220" s="47">
        <v>1.81</v>
      </c>
      <c r="J220" s="47">
        <v>0.98</v>
      </c>
      <c r="K220" s="47">
        <v>0.94</v>
      </c>
      <c r="L220" s="47">
        <v>1</v>
      </c>
      <c r="M220" s="47">
        <v>4.7300000000000004</v>
      </c>
      <c r="N220" s="45">
        <f t="shared" si="0"/>
        <v>94.600000000000009</v>
      </c>
    </row>
    <row r="221" spans="1:14" x14ac:dyDescent="0.25">
      <c r="A221" s="44" t="s">
        <v>627</v>
      </c>
      <c r="B221" s="45" t="s">
        <v>567</v>
      </c>
      <c r="C221" s="47" t="s">
        <v>568</v>
      </c>
      <c r="D221" s="47" t="s">
        <v>76</v>
      </c>
      <c r="E221" s="45" t="s">
        <v>70</v>
      </c>
      <c r="F221" s="47" t="s">
        <v>331</v>
      </c>
      <c r="G221" s="45" t="s">
        <v>73</v>
      </c>
      <c r="H221" s="45" t="s">
        <v>339</v>
      </c>
      <c r="I221" s="47">
        <v>1.81</v>
      </c>
      <c r="J221" s="47">
        <v>1</v>
      </c>
      <c r="K221" s="47">
        <v>0.86</v>
      </c>
      <c r="L221" s="47">
        <v>0.69</v>
      </c>
      <c r="M221" s="47">
        <v>4.3600000000000003</v>
      </c>
      <c r="N221" s="45">
        <f t="shared" ref="N221:N272" si="1">+M221*100/5</f>
        <v>87.200000000000017</v>
      </c>
    </row>
    <row r="222" spans="1:14" x14ac:dyDescent="0.25">
      <c r="A222" s="44" t="s">
        <v>627</v>
      </c>
      <c r="B222" s="45" t="s">
        <v>424</v>
      </c>
      <c r="C222" s="47" t="s">
        <v>569</v>
      </c>
      <c r="D222" s="47" t="s">
        <v>76</v>
      </c>
      <c r="E222" s="45" t="s">
        <v>70</v>
      </c>
      <c r="F222" s="47" t="s">
        <v>331</v>
      </c>
      <c r="G222" s="45" t="s">
        <v>71</v>
      </c>
      <c r="H222" s="45" t="s">
        <v>93</v>
      </c>
      <c r="I222" s="47">
        <v>1.86</v>
      </c>
      <c r="J222" s="47">
        <v>0</v>
      </c>
      <c r="K222" s="47">
        <v>1</v>
      </c>
      <c r="L222" s="47">
        <v>1</v>
      </c>
      <c r="M222" s="47">
        <v>3.86</v>
      </c>
      <c r="N222" s="45">
        <f t="shared" si="1"/>
        <v>77.2</v>
      </c>
    </row>
    <row r="223" spans="1:14" x14ac:dyDescent="0.25">
      <c r="A223" s="44" t="s">
        <v>627</v>
      </c>
      <c r="B223" s="45" t="s">
        <v>425</v>
      </c>
      <c r="C223" s="47" t="s">
        <v>570</v>
      </c>
      <c r="D223" s="47" t="s">
        <v>76</v>
      </c>
      <c r="E223" s="45" t="s">
        <v>70</v>
      </c>
      <c r="F223" s="47" t="s">
        <v>361</v>
      </c>
      <c r="G223" s="45" t="s">
        <v>71</v>
      </c>
      <c r="H223" s="45" t="s">
        <v>93</v>
      </c>
      <c r="I223" s="47">
        <v>1.76</v>
      </c>
      <c r="J223" s="47">
        <v>1</v>
      </c>
      <c r="K223" s="47">
        <v>1</v>
      </c>
      <c r="L223" s="47">
        <v>1</v>
      </c>
      <c r="M223" s="47">
        <v>4.76</v>
      </c>
      <c r="N223" s="45">
        <f t="shared" si="1"/>
        <v>95.2</v>
      </c>
    </row>
    <row r="224" spans="1:14" x14ac:dyDescent="0.25">
      <c r="A224" s="44" t="s">
        <v>627</v>
      </c>
      <c r="B224" s="45" t="s">
        <v>426</v>
      </c>
      <c r="C224" s="47" t="s">
        <v>571</v>
      </c>
      <c r="D224" s="47" t="s">
        <v>76</v>
      </c>
      <c r="E224" s="45" t="s">
        <v>70</v>
      </c>
      <c r="F224" s="47" t="s">
        <v>331</v>
      </c>
      <c r="G224" s="45" t="s">
        <v>71</v>
      </c>
      <c r="H224" s="45" t="s">
        <v>93</v>
      </c>
      <c r="I224" s="47">
        <v>1.88</v>
      </c>
      <c r="J224" s="47">
        <v>1</v>
      </c>
      <c r="K224" s="47">
        <v>0.98</v>
      </c>
      <c r="L224" s="47">
        <v>1</v>
      </c>
      <c r="M224" s="47">
        <v>4.8600000000000003</v>
      </c>
      <c r="N224" s="45">
        <f t="shared" si="1"/>
        <v>97.200000000000017</v>
      </c>
    </row>
    <row r="225" spans="1:14" x14ac:dyDescent="0.25">
      <c r="A225" s="44" t="s">
        <v>627</v>
      </c>
      <c r="B225" s="45" t="s">
        <v>430</v>
      </c>
      <c r="C225" s="47" t="s">
        <v>572</v>
      </c>
      <c r="D225" s="47" t="s">
        <v>76</v>
      </c>
      <c r="E225" s="45" t="s">
        <v>70</v>
      </c>
      <c r="F225" s="47" t="s">
        <v>331</v>
      </c>
      <c r="G225" s="45" t="s">
        <v>71</v>
      </c>
      <c r="H225" s="45" t="s">
        <v>72</v>
      </c>
      <c r="I225" s="47">
        <v>1.9</v>
      </c>
      <c r="J225" s="47">
        <v>0.99</v>
      </c>
      <c r="K225" s="47">
        <v>1</v>
      </c>
      <c r="L225" s="47">
        <v>1</v>
      </c>
      <c r="M225" s="47">
        <v>4.8899999999999997</v>
      </c>
      <c r="N225" s="45">
        <f t="shared" si="1"/>
        <v>97.799999999999983</v>
      </c>
    </row>
    <row r="226" spans="1:14" x14ac:dyDescent="0.25">
      <c r="A226" s="44" t="s">
        <v>627</v>
      </c>
      <c r="B226" s="45" t="s">
        <v>431</v>
      </c>
      <c r="C226" s="47" t="s">
        <v>573</v>
      </c>
      <c r="D226" s="47" t="s">
        <v>76</v>
      </c>
      <c r="E226" s="45" t="s">
        <v>70</v>
      </c>
      <c r="F226" s="47" t="s">
        <v>331</v>
      </c>
      <c r="G226" s="45" t="s">
        <v>71</v>
      </c>
      <c r="H226" s="45" t="s">
        <v>368</v>
      </c>
      <c r="I226" s="47">
        <v>1.88</v>
      </c>
      <c r="J226" s="47">
        <v>1</v>
      </c>
      <c r="K226" s="47">
        <v>1</v>
      </c>
      <c r="L226" s="47">
        <v>1</v>
      </c>
      <c r="M226" s="47">
        <v>4.88</v>
      </c>
      <c r="N226" s="45">
        <f t="shared" si="1"/>
        <v>97.6</v>
      </c>
    </row>
    <row r="227" spans="1:14" x14ac:dyDescent="0.25">
      <c r="A227" s="44" t="s">
        <v>627</v>
      </c>
      <c r="B227" s="45" t="s">
        <v>432</v>
      </c>
      <c r="C227" s="47" t="s">
        <v>574</v>
      </c>
      <c r="D227" s="47" t="s">
        <v>76</v>
      </c>
      <c r="E227" s="45" t="s">
        <v>70</v>
      </c>
      <c r="F227" s="47" t="s">
        <v>361</v>
      </c>
      <c r="G227" s="45" t="s">
        <v>71</v>
      </c>
      <c r="H227" s="45" t="s">
        <v>503</v>
      </c>
      <c r="I227" s="47">
        <v>1.68</v>
      </c>
      <c r="J227" s="47">
        <v>1</v>
      </c>
      <c r="K227" s="47">
        <v>1</v>
      </c>
      <c r="L227" s="47">
        <v>1</v>
      </c>
      <c r="M227" s="47">
        <v>4.68</v>
      </c>
      <c r="N227" s="45">
        <f t="shared" si="1"/>
        <v>93.6</v>
      </c>
    </row>
    <row r="228" spans="1:14" x14ac:dyDescent="0.25">
      <c r="A228" s="44" t="s">
        <v>627</v>
      </c>
      <c r="B228" s="45" t="s">
        <v>434</v>
      </c>
      <c r="C228" s="47" t="s">
        <v>575</v>
      </c>
      <c r="D228" s="47" t="s">
        <v>69</v>
      </c>
      <c r="E228" s="45" t="s">
        <v>70</v>
      </c>
      <c r="F228" s="47" t="s">
        <v>361</v>
      </c>
      <c r="G228" s="45" t="s">
        <v>71</v>
      </c>
      <c r="H228" s="45" t="s">
        <v>83</v>
      </c>
      <c r="I228" s="47">
        <v>1.83</v>
      </c>
      <c r="J228" s="47">
        <v>1</v>
      </c>
      <c r="K228" s="47">
        <v>1</v>
      </c>
      <c r="L228" s="47">
        <v>1</v>
      </c>
      <c r="M228" s="47">
        <v>4.83</v>
      </c>
      <c r="N228" s="45">
        <f t="shared" si="1"/>
        <v>96.6</v>
      </c>
    </row>
    <row r="229" spans="1:14" x14ac:dyDescent="0.25">
      <c r="A229" s="44" t="s">
        <v>627</v>
      </c>
      <c r="B229" s="45" t="s">
        <v>576</v>
      </c>
      <c r="C229" s="47" t="s">
        <v>577</v>
      </c>
      <c r="D229" s="47" t="s">
        <v>69</v>
      </c>
      <c r="E229" s="45" t="s">
        <v>70</v>
      </c>
      <c r="F229" s="47" t="s">
        <v>331</v>
      </c>
      <c r="G229" s="45" t="s">
        <v>73</v>
      </c>
      <c r="H229" s="45" t="s">
        <v>503</v>
      </c>
      <c r="I229" s="47">
        <v>1.73</v>
      </c>
      <c r="J229" s="47">
        <v>0</v>
      </c>
      <c r="K229" s="47">
        <v>1</v>
      </c>
      <c r="L229" s="47">
        <v>1</v>
      </c>
      <c r="M229" s="47">
        <v>3.73</v>
      </c>
      <c r="N229" s="45">
        <f t="shared" si="1"/>
        <v>74.599999999999994</v>
      </c>
    </row>
    <row r="230" spans="1:14" x14ac:dyDescent="0.25">
      <c r="A230" s="44" t="s">
        <v>627</v>
      </c>
      <c r="B230" s="45" t="s">
        <v>437</v>
      </c>
      <c r="C230" s="47" t="s">
        <v>578</v>
      </c>
      <c r="D230" s="47" t="s">
        <v>69</v>
      </c>
      <c r="E230" s="45" t="s">
        <v>70</v>
      </c>
      <c r="F230" s="47" t="s">
        <v>331</v>
      </c>
      <c r="G230" s="45" t="s">
        <v>73</v>
      </c>
      <c r="H230" s="45" t="s">
        <v>83</v>
      </c>
      <c r="I230" s="47">
        <v>1.93</v>
      </c>
      <c r="J230" s="47">
        <v>1</v>
      </c>
      <c r="K230" s="47">
        <v>0.97</v>
      </c>
      <c r="L230" s="47">
        <v>0.95</v>
      </c>
      <c r="M230" s="47">
        <v>4.8499999999999996</v>
      </c>
      <c r="N230" s="45">
        <f t="shared" si="1"/>
        <v>96.999999999999986</v>
      </c>
    </row>
    <row r="231" spans="1:14" x14ac:dyDescent="0.25">
      <c r="A231" s="44" t="s">
        <v>627</v>
      </c>
      <c r="B231" s="45" t="s">
        <v>439</v>
      </c>
      <c r="C231" s="47" t="s">
        <v>579</v>
      </c>
      <c r="D231" s="47" t="s">
        <v>69</v>
      </c>
      <c r="E231" s="45" t="s">
        <v>70</v>
      </c>
      <c r="F231" s="47" t="s">
        <v>331</v>
      </c>
      <c r="G231" s="45" t="s">
        <v>73</v>
      </c>
      <c r="H231" s="45" t="s">
        <v>83</v>
      </c>
      <c r="I231" s="47">
        <v>1.87</v>
      </c>
      <c r="J231" s="47">
        <v>1</v>
      </c>
      <c r="K231" s="47">
        <v>0.97</v>
      </c>
      <c r="L231" s="47">
        <v>1</v>
      </c>
      <c r="M231" s="47">
        <v>4.84</v>
      </c>
      <c r="N231" s="45">
        <f t="shared" si="1"/>
        <v>96.8</v>
      </c>
    </row>
    <row r="232" spans="1:14" x14ac:dyDescent="0.25">
      <c r="A232" s="44" t="s">
        <v>627</v>
      </c>
      <c r="B232" s="45" t="s">
        <v>440</v>
      </c>
      <c r="C232" s="47" t="s">
        <v>580</v>
      </c>
      <c r="D232" s="47" t="s">
        <v>76</v>
      </c>
      <c r="E232" s="45" t="s">
        <v>70</v>
      </c>
      <c r="F232" s="47" t="s">
        <v>331</v>
      </c>
      <c r="G232" s="45" t="s">
        <v>71</v>
      </c>
      <c r="H232" s="45" t="s">
        <v>93</v>
      </c>
      <c r="I232" s="47">
        <v>1.8</v>
      </c>
      <c r="J232" s="47">
        <v>0</v>
      </c>
      <c r="K232" s="47">
        <v>1</v>
      </c>
      <c r="L232" s="47">
        <v>1</v>
      </c>
      <c r="M232" s="47">
        <v>3.8</v>
      </c>
      <c r="N232" s="45">
        <f t="shared" si="1"/>
        <v>76</v>
      </c>
    </row>
    <row r="233" spans="1:14" x14ac:dyDescent="0.25">
      <c r="A233" s="44" t="s">
        <v>627</v>
      </c>
      <c r="B233" s="45" t="s">
        <v>581</v>
      </c>
      <c r="C233" s="47" t="s">
        <v>582</v>
      </c>
      <c r="D233" s="47" t="s">
        <v>69</v>
      </c>
      <c r="E233" s="45" t="s">
        <v>70</v>
      </c>
      <c r="F233" s="47" t="s">
        <v>331</v>
      </c>
      <c r="G233" s="45" t="s">
        <v>71</v>
      </c>
      <c r="H233" s="45" t="s">
        <v>398</v>
      </c>
      <c r="I233" s="47">
        <v>1.44</v>
      </c>
      <c r="J233" s="47">
        <v>0.98</v>
      </c>
      <c r="K233" s="47">
        <v>1</v>
      </c>
      <c r="L233" s="47">
        <v>0.88</v>
      </c>
      <c r="M233" s="47">
        <v>4.3</v>
      </c>
      <c r="N233" s="45">
        <f t="shared" si="1"/>
        <v>86</v>
      </c>
    </row>
    <row r="234" spans="1:14" x14ac:dyDescent="0.25">
      <c r="A234" s="44" t="s">
        <v>627</v>
      </c>
      <c r="B234" s="45" t="s">
        <v>443</v>
      </c>
      <c r="C234" s="47" t="s">
        <v>583</v>
      </c>
      <c r="D234" s="47" t="s">
        <v>69</v>
      </c>
      <c r="E234" s="45" t="s">
        <v>70</v>
      </c>
      <c r="F234" s="47" t="s">
        <v>331</v>
      </c>
      <c r="G234" s="45" t="s">
        <v>73</v>
      </c>
      <c r="H234" s="45" t="s">
        <v>344</v>
      </c>
      <c r="I234" s="47">
        <v>1.55</v>
      </c>
      <c r="J234" s="47">
        <v>0</v>
      </c>
      <c r="K234" s="47">
        <v>1</v>
      </c>
      <c r="L234" s="47">
        <v>0.97</v>
      </c>
      <c r="M234" s="47">
        <v>3.52</v>
      </c>
      <c r="N234" s="45">
        <f t="shared" si="1"/>
        <v>70.400000000000006</v>
      </c>
    </row>
    <row r="235" spans="1:14" x14ac:dyDescent="0.25">
      <c r="A235" s="44" t="s">
        <v>627</v>
      </c>
      <c r="B235" s="45" t="s">
        <v>444</v>
      </c>
      <c r="C235" s="47" t="s">
        <v>584</v>
      </c>
      <c r="D235" s="47" t="s">
        <v>69</v>
      </c>
      <c r="E235" s="45" t="s">
        <v>70</v>
      </c>
      <c r="F235" s="47" t="s">
        <v>331</v>
      </c>
      <c r="G235" s="45" t="s">
        <v>71</v>
      </c>
      <c r="H235" s="45" t="s">
        <v>93</v>
      </c>
      <c r="I235" s="47">
        <v>1.62</v>
      </c>
      <c r="J235" s="47">
        <v>0</v>
      </c>
      <c r="K235" s="47">
        <v>1</v>
      </c>
      <c r="L235" s="47">
        <v>1</v>
      </c>
      <c r="M235" s="47">
        <v>3.62</v>
      </c>
      <c r="N235" s="45">
        <f t="shared" si="1"/>
        <v>72.400000000000006</v>
      </c>
    </row>
    <row r="236" spans="1:14" x14ac:dyDescent="0.25">
      <c r="A236" s="44" t="s">
        <v>627</v>
      </c>
      <c r="B236" s="45" t="s">
        <v>445</v>
      </c>
      <c r="C236" s="47" t="s">
        <v>585</v>
      </c>
      <c r="D236" s="47" t="s">
        <v>69</v>
      </c>
      <c r="E236" s="45" t="s">
        <v>70</v>
      </c>
      <c r="F236" s="47" t="s">
        <v>331</v>
      </c>
      <c r="G236" s="45" t="s">
        <v>73</v>
      </c>
      <c r="H236" s="45" t="s">
        <v>339</v>
      </c>
      <c r="I236" s="47">
        <v>1.88</v>
      </c>
      <c r="J236" s="47">
        <v>0</v>
      </c>
      <c r="K236" s="47">
        <v>0.83</v>
      </c>
      <c r="L236" s="47">
        <v>0.76</v>
      </c>
      <c r="M236" s="47">
        <v>3.47</v>
      </c>
      <c r="N236" s="45">
        <f t="shared" si="1"/>
        <v>69.400000000000006</v>
      </c>
    </row>
    <row r="237" spans="1:14" x14ac:dyDescent="0.25">
      <c r="A237" s="44" t="s">
        <v>627</v>
      </c>
      <c r="B237" s="45" t="s">
        <v>446</v>
      </c>
      <c r="C237" s="47" t="s">
        <v>586</v>
      </c>
      <c r="D237" s="47" t="s">
        <v>69</v>
      </c>
      <c r="E237" s="45" t="s">
        <v>70</v>
      </c>
      <c r="F237" s="47" t="s">
        <v>331</v>
      </c>
      <c r="G237" s="45" t="s">
        <v>73</v>
      </c>
      <c r="H237" s="45" t="s">
        <v>356</v>
      </c>
      <c r="I237" s="47">
        <v>1.91</v>
      </c>
      <c r="J237" s="47">
        <v>1</v>
      </c>
      <c r="K237" s="47">
        <v>1</v>
      </c>
      <c r="L237" s="47">
        <v>1</v>
      </c>
      <c r="M237" s="47">
        <v>4.91</v>
      </c>
      <c r="N237" s="45">
        <f t="shared" si="1"/>
        <v>98.2</v>
      </c>
    </row>
    <row r="238" spans="1:14" x14ac:dyDescent="0.25">
      <c r="A238" s="44" t="s">
        <v>627</v>
      </c>
      <c r="B238" s="45" t="s">
        <v>448</v>
      </c>
      <c r="C238" s="47" t="s">
        <v>587</v>
      </c>
      <c r="D238" s="47" t="s">
        <v>69</v>
      </c>
      <c r="E238" s="45" t="s">
        <v>70</v>
      </c>
      <c r="F238" s="47" t="s">
        <v>331</v>
      </c>
      <c r="G238" s="45" t="s">
        <v>71</v>
      </c>
      <c r="H238" s="45" t="s">
        <v>83</v>
      </c>
      <c r="I238" s="47">
        <v>1.98</v>
      </c>
      <c r="J238" s="47">
        <v>1</v>
      </c>
      <c r="K238" s="47">
        <v>1.5</v>
      </c>
      <c r="L238" s="47">
        <v>0</v>
      </c>
      <c r="M238" s="47">
        <v>4.4800000000000004</v>
      </c>
      <c r="N238" s="45">
        <f t="shared" si="1"/>
        <v>89.600000000000009</v>
      </c>
    </row>
    <row r="239" spans="1:14" x14ac:dyDescent="0.25">
      <c r="A239" s="44" t="s">
        <v>627</v>
      </c>
      <c r="B239" s="45" t="s">
        <v>449</v>
      </c>
      <c r="C239" s="47" t="s">
        <v>588</v>
      </c>
      <c r="D239" s="47" t="s">
        <v>76</v>
      </c>
      <c r="E239" s="45" t="s">
        <v>70</v>
      </c>
      <c r="F239" s="47" t="s">
        <v>331</v>
      </c>
      <c r="G239" s="45" t="s">
        <v>71</v>
      </c>
      <c r="H239" s="45" t="s">
        <v>93</v>
      </c>
      <c r="I239" s="47">
        <v>1.78</v>
      </c>
      <c r="J239" s="47">
        <v>0.99</v>
      </c>
      <c r="K239" s="47">
        <v>1</v>
      </c>
      <c r="L239" s="47">
        <v>1</v>
      </c>
      <c r="M239" s="47">
        <v>4.7699999999999996</v>
      </c>
      <c r="N239" s="45">
        <f t="shared" si="1"/>
        <v>95.399999999999991</v>
      </c>
    </row>
    <row r="240" spans="1:14" x14ac:dyDescent="0.25">
      <c r="A240" s="44" t="s">
        <v>627</v>
      </c>
      <c r="B240" s="45" t="s">
        <v>450</v>
      </c>
      <c r="C240" s="47" t="s">
        <v>589</v>
      </c>
      <c r="D240" s="47" t="s">
        <v>76</v>
      </c>
      <c r="E240" s="45" t="s">
        <v>70</v>
      </c>
      <c r="F240" s="47" t="s">
        <v>423</v>
      </c>
      <c r="G240" s="45" t="s">
        <v>73</v>
      </c>
      <c r="H240" s="45" t="s">
        <v>93</v>
      </c>
      <c r="I240" s="47">
        <v>1.84</v>
      </c>
      <c r="J240" s="47">
        <v>0</v>
      </c>
      <c r="K240" s="47">
        <v>0.94</v>
      </c>
      <c r="L240" s="47">
        <v>1</v>
      </c>
      <c r="M240" s="47">
        <v>3.78</v>
      </c>
      <c r="N240" s="45">
        <f t="shared" si="1"/>
        <v>75.599999999999994</v>
      </c>
    </row>
    <row r="241" spans="1:14" x14ac:dyDescent="0.25">
      <c r="A241" s="44" t="s">
        <v>627</v>
      </c>
      <c r="B241" s="45" t="s">
        <v>451</v>
      </c>
      <c r="C241" s="47" t="s">
        <v>590</v>
      </c>
      <c r="D241" s="47" t="s">
        <v>76</v>
      </c>
      <c r="E241" s="45" t="s">
        <v>70</v>
      </c>
      <c r="F241" s="47" t="s">
        <v>361</v>
      </c>
      <c r="G241" s="45" t="s">
        <v>71</v>
      </c>
      <c r="H241" s="45" t="s">
        <v>368</v>
      </c>
      <c r="I241" s="47">
        <v>1.82</v>
      </c>
      <c r="J241" s="47">
        <v>1</v>
      </c>
      <c r="K241" s="47">
        <v>1</v>
      </c>
      <c r="L241" s="47">
        <v>1</v>
      </c>
      <c r="M241" s="47">
        <v>4.82</v>
      </c>
      <c r="N241" s="45">
        <f t="shared" si="1"/>
        <v>96.4</v>
      </c>
    </row>
    <row r="242" spans="1:14" x14ac:dyDescent="0.25">
      <c r="A242" s="44" t="s">
        <v>627</v>
      </c>
      <c r="B242" s="45" t="s">
        <v>452</v>
      </c>
      <c r="C242" s="47" t="s">
        <v>591</v>
      </c>
      <c r="D242" s="47" t="s">
        <v>69</v>
      </c>
      <c r="E242" s="45" t="s">
        <v>70</v>
      </c>
      <c r="F242" s="47" t="s">
        <v>331</v>
      </c>
      <c r="G242" s="45" t="s">
        <v>73</v>
      </c>
      <c r="H242" s="45" t="s">
        <v>93</v>
      </c>
      <c r="I242" s="47">
        <v>1.91</v>
      </c>
      <c r="J242" s="47">
        <v>1</v>
      </c>
      <c r="K242" s="47">
        <v>0.97</v>
      </c>
      <c r="L242" s="47">
        <v>0.94</v>
      </c>
      <c r="M242" s="47">
        <v>4.82</v>
      </c>
      <c r="N242" s="45">
        <f t="shared" si="1"/>
        <v>96.4</v>
      </c>
    </row>
    <row r="243" spans="1:14" x14ac:dyDescent="0.25">
      <c r="A243" s="44" t="s">
        <v>627</v>
      </c>
      <c r="B243" s="45" t="s">
        <v>453</v>
      </c>
      <c r="C243" s="47" t="s">
        <v>592</v>
      </c>
      <c r="D243" s="47" t="s">
        <v>76</v>
      </c>
      <c r="E243" s="45" t="s">
        <v>70</v>
      </c>
      <c r="F243" s="47" t="s">
        <v>331</v>
      </c>
      <c r="G243" s="45" t="s">
        <v>73</v>
      </c>
      <c r="H243" s="45" t="s">
        <v>93</v>
      </c>
      <c r="I243" s="47">
        <v>1.85</v>
      </c>
      <c r="J243" s="47">
        <v>1</v>
      </c>
      <c r="K243" s="47">
        <v>0.94</v>
      </c>
      <c r="L243" s="47">
        <v>0.94</v>
      </c>
      <c r="M243" s="47">
        <v>4.7300000000000004</v>
      </c>
      <c r="N243" s="45">
        <f t="shared" si="1"/>
        <v>94.600000000000009</v>
      </c>
    </row>
    <row r="244" spans="1:14" x14ac:dyDescent="0.25">
      <c r="A244" s="44" t="s">
        <v>627</v>
      </c>
      <c r="B244" s="45" t="s">
        <v>454</v>
      </c>
      <c r="C244" s="47" t="s">
        <v>593</v>
      </c>
      <c r="D244" s="47" t="s">
        <v>69</v>
      </c>
      <c r="E244" s="45" t="s">
        <v>70</v>
      </c>
      <c r="F244" s="47" t="s">
        <v>331</v>
      </c>
      <c r="G244" s="45" t="s">
        <v>71</v>
      </c>
      <c r="H244" s="45" t="s">
        <v>104</v>
      </c>
      <c r="I244" s="47">
        <v>1.63</v>
      </c>
      <c r="J244" s="47">
        <v>0</v>
      </c>
      <c r="K244" s="47">
        <v>0.9</v>
      </c>
      <c r="L244" s="47">
        <v>0.92</v>
      </c>
      <c r="M244" s="47">
        <v>3.45</v>
      </c>
      <c r="N244" s="45">
        <f t="shared" si="1"/>
        <v>69</v>
      </c>
    </row>
    <row r="245" spans="1:14" x14ac:dyDescent="0.25">
      <c r="A245" s="44" t="s">
        <v>627</v>
      </c>
      <c r="B245" s="45" t="s">
        <v>319</v>
      </c>
      <c r="C245" s="47" t="s">
        <v>594</v>
      </c>
      <c r="D245" s="47" t="s">
        <v>76</v>
      </c>
      <c r="E245" s="45" t="s">
        <v>70</v>
      </c>
      <c r="F245" s="47" t="s">
        <v>331</v>
      </c>
      <c r="G245" s="45" t="s">
        <v>71</v>
      </c>
      <c r="H245" s="45" t="s">
        <v>93</v>
      </c>
      <c r="I245" s="47">
        <v>1.83</v>
      </c>
      <c r="J245" s="47">
        <v>0.96</v>
      </c>
      <c r="K245" s="47">
        <v>0.94</v>
      </c>
      <c r="L245" s="47">
        <v>0.91</v>
      </c>
      <c r="M245" s="47">
        <v>4.6399999999999997</v>
      </c>
      <c r="N245" s="45">
        <f t="shared" si="1"/>
        <v>92.799999999999983</v>
      </c>
    </row>
    <row r="246" spans="1:14" x14ac:dyDescent="0.25">
      <c r="A246" s="44" t="s">
        <v>627</v>
      </c>
      <c r="B246" s="45" t="s">
        <v>457</v>
      </c>
      <c r="C246" s="47" t="s">
        <v>595</v>
      </c>
      <c r="D246" s="47" t="s">
        <v>69</v>
      </c>
      <c r="E246" s="45" t="s">
        <v>70</v>
      </c>
      <c r="F246" s="47" t="s">
        <v>331</v>
      </c>
      <c r="G246" s="45" t="s">
        <v>73</v>
      </c>
      <c r="H246" s="45" t="s">
        <v>83</v>
      </c>
      <c r="I246" s="47">
        <v>1.81</v>
      </c>
      <c r="J246" s="47">
        <v>1</v>
      </c>
      <c r="K246" s="47">
        <v>0.97</v>
      </c>
      <c r="L246" s="47">
        <v>1</v>
      </c>
      <c r="M246" s="47">
        <v>4.78</v>
      </c>
      <c r="N246" s="45">
        <f t="shared" si="1"/>
        <v>95.6</v>
      </c>
    </row>
    <row r="247" spans="1:14" x14ac:dyDescent="0.25">
      <c r="A247" s="44" t="s">
        <v>627</v>
      </c>
      <c r="B247" s="45" t="s">
        <v>458</v>
      </c>
      <c r="C247" s="47" t="s">
        <v>596</v>
      </c>
      <c r="D247" s="47" t="s">
        <v>76</v>
      </c>
      <c r="E247" s="45" t="s">
        <v>70</v>
      </c>
      <c r="F247" s="47" t="s">
        <v>331</v>
      </c>
      <c r="G247" s="45" t="s">
        <v>73</v>
      </c>
      <c r="H247" s="45" t="s">
        <v>368</v>
      </c>
      <c r="I247" s="47">
        <v>1.94</v>
      </c>
      <c r="J247" s="47">
        <v>0.95</v>
      </c>
      <c r="K247" s="47">
        <v>0.91</v>
      </c>
      <c r="L247" s="47">
        <v>1</v>
      </c>
      <c r="M247" s="47">
        <v>4.8</v>
      </c>
      <c r="N247" s="45">
        <f t="shared" si="1"/>
        <v>96</v>
      </c>
    </row>
    <row r="248" spans="1:14" x14ac:dyDescent="0.25">
      <c r="A248" s="44" t="s">
        <v>627</v>
      </c>
      <c r="B248" s="45" t="s">
        <v>459</v>
      </c>
      <c r="C248" s="47" t="s">
        <v>597</v>
      </c>
      <c r="D248" s="47" t="s">
        <v>76</v>
      </c>
      <c r="E248" s="45" t="s">
        <v>70</v>
      </c>
      <c r="F248" s="47" t="s">
        <v>331</v>
      </c>
      <c r="G248" s="45" t="s">
        <v>73</v>
      </c>
      <c r="H248" s="45" t="s">
        <v>345</v>
      </c>
      <c r="I248" s="47">
        <v>1.32</v>
      </c>
      <c r="J248" s="47">
        <v>0</v>
      </c>
      <c r="K248" s="47">
        <v>1</v>
      </c>
      <c r="L248" s="47">
        <v>0</v>
      </c>
      <c r="M248" s="47">
        <v>2.3199999999999998</v>
      </c>
      <c r="N248" s="45">
        <f t="shared" si="1"/>
        <v>46.399999999999991</v>
      </c>
    </row>
    <row r="249" spans="1:14" x14ac:dyDescent="0.25">
      <c r="A249" s="44" t="s">
        <v>627</v>
      </c>
      <c r="B249" s="45" t="s">
        <v>598</v>
      </c>
      <c r="C249" s="47" t="s">
        <v>599</v>
      </c>
      <c r="D249" s="47" t="s">
        <v>76</v>
      </c>
      <c r="E249" s="45" t="s">
        <v>70</v>
      </c>
      <c r="F249" s="47" t="s">
        <v>331</v>
      </c>
      <c r="G249" s="45" t="s">
        <v>73</v>
      </c>
      <c r="H249" s="45" t="s">
        <v>401</v>
      </c>
      <c r="I249" s="47">
        <v>1.68</v>
      </c>
      <c r="J249" s="47">
        <v>0.96</v>
      </c>
      <c r="K249" s="47">
        <v>1</v>
      </c>
      <c r="L249" s="47">
        <v>0.94</v>
      </c>
      <c r="M249" s="47">
        <v>4.58</v>
      </c>
      <c r="N249" s="45">
        <f t="shared" si="1"/>
        <v>91.6</v>
      </c>
    </row>
    <row r="250" spans="1:14" x14ac:dyDescent="0.25">
      <c r="A250" s="44" t="s">
        <v>627</v>
      </c>
      <c r="B250" s="45" t="s">
        <v>460</v>
      </c>
      <c r="C250" s="47" t="s">
        <v>600</v>
      </c>
      <c r="D250" s="47" t="s">
        <v>69</v>
      </c>
      <c r="E250" s="45" t="s">
        <v>70</v>
      </c>
      <c r="F250" s="47" t="s">
        <v>331</v>
      </c>
      <c r="G250" s="45" t="s">
        <v>73</v>
      </c>
      <c r="H250" s="45" t="s">
        <v>368</v>
      </c>
      <c r="I250" s="47">
        <v>1.87</v>
      </c>
      <c r="J250" s="47">
        <v>0.98</v>
      </c>
      <c r="K250" s="47">
        <v>0.88</v>
      </c>
      <c r="L250" s="47">
        <v>1</v>
      </c>
      <c r="M250" s="47">
        <v>4.7300000000000004</v>
      </c>
      <c r="N250" s="45">
        <f t="shared" si="1"/>
        <v>94.600000000000009</v>
      </c>
    </row>
    <row r="251" spans="1:14" x14ac:dyDescent="0.25">
      <c r="A251" s="44" t="s">
        <v>627</v>
      </c>
      <c r="B251" s="45" t="s">
        <v>461</v>
      </c>
      <c r="C251" s="47" t="s">
        <v>601</v>
      </c>
      <c r="D251" s="47" t="s">
        <v>69</v>
      </c>
      <c r="E251" s="45" t="s">
        <v>70</v>
      </c>
      <c r="F251" s="47" t="s">
        <v>331</v>
      </c>
      <c r="G251" s="45" t="s">
        <v>73</v>
      </c>
      <c r="H251" s="45" t="s">
        <v>398</v>
      </c>
      <c r="I251" s="47">
        <v>1.92</v>
      </c>
      <c r="J251" s="47">
        <v>0.9</v>
      </c>
      <c r="K251" s="47">
        <v>1</v>
      </c>
      <c r="L251" s="47">
        <v>0.94</v>
      </c>
      <c r="M251" s="47">
        <v>4.76</v>
      </c>
      <c r="N251" s="45">
        <f t="shared" si="1"/>
        <v>95.2</v>
      </c>
    </row>
    <row r="252" spans="1:14" x14ac:dyDescent="0.25">
      <c r="A252" s="44" t="s">
        <v>627</v>
      </c>
      <c r="B252" s="45" t="s">
        <v>602</v>
      </c>
      <c r="C252" s="47" t="s">
        <v>603</v>
      </c>
      <c r="D252" s="47" t="s">
        <v>69</v>
      </c>
      <c r="E252" s="45" t="s">
        <v>70</v>
      </c>
      <c r="F252" s="47" t="s">
        <v>331</v>
      </c>
      <c r="G252" s="45" t="s">
        <v>71</v>
      </c>
      <c r="H252" s="45" t="s">
        <v>362</v>
      </c>
      <c r="I252" s="47">
        <v>1.85</v>
      </c>
      <c r="J252" s="47">
        <v>1</v>
      </c>
      <c r="K252" s="47">
        <v>0.9</v>
      </c>
      <c r="L252" s="47">
        <v>0.81</v>
      </c>
      <c r="M252" s="47">
        <v>4.5599999999999996</v>
      </c>
      <c r="N252" s="45">
        <f t="shared" si="1"/>
        <v>91.199999999999989</v>
      </c>
    </row>
    <row r="253" spans="1:14" x14ac:dyDescent="0.25">
      <c r="A253" s="44" t="s">
        <v>627</v>
      </c>
      <c r="B253" s="45" t="s">
        <v>463</v>
      </c>
      <c r="C253" s="47" t="s">
        <v>604</v>
      </c>
      <c r="D253" s="47" t="s">
        <v>69</v>
      </c>
      <c r="E253" s="45" t="s">
        <v>70</v>
      </c>
      <c r="F253" s="47" t="s">
        <v>331</v>
      </c>
      <c r="G253" s="45" t="s">
        <v>73</v>
      </c>
      <c r="H253" s="45" t="s">
        <v>72</v>
      </c>
      <c r="I253" s="47">
        <v>1.88</v>
      </c>
      <c r="J253" s="47">
        <v>1</v>
      </c>
      <c r="K253" s="47">
        <v>1</v>
      </c>
      <c r="L253" s="47">
        <v>1</v>
      </c>
      <c r="M253" s="47">
        <v>4.88</v>
      </c>
      <c r="N253" s="45">
        <f t="shared" si="1"/>
        <v>97.6</v>
      </c>
    </row>
    <row r="254" spans="1:14" x14ac:dyDescent="0.25">
      <c r="A254" s="44" t="s">
        <v>627</v>
      </c>
      <c r="B254" s="45" t="s">
        <v>465</v>
      </c>
      <c r="C254" s="47" t="s">
        <v>605</v>
      </c>
      <c r="D254" s="47" t="s">
        <v>76</v>
      </c>
      <c r="E254" s="45" t="s">
        <v>70</v>
      </c>
      <c r="F254" s="47" t="s">
        <v>331</v>
      </c>
      <c r="G254" s="45" t="s">
        <v>71</v>
      </c>
      <c r="H254" s="45" t="s">
        <v>356</v>
      </c>
      <c r="I254" s="47">
        <v>1.86</v>
      </c>
      <c r="J254" s="47">
        <v>1</v>
      </c>
      <c r="K254" s="47">
        <v>0.83</v>
      </c>
      <c r="L254" s="47">
        <v>0.88</v>
      </c>
      <c r="M254" s="47">
        <v>4.57</v>
      </c>
      <c r="N254" s="45">
        <f t="shared" si="1"/>
        <v>91.4</v>
      </c>
    </row>
    <row r="255" spans="1:14" x14ac:dyDescent="0.25">
      <c r="A255" s="44" t="s">
        <v>627</v>
      </c>
      <c r="B255" s="45" t="s">
        <v>466</v>
      </c>
      <c r="C255" s="47" t="s">
        <v>606</v>
      </c>
      <c r="D255" s="47" t="s">
        <v>69</v>
      </c>
      <c r="E255" s="45" t="s">
        <v>70</v>
      </c>
      <c r="F255" s="47" t="s">
        <v>331</v>
      </c>
      <c r="G255" s="45" t="s">
        <v>71</v>
      </c>
      <c r="H255" s="45" t="s">
        <v>83</v>
      </c>
      <c r="I255" s="47">
        <v>1.7</v>
      </c>
      <c r="J255" s="47">
        <v>1</v>
      </c>
      <c r="K255" s="47">
        <v>0.97</v>
      </c>
      <c r="L255" s="47">
        <v>1</v>
      </c>
      <c r="M255" s="47">
        <v>4.67</v>
      </c>
      <c r="N255" s="45">
        <f t="shared" si="1"/>
        <v>93.4</v>
      </c>
    </row>
    <row r="256" spans="1:14" x14ac:dyDescent="0.25">
      <c r="A256" s="44" t="s">
        <v>627</v>
      </c>
      <c r="B256" s="45" t="s">
        <v>467</v>
      </c>
      <c r="C256" s="47" t="s">
        <v>607</v>
      </c>
      <c r="D256" s="47" t="s">
        <v>69</v>
      </c>
      <c r="E256" s="45" t="s">
        <v>70</v>
      </c>
      <c r="F256" s="47" t="s">
        <v>331</v>
      </c>
      <c r="G256" s="45" t="s">
        <v>71</v>
      </c>
      <c r="H256" s="45" t="s">
        <v>356</v>
      </c>
      <c r="I256" s="47">
        <v>1.85</v>
      </c>
      <c r="J256" s="47">
        <v>0.98</v>
      </c>
      <c r="K256" s="47">
        <v>0.89</v>
      </c>
      <c r="L256" s="47">
        <v>0.87</v>
      </c>
      <c r="M256" s="47">
        <v>4.59</v>
      </c>
      <c r="N256" s="45">
        <f t="shared" si="1"/>
        <v>91.8</v>
      </c>
    </row>
    <row r="257" spans="1:14" x14ac:dyDescent="0.25">
      <c r="A257" s="44" t="s">
        <v>627</v>
      </c>
      <c r="B257" s="45" t="s">
        <v>468</v>
      </c>
      <c r="C257" s="47" t="s">
        <v>608</v>
      </c>
      <c r="D257" s="47" t="s">
        <v>69</v>
      </c>
      <c r="E257" s="45" t="s">
        <v>70</v>
      </c>
      <c r="F257" s="47" t="s">
        <v>331</v>
      </c>
      <c r="G257" s="45" t="s">
        <v>71</v>
      </c>
      <c r="H257" s="45" t="s">
        <v>344</v>
      </c>
      <c r="I257" s="47">
        <v>1.92</v>
      </c>
      <c r="J257" s="47">
        <v>0.99</v>
      </c>
      <c r="K257" s="47">
        <v>1</v>
      </c>
      <c r="L257" s="47">
        <v>1</v>
      </c>
      <c r="M257" s="47">
        <v>4.91</v>
      </c>
      <c r="N257" s="45">
        <f t="shared" si="1"/>
        <v>98.2</v>
      </c>
    </row>
    <row r="258" spans="1:14" x14ac:dyDescent="0.25">
      <c r="A258" s="44" t="s">
        <v>627</v>
      </c>
      <c r="B258" s="45" t="s">
        <v>469</v>
      </c>
      <c r="C258" s="47" t="s">
        <v>609</v>
      </c>
      <c r="D258" s="47" t="s">
        <v>76</v>
      </c>
      <c r="E258" s="45" t="s">
        <v>70</v>
      </c>
      <c r="F258" s="47" t="s">
        <v>331</v>
      </c>
      <c r="G258" s="45" t="s">
        <v>71</v>
      </c>
      <c r="H258" s="45" t="s">
        <v>104</v>
      </c>
      <c r="I258" s="47">
        <v>1.53</v>
      </c>
      <c r="J258" s="47">
        <v>1</v>
      </c>
      <c r="K258" s="47">
        <v>1</v>
      </c>
      <c r="L258" s="47">
        <v>0.94</v>
      </c>
      <c r="M258" s="47">
        <v>4.47</v>
      </c>
      <c r="N258" s="45">
        <f t="shared" si="1"/>
        <v>89.4</v>
      </c>
    </row>
    <row r="259" spans="1:14" x14ac:dyDescent="0.25">
      <c r="A259" s="44" t="s">
        <v>627</v>
      </c>
      <c r="B259" s="45" t="s">
        <v>475</v>
      </c>
      <c r="C259" s="47" t="s">
        <v>610</v>
      </c>
      <c r="D259" s="47" t="s">
        <v>76</v>
      </c>
      <c r="E259" s="45" t="s">
        <v>70</v>
      </c>
      <c r="F259" s="47" t="s">
        <v>331</v>
      </c>
      <c r="G259" s="45" t="s">
        <v>73</v>
      </c>
      <c r="H259" s="45" t="s">
        <v>345</v>
      </c>
      <c r="I259" s="47">
        <v>1.87</v>
      </c>
      <c r="J259" s="47">
        <v>0.98</v>
      </c>
      <c r="K259" s="47">
        <v>1</v>
      </c>
      <c r="L259" s="47">
        <v>1</v>
      </c>
      <c r="M259" s="47">
        <v>4.8499999999999996</v>
      </c>
      <c r="N259" s="45">
        <f t="shared" si="1"/>
        <v>96.999999999999986</v>
      </c>
    </row>
    <row r="260" spans="1:14" x14ac:dyDescent="0.25">
      <c r="A260" s="44" t="s">
        <v>627</v>
      </c>
      <c r="B260" s="45" t="s">
        <v>611</v>
      </c>
      <c r="C260" s="47" t="s">
        <v>612</v>
      </c>
      <c r="D260" s="47" t="s">
        <v>69</v>
      </c>
      <c r="E260" s="45" t="s">
        <v>70</v>
      </c>
      <c r="F260" s="47" t="s">
        <v>331</v>
      </c>
      <c r="G260" s="45" t="s">
        <v>73</v>
      </c>
      <c r="H260" s="45" t="s">
        <v>129</v>
      </c>
      <c r="I260" s="47">
        <v>1.82</v>
      </c>
      <c r="J260" s="47">
        <v>0</v>
      </c>
      <c r="K260" s="47">
        <v>1</v>
      </c>
      <c r="L260" s="47">
        <v>0.83</v>
      </c>
      <c r="M260" s="47">
        <v>3.65</v>
      </c>
      <c r="N260" s="45">
        <f t="shared" si="1"/>
        <v>73</v>
      </c>
    </row>
    <row r="261" spans="1:14" x14ac:dyDescent="0.25">
      <c r="A261" s="44" t="s">
        <v>627</v>
      </c>
      <c r="B261" s="45" t="s">
        <v>478</v>
      </c>
      <c r="C261" s="47" t="s">
        <v>613</v>
      </c>
      <c r="D261" s="47" t="s">
        <v>69</v>
      </c>
      <c r="E261" s="45" t="s">
        <v>70</v>
      </c>
      <c r="F261" s="47" t="s">
        <v>331</v>
      </c>
      <c r="G261" s="45" t="s">
        <v>73</v>
      </c>
      <c r="H261" s="45" t="s">
        <v>503</v>
      </c>
      <c r="I261" s="47">
        <v>1.7</v>
      </c>
      <c r="J261" s="47">
        <v>0</v>
      </c>
      <c r="K261" s="47">
        <v>0.96</v>
      </c>
      <c r="L261" s="47">
        <v>1</v>
      </c>
      <c r="M261" s="47">
        <v>3.66</v>
      </c>
      <c r="N261" s="45">
        <f t="shared" si="1"/>
        <v>73.2</v>
      </c>
    </row>
    <row r="262" spans="1:14" x14ac:dyDescent="0.25">
      <c r="A262" s="44" t="s">
        <v>627</v>
      </c>
      <c r="B262" s="45" t="s">
        <v>614</v>
      </c>
      <c r="C262" s="47" t="s">
        <v>41</v>
      </c>
      <c r="D262" s="47" t="s">
        <v>76</v>
      </c>
      <c r="E262" s="45" t="s">
        <v>70</v>
      </c>
      <c r="F262" s="47" t="s">
        <v>331</v>
      </c>
      <c r="G262" s="45" t="s">
        <v>73</v>
      </c>
      <c r="H262" s="45" t="s">
        <v>72</v>
      </c>
      <c r="I262" s="47">
        <v>1.97</v>
      </c>
      <c r="J262" s="47">
        <v>0</v>
      </c>
      <c r="K262" s="47">
        <v>1</v>
      </c>
      <c r="L262" s="47">
        <v>0</v>
      </c>
      <c r="M262" s="47">
        <v>2.97</v>
      </c>
      <c r="N262" s="45">
        <f t="shared" si="1"/>
        <v>59.4</v>
      </c>
    </row>
    <row r="263" spans="1:14" x14ac:dyDescent="0.25">
      <c r="A263" s="44" t="s">
        <v>627</v>
      </c>
      <c r="B263" s="45" t="s">
        <v>479</v>
      </c>
      <c r="C263" s="47" t="s">
        <v>615</v>
      </c>
      <c r="D263" s="47" t="s">
        <v>69</v>
      </c>
      <c r="E263" s="45" t="s">
        <v>70</v>
      </c>
      <c r="F263" s="47" t="s">
        <v>331</v>
      </c>
      <c r="G263" s="45" t="s">
        <v>73</v>
      </c>
      <c r="H263" s="45" t="s">
        <v>345</v>
      </c>
      <c r="I263" s="47">
        <v>1.98</v>
      </c>
      <c r="J263" s="47">
        <v>0.92</v>
      </c>
      <c r="K263" s="47">
        <v>1</v>
      </c>
      <c r="L263" s="47">
        <v>0.91</v>
      </c>
      <c r="M263" s="47">
        <v>4.8099999999999996</v>
      </c>
      <c r="N263" s="45">
        <f t="shared" si="1"/>
        <v>96.199999999999989</v>
      </c>
    </row>
    <row r="264" spans="1:14" x14ac:dyDescent="0.25">
      <c r="A264" s="44" t="s">
        <v>627</v>
      </c>
      <c r="B264" s="45" t="s">
        <v>480</v>
      </c>
      <c r="C264" s="47" t="s">
        <v>616</v>
      </c>
      <c r="D264" s="47" t="s">
        <v>69</v>
      </c>
      <c r="E264" s="45" t="s">
        <v>70</v>
      </c>
      <c r="F264" s="47" t="s">
        <v>331</v>
      </c>
      <c r="G264" s="45" t="s">
        <v>73</v>
      </c>
      <c r="H264" s="45" t="s">
        <v>345</v>
      </c>
      <c r="I264" s="47">
        <v>1.87</v>
      </c>
      <c r="J264" s="47">
        <v>1</v>
      </c>
      <c r="K264" s="47">
        <v>1</v>
      </c>
      <c r="L264" s="47">
        <v>1</v>
      </c>
      <c r="M264" s="47">
        <v>4.87</v>
      </c>
      <c r="N264" s="45">
        <f t="shared" si="1"/>
        <v>97.4</v>
      </c>
    </row>
    <row r="265" spans="1:14" x14ac:dyDescent="0.25">
      <c r="A265" s="44" t="s">
        <v>627</v>
      </c>
      <c r="B265" s="45" t="s">
        <v>481</v>
      </c>
      <c r="C265" s="47" t="s">
        <v>617</v>
      </c>
      <c r="D265" s="47" t="s">
        <v>76</v>
      </c>
      <c r="E265" s="45" t="s">
        <v>70</v>
      </c>
      <c r="F265" s="47" t="s">
        <v>331</v>
      </c>
      <c r="G265" s="45" t="s">
        <v>71</v>
      </c>
      <c r="H265" s="45" t="s">
        <v>398</v>
      </c>
      <c r="I265" s="47">
        <v>1.84</v>
      </c>
      <c r="J265" s="47">
        <v>1</v>
      </c>
      <c r="K265" s="47">
        <v>1</v>
      </c>
      <c r="L265" s="47">
        <v>0.98</v>
      </c>
      <c r="M265" s="47">
        <v>4.82</v>
      </c>
      <c r="N265" s="45">
        <f t="shared" si="1"/>
        <v>96.4</v>
      </c>
    </row>
    <row r="266" spans="1:14" x14ac:dyDescent="0.25">
      <c r="A266" s="44" t="s">
        <v>627</v>
      </c>
      <c r="B266" s="45" t="s">
        <v>483</v>
      </c>
      <c r="C266" s="47" t="s">
        <v>618</v>
      </c>
      <c r="D266" s="47" t="s">
        <v>69</v>
      </c>
      <c r="E266" s="45" t="s">
        <v>70</v>
      </c>
      <c r="F266" s="47" t="s">
        <v>331</v>
      </c>
      <c r="G266" s="45" t="s">
        <v>71</v>
      </c>
      <c r="H266" s="45" t="s">
        <v>83</v>
      </c>
      <c r="I266" s="47">
        <v>1.87</v>
      </c>
      <c r="J266" s="47">
        <v>0.99</v>
      </c>
      <c r="K266" s="47">
        <v>0.96</v>
      </c>
      <c r="L266" s="47">
        <v>1</v>
      </c>
      <c r="M266" s="47">
        <v>4.82</v>
      </c>
      <c r="N266" s="45">
        <f t="shared" si="1"/>
        <v>96.4</v>
      </c>
    </row>
    <row r="267" spans="1:14" x14ac:dyDescent="0.25">
      <c r="A267" s="44" t="s">
        <v>627</v>
      </c>
      <c r="B267" s="45" t="s">
        <v>619</v>
      </c>
      <c r="C267" s="47" t="s">
        <v>620</v>
      </c>
      <c r="D267" s="47" t="s">
        <v>76</v>
      </c>
      <c r="E267" s="45" t="s">
        <v>70</v>
      </c>
      <c r="F267" s="47" t="s">
        <v>331</v>
      </c>
      <c r="G267" s="45" t="s">
        <v>73</v>
      </c>
      <c r="H267" s="45" t="s">
        <v>345</v>
      </c>
      <c r="I267" s="47">
        <v>2</v>
      </c>
      <c r="J267" s="47">
        <v>0</v>
      </c>
      <c r="K267" s="47">
        <v>1</v>
      </c>
      <c r="L267" s="47">
        <v>1</v>
      </c>
      <c r="M267" s="47">
        <v>4</v>
      </c>
      <c r="N267" s="45">
        <f t="shared" si="1"/>
        <v>80</v>
      </c>
    </row>
    <row r="268" spans="1:14" x14ac:dyDescent="0.25">
      <c r="A268" s="44" t="s">
        <v>627</v>
      </c>
      <c r="B268" s="45" t="s">
        <v>487</v>
      </c>
      <c r="C268" s="47" t="s">
        <v>621</v>
      </c>
      <c r="D268" s="47" t="s">
        <v>76</v>
      </c>
      <c r="E268" s="45" t="s">
        <v>70</v>
      </c>
      <c r="F268" s="47" t="s">
        <v>331</v>
      </c>
      <c r="G268" s="45" t="s">
        <v>71</v>
      </c>
      <c r="H268" s="45" t="s">
        <v>350</v>
      </c>
      <c r="I268" s="47">
        <v>1.91</v>
      </c>
      <c r="J268" s="47">
        <v>0.99</v>
      </c>
      <c r="K268" s="47">
        <v>1</v>
      </c>
      <c r="L268" s="47">
        <v>1</v>
      </c>
      <c r="M268" s="47">
        <v>4.9000000000000004</v>
      </c>
      <c r="N268" s="45">
        <f t="shared" si="1"/>
        <v>98.000000000000014</v>
      </c>
    </row>
    <row r="269" spans="1:14" x14ac:dyDescent="0.25">
      <c r="A269" s="44" t="s">
        <v>627</v>
      </c>
      <c r="B269" s="45" t="s">
        <v>489</v>
      </c>
      <c r="C269" s="47" t="s">
        <v>622</v>
      </c>
      <c r="D269" s="47" t="s">
        <v>76</v>
      </c>
      <c r="E269" s="45" t="s">
        <v>70</v>
      </c>
      <c r="F269" s="47" t="s">
        <v>331</v>
      </c>
      <c r="G269" s="45" t="s">
        <v>340</v>
      </c>
      <c r="H269" s="45" t="s">
        <v>104</v>
      </c>
      <c r="I269" s="47">
        <v>1.89</v>
      </c>
      <c r="J269" s="47">
        <v>0.93</v>
      </c>
      <c r="K269" s="47">
        <v>1</v>
      </c>
      <c r="L269" s="47">
        <v>0.97</v>
      </c>
      <c r="M269" s="47">
        <v>4.79</v>
      </c>
      <c r="N269" s="45">
        <f t="shared" si="1"/>
        <v>95.8</v>
      </c>
    </row>
    <row r="270" spans="1:14" x14ac:dyDescent="0.25">
      <c r="A270" s="44" t="s">
        <v>627</v>
      </c>
      <c r="B270" s="45" t="s">
        <v>493</v>
      </c>
      <c r="C270" s="47" t="s">
        <v>623</v>
      </c>
      <c r="D270" s="47" t="s">
        <v>76</v>
      </c>
      <c r="E270" s="45" t="s">
        <v>70</v>
      </c>
      <c r="F270" s="47" t="s">
        <v>331</v>
      </c>
      <c r="G270" s="45" t="s">
        <v>73</v>
      </c>
      <c r="H270" s="45" t="s">
        <v>503</v>
      </c>
      <c r="I270" s="47">
        <v>1.79</v>
      </c>
      <c r="J270" s="47">
        <v>1</v>
      </c>
      <c r="K270" s="47">
        <v>0.98</v>
      </c>
      <c r="L270" s="47">
        <v>1</v>
      </c>
      <c r="M270" s="47">
        <v>4.7699999999999996</v>
      </c>
      <c r="N270" s="45">
        <f t="shared" si="1"/>
        <v>95.399999999999991</v>
      </c>
    </row>
    <row r="271" spans="1:14" x14ac:dyDescent="0.25">
      <c r="A271" s="44" t="s">
        <v>627</v>
      </c>
      <c r="B271" s="45" t="s">
        <v>495</v>
      </c>
      <c r="C271" s="47" t="s">
        <v>624</v>
      </c>
      <c r="D271" s="47" t="s">
        <v>76</v>
      </c>
      <c r="E271" s="45" t="s">
        <v>70</v>
      </c>
      <c r="F271" s="47" t="s">
        <v>331</v>
      </c>
      <c r="G271" s="45" t="s">
        <v>71</v>
      </c>
      <c r="H271" s="45" t="s">
        <v>344</v>
      </c>
      <c r="I271" s="47">
        <v>1.86</v>
      </c>
      <c r="J271" s="47">
        <v>0</v>
      </c>
      <c r="K271" s="47">
        <v>1</v>
      </c>
      <c r="L271" s="47">
        <v>0.97</v>
      </c>
      <c r="M271" s="47">
        <v>3.83</v>
      </c>
      <c r="N271" s="45">
        <f t="shared" si="1"/>
        <v>76.599999999999994</v>
      </c>
    </row>
    <row r="272" spans="1:14" x14ac:dyDescent="0.25">
      <c r="A272" s="44" t="s">
        <v>627</v>
      </c>
      <c r="B272" s="45" t="s">
        <v>625</v>
      </c>
      <c r="C272" s="47" t="s">
        <v>626</v>
      </c>
      <c r="D272" s="47" t="s">
        <v>76</v>
      </c>
      <c r="E272" s="45" t="s">
        <v>70</v>
      </c>
      <c r="F272" s="47" t="s">
        <v>331</v>
      </c>
      <c r="G272" s="45" t="s">
        <v>71</v>
      </c>
      <c r="H272" s="45" t="s">
        <v>503</v>
      </c>
      <c r="I272" s="47">
        <v>1.76</v>
      </c>
      <c r="J272" s="47">
        <v>1</v>
      </c>
      <c r="K272" s="47">
        <v>1</v>
      </c>
      <c r="L272" s="47">
        <v>1</v>
      </c>
      <c r="M272" s="47">
        <v>4.76</v>
      </c>
      <c r="N272" s="45">
        <f t="shared" si="1"/>
        <v>95.2</v>
      </c>
    </row>
    <row r="273" spans="1:14" x14ac:dyDescent="0.25">
      <c r="A273" s="44" t="s">
        <v>628</v>
      </c>
      <c r="B273" s="45" t="s">
        <v>329</v>
      </c>
      <c r="C273" s="45" t="s">
        <v>501</v>
      </c>
      <c r="D273" s="45" t="s">
        <v>76</v>
      </c>
      <c r="E273" s="45" t="s">
        <v>70</v>
      </c>
      <c r="F273" s="45" t="s">
        <v>361</v>
      </c>
      <c r="G273" s="45" t="s">
        <v>71</v>
      </c>
      <c r="H273" s="45" t="s">
        <v>332</v>
      </c>
      <c r="I273" s="45">
        <v>1.89</v>
      </c>
      <c r="J273" s="45">
        <v>1</v>
      </c>
      <c r="K273" s="45">
        <v>1</v>
      </c>
      <c r="L273" s="45">
        <v>1</v>
      </c>
      <c r="M273" s="45">
        <v>4.8899999999999997</v>
      </c>
      <c r="N273" s="45">
        <v>97.799999999999983</v>
      </c>
    </row>
    <row r="274" spans="1:14" x14ac:dyDescent="0.25">
      <c r="A274" s="44" t="s">
        <v>628</v>
      </c>
      <c r="B274" s="45" t="s">
        <v>333</v>
      </c>
      <c r="C274" s="45" t="s">
        <v>502</v>
      </c>
      <c r="D274" s="45" t="s">
        <v>69</v>
      </c>
      <c r="E274" s="45" t="s">
        <v>70</v>
      </c>
      <c r="F274" s="45" t="s">
        <v>331</v>
      </c>
      <c r="G274" s="45" t="s">
        <v>71</v>
      </c>
      <c r="H274" s="45" t="s">
        <v>733</v>
      </c>
      <c r="I274" s="45">
        <v>1.86</v>
      </c>
      <c r="J274" s="45">
        <v>1</v>
      </c>
      <c r="K274" s="45">
        <v>1</v>
      </c>
      <c r="L274" s="45">
        <v>1</v>
      </c>
      <c r="M274" s="45">
        <v>4.8600000000000003</v>
      </c>
      <c r="N274" s="45">
        <v>97.200000000000017</v>
      </c>
    </row>
    <row r="275" spans="1:14" x14ac:dyDescent="0.25">
      <c r="A275" s="44" t="s">
        <v>628</v>
      </c>
      <c r="B275" s="45" t="s">
        <v>334</v>
      </c>
      <c r="C275" s="45" t="s">
        <v>504</v>
      </c>
      <c r="D275" s="45" t="s">
        <v>76</v>
      </c>
      <c r="E275" s="45" t="s">
        <v>70</v>
      </c>
      <c r="F275" s="45" t="s">
        <v>331</v>
      </c>
      <c r="G275" s="45" t="s">
        <v>71</v>
      </c>
      <c r="H275" s="45" t="s">
        <v>733</v>
      </c>
      <c r="I275" s="45">
        <v>1.82</v>
      </c>
      <c r="J275" s="45">
        <v>1</v>
      </c>
      <c r="K275" s="45">
        <v>1</v>
      </c>
      <c r="L275" s="45">
        <v>0.97</v>
      </c>
      <c r="M275" s="45">
        <v>4.79</v>
      </c>
      <c r="N275" s="45">
        <v>95.8</v>
      </c>
    </row>
    <row r="276" spans="1:14" x14ac:dyDescent="0.25">
      <c r="A276" s="44" t="s">
        <v>628</v>
      </c>
      <c r="B276" s="45" t="s">
        <v>335</v>
      </c>
      <c r="C276" s="45" t="s">
        <v>505</v>
      </c>
      <c r="D276" s="45" t="s">
        <v>76</v>
      </c>
      <c r="E276" s="45" t="s">
        <v>70</v>
      </c>
      <c r="F276" s="45" t="s">
        <v>331</v>
      </c>
      <c r="G276" s="45" t="s">
        <v>71</v>
      </c>
      <c r="H276" s="45" t="s">
        <v>332</v>
      </c>
      <c r="I276" s="45">
        <v>1.87</v>
      </c>
      <c r="J276" s="45">
        <v>0</v>
      </c>
      <c r="K276" s="45">
        <v>0.91</v>
      </c>
      <c r="L276" s="45">
        <v>1</v>
      </c>
      <c r="M276" s="45">
        <v>3.7800000000000002</v>
      </c>
      <c r="N276" s="45">
        <v>75.599999999999994</v>
      </c>
    </row>
    <row r="277" spans="1:14" x14ac:dyDescent="0.25">
      <c r="A277" s="44" t="s">
        <v>628</v>
      </c>
      <c r="B277" s="45" t="s">
        <v>337</v>
      </c>
      <c r="C277" s="45" t="s">
        <v>670</v>
      </c>
      <c r="D277" s="45" t="s">
        <v>69</v>
      </c>
      <c r="E277" s="45" t="s">
        <v>70</v>
      </c>
      <c r="F277" s="45" t="s">
        <v>331</v>
      </c>
      <c r="G277" s="45" t="s">
        <v>71</v>
      </c>
      <c r="H277" s="45" t="s">
        <v>332</v>
      </c>
      <c r="I277" s="45">
        <v>1.89</v>
      </c>
      <c r="J277" s="45">
        <v>1</v>
      </c>
      <c r="K277" s="45">
        <v>1</v>
      </c>
      <c r="L277" s="45">
        <v>1</v>
      </c>
      <c r="M277" s="45">
        <v>4.8899999999999997</v>
      </c>
      <c r="N277" s="45">
        <v>97.799999999999983</v>
      </c>
    </row>
    <row r="278" spans="1:14" x14ac:dyDescent="0.25">
      <c r="A278" s="44" t="s">
        <v>628</v>
      </c>
      <c r="B278" s="45" t="s">
        <v>307</v>
      </c>
      <c r="C278" s="45" t="s">
        <v>506</v>
      </c>
      <c r="D278" s="45" t="s">
        <v>76</v>
      </c>
      <c r="E278" s="45" t="s">
        <v>70</v>
      </c>
      <c r="F278" s="45" t="s">
        <v>331</v>
      </c>
      <c r="G278" s="45" t="s">
        <v>73</v>
      </c>
      <c r="H278" s="45" t="s">
        <v>72</v>
      </c>
      <c r="I278" s="45">
        <v>1.72</v>
      </c>
      <c r="J278" s="45">
        <v>0</v>
      </c>
      <c r="K278" s="45">
        <v>1</v>
      </c>
      <c r="L278" s="45">
        <v>1</v>
      </c>
      <c r="M278" s="45">
        <v>3.7199999999999998</v>
      </c>
      <c r="N278" s="45">
        <v>74.400000000000006</v>
      </c>
    </row>
    <row r="279" spans="1:14" x14ac:dyDescent="0.25">
      <c r="A279" s="44" t="s">
        <v>628</v>
      </c>
      <c r="B279" s="45" t="s">
        <v>629</v>
      </c>
      <c r="C279" s="45" t="s">
        <v>671</v>
      </c>
      <c r="D279" s="45" t="s">
        <v>69</v>
      </c>
      <c r="E279" s="45" t="s">
        <v>70</v>
      </c>
      <c r="F279" s="45" t="s">
        <v>331</v>
      </c>
      <c r="G279" s="45" t="s">
        <v>73</v>
      </c>
      <c r="H279" s="45" t="s">
        <v>345</v>
      </c>
      <c r="I279" s="45">
        <v>1.75</v>
      </c>
      <c r="J279" s="45">
        <v>0</v>
      </c>
      <c r="K279" s="45">
        <v>0.94</v>
      </c>
      <c r="L279" s="45">
        <v>1</v>
      </c>
      <c r="M279" s="45">
        <v>3.69</v>
      </c>
      <c r="N279" s="45">
        <v>73.8</v>
      </c>
    </row>
    <row r="280" spans="1:14" x14ac:dyDescent="0.25">
      <c r="A280" s="44" t="s">
        <v>628</v>
      </c>
      <c r="B280" s="45" t="s">
        <v>308</v>
      </c>
      <c r="C280" s="45" t="s">
        <v>507</v>
      </c>
      <c r="D280" s="45" t="s">
        <v>69</v>
      </c>
      <c r="E280" s="45" t="s">
        <v>70</v>
      </c>
      <c r="F280" s="45" t="s">
        <v>331</v>
      </c>
      <c r="G280" s="45" t="s">
        <v>340</v>
      </c>
      <c r="H280" s="45" t="s">
        <v>83</v>
      </c>
      <c r="I280" s="45">
        <v>1.94</v>
      </c>
      <c r="J280" s="45">
        <v>1</v>
      </c>
      <c r="K280" s="45">
        <v>0.97</v>
      </c>
      <c r="L280" s="45">
        <v>1</v>
      </c>
      <c r="M280" s="45">
        <v>4.91</v>
      </c>
      <c r="N280" s="45">
        <v>98.2</v>
      </c>
    </row>
    <row r="281" spans="1:14" ht="15.75" x14ac:dyDescent="0.25">
      <c r="A281" s="44" t="s">
        <v>628</v>
      </c>
      <c r="B281" s="45" t="s">
        <v>630</v>
      </c>
      <c r="C281" s="45" t="s">
        <v>672</v>
      </c>
      <c r="D281" s="45" t="s">
        <v>76</v>
      </c>
      <c r="E281" s="45" t="s">
        <v>70</v>
      </c>
      <c r="F281" s="45" t="s">
        <v>331</v>
      </c>
      <c r="G281" s="45" t="s">
        <v>73</v>
      </c>
      <c r="H281" s="46" t="s">
        <v>732</v>
      </c>
      <c r="I281" s="45">
        <v>1.92</v>
      </c>
      <c r="J281" s="45">
        <v>0.98</v>
      </c>
      <c r="K281" s="49">
        <v>0.98</v>
      </c>
      <c r="L281" s="45">
        <v>1</v>
      </c>
      <c r="M281" s="45">
        <v>4.88</v>
      </c>
      <c r="N281" s="45">
        <v>97.6</v>
      </c>
    </row>
    <row r="282" spans="1:14" x14ac:dyDescent="0.25">
      <c r="A282" s="44" t="s">
        <v>628</v>
      </c>
      <c r="B282" s="45" t="s">
        <v>341</v>
      </c>
      <c r="C282" s="45" t="s">
        <v>673</v>
      </c>
      <c r="D282" s="45" t="s">
        <v>76</v>
      </c>
      <c r="E282" s="45" t="s">
        <v>70</v>
      </c>
      <c r="F282" s="45" t="s">
        <v>331</v>
      </c>
      <c r="G282" s="45" t="s">
        <v>71</v>
      </c>
      <c r="H282" s="45" t="s">
        <v>93</v>
      </c>
      <c r="I282" s="45">
        <v>1.71</v>
      </c>
      <c r="J282" s="45">
        <v>1</v>
      </c>
      <c r="K282" s="45">
        <v>0.94</v>
      </c>
      <c r="L282" s="45">
        <v>1</v>
      </c>
      <c r="M282" s="45">
        <v>4.6500000000000004</v>
      </c>
      <c r="N282" s="45">
        <v>93.000000000000014</v>
      </c>
    </row>
    <row r="283" spans="1:14" x14ac:dyDescent="0.25">
      <c r="A283" s="44" t="s">
        <v>628</v>
      </c>
      <c r="B283" s="45" t="s">
        <v>343</v>
      </c>
      <c r="C283" s="45" t="s">
        <v>508</v>
      </c>
      <c r="D283" s="45" t="s">
        <v>76</v>
      </c>
      <c r="E283" s="45" t="s">
        <v>70</v>
      </c>
      <c r="F283" s="45" t="s">
        <v>331</v>
      </c>
      <c r="G283" s="45" t="s">
        <v>71</v>
      </c>
      <c r="H283" s="45" t="s">
        <v>344</v>
      </c>
      <c r="I283" s="45">
        <v>1.83</v>
      </c>
      <c r="J283" s="45">
        <v>1</v>
      </c>
      <c r="K283" s="45">
        <v>1</v>
      </c>
      <c r="L283" s="45">
        <v>1</v>
      </c>
      <c r="M283" s="45">
        <v>4.83</v>
      </c>
      <c r="N283" s="45">
        <v>96.6</v>
      </c>
    </row>
    <row r="284" spans="1:14" x14ac:dyDescent="0.25">
      <c r="A284" s="44" t="s">
        <v>628</v>
      </c>
      <c r="B284" s="45" t="s">
        <v>631</v>
      </c>
      <c r="C284" s="45" t="s">
        <v>674</v>
      </c>
      <c r="D284" s="45" t="s">
        <v>76</v>
      </c>
      <c r="E284" s="45" t="s">
        <v>70</v>
      </c>
      <c r="F284" s="45" t="s">
        <v>331</v>
      </c>
      <c r="G284" s="45" t="s">
        <v>340</v>
      </c>
      <c r="H284" s="45" t="s">
        <v>72</v>
      </c>
      <c r="I284" s="45">
        <v>1.89</v>
      </c>
      <c r="J284" s="45">
        <v>0</v>
      </c>
      <c r="K284" s="45">
        <v>1</v>
      </c>
      <c r="L284" s="45">
        <v>1</v>
      </c>
      <c r="M284" s="45">
        <v>3.8899999999999997</v>
      </c>
      <c r="N284" s="45">
        <v>77.799999999999983</v>
      </c>
    </row>
    <row r="285" spans="1:14" x14ac:dyDescent="0.25">
      <c r="A285" s="44" t="s">
        <v>628</v>
      </c>
      <c r="B285" s="45" t="s">
        <v>632</v>
      </c>
      <c r="C285" s="45" t="s">
        <v>675</v>
      </c>
      <c r="D285" s="45" t="s">
        <v>76</v>
      </c>
      <c r="E285" s="45" t="s">
        <v>70</v>
      </c>
      <c r="F285" s="45" t="s">
        <v>331</v>
      </c>
      <c r="G285" s="45" t="s">
        <v>73</v>
      </c>
      <c r="H285" s="45" t="s">
        <v>345</v>
      </c>
      <c r="I285" s="45">
        <v>2</v>
      </c>
      <c r="J285" s="45">
        <v>0</v>
      </c>
      <c r="K285" s="45">
        <v>0.94</v>
      </c>
      <c r="L285" s="45">
        <v>0.97</v>
      </c>
      <c r="M285" s="45">
        <v>3.91</v>
      </c>
      <c r="N285" s="45">
        <v>78.2</v>
      </c>
    </row>
    <row r="286" spans="1:14" x14ac:dyDescent="0.25">
      <c r="A286" s="44" t="s">
        <v>628</v>
      </c>
      <c r="B286" s="45" t="s">
        <v>346</v>
      </c>
      <c r="C286" s="45" t="s">
        <v>509</v>
      </c>
      <c r="D286" s="45" t="s">
        <v>69</v>
      </c>
      <c r="E286" s="45" t="s">
        <v>70</v>
      </c>
      <c r="F286" s="45" t="s">
        <v>331</v>
      </c>
      <c r="G286" s="45" t="s">
        <v>71</v>
      </c>
      <c r="H286" s="45" t="s">
        <v>339</v>
      </c>
      <c r="I286" s="45">
        <v>1.86</v>
      </c>
      <c r="J286" s="45">
        <v>0.93</v>
      </c>
      <c r="K286" s="45">
        <v>0.97</v>
      </c>
      <c r="L286" s="45">
        <v>1</v>
      </c>
      <c r="M286" s="45">
        <v>4.76</v>
      </c>
      <c r="N286" s="45">
        <v>95.2</v>
      </c>
    </row>
    <row r="287" spans="1:14" x14ac:dyDescent="0.25">
      <c r="A287" s="44" t="s">
        <v>628</v>
      </c>
      <c r="B287" s="45" t="s">
        <v>348</v>
      </c>
      <c r="C287" s="45" t="s">
        <v>510</v>
      </c>
      <c r="D287" s="45" t="s">
        <v>69</v>
      </c>
      <c r="E287" s="45" t="s">
        <v>70</v>
      </c>
      <c r="F287" s="45" t="s">
        <v>331</v>
      </c>
      <c r="G287" s="45" t="s">
        <v>71</v>
      </c>
      <c r="H287" s="45" t="s">
        <v>350</v>
      </c>
      <c r="I287" s="45">
        <v>1.94</v>
      </c>
      <c r="J287" s="45">
        <v>0.99</v>
      </c>
      <c r="K287" s="45">
        <v>0.98</v>
      </c>
      <c r="L287" s="45">
        <v>1</v>
      </c>
      <c r="M287" s="45">
        <v>4.91</v>
      </c>
      <c r="N287" s="45">
        <v>98.2</v>
      </c>
    </row>
    <row r="288" spans="1:14" x14ac:dyDescent="0.25">
      <c r="A288" s="44" t="s">
        <v>628</v>
      </c>
      <c r="B288" s="45" t="s">
        <v>351</v>
      </c>
      <c r="C288" s="45" t="s">
        <v>676</v>
      </c>
      <c r="D288" s="45" t="s">
        <v>76</v>
      </c>
      <c r="E288" s="45" t="s">
        <v>70</v>
      </c>
      <c r="F288" s="45" t="s">
        <v>331</v>
      </c>
      <c r="G288" s="45" t="s">
        <v>71</v>
      </c>
      <c r="H288" s="45" t="s">
        <v>353</v>
      </c>
      <c r="I288" s="45">
        <v>1.85</v>
      </c>
      <c r="J288" s="45">
        <v>1</v>
      </c>
      <c r="K288" s="45">
        <v>1</v>
      </c>
      <c r="L288" s="45">
        <v>1</v>
      </c>
      <c r="M288" s="45">
        <v>4.8499999999999996</v>
      </c>
      <c r="N288" s="45">
        <v>96.999999999999986</v>
      </c>
    </row>
    <row r="289" spans="1:14" x14ac:dyDescent="0.25">
      <c r="A289" s="44" t="s">
        <v>628</v>
      </c>
      <c r="B289" s="45" t="s">
        <v>95</v>
      </c>
      <c r="C289" s="45" t="s">
        <v>677</v>
      </c>
      <c r="D289" s="45" t="s">
        <v>69</v>
      </c>
      <c r="E289" s="45" t="s">
        <v>70</v>
      </c>
      <c r="F289" s="45" t="s">
        <v>331</v>
      </c>
      <c r="G289" s="45" t="s">
        <v>73</v>
      </c>
      <c r="H289" s="45" t="s">
        <v>93</v>
      </c>
      <c r="I289" s="45">
        <v>1.73</v>
      </c>
      <c r="J289" s="45">
        <v>0</v>
      </c>
      <c r="K289" s="45">
        <v>0.68</v>
      </c>
      <c r="L289" s="45">
        <v>1</v>
      </c>
      <c r="M289" s="45">
        <v>3.41</v>
      </c>
      <c r="N289" s="45">
        <v>68.2</v>
      </c>
    </row>
    <row r="290" spans="1:14" x14ac:dyDescent="0.25">
      <c r="A290" s="44" t="s">
        <v>628</v>
      </c>
      <c r="B290" s="45" t="s">
        <v>511</v>
      </c>
      <c r="C290" s="45" t="s">
        <v>512</v>
      </c>
      <c r="D290" s="45" t="s">
        <v>69</v>
      </c>
      <c r="E290" s="45" t="s">
        <v>70</v>
      </c>
      <c r="F290" s="45" t="s">
        <v>361</v>
      </c>
      <c r="G290" s="45" t="s">
        <v>71</v>
      </c>
      <c r="H290" s="45" t="s">
        <v>74</v>
      </c>
      <c r="I290" s="45">
        <v>1.9</v>
      </c>
      <c r="J290" s="45">
        <v>0.97</v>
      </c>
      <c r="K290" s="45">
        <v>1</v>
      </c>
      <c r="L290" s="45">
        <v>1</v>
      </c>
      <c r="M290" s="45">
        <v>4.87</v>
      </c>
      <c r="N290" s="45">
        <v>97.4</v>
      </c>
    </row>
    <row r="291" spans="1:14" x14ac:dyDescent="0.25">
      <c r="A291" s="44" t="s">
        <v>628</v>
      </c>
      <c r="B291" s="45" t="s">
        <v>354</v>
      </c>
      <c r="C291" s="45" t="s">
        <v>514</v>
      </c>
      <c r="D291" s="45" t="s">
        <v>69</v>
      </c>
      <c r="E291" s="45" t="s">
        <v>70</v>
      </c>
      <c r="F291" s="45" t="s">
        <v>331</v>
      </c>
      <c r="G291" s="45" t="s">
        <v>73</v>
      </c>
      <c r="H291" s="45" t="s">
        <v>72</v>
      </c>
      <c r="I291" s="45">
        <v>1.67</v>
      </c>
      <c r="J291" s="45">
        <v>1</v>
      </c>
      <c r="K291" s="45">
        <v>1</v>
      </c>
      <c r="L291" s="45">
        <v>1</v>
      </c>
      <c r="M291" s="45">
        <v>4.67</v>
      </c>
      <c r="N291" s="45">
        <v>93.4</v>
      </c>
    </row>
    <row r="292" spans="1:14" x14ac:dyDescent="0.25">
      <c r="A292" s="44" t="s">
        <v>628</v>
      </c>
      <c r="B292" s="45" t="s">
        <v>63</v>
      </c>
      <c r="C292" s="45" t="s">
        <v>11</v>
      </c>
      <c r="D292" s="45" t="s">
        <v>76</v>
      </c>
      <c r="E292" s="45" t="s">
        <v>70</v>
      </c>
      <c r="F292" s="45" t="s">
        <v>331</v>
      </c>
      <c r="G292" s="45" t="s">
        <v>73</v>
      </c>
      <c r="H292" s="45" t="s">
        <v>72</v>
      </c>
      <c r="I292" s="45">
        <v>1.84</v>
      </c>
      <c r="J292" s="45">
        <v>0.98</v>
      </c>
      <c r="K292" s="45">
        <v>1</v>
      </c>
      <c r="L292" s="45">
        <v>1</v>
      </c>
      <c r="M292" s="45">
        <v>4.82</v>
      </c>
      <c r="N292" s="45">
        <v>96.4</v>
      </c>
    </row>
    <row r="293" spans="1:14" x14ac:dyDescent="0.25">
      <c r="A293" s="44" t="s">
        <v>628</v>
      </c>
      <c r="B293" s="45" t="s">
        <v>146</v>
      </c>
      <c r="C293" s="45" t="s">
        <v>515</v>
      </c>
      <c r="D293" s="45" t="s">
        <v>76</v>
      </c>
      <c r="E293" s="45" t="s">
        <v>70</v>
      </c>
      <c r="F293" s="45" t="s">
        <v>331</v>
      </c>
      <c r="G293" s="45" t="s">
        <v>73</v>
      </c>
      <c r="H293" s="45" t="s">
        <v>93</v>
      </c>
      <c r="I293" s="45">
        <v>1.95</v>
      </c>
      <c r="J293" s="45">
        <v>0</v>
      </c>
      <c r="K293" s="45">
        <v>0.91</v>
      </c>
      <c r="L293" s="45">
        <v>1</v>
      </c>
      <c r="M293" s="45">
        <v>3.86</v>
      </c>
      <c r="N293" s="45">
        <v>77.2</v>
      </c>
    </row>
    <row r="294" spans="1:14" x14ac:dyDescent="0.25">
      <c r="A294" s="44" t="s">
        <v>628</v>
      </c>
      <c r="B294" s="45" t="s">
        <v>357</v>
      </c>
      <c r="C294" s="45" t="s">
        <v>516</v>
      </c>
      <c r="D294" s="45" t="s">
        <v>76</v>
      </c>
      <c r="E294" s="45" t="s">
        <v>70</v>
      </c>
      <c r="F294" s="45" t="s">
        <v>331</v>
      </c>
      <c r="G294" s="45" t="s">
        <v>71</v>
      </c>
      <c r="H294" s="45" t="s">
        <v>72</v>
      </c>
      <c r="I294" s="45">
        <v>1.9</v>
      </c>
      <c r="J294" s="45">
        <v>0.98</v>
      </c>
      <c r="K294" s="45">
        <v>1</v>
      </c>
      <c r="L294" s="45">
        <v>1</v>
      </c>
      <c r="M294" s="45">
        <v>4.88</v>
      </c>
      <c r="N294" s="45">
        <v>97.6</v>
      </c>
    </row>
    <row r="295" spans="1:14" x14ac:dyDescent="0.25">
      <c r="A295" s="44" t="s">
        <v>628</v>
      </c>
      <c r="B295" s="45" t="s">
        <v>359</v>
      </c>
      <c r="C295" s="45" t="s">
        <v>517</v>
      </c>
      <c r="D295" s="45" t="s">
        <v>69</v>
      </c>
      <c r="E295" s="45" t="s">
        <v>70</v>
      </c>
      <c r="F295" s="45" t="s">
        <v>331</v>
      </c>
      <c r="G295" s="45" t="s">
        <v>71</v>
      </c>
      <c r="H295" s="45" t="s">
        <v>362</v>
      </c>
      <c r="I295" s="45">
        <v>1.9</v>
      </c>
      <c r="J295" s="45">
        <v>0.96</v>
      </c>
      <c r="K295" s="45">
        <v>1</v>
      </c>
      <c r="L295" s="45">
        <v>1</v>
      </c>
      <c r="M295" s="45">
        <v>4.8599999999999994</v>
      </c>
      <c r="N295" s="45">
        <v>97.199999999999989</v>
      </c>
    </row>
    <row r="296" spans="1:14" x14ac:dyDescent="0.25">
      <c r="A296" s="44" t="s">
        <v>628</v>
      </c>
      <c r="B296" s="45" t="s">
        <v>633</v>
      </c>
      <c r="C296" s="45" t="s">
        <v>678</v>
      </c>
      <c r="D296" s="45" t="s">
        <v>76</v>
      </c>
      <c r="E296" s="45" t="s">
        <v>70</v>
      </c>
      <c r="F296" s="45" t="s">
        <v>331</v>
      </c>
      <c r="G296" s="45" t="s">
        <v>73</v>
      </c>
      <c r="H296" s="45" t="s">
        <v>93</v>
      </c>
      <c r="I296" s="45">
        <v>1.91</v>
      </c>
      <c r="J296" s="45">
        <v>0</v>
      </c>
      <c r="K296" s="45">
        <v>0.73</v>
      </c>
      <c r="L296" s="45">
        <v>1</v>
      </c>
      <c r="M296" s="45">
        <v>3.6399999999999997</v>
      </c>
      <c r="N296" s="45">
        <v>72.799999999999983</v>
      </c>
    </row>
    <row r="297" spans="1:14" x14ac:dyDescent="0.25">
      <c r="A297" s="44" t="s">
        <v>628</v>
      </c>
      <c r="B297" s="45" t="s">
        <v>360</v>
      </c>
      <c r="C297" s="45" t="s">
        <v>518</v>
      </c>
      <c r="D297" s="45" t="s">
        <v>69</v>
      </c>
      <c r="E297" s="45" t="s">
        <v>70</v>
      </c>
      <c r="F297" s="45" t="s">
        <v>361</v>
      </c>
      <c r="G297" s="45" t="s">
        <v>73</v>
      </c>
      <c r="H297" s="45" t="s">
        <v>362</v>
      </c>
      <c r="I297" s="45">
        <v>1.82</v>
      </c>
      <c r="J297" s="45">
        <v>1</v>
      </c>
      <c r="K297" s="45">
        <v>0.96</v>
      </c>
      <c r="L297" s="45">
        <v>1</v>
      </c>
      <c r="M297" s="45">
        <v>4.78</v>
      </c>
      <c r="N297" s="45">
        <v>95.6</v>
      </c>
    </row>
    <row r="298" spans="1:14" x14ac:dyDescent="0.25">
      <c r="A298" s="44" t="s">
        <v>628</v>
      </c>
      <c r="B298" s="45" t="s">
        <v>363</v>
      </c>
      <c r="C298" s="45" t="s">
        <v>519</v>
      </c>
      <c r="D298" s="45" t="s">
        <v>69</v>
      </c>
      <c r="E298" s="45" t="s">
        <v>70</v>
      </c>
      <c r="F298" s="45" t="s">
        <v>331</v>
      </c>
      <c r="G298" s="45" t="s">
        <v>73</v>
      </c>
      <c r="H298" s="46" t="s">
        <v>83</v>
      </c>
      <c r="I298" s="45">
        <v>1.67</v>
      </c>
      <c r="J298" s="45">
        <v>0.98</v>
      </c>
      <c r="K298" s="45">
        <v>0.73</v>
      </c>
      <c r="L298" s="45">
        <v>0.73</v>
      </c>
      <c r="M298" s="45">
        <v>4.1099999999999994</v>
      </c>
      <c r="N298" s="45">
        <v>82.199999999999989</v>
      </c>
    </row>
    <row r="299" spans="1:14" x14ac:dyDescent="0.25">
      <c r="A299" s="44" t="s">
        <v>628</v>
      </c>
      <c r="B299" s="45" t="s">
        <v>634</v>
      </c>
      <c r="C299" s="45" t="s">
        <v>679</v>
      </c>
      <c r="D299" s="45" t="s">
        <v>69</v>
      </c>
      <c r="E299" s="45" t="s">
        <v>70</v>
      </c>
      <c r="F299" s="45" t="s">
        <v>331</v>
      </c>
      <c r="G299" s="45" t="s">
        <v>73</v>
      </c>
      <c r="H299" s="45" t="s">
        <v>74</v>
      </c>
      <c r="I299" s="45">
        <v>1.81</v>
      </c>
      <c r="J299" s="45">
        <v>1</v>
      </c>
      <c r="K299" s="45">
        <v>1</v>
      </c>
      <c r="L299" s="45">
        <v>1</v>
      </c>
      <c r="M299" s="45">
        <v>4.8100000000000005</v>
      </c>
      <c r="N299" s="45">
        <v>96.200000000000017</v>
      </c>
    </row>
    <row r="300" spans="1:14" x14ac:dyDescent="0.25">
      <c r="A300" s="44" t="s">
        <v>628</v>
      </c>
      <c r="B300" s="45" t="s">
        <v>635</v>
      </c>
      <c r="C300" s="45" t="s">
        <v>680</v>
      </c>
      <c r="D300" s="45" t="s">
        <v>69</v>
      </c>
      <c r="E300" s="45" t="s">
        <v>70</v>
      </c>
      <c r="F300" s="45" t="s">
        <v>331</v>
      </c>
      <c r="G300" s="45" t="s">
        <v>71</v>
      </c>
      <c r="H300" s="46" t="s">
        <v>345</v>
      </c>
      <c r="I300" s="45">
        <v>1.9</v>
      </c>
      <c r="J300" s="45">
        <v>0</v>
      </c>
      <c r="K300" s="45">
        <v>0.94</v>
      </c>
      <c r="L300" s="45">
        <v>1</v>
      </c>
      <c r="M300" s="45">
        <v>3.84</v>
      </c>
      <c r="N300" s="45">
        <v>76.8</v>
      </c>
    </row>
    <row r="301" spans="1:14" x14ac:dyDescent="0.25">
      <c r="A301" s="44" t="s">
        <v>628</v>
      </c>
      <c r="B301" s="45" t="s">
        <v>636</v>
      </c>
      <c r="C301" s="45" t="s">
        <v>681</v>
      </c>
      <c r="D301" s="45" t="s">
        <v>76</v>
      </c>
      <c r="E301" s="45" t="s">
        <v>70</v>
      </c>
      <c r="F301" s="45" t="s">
        <v>423</v>
      </c>
      <c r="G301" s="45" t="s">
        <v>73</v>
      </c>
      <c r="H301" s="45" t="s">
        <v>93</v>
      </c>
      <c r="I301" s="45">
        <v>1.81</v>
      </c>
      <c r="J301" s="45">
        <v>1</v>
      </c>
      <c r="K301" s="45">
        <v>0.95</v>
      </c>
      <c r="L301" s="45">
        <v>1</v>
      </c>
      <c r="M301" s="45">
        <v>4.76</v>
      </c>
      <c r="N301" s="45">
        <v>95.2</v>
      </c>
    </row>
    <row r="302" spans="1:14" x14ac:dyDescent="0.25">
      <c r="A302" s="44" t="s">
        <v>628</v>
      </c>
      <c r="B302" s="45" t="s">
        <v>366</v>
      </c>
      <c r="C302" s="45" t="s">
        <v>520</v>
      </c>
      <c r="D302" s="45" t="s">
        <v>69</v>
      </c>
      <c r="E302" s="45" t="s">
        <v>70</v>
      </c>
      <c r="F302" s="45" t="s">
        <v>331</v>
      </c>
      <c r="G302" s="45" t="s">
        <v>71</v>
      </c>
      <c r="H302" s="45" t="s">
        <v>83</v>
      </c>
      <c r="I302" s="45">
        <v>1.8</v>
      </c>
      <c r="J302" s="45">
        <v>1</v>
      </c>
      <c r="K302" s="45">
        <v>0.97</v>
      </c>
      <c r="L302" s="45">
        <v>0.91</v>
      </c>
      <c r="M302" s="45">
        <v>4.68</v>
      </c>
      <c r="N302" s="45">
        <v>93.6</v>
      </c>
    </row>
    <row r="303" spans="1:14" x14ac:dyDescent="0.25">
      <c r="A303" s="44" t="s">
        <v>628</v>
      </c>
      <c r="B303" s="45" t="s">
        <v>367</v>
      </c>
      <c r="C303" s="45" t="s">
        <v>521</v>
      </c>
      <c r="D303" s="45" t="s">
        <v>76</v>
      </c>
      <c r="E303" s="45" t="s">
        <v>70</v>
      </c>
      <c r="F303" s="45" t="s">
        <v>331</v>
      </c>
      <c r="G303" s="45" t="s">
        <v>73</v>
      </c>
      <c r="H303" s="46" t="s">
        <v>368</v>
      </c>
      <c r="I303" s="45">
        <v>1.83</v>
      </c>
      <c r="J303" s="45">
        <v>0.99</v>
      </c>
      <c r="K303" s="45">
        <v>1</v>
      </c>
      <c r="L303" s="45">
        <v>0.97</v>
      </c>
      <c r="M303" s="45">
        <v>4.79</v>
      </c>
      <c r="N303" s="45">
        <v>95.8</v>
      </c>
    </row>
    <row r="304" spans="1:14" x14ac:dyDescent="0.25">
      <c r="A304" s="44" t="s">
        <v>628</v>
      </c>
      <c r="B304" s="45" t="s">
        <v>369</v>
      </c>
      <c r="C304" s="45" t="s">
        <v>522</v>
      </c>
      <c r="D304" s="45" t="s">
        <v>69</v>
      </c>
      <c r="E304" s="45" t="s">
        <v>70</v>
      </c>
      <c r="F304" s="45" t="s">
        <v>331</v>
      </c>
      <c r="G304" s="45" t="s">
        <v>71</v>
      </c>
      <c r="H304" s="46" t="s">
        <v>503</v>
      </c>
      <c r="I304" s="45">
        <v>1.69</v>
      </c>
      <c r="J304" s="45">
        <v>1</v>
      </c>
      <c r="K304" s="45">
        <v>1</v>
      </c>
      <c r="L304" s="45">
        <v>0.8</v>
      </c>
      <c r="M304" s="45">
        <v>4.49</v>
      </c>
      <c r="N304" s="45">
        <v>89.8</v>
      </c>
    </row>
    <row r="305" spans="1:14" x14ac:dyDescent="0.25">
      <c r="A305" s="44" t="s">
        <v>628</v>
      </c>
      <c r="B305" s="45" t="s">
        <v>637</v>
      </c>
      <c r="C305" s="45" t="s">
        <v>682</v>
      </c>
      <c r="D305" s="45" t="s">
        <v>76</v>
      </c>
      <c r="E305" s="45" t="s">
        <v>70</v>
      </c>
      <c r="F305" s="45" t="s">
        <v>331</v>
      </c>
      <c r="G305" s="45" t="s">
        <v>73</v>
      </c>
      <c r="H305" s="46" t="s">
        <v>93</v>
      </c>
      <c r="I305" s="45">
        <v>1.96</v>
      </c>
      <c r="J305" s="45">
        <v>0</v>
      </c>
      <c r="K305" s="45">
        <v>0.72</v>
      </c>
      <c r="L305" s="45">
        <v>0.92</v>
      </c>
      <c r="M305" s="45">
        <v>3.5999999999999996</v>
      </c>
      <c r="N305" s="45">
        <v>71.999999999999986</v>
      </c>
    </row>
    <row r="306" spans="1:14" x14ac:dyDescent="0.25">
      <c r="A306" s="44" t="s">
        <v>628</v>
      </c>
      <c r="B306" s="50" t="s">
        <v>638</v>
      </c>
      <c r="C306" s="45" t="s">
        <v>683</v>
      </c>
      <c r="D306" s="45" t="s">
        <v>76</v>
      </c>
      <c r="E306" s="45" t="s">
        <v>70</v>
      </c>
      <c r="F306" s="45" t="s">
        <v>331</v>
      </c>
      <c r="G306" s="45" t="s">
        <v>71</v>
      </c>
      <c r="H306" s="45" t="s">
        <v>93</v>
      </c>
      <c r="I306" s="45">
        <v>1.75</v>
      </c>
      <c r="J306" s="45">
        <v>1</v>
      </c>
      <c r="K306" s="45">
        <v>1</v>
      </c>
      <c r="L306" s="45">
        <v>0.97</v>
      </c>
      <c r="M306" s="45">
        <v>4.72</v>
      </c>
      <c r="N306" s="45">
        <v>94.4</v>
      </c>
    </row>
    <row r="307" spans="1:14" x14ac:dyDescent="0.25">
      <c r="A307" s="44" t="s">
        <v>628</v>
      </c>
      <c r="B307" s="45" t="s">
        <v>523</v>
      </c>
      <c r="C307" s="45" t="s">
        <v>524</v>
      </c>
      <c r="D307" s="45" t="s">
        <v>69</v>
      </c>
      <c r="E307" s="45" t="s">
        <v>70</v>
      </c>
      <c r="F307" s="45" t="s">
        <v>331</v>
      </c>
      <c r="G307" s="45" t="s">
        <v>73</v>
      </c>
      <c r="H307" s="45" t="s">
        <v>72</v>
      </c>
      <c r="I307" s="45">
        <v>1.87</v>
      </c>
      <c r="J307" s="45">
        <v>1</v>
      </c>
      <c r="K307" s="45">
        <v>1</v>
      </c>
      <c r="L307" s="45">
        <v>1</v>
      </c>
      <c r="M307" s="45">
        <v>4.87</v>
      </c>
      <c r="N307" s="45">
        <v>97.4</v>
      </c>
    </row>
    <row r="308" spans="1:14" x14ac:dyDescent="0.25">
      <c r="A308" s="44" t="s">
        <v>628</v>
      </c>
      <c r="B308" s="45" t="s">
        <v>371</v>
      </c>
      <c r="C308" s="45" t="s">
        <v>525</v>
      </c>
      <c r="D308" s="45" t="s">
        <v>76</v>
      </c>
      <c r="E308" s="45" t="s">
        <v>70</v>
      </c>
      <c r="F308" s="45" t="s">
        <v>331</v>
      </c>
      <c r="G308" s="45" t="s">
        <v>71</v>
      </c>
      <c r="H308" s="45" t="s">
        <v>332</v>
      </c>
      <c r="I308" s="45">
        <v>1.98</v>
      </c>
      <c r="J308" s="45">
        <v>0.99</v>
      </c>
      <c r="K308" s="45">
        <v>0.98</v>
      </c>
      <c r="L308" s="45">
        <v>1</v>
      </c>
      <c r="M308" s="45">
        <v>4.9499999999999993</v>
      </c>
      <c r="N308" s="45">
        <v>98.999999999999986</v>
      </c>
    </row>
    <row r="309" spans="1:14" x14ac:dyDescent="0.25">
      <c r="A309" s="44" t="s">
        <v>628</v>
      </c>
      <c r="B309" s="45" t="s">
        <v>372</v>
      </c>
      <c r="C309" s="45" t="s">
        <v>526</v>
      </c>
      <c r="D309" s="45" t="s">
        <v>69</v>
      </c>
      <c r="E309" s="45" t="s">
        <v>70</v>
      </c>
      <c r="F309" s="45" t="s">
        <v>331</v>
      </c>
      <c r="G309" s="45" t="s">
        <v>73</v>
      </c>
      <c r="H309" s="45" t="s">
        <v>93</v>
      </c>
      <c r="I309" s="45">
        <v>1.81</v>
      </c>
      <c r="J309" s="45">
        <v>1</v>
      </c>
      <c r="K309" s="45">
        <v>0.84</v>
      </c>
      <c r="L309" s="45">
        <v>0.95</v>
      </c>
      <c r="M309" s="45">
        <v>4.5999999999999996</v>
      </c>
      <c r="N309" s="45">
        <v>91.999999999999986</v>
      </c>
    </row>
    <row r="310" spans="1:14" x14ac:dyDescent="0.25">
      <c r="A310" s="44" t="s">
        <v>628</v>
      </c>
      <c r="B310" s="45" t="s">
        <v>639</v>
      </c>
      <c r="C310" s="45" t="s">
        <v>684</v>
      </c>
      <c r="D310" s="45" t="s">
        <v>69</v>
      </c>
      <c r="E310" s="45" t="s">
        <v>70</v>
      </c>
      <c r="F310" s="45" t="s">
        <v>331</v>
      </c>
      <c r="G310" s="45" t="s">
        <v>73</v>
      </c>
      <c r="H310" s="46" t="s">
        <v>93</v>
      </c>
      <c r="I310" s="45">
        <v>1.36</v>
      </c>
      <c r="J310" s="45">
        <v>0</v>
      </c>
      <c r="K310" s="45">
        <v>0.87</v>
      </c>
      <c r="L310" s="45">
        <v>1</v>
      </c>
      <c r="M310" s="45">
        <v>3.23</v>
      </c>
      <c r="N310" s="45">
        <v>64.599999999999994</v>
      </c>
    </row>
    <row r="311" spans="1:14" x14ac:dyDescent="0.25">
      <c r="A311" s="44" t="s">
        <v>628</v>
      </c>
      <c r="B311" s="45" t="s">
        <v>640</v>
      </c>
      <c r="C311" s="45" t="s">
        <v>685</v>
      </c>
      <c r="D311" s="45" t="s">
        <v>69</v>
      </c>
      <c r="E311" s="45" t="s">
        <v>70</v>
      </c>
      <c r="F311" s="45" t="s">
        <v>423</v>
      </c>
      <c r="G311" s="45" t="s">
        <v>73</v>
      </c>
      <c r="H311" s="45" t="s">
        <v>83</v>
      </c>
      <c r="I311" s="45">
        <v>1.79</v>
      </c>
      <c r="J311" s="45">
        <v>0</v>
      </c>
      <c r="K311" s="45">
        <v>0.8</v>
      </c>
      <c r="L311" s="45">
        <v>0.92</v>
      </c>
      <c r="M311" s="45">
        <v>3.51</v>
      </c>
      <c r="N311" s="45">
        <v>70.2</v>
      </c>
    </row>
    <row r="312" spans="1:14" x14ac:dyDescent="0.25">
      <c r="A312" s="44" t="s">
        <v>628</v>
      </c>
      <c r="B312" s="45" t="s">
        <v>150</v>
      </c>
      <c r="C312" s="45" t="s">
        <v>686</v>
      </c>
      <c r="D312" s="45" t="s">
        <v>76</v>
      </c>
      <c r="E312" s="45" t="s">
        <v>70</v>
      </c>
      <c r="F312" s="45" t="s">
        <v>331</v>
      </c>
      <c r="G312" s="45" t="s">
        <v>71</v>
      </c>
      <c r="H312" s="46" t="s">
        <v>362</v>
      </c>
      <c r="I312" s="45">
        <v>1.93</v>
      </c>
      <c r="J312" s="45">
        <v>1</v>
      </c>
      <c r="K312" s="45">
        <v>0.94</v>
      </c>
      <c r="L312" s="45">
        <v>0.92</v>
      </c>
      <c r="M312" s="45">
        <v>4.79</v>
      </c>
      <c r="N312" s="45">
        <v>95.8</v>
      </c>
    </row>
    <row r="313" spans="1:14" x14ac:dyDescent="0.25">
      <c r="A313" s="44" t="s">
        <v>628</v>
      </c>
      <c r="B313" s="45" t="s">
        <v>373</v>
      </c>
      <c r="C313" s="45" t="s">
        <v>527</v>
      </c>
      <c r="D313" s="45" t="s">
        <v>76</v>
      </c>
      <c r="E313" s="45" t="s">
        <v>70</v>
      </c>
      <c r="F313" s="45" t="s">
        <v>331</v>
      </c>
      <c r="G313" s="45" t="s">
        <v>71</v>
      </c>
      <c r="H313" s="45" t="s">
        <v>733</v>
      </c>
      <c r="I313" s="45">
        <v>1.81</v>
      </c>
      <c r="J313" s="45">
        <v>1</v>
      </c>
      <c r="K313" s="45">
        <v>1</v>
      </c>
      <c r="L313" s="45">
        <v>1</v>
      </c>
      <c r="M313" s="45">
        <v>4.8100000000000005</v>
      </c>
      <c r="N313" s="45">
        <v>96.200000000000017</v>
      </c>
    </row>
    <row r="314" spans="1:14" x14ac:dyDescent="0.25">
      <c r="A314" s="44" t="s">
        <v>628</v>
      </c>
      <c r="B314" s="45" t="s">
        <v>641</v>
      </c>
      <c r="C314" s="45" t="s">
        <v>687</v>
      </c>
      <c r="D314" s="45" t="s">
        <v>69</v>
      </c>
      <c r="E314" s="45" t="s">
        <v>70</v>
      </c>
      <c r="F314" s="45" t="s">
        <v>423</v>
      </c>
      <c r="G314" s="45" t="s">
        <v>73</v>
      </c>
      <c r="H314" s="45" t="s">
        <v>83</v>
      </c>
      <c r="I314" s="45">
        <v>1.81</v>
      </c>
      <c r="J314" s="45">
        <v>0</v>
      </c>
      <c r="K314" s="45">
        <v>0.7</v>
      </c>
      <c r="L314" s="45">
        <v>0.97</v>
      </c>
      <c r="M314" s="45">
        <v>3.4799999999999995</v>
      </c>
      <c r="N314" s="45">
        <v>69.599999999999994</v>
      </c>
    </row>
    <row r="315" spans="1:14" x14ac:dyDescent="0.25">
      <c r="A315" s="44" t="s">
        <v>628</v>
      </c>
      <c r="B315" s="45" t="s">
        <v>151</v>
      </c>
      <c r="C315" s="45" t="s">
        <v>529</v>
      </c>
      <c r="D315" s="45" t="s">
        <v>76</v>
      </c>
      <c r="E315" s="45" t="s">
        <v>70</v>
      </c>
      <c r="F315" s="45" t="s">
        <v>331</v>
      </c>
      <c r="G315" s="45" t="s">
        <v>73</v>
      </c>
      <c r="H315" s="45" t="s">
        <v>344</v>
      </c>
      <c r="I315" s="45">
        <v>1.87</v>
      </c>
      <c r="J315" s="45">
        <v>0.99</v>
      </c>
      <c r="K315" s="45">
        <v>1</v>
      </c>
      <c r="L315" s="45">
        <v>0.97</v>
      </c>
      <c r="M315" s="45">
        <v>4.83</v>
      </c>
      <c r="N315" s="45">
        <v>96.6</v>
      </c>
    </row>
    <row r="316" spans="1:14" x14ac:dyDescent="0.25">
      <c r="A316" s="44" t="s">
        <v>628</v>
      </c>
      <c r="B316" s="45" t="s">
        <v>152</v>
      </c>
      <c r="C316" s="45" t="s">
        <v>530</v>
      </c>
      <c r="D316" s="45" t="s">
        <v>76</v>
      </c>
      <c r="E316" s="45" t="s">
        <v>70</v>
      </c>
      <c r="F316" s="45" t="s">
        <v>331</v>
      </c>
      <c r="G316" s="45" t="s">
        <v>73</v>
      </c>
      <c r="H316" s="45" t="s">
        <v>344</v>
      </c>
      <c r="I316" s="45">
        <v>1.97</v>
      </c>
      <c r="J316" s="45">
        <v>0.88</v>
      </c>
      <c r="K316" s="45">
        <v>1</v>
      </c>
      <c r="L316" s="45">
        <v>1</v>
      </c>
      <c r="M316" s="45">
        <v>4.8499999999999996</v>
      </c>
      <c r="N316" s="45">
        <v>96.999999999999986</v>
      </c>
    </row>
    <row r="317" spans="1:14" x14ac:dyDescent="0.25">
      <c r="A317" s="44" t="s">
        <v>628</v>
      </c>
      <c r="B317" s="45" t="s">
        <v>377</v>
      </c>
      <c r="C317" s="45" t="s">
        <v>532</v>
      </c>
      <c r="D317" s="45" t="s">
        <v>76</v>
      </c>
      <c r="E317" s="45" t="s">
        <v>70</v>
      </c>
      <c r="F317" s="45" t="s">
        <v>331</v>
      </c>
      <c r="G317" s="45" t="s">
        <v>71</v>
      </c>
      <c r="H317" s="45" t="s">
        <v>350</v>
      </c>
      <c r="I317" s="45">
        <v>1.88</v>
      </c>
      <c r="J317" s="45">
        <v>1</v>
      </c>
      <c r="K317" s="45">
        <v>0.97</v>
      </c>
      <c r="L317" s="45">
        <v>1</v>
      </c>
      <c r="M317" s="45">
        <v>4.8499999999999996</v>
      </c>
      <c r="N317" s="45">
        <v>96.999999999999986</v>
      </c>
    </row>
    <row r="318" spans="1:14" x14ac:dyDescent="0.25">
      <c r="A318" s="44" t="s">
        <v>628</v>
      </c>
      <c r="B318" s="45" t="s">
        <v>378</v>
      </c>
      <c r="C318" s="45" t="s">
        <v>688</v>
      </c>
      <c r="D318" s="45" t="s">
        <v>76</v>
      </c>
      <c r="E318" s="45" t="s">
        <v>70</v>
      </c>
      <c r="F318" s="45" t="s">
        <v>331</v>
      </c>
      <c r="G318" s="45" t="s">
        <v>73</v>
      </c>
      <c r="H318" s="45" t="s">
        <v>345</v>
      </c>
      <c r="I318" s="45">
        <v>2</v>
      </c>
      <c r="J318" s="45">
        <v>1</v>
      </c>
      <c r="K318" s="45">
        <v>0.94</v>
      </c>
      <c r="L318" s="45">
        <v>1</v>
      </c>
      <c r="M318" s="45">
        <v>4.9399999999999995</v>
      </c>
      <c r="N318" s="45">
        <v>98.799999999999983</v>
      </c>
    </row>
    <row r="319" spans="1:14" x14ac:dyDescent="0.25">
      <c r="A319" s="44" t="s">
        <v>628</v>
      </c>
      <c r="B319" s="45" t="s">
        <v>379</v>
      </c>
      <c r="C319" s="45" t="s">
        <v>533</v>
      </c>
      <c r="D319" s="45" t="s">
        <v>76</v>
      </c>
      <c r="E319" s="45" t="s">
        <v>70</v>
      </c>
      <c r="F319" s="45" t="s">
        <v>331</v>
      </c>
      <c r="G319" s="45" t="s">
        <v>73</v>
      </c>
      <c r="H319" s="45" t="s">
        <v>345</v>
      </c>
      <c r="I319" s="45">
        <v>1.58</v>
      </c>
      <c r="J319" s="45">
        <v>1</v>
      </c>
      <c r="K319" s="45">
        <v>0.94</v>
      </c>
      <c r="L319" s="45">
        <v>0.94</v>
      </c>
      <c r="M319" s="45">
        <v>4.46</v>
      </c>
      <c r="N319" s="45">
        <v>89.2</v>
      </c>
    </row>
    <row r="320" spans="1:14" x14ac:dyDescent="0.25">
      <c r="A320" s="44" t="s">
        <v>628</v>
      </c>
      <c r="B320" s="45" t="s">
        <v>381</v>
      </c>
      <c r="C320" s="45" t="s">
        <v>534</v>
      </c>
      <c r="D320" s="45" t="s">
        <v>76</v>
      </c>
      <c r="E320" s="45" t="s">
        <v>70</v>
      </c>
      <c r="F320" s="45" t="s">
        <v>331</v>
      </c>
      <c r="G320" s="45" t="s">
        <v>71</v>
      </c>
      <c r="H320" s="45" t="s">
        <v>332</v>
      </c>
      <c r="I320" s="45">
        <v>1.64</v>
      </c>
      <c r="J320" s="45">
        <v>1</v>
      </c>
      <c r="K320" s="45">
        <v>0.94</v>
      </c>
      <c r="L320" s="45">
        <v>0.94</v>
      </c>
      <c r="M320" s="45">
        <v>4.5199999999999996</v>
      </c>
      <c r="N320" s="45">
        <v>90.399999999999991</v>
      </c>
    </row>
    <row r="321" spans="1:14" x14ac:dyDescent="0.25">
      <c r="A321" s="44" t="s">
        <v>628</v>
      </c>
      <c r="B321" s="45" t="s">
        <v>642</v>
      </c>
      <c r="C321" s="45" t="s">
        <v>689</v>
      </c>
      <c r="D321" s="45" t="s">
        <v>69</v>
      </c>
      <c r="E321" s="45" t="s">
        <v>70</v>
      </c>
      <c r="F321" s="45" t="s">
        <v>331</v>
      </c>
      <c r="G321" s="45" t="s">
        <v>71</v>
      </c>
      <c r="H321" s="45" t="s">
        <v>733</v>
      </c>
      <c r="I321" s="45">
        <v>1.94</v>
      </c>
      <c r="J321" s="45">
        <v>1</v>
      </c>
      <c r="K321" s="45">
        <v>1</v>
      </c>
      <c r="L321" s="45">
        <v>0.9</v>
      </c>
      <c r="M321" s="45">
        <v>4.84</v>
      </c>
      <c r="N321" s="45">
        <v>96.8</v>
      </c>
    </row>
    <row r="322" spans="1:14" x14ac:dyDescent="0.25">
      <c r="A322" s="44" t="s">
        <v>628</v>
      </c>
      <c r="B322" s="45" t="s">
        <v>382</v>
      </c>
      <c r="C322" s="45" t="s">
        <v>690</v>
      </c>
      <c r="D322" s="45" t="s">
        <v>76</v>
      </c>
      <c r="E322" s="45" t="s">
        <v>70</v>
      </c>
      <c r="F322" s="45" t="s">
        <v>331</v>
      </c>
      <c r="G322" s="45" t="s">
        <v>71</v>
      </c>
      <c r="H322" s="45" t="s">
        <v>93</v>
      </c>
      <c r="I322" s="45">
        <v>1.69</v>
      </c>
      <c r="J322" s="45">
        <v>1</v>
      </c>
      <c r="K322" s="45">
        <v>1</v>
      </c>
      <c r="L322" s="45">
        <v>1</v>
      </c>
      <c r="M322" s="45">
        <v>4.6899999999999995</v>
      </c>
      <c r="N322" s="45">
        <v>93.799999999999983</v>
      </c>
    </row>
    <row r="323" spans="1:14" x14ac:dyDescent="0.25">
      <c r="A323" s="44" t="s">
        <v>628</v>
      </c>
      <c r="B323" s="45" t="s">
        <v>384</v>
      </c>
      <c r="C323" s="45" t="s">
        <v>691</v>
      </c>
      <c r="D323" s="45" t="s">
        <v>69</v>
      </c>
      <c r="E323" s="45" t="s">
        <v>70</v>
      </c>
      <c r="F323" s="45" t="s">
        <v>331</v>
      </c>
      <c r="G323" s="45" t="s">
        <v>340</v>
      </c>
      <c r="H323" s="46" t="s">
        <v>732</v>
      </c>
      <c r="I323" s="45">
        <v>1.82</v>
      </c>
      <c r="J323" s="45">
        <v>1</v>
      </c>
      <c r="K323" s="45">
        <v>0.88</v>
      </c>
      <c r="L323" s="45">
        <v>0.69</v>
      </c>
      <c r="M323" s="45">
        <v>4.3900000000000006</v>
      </c>
      <c r="N323" s="45">
        <v>87.800000000000011</v>
      </c>
    </row>
    <row r="324" spans="1:14" x14ac:dyDescent="0.25">
      <c r="A324" s="44" t="s">
        <v>628</v>
      </c>
      <c r="B324" s="45" t="s">
        <v>643</v>
      </c>
      <c r="C324" s="45" t="s">
        <v>692</v>
      </c>
      <c r="D324" s="45" t="s">
        <v>69</v>
      </c>
      <c r="E324" s="45" t="s">
        <v>70</v>
      </c>
      <c r="F324" s="45" t="s">
        <v>423</v>
      </c>
      <c r="G324" s="45" t="s">
        <v>73</v>
      </c>
      <c r="H324" s="45" t="s">
        <v>732</v>
      </c>
      <c r="I324" s="45">
        <v>1.62</v>
      </c>
      <c r="J324" s="45">
        <v>0.99</v>
      </c>
      <c r="K324" s="45">
        <v>0.9</v>
      </c>
      <c r="L324" s="45">
        <v>1</v>
      </c>
      <c r="M324" s="45">
        <v>4.51</v>
      </c>
      <c r="N324" s="45">
        <v>90.2</v>
      </c>
    </row>
    <row r="325" spans="1:14" x14ac:dyDescent="0.25">
      <c r="A325" s="44" t="s">
        <v>628</v>
      </c>
      <c r="B325" s="50" t="s">
        <v>644</v>
      </c>
      <c r="C325" s="45" t="s">
        <v>693</v>
      </c>
      <c r="D325" s="45" t="s">
        <v>76</v>
      </c>
      <c r="E325" s="45" t="s">
        <v>70</v>
      </c>
      <c r="F325" s="45" t="s">
        <v>331</v>
      </c>
      <c r="G325" s="45" t="s">
        <v>73</v>
      </c>
      <c r="H325" s="45" t="s">
        <v>339</v>
      </c>
      <c r="I325" s="45">
        <v>2</v>
      </c>
      <c r="J325" s="45">
        <v>0</v>
      </c>
      <c r="K325" s="45">
        <v>0.86</v>
      </c>
      <c r="L325" s="45">
        <v>0.89</v>
      </c>
      <c r="M325" s="45">
        <v>3.75</v>
      </c>
      <c r="N325" s="45">
        <v>75</v>
      </c>
    </row>
    <row r="326" spans="1:14" x14ac:dyDescent="0.25">
      <c r="A326" s="44" t="s">
        <v>628</v>
      </c>
      <c r="B326" s="45" t="s">
        <v>645</v>
      </c>
      <c r="C326" s="45" t="s">
        <v>694</v>
      </c>
      <c r="D326" s="45" t="s">
        <v>76</v>
      </c>
      <c r="E326" s="45" t="s">
        <v>70</v>
      </c>
      <c r="F326" s="45" t="s">
        <v>331</v>
      </c>
      <c r="G326" s="45" t="s">
        <v>71</v>
      </c>
      <c r="H326" s="45" t="s">
        <v>93</v>
      </c>
      <c r="I326" s="45">
        <v>1.9</v>
      </c>
      <c r="J326" s="45">
        <v>1</v>
      </c>
      <c r="K326" s="45">
        <v>0.94</v>
      </c>
      <c r="L326" s="45">
        <v>1</v>
      </c>
      <c r="M326" s="45">
        <v>4.84</v>
      </c>
      <c r="N326" s="45">
        <v>96.8</v>
      </c>
    </row>
    <row r="327" spans="1:14" x14ac:dyDescent="0.25">
      <c r="A327" s="44" t="s">
        <v>628</v>
      </c>
      <c r="B327" s="50" t="s">
        <v>385</v>
      </c>
      <c r="C327" s="45" t="s">
        <v>695</v>
      </c>
      <c r="D327" s="45" t="s">
        <v>76</v>
      </c>
      <c r="E327" s="45" t="s">
        <v>70</v>
      </c>
      <c r="F327" s="45" t="s">
        <v>331</v>
      </c>
      <c r="G327" s="45" t="s">
        <v>71</v>
      </c>
      <c r="H327" s="45" t="s">
        <v>93</v>
      </c>
      <c r="I327" s="45">
        <v>1.95</v>
      </c>
      <c r="J327" s="45">
        <v>1</v>
      </c>
      <c r="K327" s="45">
        <v>1</v>
      </c>
      <c r="L327" s="45">
        <v>0.94</v>
      </c>
      <c r="M327" s="45">
        <v>4.8900000000000006</v>
      </c>
      <c r="N327" s="45">
        <v>97.800000000000011</v>
      </c>
    </row>
    <row r="328" spans="1:14" x14ac:dyDescent="0.25">
      <c r="A328" s="44" t="s">
        <v>628</v>
      </c>
      <c r="B328" s="45" t="s">
        <v>312</v>
      </c>
      <c r="C328" s="45" t="s">
        <v>538</v>
      </c>
      <c r="D328" s="45" t="s">
        <v>69</v>
      </c>
      <c r="E328" s="45" t="s">
        <v>70</v>
      </c>
      <c r="F328" s="45" t="s">
        <v>331</v>
      </c>
      <c r="G328" s="45" t="s">
        <v>71</v>
      </c>
      <c r="H328" s="45" t="s">
        <v>345</v>
      </c>
      <c r="I328" s="45">
        <v>1.87</v>
      </c>
      <c r="J328" s="45">
        <v>0.93</v>
      </c>
      <c r="K328" s="45">
        <v>0.94</v>
      </c>
      <c r="L328" s="45">
        <v>1</v>
      </c>
      <c r="M328" s="45">
        <v>4.74</v>
      </c>
      <c r="N328" s="45">
        <v>94.8</v>
      </c>
    </row>
    <row r="329" spans="1:14" x14ac:dyDescent="0.25">
      <c r="A329" s="44" t="s">
        <v>628</v>
      </c>
      <c r="B329" s="50" t="s">
        <v>313</v>
      </c>
      <c r="C329" s="45" t="s">
        <v>539</v>
      </c>
      <c r="D329" s="45" t="s">
        <v>69</v>
      </c>
      <c r="E329" s="45" t="s">
        <v>70</v>
      </c>
      <c r="F329" s="45" t="s">
        <v>331</v>
      </c>
      <c r="G329" s="45" t="s">
        <v>340</v>
      </c>
      <c r="H329" s="45" t="s">
        <v>345</v>
      </c>
      <c r="I329" s="45">
        <v>1.89</v>
      </c>
      <c r="J329" s="45">
        <v>0.98</v>
      </c>
      <c r="K329" s="45">
        <v>1</v>
      </c>
      <c r="L329" s="45">
        <v>0.97</v>
      </c>
      <c r="M329" s="45">
        <v>4.84</v>
      </c>
      <c r="N329" s="45">
        <v>96.8</v>
      </c>
    </row>
    <row r="330" spans="1:14" x14ac:dyDescent="0.25">
      <c r="A330" s="44" t="s">
        <v>628</v>
      </c>
      <c r="B330" s="45" t="s">
        <v>388</v>
      </c>
      <c r="C330" s="45" t="s">
        <v>540</v>
      </c>
      <c r="D330" s="45" t="s">
        <v>69</v>
      </c>
      <c r="E330" s="45" t="s">
        <v>70</v>
      </c>
      <c r="F330" s="45" t="s">
        <v>331</v>
      </c>
      <c r="G330" s="45" t="s">
        <v>71</v>
      </c>
      <c r="H330" s="45" t="s">
        <v>345</v>
      </c>
      <c r="I330" s="45">
        <v>1.81</v>
      </c>
      <c r="J330" s="45">
        <v>0.95</v>
      </c>
      <c r="K330" s="45">
        <v>0.94</v>
      </c>
      <c r="L330" s="45">
        <v>1</v>
      </c>
      <c r="M330" s="45">
        <v>4.6999999999999993</v>
      </c>
      <c r="N330" s="45">
        <v>93.999999999999986</v>
      </c>
    </row>
    <row r="331" spans="1:14" x14ac:dyDescent="0.25">
      <c r="A331" s="44" t="s">
        <v>628</v>
      </c>
      <c r="B331" s="45" t="s">
        <v>314</v>
      </c>
      <c r="C331" s="45" t="s">
        <v>541</v>
      </c>
      <c r="D331" s="45" t="s">
        <v>69</v>
      </c>
      <c r="E331" s="45" t="s">
        <v>70</v>
      </c>
      <c r="F331" s="45" t="s">
        <v>331</v>
      </c>
      <c r="G331" s="45" t="s">
        <v>73</v>
      </c>
      <c r="H331" s="45" t="s">
        <v>345</v>
      </c>
      <c r="I331" s="45">
        <v>1.91</v>
      </c>
      <c r="J331" s="45">
        <v>1</v>
      </c>
      <c r="K331" s="45">
        <v>0.94</v>
      </c>
      <c r="L331" s="45">
        <v>0.94</v>
      </c>
      <c r="M331" s="45">
        <v>4.79</v>
      </c>
      <c r="N331" s="45">
        <v>95.8</v>
      </c>
    </row>
    <row r="332" spans="1:14" x14ac:dyDescent="0.25">
      <c r="A332" s="44" t="s">
        <v>628</v>
      </c>
      <c r="B332" s="45" t="s">
        <v>390</v>
      </c>
      <c r="C332" s="45" t="s">
        <v>696</v>
      </c>
      <c r="D332" s="45" t="s">
        <v>69</v>
      </c>
      <c r="E332" s="45" t="s">
        <v>70</v>
      </c>
      <c r="F332" s="45" t="s">
        <v>331</v>
      </c>
      <c r="G332" s="45" t="s">
        <v>340</v>
      </c>
      <c r="H332" s="45" t="s">
        <v>83</v>
      </c>
      <c r="I332" s="45">
        <v>1.56</v>
      </c>
      <c r="J332" s="45">
        <v>1</v>
      </c>
      <c r="K332" s="45">
        <v>0.91</v>
      </c>
      <c r="L332" s="45">
        <v>1</v>
      </c>
      <c r="M332" s="45">
        <v>4.4700000000000006</v>
      </c>
      <c r="N332" s="45">
        <v>89.4</v>
      </c>
    </row>
    <row r="333" spans="1:14" x14ac:dyDescent="0.25">
      <c r="A333" s="44" t="s">
        <v>628</v>
      </c>
      <c r="B333" s="45" t="s">
        <v>315</v>
      </c>
      <c r="C333" s="45" t="s">
        <v>542</v>
      </c>
      <c r="D333" s="45" t="s">
        <v>69</v>
      </c>
      <c r="E333" s="45" t="s">
        <v>70</v>
      </c>
      <c r="F333" s="45" t="s">
        <v>331</v>
      </c>
      <c r="G333" s="45" t="s">
        <v>71</v>
      </c>
      <c r="H333" s="45" t="s">
        <v>733</v>
      </c>
      <c r="I333" s="45">
        <v>1.96</v>
      </c>
      <c r="J333" s="45">
        <v>1</v>
      </c>
      <c r="K333" s="45">
        <v>1</v>
      </c>
      <c r="L333" s="45">
        <v>1</v>
      </c>
      <c r="M333" s="45">
        <v>4.96</v>
      </c>
      <c r="N333" s="45">
        <v>99.2</v>
      </c>
    </row>
    <row r="334" spans="1:14" x14ac:dyDescent="0.25">
      <c r="A334" s="44" t="s">
        <v>628</v>
      </c>
      <c r="B334" s="45" t="s">
        <v>394</v>
      </c>
      <c r="C334" s="45" t="s">
        <v>544</v>
      </c>
      <c r="D334" s="45" t="s">
        <v>69</v>
      </c>
      <c r="E334" s="45" t="s">
        <v>70</v>
      </c>
      <c r="F334" s="45" t="s">
        <v>331</v>
      </c>
      <c r="G334" s="45" t="s">
        <v>71</v>
      </c>
      <c r="H334" s="45" t="s">
        <v>345</v>
      </c>
      <c r="I334" s="45">
        <v>1.91</v>
      </c>
      <c r="J334" s="45">
        <v>1</v>
      </c>
      <c r="K334" s="45">
        <v>0.94</v>
      </c>
      <c r="L334" s="45">
        <v>1</v>
      </c>
      <c r="M334" s="45">
        <v>4.8499999999999996</v>
      </c>
      <c r="N334" s="45">
        <v>96.999999999999986</v>
      </c>
    </row>
    <row r="335" spans="1:14" x14ac:dyDescent="0.25">
      <c r="A335" s="44" t="s">
        <v>628</v>
      </c>
      <c r="B335" s="45" t="s">
        <v>646</v>
      </c>
      <c r="C335" s="45" t="s">
        <v>697</v>
      </c>
      <c r="D335" s="45" t="s">
        <v>76</v>
      </c>
      <c r="E335" s="45" t="s">
        <v>70</v>
      </c>
      <c r="F335" s="45" t="s">
        <v>331</v>
      </c>
      <c r="G335" s="45" t="s">
        <v>73</v>
      </c>
      <c r="H335" s="46" t="s">
        <v>344</v>
      </c>
      <c r="I335" s="45">
        <v>1.98</v>
      </c>
      <c r="J335" s="45">
        <v>0.99</v>
      </c>
      <c r="K335" s="45">
        <v>1</v>
      </c>
      <c r="L335" s="45">
        <v>1</v>
      </c>
      <c r="M335" s="45">
        <v>4.97</v>
      </c>
      <c r="N335" s="45">
        <v>99.4</v>
      </c>
    </row>
    <row r="336" spans="1:14" x14ac:dyDescent="0.25">
      <c r="A336" s="44" t="s">
        <v>628</v>
      </c>
      <c r="B336" s="45" t="s">
        <v>397</v>
      </c>
      <c r="C336" s="45" t="s">
        <v>546</v>
      </c>
      <c r="D336" s="45" t="s">
        <v>69</v>
      </c>
      <c r="E336" s="45" t="s">
        <v>70</v>
      </c>
      <c r="F336" s="45" t="s">
        <v>331</v>
      </c>
      <c r="G336" s="45" t="s">
        <v>71</v>
      </c>
      <c r="H336" s="45" t="s">
        <v>733</v>
      </c>
      <c r="I336" s="45">
        <v>1.39</v>
      </c>
      <c r="J336" s="45">
        <v>0.94</v>
      </c>
      <c r="K336" s="45">
        <v>0.82</v>
      </c>
      <c r="L336" s="45">
        <v>0.96</v>
      </c>
      <c r="M336" s="45">
        <v>4.1099999999999994</v>
      </c>
      <c r="N336" s="45">
        <v>82.199999999999989</v>
      </c>
    </row>
    <row r="337" spans="1:14" x14ac:dyDescent="0.25">
      <c r="A337" s="44" t="s">
        <v>628</v>
      </c>
      <c r="B337" s="45" t="s">
        <v>399</v>
      </c>
      <c r="C337" s="45" t="s">
        <v>698</v>
      </c>
      <c r="D337" s="45" t="s">
        <v>76</v>
      </c>
      <c r="E337" s="45" t="s">
        <v>70</v>
      </c>
      <c r="F337" s="45" t="s">
        <v>331</v>
      </c>
      <c r="G337" s="45" t="s">
        <v>71</v>
      </c>
      <c r="H337" s="45" t="s">
        <v>401</v>
      </c>
      <c r="I337" s="45">
        <v>1.93</v>
      </c>
      <c r="J337" s="45">
        <v>1</v>
      </c>
      <c r="K337" s="45">
        <v>0.96</v>
      </c>
      <c r="L337" s="45">
        <v>0.92</v>
      </c>
      <c r="M337" s="45">
        <v>4.8099999999999996</v>
      </c>
      <c r="N337" s="45">
        <v>96.199999999999989</v>
      </c>
    </row>
    <row r="338" spans="1:14" x14ac:dyDescent="0.25">
      <c r="A338" s="44" t="s">
        <v>628</v>
      </c>
      <c r="B338" s="45" t="s">
        <v>402</v>
      </c>
      <c r="C338" s="45" t="s">
        <v>548</v>
      </c>
      <c r="D338" s="45" t="s">
        <v>76</v>
      </c>
      <c r="E338" s="45" t="s">
        <v>70</v>
      </c>
      <c r="F338" s="45" t="s">
        <v>331</v>
      </c>
      <c r="G338" s="45" t="s">
        <v>73</v>
      </c>
      <c r="H338" s="45" t="s">
        <v>93</v>
      </c>
      <c r="I338" s="45">
        <v>1.79</v>
      </c>
      <c r="J338" s="45">
        <v>0</v>
      </c>
      <c r="K338" s="45">
        <v>0.7</v>
      </c>
      <c r="L338" s="45">
        <v>1</v>
      </c>
      <c r="M338" s="45">
        <v>3.49</v>
      </c>
      <c r="N338" s="45">
        <v>69.8</v>
      </c>
    </row>
    <row r="339" spans="1:14" x14ac:dyDescent="0.25">
      <c r="A339" s="44" t="s">
        <v>628</v>
      </c>
      <c r="B339" s="45" t="s">
        <v>403</v>
      </c>
      <c r="C339" s="45" t="s">
        <v>549</v>
      </c>
      <c r="D339" s="45" t="s">
        <v>76</v>
      </c>
      <c r="E339" s="45" t="s">
        <v>70</v>
      </c>
      <c r="F339" s="45" t="s">
        <v>331</v>
      </c>
      <c r="G339" s="45" t="s">
        <v>71</v>
      </c>
      <c r="H339" s="45" t="s">
        <v>356</v>
      </c>
      <c r="I339" s="45">
        <v>1.68</v>
      </c>
      <c r="J339" s="45">
        <v>1</v>
      </c>
      <c r="K339" s="45">
        <v>1</v>
      </c>
      <c r="L339" s="45">
        <v>1</v>
      </c>
      <c r="M339" s="45">
        <v>4.68</v>
      </c>
      <c r="N339" s="45">
        <v>93.6</v>
      </c>
    </row>
    <row r="340" spans="1:14" x14ac:dyDescent="0.25">
      <c r="A340" s="44" t="s">
        <v>628</v>
      </c>
      <c r="B340" s="45" t="s">
        <v>405</v>
      </c>
      <c r="C340" s="45" t="s">
        <v>550</v>
      </c>
      <c r="D340" s="45" t="s">
        <v>76</v>
      </c>
      <c r="E340" s="45" t="s">
        <v>70</v>
      </c>
      <c r="F340" s="45" t="s">
        <v>331</v>
      </c>
      <c r="G340" s="45" t="s">
        <v>71</v>
      </c>
      <c r="H340" s="45" t="s">
        <v>93</v>
      </c>
      <c r="I340" s="45">
        <v>1.47</v>
      </c>
      <c r="J340" s="45">
        <v>1</v>
      </c>
      <c r="K340" s="45">
        <v>1</v>
      </c>
      <c r="L340" s="45">
        <v>1</v>
      </c>
      <c r="M340" s="45">
        <v>4.47</v>
      </c>
      <c r="N340" s="45">
        <v>89.4</v>
      </c>
    </row>
    <row r="341" spans="1:14" x14ac:dyDescent="0.25">
      <c r="A341" s="44" t="s">
        <v>628</v>
      </c>
      <c r="B341" s="45" t="s">
        <v>407</v>
      </c>
      <c r="C341" s="45" t="s">
        <v>552</v>
      </c>
      <c r="D341" s="45" t="s">
        <v>76</v>
      </c>
      <c r="E341" s="45" t="s">
        <v>70</v>
      </c>
      <c r="F341" s="45" t="s">
        <v>331</v>
      </c>
      <c r="G341" s="45" t="s">
        <v>71</v>
      </c>
      <c r="H341" s="45" t="s">
        <v>733</v>
      </c>
      <c r="I341" s="45">
        <v>1.73</v>
      </c>
      <c r="J341" s="45">
        <v>0.92</v>
      </c>
      <c r="K341" s="45">
        <v>0.91</v>
      </c>
      <c r="L341" s="45">
        <v>1</v>
      </c>
      <c r="M341" s="45">
        <v>4.5600000000000005</v>
      </c>
      <c r="N341" s="45">
        <v>91.200000000000017</v>
      </c>
    </row>
    <row r="342" spans="1:14" x14ac:dyDescent="0.25">
      <c r="A342" s="44" t="s">
        <v>628</v>
      </c>
      <c r="B342" s="45" t="s">
        <v>409</v>
      </c>
      <c r="C342" s="45" t="s">
        <v>553</v>
      </c>
      <c r="D342" s="45" t="s">
        <v>76</v>
      </c>
      <c r="E342" s="45" t="s">
        <v>70</v>
      </c>
      <c r="F342" s="45" t="s">
        <v>331</v>
      </c>
      <c r="G342" s="45" t="s">
        <v>71</v>
      </c>
      <c r="H342" s="45" t="s">
        <v>72</v>
      </c>
      <c r="I342" s="45">
        <v>1.79</v>
      </c>
      <c r="J342" s="45">
        <v>1</v>
      </c>
      <c r="K342" s="45">
        <v>1</v>
      </c>
      <c r="L342" s="45">
        <v>1</v>
      </c>
      <c r="M342" s="45">
        <v>4.79</v>
      </c>
      <c r="N342" s="45">
        <v>95.8</v>
      </c>
    </row>
    <row r="343" spans="1:14" x14ac:dyDescent="0.25">
      <c r="A343" s="44" t="s">
        <v>628</v>
      </c>
      <c r="B343" s="45" t="s">
        <v>410</v>
      </c>
      <c r="C343" s="45" t="s">
        <v>699</v>
      </c>
      <c r="D343" s="45" t="s">
        <v>76</v>
      </c>
      <c r="E343" s="45" t="s">
        <v>70</v>
      </c>
      <c r="F343" s="45" t="s">
        <v>331</v>
      </c>
      <c r="G343" s="45" t="s">
        <v>71</v>
      </c>
      <c r="H343" s="45" t="s">
        <v>353</v>
      </c>
      <c r="I343" s="45">
        <v>1.77</v>
      </c>
      <c r="J343" s="45">
        <v>1</v>
      </c>
      <c r="K343" s="45">
        <v>1</v>
      </c>
      <c r="L343" s="45">
        <v>1</v>
      </c>
      <c r="M343" s="45">
        <v>4.7699999999999996</v>
      </c>
      <c r="N343" s="45">
        <v>95.399999999999991</v>
      </c>
    </row>
    <row r="344" spans="1:14" x14ac:dyDescent="0.25">
      <c r="A344" s="44" t="s">
        <v>628</v>
      </c>
      <c r="B344" s="45" t="s">
        <v>412</v>
      </c>
      <c r="C344" s="45" t="s">
        <v>555</v>
      </c>
      <c r="D344" s="45" t="s">
        <v>76</v>
      </c>
      <c r="E344" s="45" t="s">
        <v>70</v>
      </c>
      <c r="F344" s="45" t="s">
        <v>331</v>
      </c>
      <c r="G344" s="45" t="s">
        <v>71</v>
      </c>
      <c r="H344" s="45" t="s">
        <v>362</v>
      </c>
      <c r="I344" s="45">
        <v>1.83</v>
      </c>
      <c r="J344" s="45">
        <v>0.99</v>
      </c>
      <c r="K344" s="45">
        <v>0.97</v>
      </c>
      <c r="L344" s="45">
        <v>0.94</v>
      </c>
      <c r="M344" s="45">
        <v>4.7300000000000004</v>
      </c>
      <c r="N344" s="45">
        <v>94.600000000000009</v>
      </c>
    </row>
    <row r="345" spans="1:14" x14ac:dyDescent="0.25">
      <c r="A345" s="44" t="s">
        <v>628</v>
      </c>
      <c r="B345" s="45" t="s">
        <v>317</v>
      </c>
      <c r="C345" s="45" t="s">
        <v>556</v>
      </c>
      <c r="D345" s="45" t="s">
        <v>76</v>
      </c>
      <c r="E345" s="45" t="s">
        <v>70</v>
      </c>
      <c r="F345" s="45" t="s">
        <v>331</v>
      </c>
      <c r="G345" s="45" t="s">
        <v>71</v>
      </c>
      <c r="H345" s="45" t="s">
        <v>345</v>
      </c>
      <c r="I345" s="45">
        <v>1.79</v>
      </c>
      <c r="J345" s="45">
        <v>1</v>
      </c>
      <c r="K345" s="45">
        <v>0.94</v>
      </c>
      <c r="L345" s="45">
        <v>1</v>
      </c>
      <c r="M345" s="45">
        <v>4.7300000000000004</v>
      </c>
      <c r="N345" s="45">
        <v>94.600000000000009</v>
      </c>
    </row>
    <row r="346" spans="1:14" x14ac:dyDescent="0.25">
      <c r="A346" s="44" t="s">
        <v>628</v>
      </c>
      <c r="B346" s="45" t="s">
        <v>647</v>
      </c>
      <c r="C346" s="45" t="s">
        <v>700</v>
      </c>
      <c r="D346" s="45" t="s">
        <v>69</v>
      </c>
      <c r="E346" s="45" t="s">
        <v>70</v>
      </c>
      <c r="F346" s="45" t="s">
        <v>331</v>
      </c>
      <c r="G346" s="45" t="s">
        <v>71</v>
      </c>
      <c r="H346" s="45" t="s">
        <v>345</v>
      </c>
      <c r="I346" s="45">
        <v>1.87</v>
      </c>
      <c r="J346" s="45">
        <v>1</v>
      </c>
      <c r="K346" s="45">
        <v>0.94</v>
      </c>
      <c r="L346" s="45">
        <v>1</v>
      </c>
      <c r="M346" s="45">
        <v>4.8100000000000005</v>
      </c>
      <c r="N346" s="45">
        <v>96.200000000000017</v>
      </c>
    </row>
    <row r="347" spans="1:14" x14ac:dyDescent="0.25">
      <c r="A347" s="44" t="s">
        <v>628</v>
      </c>
      <c r="B347" s="45" t="s">
        <v>318</v>
      </c>
      <c r="C347" s="45" t="s">
        <v>557</v>
      </c>
      <c r="D347" s="45" t="s">
        <v>76</v>
      </c>
      <c r="E347" s="45" t="s">
        <v>70</v>
      </c>
      <c r="F347" s="45" t="s">
        <v>331</v>
      </c>
      <c r="G347" s="45" t="s">
        <v>73</v>
      </c>
      <c r="H347" s="45" t="s">
        <v>733</v>
      </c>
      <c r="I347" s="45">
        <v>1.96</v>
      </c>
      <c r="J347" s="45">
        <v>1</v>
      </c>
      <c r="K347" s="45">
        <v>1</v>
      </c>
      <c r="L347" s="45">
        <v>1</v>
      </c>
      <c r="M347" s="45">
        <v>4.96</v>
      </c>
      <c r="N347" s="45">
        <v>99.2</v>
      </c>
    </row>
    <row r="348" spans="1:14" x14ac:dyDescent="0.25">
      <c r="A348" s="44" t="s">
        <v>628</v>
      </c>
      <c r="B348" s="45" t="s">
        <v>558</v>
      </c>
      <c r="C348" s="45" t="s">
        <v>559</v>
      </c>
      <c r="D348" s="45" t="s">
        <v>76</v>
      </c>
      <c r="E348" s="45" t="s">
        <v>70</v>
      </c>
      <c r="F348" s="45" t="s">
        <v>331</v>
      </c>
      <c r="G348" s="45" t="s">
        <v>71</v>
      </c>
      <c r="H348" s="45" t="s">
        <v>344</v>
      </c>
      <c r="I348" s="45">
        <v>1.73</v>
      </c>
      <c r="J348" s="45">
        <v>1</v>
      </c>
      <c r="K348" s="45">
        <v>1</v>
      </c>
      <c r="L348" s="45">
        <v>0.98</v>
      </c>
      <c r="M348" s="45">
        <v>4.71</v>
      </c>
      <c r="N348" s="45">
        <v>94.2</v>
      </c>
    </row>
    <row r="349" spans="1:14" x14ac:dyDescent="0.25">
      <c r="A349" s="44" t="s">
        <v>628</v>
      </c>
      <c r="B349" s="45" t="s">
        <v>413</v>
      </c>
      <c r="C349" s="45" t="s">
        <v>560</v>
      </c>
      <c r="D349" s="45" t="s">
        <v>69</v>
      </c>
      <c r="E349" s="45" t="s">
        <v>70</v>
      </c>
      <c r="F349" s="45" t="s">
        <v>331</v>
      </c>
      <c r="G349" s="45" t="s">
        <v>71</v>
      </c>
      <c r="H349" s="45" t="s">
        <v>350</v>
      </c>
      <c r="I349" s="45">
        <v>1.89</v>
      </c>
      <c r="J349" s="45">
        <v>0.99</v>
      </c>
      <c r="K349" s="45">
        <v>0.97</v>
      </c>
      <c r="L349" s="45">
        <v>1</v>
      </c>
      <c r="M349" s="45">
        <v>4.8499999999999996</v>
      </c>
      <c r="N349" s="45">
        <v>96.999999999999986</v>
      </c>
    </row>
    <row r="350" spans="1:14" x14ac:dyDescent="0.25">
      <c r="A350" s="44" t="s">
        <v>628</v>
      </c>
      <c r="B350" s="45" t="s">
        <v>92</v>
      </c>
      <c r="C350" s="45" t="s">
        <v>29</v>
      </c>
      <c r="D350" s="45" t="s">
        <v>76</v>
      </c>
      <c r="E350" s="45" t="s">
        <v>70</v>
      </c>
      <c r="F350" s="45" t="s">
        <v>331</v>
      </c>
      <c r="G350" s="45" t="s">
        <v>73</v>
      </c>
      <c r="H350" s="46" t="s">
        <v>93</v>
      </c>
      <c r="I350" s="45">
        <v>1.81</v>
      </c>
      <c r="J350" s="45">
        <v>1</v>
      </c>
      <c r="K350" s="45">
        <v>0.9</v>
      </c>
      <c r="L350" s="45">
        <v>0.8</v>
      </c>
      <c r="M350" s="45">
        <v>4.51</v>
      </c>
      <c r="N350" s="45">
        <v>90.2</v>
      </c>
    </row>
    <row r="351" spans="1:14" x14ac:dyDescent="0.25">
      <c r="A351" s="44" t="s">
        <v>628</v>
      </c>
      <c r="B351" s="45" t="s">
        <v>648</v>
      </c>
      <c r="C351" s="45" t="s">
        <v>701</v>
      </c>
      <c r="D351" s="45" t="s">
        <v>76</v>
      </c>
      <c r="E351" s="45" t="s">
        <v>70</v>
      </c>
      <c r="F351" s="45" t="s">
        <v>331</v>
      </c>
      <c r="G351" s="45" t="s">
        <v>73</v>
      </c>
      <c r="H351" s="45" t="s">
        <v>72</v>
      </c>
      <c r="I351" s="45">
        <v>1.88</v>
      </c>
      <c r="J351" s="45">
        <v>0</v>
      </c>
      <c r="K351" s="45">
        <v>1</v>
      </c>
      <c r="L351" s="45">
        <v>1</v>
      </c>
      <c r="M351" s="45">
        <v>3.88</v>
      </c>
      <c r="N351" s="45">
        <v>77.599999999999994</v>
      </c>
    </row>
    <row r="352" spans="1:14" x14ac:dyDescent="0.25">
      <c r="A352" s="44" t="s">
        <v>628</v>
      </c>
      <c r="B352" s="45" t="s">
        <v>414</v>
      </c>
      <c r="C352" s="45" t="s">
        <v>561</v>
      </c>
      <c r="D352" s="45" t="s">
        <v>69</v>
      </c>
      <c r="E352" s="45" t="s">
        <v>70</v>
      </c>
      <c r="F352" s="45" t="s">
        <v>331</v>
      </c>
      <c r="G352" s="45" t="s">
        <v>71</v>
      </c>
      <c r="H352" s="45" t="s">
        <v>83</v>
      </c>
      <c r="I352" s="45">
        <v>1.44</v>
      </c>
      <c r="J352" s="45">
        <v>1</v>
      </c>
      <c r="K352" s="45">
        <v>0.89</v>
      </c>
      <c r="L352" s="45">
        <v>0</v>
      </c>
      <c r="M352" s="45">
        <v>3.33</v>
      </c>
      <c r="N352" s="45">
        <v>66.599999999999994</v>
      </c>
    </row>
    <row r="353" spans="1:14" x14ac:dyDescent="0.25">
      <c r="A353" s="44" t="s">
        <v>628</v>
      </c>
      <c r="B353" s="45" t="s">
        <v>416</v>
      </c>
      <c r="C353" s="45" t="s">
        <v>562</v>
      </c>
      <c r="D353" s="45" t="s">
        <v>76</v>
      </c>
      <c r="E353" s="45" t="s">
        <v>70</v>
      </c>
      <c r="F353" s="45" t="s">
        <v>331</v>
      </c>
      <c r="G353" s="45" t="s">
        <v>71</v>
      </c>
      <c r="H353" s="45" t="s">
        <v>368</v>
      </c>
      <c r="I353" s="45">
        <v>1.77</v>
      </c>
      <c r="J353" s="45">
        <v>1</v>
      </c>
      <c r="K353" s="45">
        <v>0.97</v>
      </c>
      <c r="L353" s="45">
        <v>1</v>
      </c>
      <c r="M353" s="45">
        <v>4.74</v>
      </c>
      <c r="N353" s="45">
        <v>94.8</v>
      </c>
    </row>
    <row r="354" spans="1:14" x14ac:dyDescent="0.25">
      <c r="A354" s="44" t="s">
        <v>628</v>
      </c>
      <c r="B354" s="45" t="s">
        <v>649</v>
      </c>
      <c r="C354" s="45" t="s">
        <v>702</v>
      </c>
      <c r="D354" s="45" t="s">
        <v>69</v>
      </c>
      <c r="E354" s="45" t="s">
        <v>70</v>
      </c>
      <c r="F354" s="45" t="s">
        <v>331</v>
      </c>
      <c r="G354" s="45" t="s">
        <v>340</v>
      </c>
      <c r="H354" s="45" t="s">
        <v>332</v>
      </c>
      <c r="I354" s="45">
        <v>1.55</v>
      </c>
      <c r="J354" s="45">
        <v>0.6</v>
      </c>
      <c r="K354" s="45">
        <v>0.88</v>
      </c>
      <c r="L354" s="45">
        <v>0.8</v>
      </c>
      <c r="M354" s="45">
        <v>3.83</v>
      </c>
      <c r="N354" s="45">
        <v>76.599999999999994</v>
      </c>
    </row>
    <row r="355" spans="1:14" x14ac:dyDescent="0.25">
      <c r="A355" s="44" t="s">
        <v>628</v>
      </c>
      <c r="B355" s="45" t="s">
        <v>417</v>
      </c>
      <c r="C355" s="45" t="s">
        <v>563</v>
      </c>
      <c r="D355" s="45" t="s">
        <v>69</v>
      </c>
      <c r="E355" s="45" t="s">
        <v>70</v>
      </c>
      <c r="F355" s="45" t="s">
        <v>331</v>
      </c>
      <c r="G355" s="45" t="s">
        <v>71</v>
      </c>
      <c r="H355" s="45" t="s">
        <v>83</v>
      </c>
      <c r="I355" s="45">
        <v>1.71</v>
      </c>
      <c r="J355" s="45">
        <v>1</v>
      </c>
      <c r="K355" s="45">
        <v>0.95</v>
      </c>
      <c r="L355" s="45">
        <v>0.96</v>
      </c>
      <c r="M355" s="45">
        <v>4.62</v>
      </c>
      <c r="N355" s="45">
        <v>92.4</v>
      </c>
    </row>
    <row r="356" spans="1:14" x14ac:dyDescent="0.25">
      <c r="A356" s="44" t="s">
        <v>628</v>
      </c>
      <c r="B356" s="45" t="s">
        <v>418</v>
      </c>
      <c r="C356" s="45" t="s">
        <v>564</v>
      </c>
      <c r="D356" s="45" t="s">
        <v>69</v>
      </c>
      <c r="E356" s="45" t="s">
        <v>70</v>
      </c>
      <c r="F356" s="45" t="s">
        <v>331</v>
      </c>
      <c r="G356" s="45" t="s">
        <v>71</v>
      </c>
      <c r="H356" s="46" t="s">
        <v>332</v>
      </c>
      <c r="I356" s="45">
        <v>1.76</v>
      </c>
      <c r="J356" s="45">
        <v>0</v>
      </c>
      <c r="K356" s="45">
        <v>0.98</v>
      </c>
      <c r="L356" s="45">
        <v>0.97</v>
      </c>
      <c r="M356" s="45">
        <v>3.71</v>
      </c>
      <c r="N356" s="45">
        <v>74.2</v>
      </c>
    </row>
    <row r="357" spans="1:14" x14ac:dyDescent="0.25">
      <c r="A357" s="44" t="s">
        <v>628</v>
      </c>
      <c r="B357" s="45" t="s">
        <v>650</v>
      </c>
      <c r="C357" s="45" t="s">
        <v>703</v>
      </c>
      <c r="D357" s="45" t="s">
        <v>76</v>
      </c>
      <c r="E357" s="45" t="s">
        <v>70</v>
      </c>
      <c r="F357" s="45" t="s">
        <v>331</v>
      </c>
      <c r="G357" s="45" t="s">
        <v>73</v>
      </c>
      <c r="H357" s="46" t="s">
        <v>132</v>
      </c>
      <c r="I357" s="45">
        <v>1.25</v>
      </c>
      <c r="J357" s="45">
        <v>0.94</v>
      </c>
      <c r="K357" s="45">
        <v>0.8</v>
      </c>
      <c r="L357" s="45">
        <v>1</v>
      </c>
      <c r="M357" s="45">
        <v>3.99</v>
      </c>
      <c r="N357" s="45">
        <v>79.8</v>
      </c>
    </row>
    <row r="358" spans="1:14" x14ac:dyDescent="0.25">
      <c r="A358" s="44" t="s">
        <v>628</v>
      </c>
      <c r="B358" s="45" t="s">
        <v>419</v>
      </c>
      <c r="C358" s="45" t="s">
        <v>565</v>
      </c>
      <c r="D358" s="45" t="s">
        <v>76</v>
      </c>
      <c r="E358" s="45" t="s">
        <v>70</v>
      </c>
      <c r="F358" s="45" t="s">
        <v>331</v>
      </c>
      <c r="G358" s="45" t="s">
        <v>71</v>
      </c>
      <c r="H358" s="45" t="s">
        <v>104</v>
      </c>
      <c r="I358" s="45">
        <v>1.64</v>
      </c>
      <c r="J358" s="45">
        <v>1</v>
      </c>
      <c r="K358" s="45">
        <v>1</v>
      </c>
      <c r="L358" s="45">
        <v>0.96</v>
      </c>
      <c r="M358" s="45">
        <v>4.5999999999999996</v>
      </c>
      <c r="N358" s="45">
        <v>91.999999999999986</v>
      </c>
    </row>
    <row r="359" spans="1:14" x14ac:dyDescent="0.25">
      <c r="A359" s="44" t="s">
        <v>628</v>
      </c>
      <c r="B359" s="45" t="s">
        <v>421</v>
      </c>
      <c r="C359" s="45" t="s">
        <v>566</v>
      </c>
      <c r="D359" s="45" t="s">
        <v>69</v>
      </c>
      <c r="E359" s="45" t="s">
        <v>70</v>
      </c>
      <c r="F359" s="45" t="s">
        <v>423</v>
      </c>
      <c r="G359" s="45" t="s">
        <v>73</v>
      </c>
      <c r="H359" s="45" t="s">
        <v>93</v>
      </c>
      <c r="I359" s="45">
        <v>1.58</v>
      </c>
      <c r="J359" s="45">
        <v>1</v>
      </c>
      <c r="K359" s="45">
        <v>0.98</v>
      </c>
      <c r="L359" s="45">
        <v>0.97</v>
      </c>
      <c r="M359" s="45">
        <v>4.53</v>
      </c>
      <c r="N359" s="45">
        <v>90.6</v>
      </c>
    </row>
    <row r="360" spans="1:14" x14ac:dyDescent="0.25">
      <c r="A360" s="44" t="s">
        <v>628</v>
      </c>
      <c r="B360" s="45" t="s">
        <v>424</v>
      </c>
      <c r="C360" s="45" t="s">
        <v>569</v>
      </c>
      <c r="D360" s="45" t="s">
        <v>76</v>
      </c>
      <c r="E360" s="45" t="s">
        <v>70</v>
      </c>
      <c r="F360" s="45" t="s">
        <v>331</v>
      </c>
      <c r="G360" s="45" t="s">
        <v>71</v>
      </c>
      <c r="H360" s="45" t="s">
        <v>93</v>
      </c>
      <c r="I360" s="45">
        <v>1.94</v>
      </c>
      <c r="J360" s="45">
        <v>1</v>
      </c>
      <c r="K360" s="45">
        <v>1</v>
      </c>
      <c r="L360" s="45">
        <v>1</v>
      </c>
      <c r="M360" s="45">
        <v>4.9399999999999995</v>
      </c>
      <c r="N360" s="45">
        <v>98.799999999999983</v>
      </c>
    </row>
    <row r="361" spans="1:14" x14ac:dyDescent="0.25">
      <c r="A361" s="44" t="s">
        <v>628</v>
      </c>
      <c r="B361" s="45" t="s">
        <v>425</v>
      </c>
      <c r="C361" s="45" t="s">
        <v>570</v>
      </c>
      <c r="D361" s="45" t="s">
        <v>76</v>
      </c>
      <c r="E361" s="45" t="s">
        <v>70</v>
      </c>
      <c r="F361" s="45" t="s">
        <v>361</v>
      </c>
      <c r="G361" s="45" t="s">
        <v>71</v>
      </c>
      <c r="H361" s="45" t="s">
        <v>93</v>
      </c>
      <c r="I361" s="45">
        <v>1.7</v>
      </c>
      <c r="J361" s="45">
        <v>1</v>
      </c>
      <c r="K361" s="45">
        <v>1</v>
      </c>
      <c r="L361" s="45">
        <v>1</v>
      </c>
      <c r="M361" s="45">
        <v>4.7</v>
      </c>
      <c r="N361" s="45">
        <v>94</v>
      </c>
    </row>
    <row r="362" spans="1:14" x14ac:dyDescent="0.25">
      <c r="A362" s="44" t="s">
        <v>628</v>
      </c>
      <c r="B362" s="45" t="s">
        <v>651</v>
      </c>
      <c r="C362" s="45" t="s">
        <v>704</v>
      </c>
      <c r="D362" s="45" t="s">
        <v>69</v>
      </c>
      <c r="E362" s="45" t="s">
        <v>70</v>
      </c>
      <c r="F362" s="45" t="s">
        <v>331</v>
      </c>
      <c r="G362" s="45" t="s">
        <v>71</v>
      </c>
      <c r="H362" s="45" t="s">
        <v>345</v>
      </c>
      <c r="I362" s="45">
        <v>1.96</v>
      </c>
      <c r="J362" s="45">
        <v>1</v>
      </c>
      <c r="K362" s="45">
        <v>0.94</v>
      </c>
      <c r="L362" s="45">
        <v>1</v>
      </c>
      <c r="M362" s="45">
        <v>4.9000000000000004</v>
      </c>
      <c r="N362" s="45">
        <v>98.000000000000014</v>
      </c>
    </row>
    <row r="363" spans="1:14" x14ac:dyDescent="0.25">
      <c r="A363" s="44" t="s">
        <v>628</v>
      </c>
      <c r="B363" s="45" t="s">
        <v>428</v>
      </c>
      <c r="C363" s="45" t="s">
        <v>705</v>
      </c>
      <c r="D363" s="45" t="s">
        <v>76</v>
      </c>
      <c r="E363" s="45" t="s">
        <v>70</v>
      </c>
      <c r="F363" s="45" t="s">
        <v>331</v>
      </c>
      <c r="G363" s="45" t="s">
        <v>73</v>
      </c>
      <c r="H363" s="45" t="s">
        <v>93</v>
      </c>
      <c r="I363" s="45">
        <v>1.98</v>
      </c>
      <c r="J363" s="45">
        <v>0.98</v>
      </c>
      <c r="K363" s="45">
        <v>0.99</v>
      </c>
      <c r="L363" s="45">
        <v>1</v>
      </c>
      <c r="M363" s="45">
        <v>4.95</v>
      </c>
      <c r="N363" s="45">
        <v>99</v>
      </c>
    </row>
    <row r="364" spans="1:14" x14ac:dyDescent="0.25">
      <c r="A364" s="44" t="s">
        <v>628</v>
      </c>
      <c r="B364" s="45" t="s">
        <v>430</v>
      </c>
      <c r="C364" s="45" t="s">
        <v>572</v>
      </c>
      <c r="D364" s="45" t="s">
        <v>76</v>
      </c>
      <c r="E364" s="45" t="s">
        <v>70</v>
      </c>
      <c r="F364" s="45" t="s">
        <v>331</v>
      </c>
      <c r="G364" s="45" t="s">
        <v>71</v>
      </c>
      <c r="H364" s="45" t="s">
        <v>72</v>
      </c>
      <c r="I364" s="45">
        <v>1.84</v>
      </c>
      <c r="J364" s="45">
        <v>0.99</v>
      </c>
      <c r="K364" s="45">
        <v>1</v>
      </c>
      <c r="L364" s="45">
        <v>1</v>
      </c>
      <c r="M364" s="45">
        <v>4.83</v>
      </c>
      <c r="N364" s="45">
        <v>96.6</v>
      </c>
    </row>
    <row r="365" spans="1:14" x14ac:dyDescent="0.25">
      <c r="A365" s="44" t="s">
        <v>628</v>
      </c>
      <c r="B365" s="45" t="s">
        <v>431</v>
      </c>
      <c r="C365" s="45" t="s">
        <v>573</v>
      </c>
      <c r="D365" s="45" t="s">
        <v>76</v>
      </c>
      <c r="E365" s="45" t="s">
        <v>70</v>
      </c>
      <c r="F365" s="45" t="s">
        <v>331</v>
      </c>
      <c r="G365" s="45" t="s">
        <v>71</v>
      </c>
      <c r="H365" s="45" t="s">
        <v>368</v>
      </c>
      <c r="I365" s="45">
        <v>1.89</v>
      </c>
      <c r="J365" s="45">
        <v>0.99</v>
      </c>
      <c r="K365" s="45">
        <v>0.97</v>
      </c>
      <c r="L365" s="45">
        <v>1</v>
      </c>
      <c r="M365" s="45">
        <v>4.8499999999999996</v>
      </c>
      <c r="N365" s="45">
        <v>96.999999999999986</v>
      </c>
    </row>
    <row r="366" spans="1:14" x14ac:dyDescent="0.25">
      <c r="A366" s="44" t="s">
        <v>628</v>
      </c>
      <c r="B366" s="45" t="s">
        <v>432</v>
      </c>
      <c r="C366" s="45" t="s">
        <v>574</v>
      </c>
      <c r="D366" s="45" t="s">
        <v>76</v>
      </c>
      <c r="E366" s="45" t="s">
        <v>70</v>
      </c>
      <c r="F366" s="45" t="s">
        <v>361</v>
      </c>
      <c r="G366" s="45" t="s">
        <v>71</v>
      </c>
      <c r="H366" s="45" t="s">
        <v>733</v>
      </c>
      <c r="I366" s="45">
        <v>1.78</v>
      </c>
      <c r="J366" s="45">
        <v>1</v>
      </c>
      <c r="K366" s="45">
        <v>0.95</v>
      </c>
      <c r="L366" s="45">
        <v>1</v>
      </c>
      <c r="M366" s="45">
        <v>4.7300000000000004</v>
      </c>
      <c r="N366" s="45">
        <v>94.600000000000009</v>
      </c>
    </row>
    <row r="367" spans="1:14" x14ac:dyDescent="0.25">
      <c r="A367" s="44" t="s">
        <v>628</v>
      </c>
      <c r="B367" s="45" t="s">
        <v>434</v>
      </c>
      <c r="C367" s="45" t="s">
        <v>575</v>
      </c>
      <c r="D367" s="45" t="s">
        <v>69</v>
      </c>
      <c r="E367" s="45" t="s">
        <v>70</v>
      </c>
      <c r="F367" s="45" t="s">
        <v>361</v>
      </c>
      <c r="G367" s="45" t="s">
        <v>71</v>
      </c>
      <c r="H367" s="45" t="s">
        <v>83</v>
      </c>
      <c r="I367" s="45">
        <v>1.81</v>
      </c>
      <c r="J367" s="45">
        <v>0.99</v>
      </c>
      <c r="K367" s="45">
        <v>1</v>
      </c>
      <c r="L367" s="45">
        <v>1</v>
      </c>
      <c r="M367" s="45">
        <v>4.8</v>
      </c>
      <c r="N367" s="45">
        <v>96</v>
      </c>
    </row>
    <row r="368" spans="1:14" x14ac:dyDescent="0.25">
      <c r="A368" s="44" t="s">
        <v>628</v>
      </c>
      <c r="B368" s="45" t="s">
        <v>436</v>
      </c>
      <c r="C368" s="45" t="s">
        <v>706</v>
      </c>
      <c r="D368" s="45" t="s">
        <v>76</v>
      </c>
      <c r="E368" s="45" t="s">
        <v>70</v>
      </c>
      <c r="F368" s="45" t="s">
        <v>331</v>
      </c>
      <c r="G368" s="45" t="s">
        <v>340</v>
      </c>
      <c r="H368" s="46" t="s">
        <v>93</v>
      </c>
      <c r="I368" s="45">
        <v>1.64</v>
      </c>
      <c r="J368" s="45">
        <v>1</v>
      </c>
      <c r="K368" s="45">
        <v>1</v>
      </c>
      <c r="L368" s="45">
        <v>0.79</v>
      </c>
      <c r="M368" s="45">
        <v>4.43</v>
      </c>
      <c r="N368" s="45">
        <v>88.6</v>
      </c>
    </row>
    <row r="369" spans="1:14" x14ac:dyDescent="0.25">
      <c r="A369" s="44" t="s">
        <v>628</v>
      </c>
      <c r="B369" s="45" t="s">
        <v>437</v>
      </c>
      <c r="C369" s="45" t="s">
        <v>578</v>
      </c>
      <c r="D369" s="45" t="s">
        <v>69</v>
      </c>
      <c r="E369" s="45" t="s">
        <v>70</v>
      </c>
      <c r="F369" s="45" t="s">
        <v>331</v>
      </c>
      <c r="G369" s="45" t="s">
        <v>73</v>
      </c>
      <c r="H369" s="45" t="s">
        <v>83</v>
      </c>
      <c r="I369" s="45">
        <v>1.82</v>
      </c>
      <c r="J369" s="45">
        <v>1</v>
      </c>
      <c r="K369" s="45">
        <v>0.82</v>
      </c>
      <c r="L369" s="45">
        <v>1</v>
      </c>
      <c r="M369" s="45">
        <v>4.6400000000000006</v>
      </c>
      <c r="N369" s="45">
        <v>92.800000000000011</v>
      </c>
    </row>
    <row r="370" spans="1:14" x14ac:dyDescent="0.25">
      <c r="A370" s="44" t="s">
        <v>628</v>
      </c>
      <c r="B370" s="45" t="s">
        <v>652</v>
      </c>
      <c r="C370" s="45" t="s">
        <v>707</v>
      </c>
      <c r="D370" s="45" t="s">
        <v>69</v>
      </c>
      <c r="E370" s="45" t="s">
        <v>70</v>
      </c>
      <c r="F370" s="45" t="s">
        <v>423</v>
      </c>
      <c r="G370" s="45" t="s">
        <v>73</v>
      </c>
      <c r="H370" s="45" t="s">
        <v>93</v>
      </c>
      <c r="I370" s="45">
        <v>1.82</v>
      </c>
      <c r="J370" s="45">
        <v>0</v>
      </c>
      <c r="K370" s="45">
        <v>0.86</v>
      </c>
      <c r="L370" s="45">
        <v>1</v>
      </c>
      <c r="M370" s="45">
        <v>3.68</v>
      </c>
      <c r="N370" s="45">
        <v>73.599999999999994</v>
      </c>
    </row>
    <row r="371" spans="1:14" x14ac:dyDescent="0.25">
      <c r="A371" s="44" t="s">
        <v>628</v>
      </c>
      <c r="B371" s="45" t="s">
        <v>439</v>
      </c>
      <c r="C371" s="45" t="s">
        <v>579</v>
      </c>
      <c r="D371" s="45" t="s">
        <v>69</v>
      </c>
      <c r="E371" s="45" t="s">
        <v>70</v>
      </c>
      <c r="F371" s="45" t="s">
        <v>331</v>
      </c>
      <c r="G371" s="45" t="s">
        <v>71</v>
      </c>
      <c r="H371" s="46" t="s">
        <v>83</v>
      </c>
      <c r="I371" s="45">
        <v>1.85</v>
      </c>
      <c r="J371" s="45">
        <v>1</v>
      </c>
      <c r="K371" s="45">
        <v>0.97</v>
      </c>
      <c r="L371" s="45">
        <v>0.97</v>
      </c>
      <c r="M371" s="45">
        <v>4.79</v>
      </c>
      <c r="N371" s="45">
        <v>95.8</v>
      </c>
    </row>
    <row r="372" spans="1:14" x14ac:dyDescent="0.25">
      <c r="A372" s="44" t="s">
        <v>628</v>
      </c>
      <c r="B372" s="45" t="s">
        <v>440</v>
      </c>
      <c r="C372" s="45" t="s">
        <v>580</v>
      </c>
      <c r="D372" s="45" t="s">
        <v>76</v>
      </c>
      <c r="E372" s="45" t="s">
        <v>70</v>
      </c>
      <c r="F372" s="45" t="s">
        <v>331</v>
      </c>
      <c r="G372" s="45" t="s">
        <v>71</v>
      </c>
      <c r="H372" s="45" t="s">
        <v>93</v>
      </c>
      <c r="I372" s="45">
        <v>1.71</v>
      </c>
      <c r="J372" s="45">
        <v>1</v>
      </c>
      <c r="K372" s="45">
        <v>1</v>
      </c>
      <c r="L372" s="45">
        <v>1</v>
      </c>
      <c r="M372" s="45">
        <v>4.71</v>
      </c>
      <c r="N372" s="45">
        <v>94.2</v>
      </c>
    </row>
    <row r="373" spans="1:14" x14ac:dyDescent="0.25">
      <c r="A373" s="44" t="s">
        <v>628</v>
      </c>
      <c r="B373" s="45" t="s">
        <v>581</v>
      </c>
      <c r="C373" s="45" t="s">
        <v>582</v>
      </c>
      <c r="D373" s="45" t="s">
        <v>69</v>
      </c>
      <c r="E373" s="45" t="s">
        <v>70</v>
      </c>
      <c r="F373" s="45" t="s">
        <v>331</v>
      </c>
      <c r="G373" s="45" t="s">
        <v>71</v>
      </c>
      <c r="H373" s="45" t="s">
        <v>733</v>
      </c>
      <c r="I373" s="45">
        <v>1.8</v>
      </c>
      <c r="J373" s="45">
        <v>0.96</v>
      </c>
      <c r="K373" s="45">
        <v>0.94</v>
      </c>
      <c r="L373" s="45">
        <v>1</v>
      </c>
      <c r="M373" s="45">
        <v>4.6999999999999993</v>
      </c>
      <c r="N373" s="45">
        <v>93.999999999999986</v>
      </c>
    </row>
    <row r="374" spans="1:14" x14ac:dyDescent="0.25">
      <c r="A374" s="44" t="s">
        <v>628</v>
      </c>
      <c r="B374" s="45" t="s">
        <v>442</v>
      </c>
      <c r="C374" s="45" t="s">
        <v>708</v>
      </c>
      <c r="D374" s="45" t="s">
        <v>69</v>
      </c>
      <c r="E374" s="45" t="s">
        <v>70</v>
      </c>
      <c r="F374" s="45" t="s">
        <v>331</v>
      </c>
      <c r="G374" s="45" t="s">
        <v>71</v>
      </c>
      <c r="H374" s="45" t="s">
        <v>93</v>
      </c>
      <c r="I374" s="45">
        <v>1.76</v>
      </c>
      <c r="J374" s="45">
        <v>1</v>
      </c>
      <c r="K374" s="45">
        <v>0.94</v>
      </c>
      <c r="L374" s="45">
        <v>1</v>
      </c>
      <c r="M374" s="45">
        <v>4.6999999999999993</v>
      </c>
      <c r="N374" s="45">
        <v>93.999999999999986</v>
      </c>
    </row>
    <row r="375" spans="1:14" x14ac:dyDescent="0.25">
      <c r="A375" s="44" t="s">
        <v>628</v>
      </c>
      <c r="B375" s="45" t="s">
        <v>443</v>
      </c>
      <c r="C375" s="45" t="s">
        <v>583</v>
      </c>
      <c r="D375" s="45" t="s">
        <v>69</v>
      </c>
      <c r="E375" s="45" t="s">
        <v>70</v>
      </c>
      <c r="F375" s="45" t="s">
        <v>331</v>
      </c>
      <c r="G375" s="45" t="s">
        <v>73</v>
      </c>
      <c r="H375" s="45" t="s">
        <v>344</v>
      </c>
      <c r="I375" s="45">
        <v>1.82</v>
      </c>
      <c r="J375" s="45">
        <v>0</v>
      </c>
      <c r="K375" s="45">
        <v>0.97</v>
      </c>
      <c r="L375" s="45">
        <v>1</v>
      </c>
      <c r="M375" s="45">
        <v>3.79</v>
      </c>
      <c r="N375" s="45">
        <v>75.8</v>
      </c>
    </row>
    <row r="376" spans="1:14" x14ac:dyDescent="0.25">
      <c r="A376" s="44" t="s">
        <v>628</v>
      </c>
      <c r="B376" s="45" t="s">
        <v>653</v>
      </c>
      <c r="C376" s="45" t="s">
        <v>709</v>
      </c>
      <c r="D376" s="45" t="s">
        <v>69</v>
      </c>
      <c r="E376" s="45" t="s">
        <v>70</v>
      </c>
      <c r="F376" s="45" t="s">
        <v>331</v>
      </c>
      <c r="G376" s="45" t="s">
        <v>71</v>
      </c>
      <c r="H376" s="45" t="s">
        <v>368</v>
      </c>
      <c r="I376" s="45">
        <v>1.91</v>
      </c>
      <c r="J376" s="45">
        <v>1</v>
      </c>
      <c r="K376" s="45">
        <v>1</v>
      </c>
      <c r="L376" s="45">
        <v>0.97</v>
      </c>
      <c r="M376" s="45">
        <v>4.88</v>
      </c>
      <c r="N376" s="45">
        <v>97.6</v>
      </c>
    </row>
    <row r="377" spans="1:14" x14ac:dyDescent="0.25">
      <c r="A377" s="44" t="s">
        <v>628</v>
      </c>
      <c r="B377" s="45" t="s">
        <v>654</v>
      </c>
      <c r="C377" s="45" t="s">
        <v>710</v>
      </c>
      <c r="D377" s="45" t="s">
        <v>69</v>
      </c>
      <c r="E377" s="45" t="s">
        <v>70</v>
      </c>
      <c r="F377" s="45" t="s">
        <v>331</v>
      </c>
      <c r="G377" s="45" t="s">
        <v>73</v>
      </c>
      <c r="H377" s="45" t="s">
        <v>72</v>
      </c>
      <c r="I377" s="45">
        <v>1.66</v>
      </c>
      <c r="J377" s="45">
        <v>0</v>
      </c>
      <c r="K377" s="45">
        <v>1</v>
      </c>
      <c r="L377" s="45">
        <v>1</v>
      </c>
      <c r="M377" s="45">
        <v>3.66</v>
      </c>
      <c r="N377" s="45">
        <v>73.2</v>
      </c>
    </row>
    <row r="378" spans="1:14" x14ac:dyDescent="0.25">
      <c r="A378" s="44" t="s">
        <v>628</v>
      </c>
      <c r="B378" s="45" t="s">
        <v>444</v>
      </c>
      <c r="C378" s="45" t="s">
        <v>584</v>
      </c>
      <c r="D378" s="45" t="s">
        <v>69</v>
      </c>
      <c r="E378" s="45" t="s">
        <v>70</v>
      </c>
      <c r="F378" s="45" t="s">
        <v>331</v>
      </c>
      <c r="G378" s="45" t="s">
        <v>71</v>
      </c>
      <c r="H378" s="45" t="s">
        <v>93</v>
      </c>
      <c r="I378" s="45">
        <v>1.51</v>
      </c>
      <c r="J378" s="45">
        <v>1</v>
      </c>
      <c r="K378" s="45">
        <v>1</v>
      </c>
      <c r="L378" s="45">
        <v>1</v>
      </c>
      <c r="M378" s="45">
        <v>4.51</v>
      </c>
      <c r="N378" s="45">
        <v>90.2</v>
      </c>
    </row>
    <row r="379" spans="1:14" x14ac:dyDescent="0.25">
      <c r="A379" s="44" t="s">
        <v>628</v>
      </c>
      <c r="B379" s="45" t="s">
        <v>446</v>
      </c>
      <c r="C379" s="45" t="s">
        <v>586</v>
      </c>
      <c r="D379" s="45" t="s">
        <v>69</v>
      </c>
      <c r="E379" s="45" t="s">
        <v>70</v>
      </c>
      <c r="F379" s="45" t="s">
        <v>331</v>
      </c>
      <c r="G379" s="45" t="s">
        <v>73</v>
      </c>
      <c r="H379" s="46" t="s">
        <v>356</v>
      </c>
      <c r="I379" s="45">
        <v>1.86</v>
      </c>
      <c r="J379" s="45">
        <v>1</v>
      </c>
      <c r="K379" s="45">
        <v>1</v>
      </c>
      <c r="L379" s="45">
        <v>0.8</v>
      </c>
      <c r="M379" s="45">
        <v>4.66</v>
      </c>
      <c r="N379" s="45">
        <v>93.2</v>
      </c>
    </row>
    <row r="380" spans="1:14" x14ac:dyDescent="0.25">
      <c r="A380" s="44" t="s">
        <v>628</v>
      </c>
      <c r="B380" s="45" t="s">
        <v>448</v>
      </c>
      <c r="C380" s="45" t="s">
        <v>587</v>
      </c>
      <c r="D380" s="45" t="s">
        <v>69</v>
      </c>
      <c r="E380" s="45" t="s">
        <v>70</v>
      </c>
      <c r="F380" s="45" t="s">
        <v>331</v>
      </c>
      <c r="G380" s="45" t="s">
        <v>71</v>
      </c>
      <c r="H380" s="45" t="s">
        <v>83</v>
      </c>
      <c r="I380" s="45">
        <v>1.41</v>
      </c>
      <c r="J380" s="45">
        <v>1</v>
      </c>
      <c r="K380" s="45">
        <v>0.97</v>
      </c>
      <c r="L380" s="45">
        <v>1</v>
      </c>
      <c r="M380" s="45">
        <v>4.38</v>
      </c>
      <c r="N380" s="45">
        <v>87.6</v>
      </c>
    </row>
    <row r="381" spans="1:14" x14ac:dyDescent="0.25">
      <c r="A381" s="44" t="s">
        <v>628</v>
      </c>
      <c r="B381" s="45" t="s">
        <v>449</v>
      </c>
      <c r="C381" s="45" t="s">
        <v>588</v>
      </c>
      <c r="D381" s="45" t="s">
        <v>69</v>
      </c>
      <c r="E381" s="45" t="s">
        <v>70</v>
      </c>
      <c r="F381" s="45" t="s">
        <v>331</v>
      </c>
      <c r="G381" s="45" t="s">
        <v>71</v>
      </c>
      <c r="H381" s="45" t="s">
        <v>93</v>
      </c>
      <c r="I381" s="45">
        <v>1.72</v>
      </c>
      <c r="J381" s="45">
        <v>1</v>
      </c>
      <c r="K381" s="45">
        <v>1</v>
      </c>
      <c r="L381" s="45">
        <v>1</v>
      </c>
      <c r="M381" s="45">
        <v>4.72</v>
      </c>
      <c r="N381" s="45">
        <v>94.4</v>
      </c>
    </row>
    <row r="382" spans="1:14" x14ac:dyDescent="0.25">
      <c r="A382" s="44" t="s">
        <v>628</v>
      </c>
      <c r="B382" s="45" t="s">
        <v>655</v>
      </c>
      <c r="C382" s="45" t="s">
        <v>711</v>
      </c>
      <c r="D382" s="45" t="s">
        <v>69</v>
      </c>
      <c r="E382" s="45" t="s">
        <v>70</v>
      </c>
      <c r="F382" s="45" t="s">
        <v>331</v>
      </c>
      <c r="G382" s="45" t="s">
        <v>73</v>
      </c>
      <c r="H382" s="45" t="s">
        <v>344</v>
      </c>
      <c r="I382" s="45">
        <v>2</v>
      </c>
      <c r="J382" s="45">
        <v>0</v>
      </c>
      <c r="K382" s="45">
        <v>1</v>
      </c>
      <c r="L382" s="45">
        <v>1</v>
      </c>
      <c r="M382" s="45">
        <v>4</v>
      </c>
      <c r="N382" s="45">
        <v>80</v>
      </c>
    </row>
    <row r="383" spans="1:14" x14ac:dyDescent="0.25">
      <c r="A383" s="44" t="s">
        <v>628</v>
      </c>
      <c r="B383" s="45" t="s">
        <v>451</v>
      </c>
      <c r="C383" s="45" t="s">
        <v>590</v>
      </c>
      <c r="D383" s="45" t="s">
        <v>76</v>
      </c>
      <c r="E383" s="45" t="s">
        <v>70</v>
      </c>
      <c r="F383" s="45" t="s">
        <v>361</v>
      </c>
      <c r="G383" s="45" t="s">
        <v>71</v>
      </c>
      <c r="H383" s="45" t="s">
        <v>368</v>
      </c>
      <c r="I383" s="45">
        <v>1.84</v>
      </c>
      <c r="J383" s="45">
        <v>1</v>
      </c>
      <c r="K383" s="45">
        <v>1</v>
      </c>
      <c r="L383" s="45">
        <v>1</v>
      </c>
      <c r="M383" s="45">
        <v>4.84</v>
      </c>
      <c r="N383" s="45">
        <v>96.8</v>
      </c>
    </row>
    <row r="384" spans="1:14" x14ac:dyDescent="0.25">
      <c r="A384" s="44" t="s">
        <v>628</v>
      </c>
      <c r="B384" s="50" t="s">
        <v>656</v>
      </c>
      <c r="C384" s="45" t="s">
        <v>712</v>
      </c>
      <c r="D384" s="45" t="s">
        <v>76</v>
      </c>
      <c r="E384" s="45" t="s">
        <v>70</v>
      </c>
      <c r="F384" s="45" t="s">
        <v>331</v>
      </c>
      <c r="G384" s="45" t="s">
        <v>71</v>
      </c>
      <c r="H384" s="45" t="s">
        <v>344</v>
      </c>
      <c r="I384" s="45">
        <v>1.78</v>
      </c>
      <c r="J384" s="45">
        <v>1</v>
      </c>
      <c r="K384" s="45">
        <v>1</v>
      </c>
      <c r="L384" s="45">
        <v>1</v>
      </c>
      <c r="M384" s="45">
        <v>4.78</v>
      </c>
      <c r="N384" s="45">
        <v>95.6</v>
      </c>
    </row>
    <row r="385" spans="1:14" x14ac:dyDescent="0.25">
      <c r="A385" s="44" t="s">
        <v>628</v>
      </c>
      <c r="B385" s="45" t="s">
        <v>657</v>
      </c>
      <c r="C385" s="45" t="s">
        <v>713</v>
      </c>
      <c r="D385" s="45" t="s">
        <v>76</v>
      </c>
      <c r="E385" s="45" t="s">
        <v>70</v>
      </c>
      <c r="F385" s="45" t="s">
        <v>331</v>
      </c>
      <c r="G385" s="45" t="s">
        <v>73</v>
      </c>
      <c r="H385" s="45" t="s">
        <v>345</v>
      </c>
      <c r="I385" s="45">
        <v>1.93</v>
      </c>
      <c r="J385" s="45">
        <v>0.91</v>
      </c>
      <c r="K385" s="45">
        <v>0.94</v>
      </c>
      <c r="L385" s="45">
        <v>1</v>
      </c>
      <c r="M385" s="45">
        <v>4.7799999999999994</v>
      </c>
      <c r="N385" s="45">
        <v>95.6</v>
      </c>
    </row>
    <row r="386" spans="1:14" x14ac:dyDescent="0.25">
      <c r="A386" s="44" t="s">
        <v>628</v>
      </c>
      <c r="B386" s="45" t="s">
        <v>453</v>
      </c>
      <c r="C386" s="45" t="s">
        <v>592</v>
      </c>
      <c r="D386" s="45" t="s">
        <v>76</v>
      </c>
      <c r="E386" s="45" t="s">
        <v>70</v>
      </c>
      <c r="F386" s="45" t="s">
        <v>331</v>
      </c>
      <c r="G386" s="45" t="s">
        <v>73</v>
      </c>
      <c r="H386" s="45" t="s">
        <v>93</v>
      </c>
      <c r="I386" s="45">
        <v>1.82</v>
      </c>
      <c r="J386" s="45">
        <v>1</v>
      </c>
      <c r="K386" s="45">
        <v>0.89</v>
      </c>
      <c r="L386" s="45">
        <v>0.91</v>
      </c>
      <c r="M386" s="45">
        <v>4.62</v>
      </c>
      <c r="N386" s="45">
        <v>92.4</v>
      </c>
    </row>
    <row r="387" spans="1:14" x14ac:dyDescent="0.25">
      <c r="A387" s="44" t="s">
        <v>628</v>
      </c>
      <c r="B387" s="45" t="s">
        <v>454</v>
      </c>
      <c r="C387" s="45" t="s">
        <v>593</v>
      </c>
      <c r="D387" s="45" t="s">
        <v>69</v>
      </c>
      <c r="E387" s="45" t="s">
        <v>70</v>
      </c>
      <c r="F387" s="45" t="s">
        <v>331</v>
      </c>
      <c r="G387" s="45" t="s">
        <v>71</v>
      </c>
      <c r="H387" s="45" t="s">
        <v>104</v>
      </c>
      <c r="I387" s="45">
        <v>1.65</v>
      </c>
      <c r="J387" s="45">
        <v>0.99</v>
      </c>
      <c r="K387" s="45">
        <v>0.77</v>
      </c>
      <c r="L387" s="45">
        <v>1</v>
      </c>
      <c r="M387" s="45">
        <v>4.41</v>
      </c>
      <c r="N387" s="45">
        <v>88.2</v>
      </c>
    </row>
    <row r="388" spans="1:14" x14ac:dyDescent="0.25">
      <c r="A388" s="44" t="s">
        <v>628</v>
      </c>
      <c r="B388" s="45" t="s">
        <v>658</v>
      </c>
      <c r="C388" s="45" t="s">
        <v>714</v>
      </c>
      <c r="D388" s="45" t="s">
        <v>76</v>
      </c>
      <c r="E388" s="45" t="s">
        <v>70</v>
      </c>
      <c r="F388" s="45" t="s">
        <v>423</v>
      </c>
      <c r="G388" s="45" t="s">
        <v>71</v>
      </c>
      <c r="H388" s="45" t="s">
        <v>93</v>
      </c>
      <c r="I388" s="45">
        <v>1.89</v>
      </c>
      <c r="J388" s="45">
        <v>0</v>
      </c>
      <c r="K388" s="45">
        <v>1</v>
      </c>
      <c r="L388" s="45">
        <v>1</v>
      </c>
      <c r="M388" s="45">
        <v>3.8899999999999997</v>
      </c>
      <c r="N388" s="45">
        <v>77.799999999999983</v>
      </c>
    </row>
    <row r="389" spans="1:14" x14ac:dyDescent="0.25">
      <c r="A389" s="44" t="s">
        <v>628</v>
      </c>
      <c r="B389" s="45" t="s">
        <v>659</v>
      </c>
      <c r="C389" s="45" t="s">
        <v>715</v>
      </c>
      <c r="D389" s="45" t="s">
        <v>76</v>
      </c>
      <c r="E389" s="45" t="s">
        <v>70</v>
      </c>
      <c r="F389" s="45" t="s">
        <v>331</v>
      </c>
      <c r="G389" s="45" t="s">
        <v>73</v>
      </c>
      <c r="H389" s="45" t="s">
        <v>339</v>
      </c>
      <c r="I389" s="45">
        <v>2</v>
      </c>
      <c r="J389" s="45">
        <v>1</v>
      </c>
      <c r="K389" s="45">
        <v>0.97</v>
      </c>
      <c r="L389" s="45">
        <v>0.97</v>
      </c>
      <c r="M389" s="45">
        <v>4.9399999999999995</v>
      </c>
      <c r="N389" s="45">
        <v>98.799999999999983</v>
      </c>
    </row>
    <row r="390" spans="1:14" x14ac:dyDescent="0.25">
      <c r="A390" s="44" t="s">
        <v>628</v>
      </c>
      <c r="B390" s="45" t="s">
        <v>319</v>
      </c>
      <c r="C390" s="45" t="s">
        <v>594</v>
      </c>
      <c r="D390" s="45" t="s">
        <v>76</v>
      </c>
      <c r="E390" s="45" t="s">
        <v>70</v>
      </c>
      <c r="F390" s="45" t="s">
        <v>331</v>
      </c>
      <c r="G390" s="45" t="s">
        <v>71</v>
      </c>
      <c r="H390" s="46" t="s">
        <v>93</v>
      </c>
      <c r="I390" s="45">
        <v>1.79</v>
      </c>
      <c r="J390" s="45">
        <v>0.92</v>
      </c>
      <c r="K390" s="45">
        <v>1</v>
      </c>
      <c r="L390" s="45">
        <v>0.93</v>
      </c>
      <c r="M390" s="45">
        <v>4.6399999999999997</v>
      </c>
      <c r="N390" s="45">
        <v>92.799999999999983</v>
      </c>
    </row>
    <row r="391" spans="1:14" x14ac:dyDescent="0.25">
      <c r="A391" s="44" t="s">
        <v>628</v>
      </c>
      <c r="B391" s="45" t="s">
        <v>660</v>
      </c>
      <c r="C391" s="45" t="s">
        <v>716</v>
      </c>
      <c r="D391" s="45" t="s">
        <v>69</v>
      </c>
      <c r="E391" s="45" t="s">
        <v>70</v>
      </c>
      <c r="F391" s="45" t="s">
        <v>331</v>
      </c>
      <c r="G391" s="45" t="s">
        <v>73</v>
      </c>
      <c r="H391" s="45" t="s">
        <v>72</v>
      </c>
      <c r="I391" s="45">
        <v>1.88</v>
      </c>
      <c r="J391" s="45">
        <v>1</v>
      </c>
      <c r="K391" s="45">
        <v>1</v>
      </c>
      <c r="L391" s="45">
        <v>1</v>
      </c>
      <c r="M391" s="45">
        <v>4.88</v>
      </c>
      <c r="N391" s="45">
        <v>97.6</v>
      </c>
    </row>
    <row r="392" spans="1:14" x14ac:dyDescent="0.25">
      <c r="A392" s="44" t="s">
        <v>628</v>
      </c>
      <c r="B392" s="45" t="s">
        <v>661</v>
      </c>
      <c r="C392" s="45" t="s">
        <v>717</v>
      </c>
      <c r="D392" s="45" t="s">
        <v>69</v>
      </c>
      <c r="E392" s="45" t="s">
        <v>70</v>
      </c>
      <c r="F392" s="45" t="s">
        <v>423</v>
      </c>
      <c r="G392" s="45" t="s">
        <v>73</v>
      </c>
      <c r="H392" s="45" t="s">
        <v>93</v>
      </c>
      <c r="I392" s="45">
        <v>1.8</v>
      </c>
      <c r="J392" s="45">
        <v>0</v>
      </c>
      <c r="K392" s="45">
        <v>0.84</v>
      </c>
      <c r="L392" s="45">
        <v>1</v>
      </c>
      <c r="M392" s="45">
        <v>3.64</v>
      </c>
      <c r="N392" s="45">
        <v>72.8</v>
      </c>
    </row>
    <row r="393" spans="1:14" x14ac:dyDescent="0.25">
      <c r="A393" s="44" t="s">
        <v>628</v>
      </c>
      <c r="B393" s="45" t="s">
        <v>457</v>
      </c>
      <c r="C393" s="45" t="s">
        <v>595</v>
      </c>
      <c r="D393" s="45" t="s">
        <v>69</v>
      </c>
      <c r="E393" s="45" t="s">
        <v>70</v>
      </c>
      <c r="F393" s="45" t="s">
        <v>331</v>
      </c>
      <c r="G393" s="45" t="s">
        <v>73</v>
      </c>
      <c r="H393" s="45" t="s">
        <v>83</v>
      </c>
      <c r="I393" s="45">
        <v>1.77</v>
      </c>
      <c r="J393" s="45">
        <v>1</v>
      </c>
      <c r="K393" s="45">
        <v>1</v>
      </c>
      <c r="L393" s="45">
        <v>1</v>
      </c>
      <c r="M393" s="45">
        <v>4.7699999999999996</v>
      </c>
      <c r="N393" s="45">
        <v>95.399999999999991</v>
      </c>
    </row>
    <row r="394" spans="1:14" x14ac:dyDescent="0.25">
      <c r="A394" s="44" t="s">
        <v>628</v>
      </c>
      <c r="B394" s="45" t="s">
        <v>459</v>
      </c>
      <c r="C394" s="45" t="s">
        <v>597</v>
      </c>
      <c r="D394" s="45" t="s">
        <v>76</v>
      </c>
      <c r="E394" s="45" t="s">
        <v>70</v>
      </c>
      <c r="F394" s="45" t="s">
        <v>331</v>
      </c>
      <c r="G394" s="45" t="s">
        <v>73</v>
      </c>
      <c r="H394" s="45" t="s">
        <v>345</v>
      </c>
      <c r="I394" s="45">
        <v>1.57</v>
      </c>
      <c r="J394" s="45">
        <v>1</v>
      </c>
      <c r="K394" s="45">
        <v>0.94</v>
      </c>
      <c r="L394" s="45">
        <v>1</v>
      </c>
      <c r="M394" s="45">
        <v>4.51</v>
      </c>
      <c r="N394" s="45">
        <v>90.2</v>
      </c>
    </row>
    <row r="395" spans="1:14" x14ac:dyDescent="0.25">
      <c r="A395" s="44" t="s">
        <v>628</v>
      </c>
      <c r="B395" s="45" t="s">
        <v>662</v>
      </c>
      <c r="C395" s="45" t="s">
        <v>718</v>
      </c>
      <c r="D395" s="45" t="s">
        <v>76</v>
      </c>
      <c r="E395" s="45" t="s">
        <v>70</v>
      </c>
      <c r="F395" s="45" t="s">
        <v>331</v>
      </c>
      <c r="G395" s="45" t="s">
        <v>71</v>
      </c>
      <c r="H395" s="45" t="s">
        <v>733</v>
      </c>
      <c r="I395" s="45">
        <v>1.77</v>
      </c>
      <c r="J395" s="45">
        <v>0.99</v>
      </c>
      <c r="K395" s="45">
        <v>1</v>
      </c>
      <c r="L395" s="45">
        <v>1</v>
      </c>
      <c r="M395" s="45">
        <v>4.76</v>
      </c>
      <c r="N395" s="45">
        <v>95.2</v>
      </c>
    </row>
    <row r="396" spans="1:14" x14ac:dyDescent="0.25">
      <c r="A396" s="44" t="s">
        <v>628</v>
      </c>
      <c r="B396" s="45" t="s">
        <v>602</v>
      </c>
      <c r="C396" s="45" t="s">
        <v>603</v>
      </c>
      <c r="D396" s="45" t="s">
        <v>69</v>
      </c>
      <c r="E396" s="45" t="s">
        <v>70</v>
      </c>
      <c r="F396" s="45" t="s">
        <v>331</v>
      </c>
      <c r="G396" s="45" t="s">
        <v>71</v>
      </c>
      <c r="H396" s="45" t="s">
        <v>362</v>
      </c>
      <c r="I396" s="45">
        <v>1.78</v>
      </c>
      <c r="J396" s="45">
        <v>1</v>
      </c>
      <c r="K396" s="45">
        <v>0.97</v>
      </c>
      <c r="L396" s="45">
        <v>0.72</v>
      </c>
      <c r="M396" s="45">
        <v>4.47</v>
      </c>
      <c r="N396" s="45">
        <v>89.4</v>
      </c>
    </row>
    <row r="397" spans="1:14" x14ac:dyDescent="0.25">
      <c r="A397" s="44" t="s">
        <v>628</v>
      </c>
      <c r="B397" s="45" t="s">
        <v>465</v>
      </c>
      <c r="C397" s="45" t="s">
        <v>605</v>
      </c>
      <c r="D397" s="45" t="s">
        <v>76</v>
      </c>
      <c r="E397" s="45" t="s">
        <v>70</v>
      </c>
      <c r="F397" s="45" t="s">
        <v>331</v>
      </c>
      <c r="G397" s="45" t="s">
        <v>71</v>
      </c>
      <c r="H397" s="45" t="s">
        <v>356</v>
      </c>
      <c r="I397" s="45">
        <v>1.63</v>
      </c>
      <c r="J397" s="45">
        <v>0.8</v>
      </c>
      <c r="K397" s="45">
        <v>0.91</v>
      </c>
      <c r="L397" s="45">
        <v>0.92</v>
      </c>
      <c r="M397" s="45">
        <v>4.26</v>
      </c>
      <c r="N397" s="45">
        <v>85.2</v>
      </c>
    </row>
    <row r="398" spans="1:14" x14ac:dyDescent="0.25">
      <c r="A398" s="44" t="s">
        <v>628</v>
      </c>
      <c r="B398" s="45" t="s">
        <v>466</v>
      </c>
      <c r="C398" s="45" t="s">
        <v>606</v>
      </c>
      <c r="D398" s="45" t="s">
        <v>69</v>
      </c>
      <c r="E398" s="45" t="s">
        <v>70</v>
      </c>
      <c r="F398" s="45" t="s">
        <v>361</v>
      </c>
      <c r="G398" s="45" t="s">
        <v>71</v>
      </c>
      <c r="H398" s="45" t="s">
        <v>83</v>
      </c>
      <c r="I398" s="45">
        <v>1.4</v>
      </c>
      <c r="J398" s="45">
        <v>1</v>
      </c>
      <c r="K398" s="45">
        <v>0.98</v>
      </c>
      <c r="L398" s="45">
        <v>0.85</v>
      </c>
      <c r="M398" s="45">
        <v>4.2299999999999995</v>
      </c>
      <c r="N398" s="45">
        <v>84.6</v>
      </c>
    </row>
    <row r="399" spans="1:14" x14ac:dyDescent="0.25">
      <c r="A399" s="44" t="s">
        <v>628</v>
      </c>
      <c r="B399" s="45" t="s">
        <v>467</v>
      </c>
      <c r="C399" s="45" t="s">
        <v>607</v>
      </c>
      <c r="D399" s="45" t="s">
        <v>69</v>
      </c>
      <c r="E399" s="45" t="s">
        <v>70</v>
      </c>
      <c r="F399" s="45" t="s">
        <v>331</v>
      </c>
      <c r="G399" s="45" t="s">
        <v>71</v>
      </c>
      <c r="H399" s="45" t="s">
        <v>356</v>
      </c>
      <c r="I399" s="45">
        <v>1.88</v>
      </c>
      <c r="J399" s="45">
        <v>1</v>
      </c>
      <c r="K399" s="45">
        <v>1</v>
      </c>
      <c r="L399" s="45">
        <v>0.79</v>
      </c>
      <c r="M399" s="45">
        <v>4.67</v>
      </c>
      <c r="N399" s="45">
        <v>93.4</v>
      </c>
    </row>
    <row r="400" spans="1:14" x14ac:dyDescent="0.25">
      <c r="A400" s="44" t="s">
        <v>628</v>
      </c>
      <c r="B400" s="45" t="s">
        <v>468</v>
      </c>
      <c r="C400" s="45" t="s">
        <v>608</v>
      </c>
      <c r="D400" s="45" t="s">
        <v>69</v>
      </c>
      <c r="E400" s="45" t="s">
        <v>70</v>
      </c>
      <c r="F400" s="45" t="s">
        <v>331</v>
      </c>
      <c r="G400" s="45" t="s">
        <v>71</v>
      </c>
      <c r="H400" s="45" t="s">
        <v>344</v>
      </c>
      <c r="I400" s="45">
        <v>1.76</v>
      </c>
      <c r="J400" s="45">
        <v>0.99</v>
      </c>
      <c r="K400" s="45">
        <v>1</v>
      </c>
      <c r="L400" s="45">
        <v>1</v>
      </c>
      <c r="M400" s="45">
        <v>4.75</v>
      </c>
      <c r="N400" s="45">
        <v>95</v>
      </c>
    </row>
    <row r="401" spans="1:14" x14ac:dyDescent="0.25">
      <c r="A401" s="44" t="s">
        <v>628</v>
      </c>
      <c r="B401" s="45" t="s">
        <v>469</v>
      </c>
      <c r="C401" s="45" t="s">
        <v>609</v>
      </c>
      <c r="D401" s="45" t="s">
        <v>76</v>
      </c>
      <c r="E401" s="45" t="s">
        <v>70</v>
      </c>
      <c r="F401" s="45" t="s">
        <v>331</v>
      </c>
      <c r="G401" s="45" t="s">
        <v>71</v>
      </c>
      <c r="H401" s="45" t="s">
        <v>104</v>
      </c>
      <c r="I401" s="45">
        <v>1.61</v>
      </c>
      <c r="J401" s="45">
        <v>1</v>
      </c>
      <c r="K401" s="45">
        <v>0.97</v>
      </c>
      <c r="L401" s="45">
        <v>0.96</v>
      </c>
      <c r="M401" s="45">
        <v>4.54</v>
      </c>
      <c r="N401" s="45">
        <v>90.8</v>
      </c>
    </row>
    <row r="402" spans="1:14" x14ac:dyDescent="0.25">
      <c r="A402" s="44" t="s">
        <v>628</v>
      </c>
      <c r="B402" s="45" t="s">
        <v>470</v>
      </c>
      <c r="C402" s="45" t="s">
        <v>719</v>
      </c>
      <c r="D402" s="45" t="s">
        <v>76</v>
      </c>
      <c r="E402" s="45" t="s">
        <v>70</v>
      </c>
      <c r="F402" s="45" t="s">
        <v>331</v>
      </c>
      <c r="G402" s="45" t="s">
        <v>71</v>
      </c>
      <c r="H402" s="45" t="s">
        <v>362</v>
      </c>
      <c r="I402" s="45">
        <v>1.69</v>
      </c>
      <c r="J402" s="45">
        <v>1</v>
      </c>
      <c r="K402" s="45">
        <v>0.97</v>
      </c>
      <c r="L402" s="45">
        <v>0.98</v>
      </c>
      <c r="M402" s="45">
        <v>4.6400000000000006</v>
      </c>
      <c r="N402" s="45">
        <v>92.800000000000011</v>
      </c>
    </row>
    <row r="403" spans="1:14" x14ac:dyDescent="0.25">
      <c r="A403" s="44" t="s">
        <v>628</v>
      </c>
      <c r="B403" s="45" t="s">
        <v>663</v>
      </c>
      <c r="C403" s="45" t="s">
        <v>720</v>
      </c>
      <c r="D403" s="45" t="s">
        <v>76</v>
      </c>
      <c r="E403" s="45" t="s">
        <v>70</v>
      </c>
      <c r="F403" s="45" t="s">
        <v>331</v>
      </c>
      <c r="G403" s="45" t="s">
        <v>73</v>
      </c>
      <c r="H403" s="45" t="s">
        <v>72</v>
      </c>
      <c r="I403" s="45">
        <v>2</v>
      </c>
      <c r="J403" s="45">
        <v>0.98</v>
      </c>
      <c r="K403" s="45">
        <v>1</v>
      </c>
      <c r="L403" s="45">
        <v>1</v>
      </c>
      <c r="M403" s="45">
        <v>4.9800000000000004</v>
      </c>
      <c r="N403" s="45">
        <v>99.600000000000009</v>
      </c>
    </row>
    <row r="404" spans="1:14" x14ac:dyDescent="0.25">
      <c r="A404" s="44" t="s">
        <v>628</v>
      </c>
      <c r="B404" s="45" t="s">
        <v>472</v>
      </c>
      <c r="C404" s="45" t="s">
        <v>721</v>
      </c>
      <c r="D404" s="45" t="s">
        <v>76</v>
      </c>
      <c r="E404" s="45" t="s">
        <v>70</v>
      </c>
      <c r="F404" s="45" t="s">
        <v>331</v>
      </c>
      <c r="G404" s="45" t="s">
        <v>71</v>
      </c>
      <c r="H404" s="45" t="s">
        <v>93</v>
      </c>
      <c r="I404" s="45">
        <v>1.84</v>
      </c>
      <c r="J404" s="45">
        <v>1</v>
      </c>
      <c r="K404" s="45">
        <v>0.97</v>
      </c>
      <c r="L404" s="45">
        <v>1</v>
      </c>
      <c r="M404" s="45">
        <v>4.8099999999999996</v>
      </c>
      <c r="N404" s="45">
        <v>96.199999999999989</v>
      </c>
    </row>
    <row r="405" spans="1:14" x14ac:dyDescent="0.25">
      <c r="A405" s="44" t="s">
        <v>628</v>
      </c>
      <c r="B405" s="45" t="s">
        <v>473</v>
      </c>
      <c r="C405" s="45" t="s">
        <v>722</v>
      </c>
      <c r="D405" s="45" t="s">
        <v>69</v>
      </c>
      <c r="E405" s="45" t="s">
        <v>70</v>
      </c>
      <c r="F405" s="45" t="s">
        <v>331</v>
      </c>
      <c r="G405" s="45" t="s">
        <v>71</v>
      </c>
      <c r="H405" s="45" t="s">
        <v>93</v>
      </c>
      <c r="I405" s="45">
        <v>1.83</v>
      </c>
      <c r="J405" s="45">
        <v>1</v>
      </c>
      <c r="K405" s="45">
        <v>1</v>
      </c>
      <c r="L405" s="45">
        <v>1</v>
      </c>
      <c r="M405" s="45">
        <v>4.83</v>
      </c>
      <c r="N405" s="45">
        <v>96.6</v>
      </c>
    </row>
    <row r="406" spans="1:14" x14ac:dyDescent="0.25">
      <c r="A406" s="44" t="s">
        <v>628</v>
      </c>
      <c r="B406" s="45" t="s">
        <v>664</v>
      </c>
      <c r="C406" s="45" t="s">
        <v>723</v>
      </c>
      <c r="D406" s="45" t="s">
        <v>69</v>
      </c>
      <c r="E406" s="45" t="s">
        <v>70</v>
      </c>
      <c r="F406" s="45" t="s">
        <v>423</v>
      </c>
      <c r="G406" s="45" t="s">
        <v>73</v>
      </c>
      <c r="H406" s="45" t="s">
        <v>93</v>
      </c>
      <c r="I406" s="45">
        <v>1.61</v>
      </c>
      <c r="J406" s="45">
        <v>1</v>
      </c>
      <c r="K406" s="45">
        <v>0.91</v>
      </c>
      <c r="L406" s="45">
        <v>0.9</v>
      </c>
      <c r="M406" s="45">
        <v>4.4200000000000008</v>
      </c>
      <c r="N406" s="45">
        <v>88.4</v>
      </c>
    </row>
    <row r="407" spans="1:14" x14ac:dyDescent="0.25">
      <c r="A407" s="44" t="s">
        <v>628</v>
      </c>
      <c r="B407" s="45" t="s">
        <v>475</v>
      </c>
      <c r="C407" s="45" t="s">
        <v>610</v>
      </c>
      <c r="D407" s="45" t="s">
        <v>76</v>
      </c>
      <c r="E407" s="45" t="s">
        <v>70</v>
      </c>
      <c r="F407" s="45" t="s">
        <v>331</v>
      </c>
      <c r="G407" s="46" t="s">
        <v>73</v>
      </c>
      <c r="H407" s="46" t="s">
        <v>332</v>
      </c>
      <c r="I407" s="45">
        <v>1.86</v>
      </c>
      <c r="J407" s="45">
        <v>0.99</v>
      </c>
      <c r="K407" s="45">
        <v>0.94</v>
      </c>
      <c r="L407" s="45">
        <v>1</v>
      </c>
      <c r="M407" s="45">
        <v>4.79</v>
      </c>
      <c r="N407" s="45">
        <v>95.8</v>
      </c>
    </row>
    <row r="408" spans="1:14" x14ac:dyDescent="0.25">
      <c r="A408" s="44" t="s">
        <v>628</v>
      </c>
      <c r="B408" s="45" t="s">
        <v>665</v>
      </c>
      <c r="C408" s="45" t="s">
        <v>724</v>
      </c>
      <c r="D408" s="45" t="s">
        <v>76</v>
      </c>
      <c r="E408" s="45" t="s">
        <v>70</v>
      </c>
      <c r="F408" s="45" t="s">
        <v>331</v>
      </c>
      <c r="G408" s="45" t="s">
        <v>73</v>
      </c>
      <c r="H408" s="45" t="s">
        <v>72</v>
      </c>
      <c r="I408" s="45">
        <v>1.91</v>
      </c>
      <c r="J408" s="45">
        <v>0.98</v>
      </c>
      <c r="K408" s="45">
        <v>1</v>
      </c>
      <c r="L408" s="45">
        <v>1</v>
      </c>
      <c r="M408" s="45">
        <v>4.8899999999999997</v>
      </c>
      <c r="N408" s="45">
        <v>97.799999999999983</v>
      </c>
    </row>
    <row r="409" spans="1:14" x14ac:dyDescent="0.25">
      <c r="A409" s="44" t="s">
        <v>628</v>
      </c>
      <c r="B409" s="45" t="s">
        <v>476</v>
      </c>
      <c r="C409" s="45" t="s">
        <v>725</v>
      </c>
      <c r="D409" s="45" t="s">
        <v>76</v>
      </c>
      <c r="E409" s="45" t="s">
        <v>70</v>
      </c>
      <c r="F409" s="45" t="s">
        <v>331</v>
      </c>
      <c r="G409" s="45" t="s">
        <v>71</v>
      </c>
      <c r="H409" s="45" t="s">
        <v>93</v>
      </c>
      <c r="I409" s="45">
        <v>1.63</v>
      </c>
      <c r="J409" s="45">
        <v>1</v>
      </c>
      <c r="K409" s="45">
        <v>1</v>
      </c>
      <c r="L409" s="45">
        <v>0.97</v>
      </c>
      <c r="M409" s="45">
        <v>4.5999999999999996</v>
      </c>
      <c r="N409" s="45">
        <v>91.999999999999986</v>
      </c>
    </row>
    <row r="410" spans="1:14" x14ac:dyDescent="0.25">
      <c r="A410" s="44" t="s">
        <v>628</v>
      </c>
      <c r="B410" s="45" t="s">
        <v>666</v>
      </c>
      <c r="C410" s="45" t="s">
        <v>726</v>
      </c>
      <c r="D410" s="45" t="s">
        <v>76</v>
      </c>
      <c r="E410" s="45" t="s">
        <v>70</v>
      </c>
      <c r="F410" s="45" t="s">
        <v>331</v>
      </c>
      <c r="G410" s="45" t="s">
        <v>73</v>
      </c>
      <c r="H410" s="46" t="s">
        <v>72</v>
      </c>
      <c r="I410" s="45">
        <v>1.94</v>
      </c>
      <c r="J410" s="45">
        <v>0.94</v>
      </c>
      <c r="K410" s="45">
        <v>1</v>
      </c>
      <c r="L410" s="45">
        <v>1</v>
      </c>
      <c r="M410" s="45">
        <v>4.88</v>
      </c>
      <c r="N410" s="45">
        <v>97.6</v>
      </c>
    </row>
    <row r="411" spans="1:14" x14ac:dyDescent="0.25">
      <c r="A411" s="44" t="s">
        <v>628</v>
      </c>
      <c r="B411" s="45" t="s">
        <v>136</v>
      </c>
      <c r="C411" s="45" t="s">
        <v>41</v>
      </c>
      <c r="D411" s="45" t="s">
        <v>69</v>
      </c>
      <c r="E411" s="45" t="s">
        <v>70</v>
      </c>
      <c r="F411" s="45" t="s">
        <v>331</v>
      </c>
      <c r="G411" s="45" t="s">
        <v>73</v>
      </c>
      <c r="H411" s="45" t="s">
        <v>72</v>
      </c>
      <c r="I411" s="45">
        <v>1.85</v>
      </c>
      <c r="J411" s="45">
        <v>0.97</v>
      </c>
      <c r="K411" s="45">
        <v>1</v>
      </c>
      <c r="L411" s="45">
        <v>1</v>
      </c>
      <c r="M411" s="45">
        <v>4.82</v>
      </c>
      <c r="N411" s="45">
        <v>96.4</v>
      </c>
    </row>
    <row r="412" spans="1:14" x14ac:dyDescent="0.25">
      <c r="A412" s="44" t="s">
        <v>628</v>
      </c>
      <c r="B412" s="45" t="s">
        <v>479</v>
      </c>
      <c r="C412" s="45" t="s">
        <v>615</v>
      </c>
      <c r="D412" s="45" t="s">
        <v>69</v>
      </c>
      <c r="E412" s="45" t="s">
        <v>70</v>
      </c>
      <c r="F412" s="45" t="s">
        <v>331</v>
      </c>
      <c r="G412" s="45" t="s">
        <v>73</v>
      </c>
      <c r="H412" s="46" t="s">
        <v>345</v>
      </c>
      <c r="I412" s="45">
        <v>1.88</v>
      </c>
      <c r="J412" s="45">
        <v>0.88</v>
      </c>
      <c r="K412" s="45">
        <v>0.94</v>
      </c>
      <c r="L412" s="45">
        <v>1</v>
      </c>
      <c r="M412" s="45">
        <v>4.6999999999999993</v>
      </c>
      <c r="N412" s="45">
        <v>93.999999999999986</v>
      </c>
    </row>
    <row r="413" spans="1:14" x14ac:dyDescent="0.25">
      <c r="A413" s="44" t="s">
        <v>628</v>
      </c>
      <c r="B413" s="45" t="s">
        <v>480</v>
      </c>
      <c r="C413" s="45" t="s">
        <v>616</v>
      </c>
      <c r="D413" s="45" t="s">
        <v>69</v>
      </c>
      <c r="E413" s="45" t="s">
        <v>70</v>
      </c>
      <c r="F413" s="45" t="s">
        <v>331</v>
      </c>
      <c r="G413" s="45" t="s">
        <v>73</v>
      </c>
      <c r="H413" s="45" t="s">
        <v>345</v>
      </c>
      <c r="I413" s="45">
        <v>1.75</v>
      </c>
      <c r="J413" s="45">
        <v>1</v>
      </c>
      <c r="K413" s="45">
        <v>1</v>
      </c>
      <c r="L413" s="45">
        <v>1</v>
      </c>
      <c r="M413" s="45">
        <v>4.75</v>
      </c>
      <c r="N413" s="45">
        <v>95</v>
      </c>
    </row>
    <row r="414" spans="1:14" x14ac:dyDescent="0.25">
      <c r="A414" s="44" t="s">
        <v>628</v>
      </c>
      <c r="B414" s="45" t="s">
        <v>481</v>
      </c>
      <c r="C414" s="45" t="s">
        <v>617</v>
      </c>
      <c r="D414" s="45" t="s">
        <v>76</v>
      </c>
      <c r="E414" s="45" t="s">
        <v>70</v>
      </c>
      <c r="F414" s="45" t="s">
        <v>331</v>
      </c>
      <c r="G414" s="45" t="s">
        <v>71</v>
      </c>
      <c r="H414" s="45" t="s">
        <v>733</v>
      </c>
      <c r="I414" s="45">
        <v>1.72</v>
      </c>
      <c r="J414" s="45">
        <v>0.99</v>
      </c>
      <c r="K414" s="45">
        <v>0.92</v>
      </c>
      <c r="L414" s="45">
        <v>0.96</v>
      </c>
      <c r="M414" s="45">
        <v>4.59</v>
      </c>
      <c r="N414" s="45">
        <v>91.8</v>
      </c>
    </row>
    <row r="415" spans="1:14" x14ac:dyDescent="0.25">
      <c r="A415" s="44" t="s">
        <v>628</v>
      </c>
      <c r="B415" s="45" t="s">
        <v>667</v>
      </c>
      <c r="C415" s="45" t="s">
        <v>727</v>
      </c>
      <c r="D415" s="45" t="s">
        <v>76</v>
      </c>
      <c r="E415" s="45" t="s">
        <v>70</v>
      </c>
      <c r="F415" s="45" t="s">
        <v>331</v>
      </c>
      <c r="G415" s="45" t="s">
        <v>73</v>
      </c>
      <c r="H415" s="46" t="s">
        <v>339</v>
      </c>
      <c r="I415" s="45">
        <v>2</v>
      </c>
      <c r="J415" s="45">
        <v>1</v>
      </c>
      <c r="K415" s="45">
        <v>0.9</v>
      </c>
      <c r="L415" s="45">
        <v>1</v>
      </c>
      <c r="M415" s="45">
        <v>4.9000000000000004</v>
      </c>
      <c r="N415" s="45">
        <v>98.000000000000014</v>
      </c>
    </row>
    <row r="416" spans="1:14" x14ac:dyDescent="0.25">
      <c r="A416" s="44" t="s">
        <v>628</v>
      </c>
      <c r="B416" s="45" t="s">
        <v>482</v>
      </c>
      <c r="C416" s="45" t="s">
        <v>728</v>
      </c>
      <c r="D416" s="45" t="s">
        <v>76</v>
      </c>
      <c r="E416" s="45" t="s">
        <v>70</v>
      </c>
      <c r="F416" s="45" t="s">
        <v>361</v>
      </c>
      <c r="G416" s="45" t="s">
        <v>71</v>
      </c>
      <c r="H416" s="45" t="s">
        <v>332</v>
      </c>
      <c r="I416" s="45">
        <v>1.9</v>
      </c>
      <c r="J416" s="45">
        <v>0.99</v>
      </c>
      <c r="K416" s="45">
        <v>1</v>
      </c>
      <c r="L416" s="45">
        <v>0.97</v>
      </c>
      <c r="M416" s="45">
        <v>4.8599999999999994</v>
      </c>
      <c r="N416" s="45">
        <v>97.199999999999989</v>
      </c>
    </row>
    <row r="417" spans="1:14" x14ac:dyDescent="0.25">
      <c r="A417" s="44" t="s">
        <v>628</v>
      </c>
      <c r="B417" s="45" t="s">
        <v>483</v>
      </c>
      <c r="C417" s="45" t="s">
        <v>618</v>
      </c>
      <c r="D417" s="45" t="s">
        <v>69</v>
      </c>
      <c r="E417" s="45" t="s">
        <v>70</v>
      </c>
      <c r="F417" s="45" t="s">
        <v>331</v>
      </c>
      <c r="G417" s="45" t="s">
        <v>71</v>
      </c>
      <c r="H417" s="45" t="s">
        <v>83</v>
      </c>
      <c r="I417" s="45">
        <v>1.86</v>
      </c>
      <c r="J417" s="45">
        <v>0.98</v>
      </c>
      <c r="K417" s="45">
        <v>0.97</v>
      </c>
      <c r="L417" s="45">
        <v>1</v>
      </c>
      <c r="M417" s="45">
        <v>4.8099999999999996</v>
      </c>
      <c r="N417" s="45">
        <v>96.199999999999989</v>
      </c>
    </row>
    <row r="418" spans="1:14" x14ac:dyDescent="0.25">
      <c r="A418" s="44" t="s">
        <v>628</v>
      </c>
      <c r="B418" s="45" t="s">
        <v>668</v>
      </c>
      <c r="C418" s="45" t="s">
        <v>729</v>
      </c>
      <c r="D418" s="45" t="s">
        <v>76</v>
      </c>
      <c r="E418" s="45" t="s">
        <v>70</v>
      </c>
      <c r="F418" s="45" t="s">
        <v>423</v>
      </c>
      <c r="G418" s="45" t="s">
        <v>73</v>
      </c>
      <c r="H418" s="45" t="s">
        <v>732</v>
      </c>
      <c r="I418" s="45">
        <v>1.76</v>
      </c>
      <c r="J418" s="45">
        <v>1</v>
      </c>
      <c r="K418" s="45">
        <v>0.94</v>
      </c>
      <c r="L418" s="45">
        <v>1</v>
      </c>
      <c r="M418" s="45">
        <v>4.6999999999999993</v>
      </c>
      <c r="N418" s="45">
        <v>93.999999999999986</v>
      </c>
    </row>
    <row r="419" spans="1:14" x14ac:dyDescent="0.25">
      <c r="A419" s="44" t="s">
        <v>628</v>
      </c>
      <c r="B419" s="45" t="s">
        <v>619</v>
      </c>
      <c r="C419" s="45" t="s">
        <v>620</v>
      </c>
      <c r="D419" s="45" t="s">
        <v>76</v>
      </c>
      <c r="E419" s="45" t="s">
        <v>70</v>
      </c>
      <c r="F419" s="45" t="s">
        <v>331</v>
      </c>
      <c r="G419" s="45" t="s">
        <v>73</v>
      </c>
      <c r="H419" s="46" t="s">
        <v>345</v>
      </c>
      <c r="I419" s="45">
        <v>1.5</v>
      </c>
      <c r="J419" s="45">
        <v>1</v>
      </c>
      <c r="K419" s="45">
        <v>1</v>
      </c>
      <c r="L419" s="45">
        <v>1</v>
      </c>
      <c r="M419" s="45">
        <v>4.5</v>
      </c>
      <c r="N419" s="45">
        <v>90</v>
      </c>
    </row>
    <row r="420" spans="1:14" x14ac:dyDescent="0.25">
      <c r="A420" s="44" t="s">
        <v>628</v>
      </c>
      <c r="B420" s="45" t="s">
        <v>487</v>
      </c>
      <c r="C420" s="45" t="s">
        <v>621</v>
      </c>
      <c r="D420" s="45" t="s">
        <v>76</v>
      </c>
      <c r="E420" s="45" t="s">
        <v>70</v>
      </c>
      <c r="F420" s="45" t="s">
        <v>331</v>
      </c>
      <c r="G420" s="45" t="s">
        <v>71</v>
      </c>
      <c r="H420" s="45" t="s">
        <v>350</v>
      </c>
      <c r="I420" s="45">
        <v>1.87</v>
      </c>
      <c r="J420" s="45">
        <v>0.99</v>
      </c>
      <c r="K420" s="45">
        <v>0.97</v>
      </c>
      <c r="L420" s="45">
        <v>1</v>
      </c>
      <c r="M420" s="45">
        <v>4.83</v>
      </c>
      <c r="N420" s="45">
        <v>96.6</v>
      </c>
    </row>
    <row r="421" spans="1:14" x14ac:dyDescent="0.25">
      <c r="A421" s="44" t="s">
        <v>628</v>
      </c>
      <c r="B421" s="45" t="s">
        <v>489</v>
      </c>
      <c r="C421" s="45" t="s">
        <v>622</v>
      </c>
      <c r="D421" s="45" t="s">
        <v>76</v>
      </c>
      <c r="E421" s="45" t="s">
        <v>70</v>
      </c>
      <c r="F421" s="45" t="s">
        <v>331</v>
      </c>
      <c r="G421" s="45" t="s">
        <v>340</v>
      </c>
      <c r="H421" s="45" t="s">
        <v>104</v>
      </c>
      <c r="I421" s="45">
        <v>1.63</v>
      </c>
      <c r="J421" s="45">
        <v>0.97</v>
      </c>
      <c r="K421" s="45">
        <v>0.94</v>
      </c>
      <c r="L421" s="45">
        <v>0.93</v>
      </c>
      <c r="M421" s="45">
        <v>4.47</v>
      </c>
      <c r="N421" s="45">
        <v>89.4</v>
      </c>
    </row>
    <row r="422" spans="1:14" x14ac:dyDescent="0.25">
      <c r="A422" s="44" t="s">
        <v>628</v>
      </c>
      <c r="B422" s="45" t="s">
        <v>490</v>
      </c>
      <c r="C422" s="45" t="s">
        <v>730</v>
      </c>
      <c r="D422" s="45" t="s">
        <v>76</v>
      </c>
      <c r="E422" s="45" t="s">
        <v>70</v>
      </c>
      <c r="F422" s="45" t="s">
        <v>331</v>
      </c>
      <c r="G422" s="45" t="s">
        <v>71</v>
      </c>
      <c r="H422" s="45" t="s">
        <v>93</v>
      </c>
      <c r="I422" s="45">
        <v>1.75</v>
      </c>
      <c r="J422" s="45">
        <v>1</v>
      </c>
      <c r="K422" s="45">
        <v>0.94</v>
      </c>
      <c r="L422" s="45">
        <v>1</v>
      </c>
      <c r="M422" s="45">
        <v>4.6899999999999995</v>
      </c>
      <c r="N422" s="45">
        <v>93.799999999999983</v>
      </c>
    </row>
    <row r="423" spans="1:14" x14ac:dyDescent="0.25">
      <c r="A423" s="44" t="s">
        <v>628</v>
      </c>
      <c r="B423" s="45" t="s">
        <v>493</v>
      </c>
      <c r="C423" s="45" t="s">
        <v>623</v>
      </c>
      <c r="D423" s="45" t="s">
        <v>76</v>
      </c>
      <c r="E423" s="45" t="s">
        <v>70</v>
      </c>
      <c r="F423" s="45" t="s">
        <v>331</v>
      </c>
      <c r="G423" s="45" t="s">
        <v>73</v>
      </c>
      <c r="H423" s="45" t="s">
        <v>733</v>
      </c>
      <c r="I423" s="45">
        <v>1.7</v>
      </c>
      <c r="J423" s="45">
        <v>0</v>
      </c>
      <c r="K423" s="45">
        <v>1</v>
      </c>
      <c r="L423" s="45">
        <v>1</v>
      </c>
      <c r="M423" s="45">
        <v>3.7</v>
      </c>
      <c r="N423" s="45">
        <v>74</v>
      </c>
    </row>
    <row r="424" spans="1:14" x14ac:dyDescent="0.25">
      <c r="A424" s="44" t="s">
        <v>628</v>
      </c>
      <c r="B424" s="45" t="s">
        <v>495</v>
      </c>
      <c r="C424" s="45" t="s">
        <v>624</v>
      </c>
      <c r="D424" s="45" t="s">
        <v>76</v>
      </c>
      <c r="E424" s="45" t="s">
        <v>70</v>
      </c>
      <c r="F424" s="45" t="s">
        <v>331</v>
      </c>
      <c r="G424" s="45" t="s">
        <v>71</v>
      </c>
      <c r="H424" s="45" t="s">
        <v>344</v>
      </c>
      <c r="I424" s="45">
        <v>1.89</v>
      </c>
      <c r="J424" s="45">
        <v>1</v>
      </c>
      <c r="K424" s="45">
        <v>1</v>
      </c>
      <c r="L424" s="45">
        <v>1</v>
      </c>
      <c r="M424" s="45">
        <v>4.8899999999999997</v>
      </c>
      <c r="N424" s="45">
        <v>97.799999999999983</v>
      </c>
    </row>
    <row r="425" spans="1:14" x14ac:dyDescent="0.25">
      <c r="A425" s="44" t="s">
        <v>628</v>
      </c>
      <c r="B425" s="45" t="s">
        <v>669</v>
      </c>
      <c r="C425" s="45" t="s">
        <v>731</v>
      </c>
      <c r="D425" s="45" t="s">
        <v>69</v>
      </c>
      <c r="E425" s="45" t="s">
        <v>70</v>
      </c>
      <c r="F425" s="45" t="s">
        <v>331</v>
      </c>
      <c r="G425" s="45" t="s">
        <v>73</v>
      </c>
      <c r="H425" s="45" t="s">
        <v>72</v>
      </c>
      <c r="I425" s="45">
        <v>1.81</v>
      </c>
      <c r="J425" s="45">
        <v>0</v>
      </c>
      <c r="K425" s="45">
        <v>1</v>
      </c>
      <c r="L425" s="45">
        <v>1</v>
      </c>
      <c r="M425" s="45">
        <v>3.81</v>
      </c>
      <c r="N425" s="45">
        <v>76.2</v>
      </c>
    </row>
    <row r="426" spans="1:14" x14ac:dyDescent="0.25">
      <c r="A426" s="44" t="s">
        <v>628</v>
      </c>
      <c r="B426" s="45" t="s">
        <v>625</v>
      </c>
      <c r="C426" s="45" t="s">
        <v>626</v>
      </c>
      <c r="D426" s="45" t="s">
        <v>76</v>
      </c>
      <c r="E426" s="45" t="s">
        <v>70</v>
      </c>
      <c r="F426" s="45" t="s">
        <v>331</v>
      </c>
      <c r="G426" s="45" t="s">
        <v>71</v>
      </c>
      <c r="H426" s="45" t="s">
        <v>733</v>
      </c>
      <c r="I426" s="45">
        <v>1.84</v>
      </c>
      <c r="J426" s="45">
        <v>1</v>
      </c>
      <c r="K426" s="45">
        <v>1</v>
      </c>
      <c r="L426" s="45">
        <v>1</v>
      </c>
      <c r="M426" s="45">
        <v>4.84</v>
      </c>
      <c r="N426" s="45">
        <v>96.8</v>
      </c>
    </row>
  </sheetData>
  <sheetProtection formatCells="0" formatColumns="0" formatRows="0" insertColumns="0" insertRows="0" insertHyperlinks="0" deleteColumns="0" deleteRows="0" sort="0" autoFilter="0" pivotTables="0"/>
  <conditionalFormatting sqref="N156:N272">
    <cfRule type="cellIs" dxfId="47" priority="1" operator="greaterThan">
      <formula>98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C37E-D25D-4256-8CF3-B768A6773313}">
  <dimension ref="A1:K430"/>
  <sheetViews>
    <sheetView topLeftCell="C1" zoomScale="70" zoomScaleNormal="70" workbookViewId="0">
      <selection activeCell="A13" sqref="A13"/>
    </sheetView>
  </sheetViews>
  <sheetFormatPr baseColWidth="10" defaultRowHeight="15" x14ac:dyDescent="0.25"/>
  <cols>
    <col min="1" max="1" width="49.28515625" bestFit="1" customWidth="1"/>
    <col min="2" max="2" width="37.140625" bestFit="1" customWidth="1"/>
    <col min="3" max="3" width="30.7109375" bestFit="1" customWidth="1"/>
    <col min="4" max="4" width="25" bestFit="1" customWidth="1"/>
    <col min="5" max="5" width="62.42578125" bestFit="1" customWidth="1"/>
    <col min="6" max="6" width="25" bestFit="1" customWidth="1"/>
    <col min="7" max="7" width="13.140625" style="18" bestFit="1" customWidth="1"/>
    <col min="8" max="10" width="14.28515625" style="18" bestFit="1" customWidth="1"/>
    <col min="11" max="11" width="10.28515625" style="18" customWidth="1"/>
  </cols>
  <sheetData>
    <row r="1" spans="1:11" x14ac:dyDescent="0.25">
      <c r="A1" s="31" t="s">
        <v>496</v>
      </c>
      <c r="B1" s="32" t="s">
        <v>497</v>
      </c>
    </row>
    <row r="3" spans="1:11" ht="48.75" customHeight="1" x14ac:dyDescent="0.25">
      <c r="A3" s="4" t="s">
        <v>43</v>
      </c>
      <c r="B3" s="70" t="s">
        <v>324</v>
      </c>
      <c r="C3" s="70" t="s">
        <v>326</v>
      </c>
      <c r="D3" s="70" t="s">
        <v>327</v>
      </c>
      <c r="E3" s="70" t="s">
        <v>328</v>
      </c>
      <c r="F3" s="63" t="s">
        <v>734</v>
      </c>
      <c r="G3" s="71" t="s">
        <v>735</v>
      </c>
      <c r="H3" s="71" t="s">
        <v>736</v>
      </c>
      <c r="I3" s="71" t="s">
        <v>737</v>
      </c>
      <c r="J3" s="72" t="s">
        <v>499</v>
      </c>
      <c r="K3"/>
    </row>
    <row r="4" spans="1:11" x14ac:dyDescent="0.25">
      <c r="A4" s="3" t="s">
        <v>155</v>
      </c>
      <c r="B4" s="3" t="s">
        <v>76</v>
      </c>
      <c r="C4" s="3" t="s">
        <v>331</v>
      </c>
      <c r="D4" s="3" t="s">
        <v>71</v>
      </c>
      <c r="E4" s="3" t="s">
        <v>332</v>
      </c>
      <c r="F4" s="73">
        <v>1.84</v>
      </c>
      <c r="G4" s="74">
        <v>0.99</v>
      </c>
      <c r="H4" s="74">
        <v>0.97</v>
      </c>
      <c r="I4" s="74">
        <v>1</v>
      </c>
      <c r="J4" s="75">
        <v>96</v>
      </c>
      <c r="K4"/>
    </row>
    <row r="5" spans="1:11" x14ac:dyDescent="0.25">
      <c r="A5" s="3" t="s">
        <v>156</v>
      </c>
      <c r="B5" s="3" t="s">
        <v>69</v>
      </c>
      <c r="C5" s="3" t="s">
        <v>331</v>
      </c>
      <c r="D5" s="3" t="s">
        <v>71</v>
      </c>
      <c r="E5" s="3" t="s">
        <v>365</v>
      </c>
      <c r="F5" s="73">
        <v>1.68</v>
      </c>
      <c r="G5" s="74">
        <v>0.86</v>
      </c>
      <c r="H5" s="74">
        <v>1</v>
      </c>
      <c r="I5" s="74">
        <v>0.93</v>
      </c>
      <c r="J5" s="75">
        <v>89.4</v>
      </c>
      <c r="K5"/>
    </row>
    <row r="6" spans="1:11" x14ac:dyDescent="0.25">
      <c r="A6" s="3" t="s">
        <v>157</v>
      </c>
      <c r="B6" s="3" t="s">
        <v>76</v>
      </c>
      <c r="C6" s="3" t="s">
        <v>331</v>
      </c>
      <c r="D6" s="3" t="s">
        <v>71</v>
      </c>
      <c r="E6" s="3" t="s">
        <v>365</v>
      </c>
      <c r="F6" s="73">
        <v>1.72</v>
      </c>
      <c r="G6" s="74">
        <v>1</v>
      </c>
      <c r="H6" s="74">
        <v>1</v>
      </c>
      <c r="I6" s="74">
        <v>1</v>
      </c>
      <c r="J6" s="75">
        <v>94.4</v>
      </c>
      <c r="K6"/>
    </row>
    <row r="7" spans="1:11" x14ac:dyDescent="0.25">
      <c r="A7" s="3" t="s">
        <v>158</v>
      </c>
      <c r="B7" s="3" t="s">
        <v>76</v>
      </c>
      <c r="C7" s="3" t="s">
        <v>331</v>
      </c>
      <c r="D7" s="3" t="s">
        <v>71</v>
      </c>
      <c r="E7" s="3" t="s">
        <v>332</v>
      </c>
      <c r="F7" s="73">
        <v>1.94</v>
      </c>
      <c r="G7" s="74">
        <v>1</v>
      </c>
      <c r="H7" s="74">
        <v>0.94</v>
      </c>
      <c r="I7" s="74">
        <v>0.91</v>
      </c>
      <c r="J7" s="75">
        <v>95.8</v>
      </c>
      <c r="K7"/>
    </row>
    <row r="8" spans="1:11" x14ac:dyDescent="0.25">
      <c r="A8" s="3" t="s">
        <v>159</v>
      </c>
      <c r="B8" s="3" t="s">
        <v>69</v>
      </c>
      <c r="C8" s="3" t="s">
        <v>331</v>
      </c>
      <c r="D8" s="3" t="s">
        <v>71</v>
      </c>
      <c r="E8" s="3" t="s">
        <v>332</v>
      </c>
      <c r="F8" s="73">
        <v>1.91</v>
      </c>
      <c r="G8" s="74">
        <v>1</v>
      </c>
      <c r="H8" s="74">
        <v>1</v>
      </c>
      <c r="I8" s="74">
        <v>0.98</v>
      </c>
      <c r="J8" s="75">
        <v>97.799999999999983</v>
      </c>
      <c r="K8"/>
    </row>
    <row r="9" spans="1:11" x14ac:dyDescent="0.25">
      <c r="A9" s="3" t="s">
        <v>160</v>
      </c>
      <c r="B9" s="3" t="s">
        <v>69</v>
      </c>
      <c r="C9" s="3" t="s">
        <v>331</v>
      </c>
      <c r="D9" s="3" t="s">
        <v>73</v>
      </c>
      <c r="E9" s="3" t="s">
        <v>339</v>
      </c>
      <c r="F9" s="73">
        <v>1.8</v>
      </c>
      <c r="G9" s="74">
        <v>1</v>
      </c>
      <c r="H9" s="74">
        <v>0.93</v>
      </c>
      <c r="I9" s="74">
        <v>0.92</v>
      </c>
      <c r="J9" s="75">
        <v>93.000000000000014</v>
      </c>
      <c r="K9"/>
    </row>
    <row r="10" spans="1:11" x14ac:dyDescent="0.25">
      <c r="A10" s="3" t="s">
        <v>161</v>
      </c>
      <c r="B10" s="3" t="s">
        <v>76</v>
      </c>
      <c r="C10" s="3" t="s">
        <v>331</v>
      </c>
      <c r="D10" s="3" t="s">
        <v>73</v>
      </c>
      <c r="E10" s="3" t="s">
        <v>72</v>
      </c>
      <c r="F10" s="73">
        <v>1.83</v>
      </c>
      <c r="G10" s="74">
        <v>0.96</v>
      </c>
      <c r="H10" s="74">
        <v>1</v>
      </c>
      <c r="I10" s="74">
        <v>1</v>
      </c>
      <c r="J10" s="75">
        <v>95.8</v>
      </c>
      <c r="K10"/>
    </row>
    <row r="11" spans="1:11" x14ac:dyDescent="0.25">
      <c r="A11" s="3" t="s">
        <v>162</v>
      </c>
      <c r="B11" s="3" t="s">
        <v>69</v>
      </c>
      <c r="C11" s="3" t="s">
        <v>331</v>
      </c>
      <c r="D11" s="3" t="s">
        <v>340</v>
      </c>
      <c r="E11" s="3" t="s">
        <v>83</v>
      </c>
      <c r="F11" s="73">
        <v>1.83</v>
      </c>
      <c r="G11" s="74">
        <v>1</v>
      </c>
      <c r="H11" s="74">
        <v>0.98</v>
      </c>
      <c r="I11" s="74">
        <v>1</v>
      </c>
      <c r="J11" s="75">
        <v>96.199999999999989</v>
      </c>
      <c r="K11"/>
    </row>
    <row r="12" spans="1:11" x14ac:dyDescent="0.25">
      <c r="A12" s="3" t="s">
        <v>163</v>
      </c>
      <c r="B12" s="3" t="s">
        <v>76</v>
      </c>
      <c r="C12" s="3" t="s">
        <v>331</v>
      </c>
      <c r="D12" s="3" t="s">
        <v>73</v>
      </c>
      <c r="E12" s="3" t="s">
        <v>83</v>
      </c>
      <c r="F12" s="73">
        <v>1.85</v>
      </c>
      <c r="G12" s="74">
        <v>0</v>
      </c>
      <c r="H12" s="74">
        <v>1</v>
      </c>
      <c r="I12" s="74">
        <v>1</v>
      </c>
      <c r="J12" s="75">
        <v>77</v>
      </c>
      <c r="K12"/>
    </row>
    <row r="13" spans="1:11" x14ac:dyDescent="0.25">
      <c r="A13" s="3" t="s">
        <v>164</v>
      </c>
      <c r="B13" s="3" t="s">
        <v>76</v>
      </c>
      <c r="C13" s="3" t="s">
        <v>331</v>
      </c>
      <c r="D13" s="3" t="s">
        <v>71</v>
      </c>
      <c r="E13" s="3" t="s">
        <v>93</v>
      </c>
      <c r="F13" s="73">
        <v>1.74</v>
      </c>
      <c r="G13" s="74">
        <v>0.97</v>
      </c>
      <c r="H13" s="74">
        <v>0.97</v>
      </c>
      <c r="I13" s="74">
        <v>0.97</v>
      </c>
      <c r="J13" s="75">
        <v>93.000000000000014</v>
      </c>
      <c r="K13"/>
    </row>
    <row r="14" spans="1:11" x14ac:dyDescent="0.25">
      <c r="A14" s="3" t="s">
        <v>165</v>
      </c>
      <c r="B14" s="3" t="s">
        <v>76</v>
      </c>
      <c r="C14" s="3" t="s">
        <v>331</v>
      </c>
      <c r="D14" s="3" t="s">
        <v>71</v>
      </c>
      <c r="E14" s="3" t="s">
        <v>344</v>
      </c>
      <c r="F14" s="73">
        <v>1.84</v>
      </c>
      <c r="G14" s="74">
        <v>1</v>
      </c>
      <c r="H14" s="74">
        <v>1</v>
      </c>
      <c r="I14" s="74">
        <v>1</v>
      </c>
      <c r="J14" s="75">
        <v>96.8</v>
      </c>
      <c r="K14"/>
    </row>
    <row r="15" spans="1:11" x14ac:dyDescent="0.25">
      <c r="A15" s="3" t="s">
        <v>166</v>
      </c>
      <c r="B15" s="3" t="s">
        <v>76</v>
      </c>
      <c r="C15" s="3" t="s">
        <v>331</v>
      </c>
      <c r="D15" s="3" t="s">
        <v>73</v>
      </c>
      <c r="E15" s="3" t="s">
        <v>345</v>
      </c>
      <c r="F15" s="73">
        <v>1.96</v>
      </c>
      <c r="G15" s="74">
        <v>0.92</v>
      </c>
      <c r="H15" s="74">
        <v>0.94</v>
      </c>
      <c r="I15" s="74">
        <v>1</v>
      </c>
      <c r="J15" s="75">
        <v>96.4</v>
      </c>
      <c r="K15"/>
    </row>
    <row r="16" spans="1:11" x14ac:dyDescent="0.25">
      <c r="A16" s="3" t="s">
        <v>167</v>
      </c>
      <c r="B16" s="3" t="s">
        <v>69</v>
      </c>
      <c r="C16" s="3" t="s">
        <v>331</v>
      </c>
      <c r="D16" s="3" t="s">
        <v>71</v>
      </c>
      <c r="E16" s="3" t="s">
        <v>339</v>
      </c>
      <c r="F16" s="73">
        <v>1.95</v>
      </c>
      <c r="G16" s="74">
        <v>0.99</v>
      </c>
      <c r="H16" s="74">
        <v>1</v>
      </c>
      <c r="I16" s="74">
        <v>1</v>
      </c>
      <c r="J16" s="75">
        <v>98.800000000000011</v>
      </c>
      <c r="K16"/>
    </row>
    <row r="17" spans="1:11" x14ac:dyDescent="0.25">
      <c r="A17" s="3" t="s">
        <v>168</v>
      </c>
      <c r="B17" s="3" t="s">
        <v>69</v>
      </c>
      <c r="C17" s="3" t="s">
        <v>331</v>
      </c>
      <c r="D17" s="3" t="s">
        <v>71</v>
      </c>
      <c r="E17" s="3" t="s">
        <v>350</v>
      </c>
      <c r="F17" s="73">
        <v>2</v>
      </c>
      <c r="G17" s="74">
        <v>0.98</v>
      </c>
      <c r="H17" s="74">
        <v>0.97</v>
      </c>
      <c r="I17" s="74">
        <v>1</v>
      </c>
      <c r="J17" s="75">
        <v>99</v>
      </c>
      <c r="K17"/>
    </row>
    <row r="18" spans="1:11" x14ac:dyDescent="0.25">
      <c r="A18" s="3" t="s">
        <v>169</v>
      </c>
      <c r="B18" s="3" t="s">
        <v>76</v>
      </c>
      <c r="C18" s="3" t="s">
        <v>331</v>
      </c>
      <c r="D18" s="3" t="s">
        <v>71</v>
      </c>
      <c r="E18" s="3" t="s">
        <v>353</v>
      </c>
      <c r="F18" s="73">
        <v>1.92</v>
      </c>
      <c r="G18" s="74">
        <v>1</v>
      </c>
      <c r="H18" s="74">
        <v>1</v>
      </c>
      <c r="I18" s="74">
        <v>1</v>
      </c>
      <c r="J18" s="75">
        <v>98.4</v>
      </c>
      <c r="K18"/>
    </row>
    <row r="19" spans="1:11" x14ac:dyDescent="0.25">
      <c r="A19" s="3" t="s">
        <v>309</v>
      </c>
      <c r="B19" s="3" t="s">
        <v>69</v>
      </c>
      <c r="C19" s="3" t="s">
        <v>331</v>
      </c>
      <c r="D19" s="3" t="s">
        <v>73</v>
      </c>
      <c r="E19" s="3" t="s">
        <v>93</v>
      </c>
      <c r="F19" s="73">
        <v>1.92</v>
      </c>
      <c r="G19" s="74">
        <v>0</v>
      </c>
      <c r="H19" s="74">
        <v>0.89</v>
      </c>
      <c r="I19" s="74">
        <v>1</v>
      </c>
      <c r="J19" s="75">
        <v>76.2</v>
      </c>
      <c r="K19"/>
    </row>
    <row r="20" spans="1:11" x14ac:dyDescent="0.25">
      <c r="A20" s="3" t="s">
        <v>170</v>
      </c>
      <c r="B20" s="3" t="s">
        <v>69</v>
      </c>
      <c r="C20" s="3" t="s">
        <v>331</v>
      </c>
      <c r="D20" s="3" t="s">
        <v>73</v>
      </c>
      <c r="E20" s="3" t="s">
        <v>344</v>
      </c>
      <c r="F20" s="73">
        <v>1.93</v>
      </c>
      <c r="G20" s="74">
        <v>1</v>
      </c>
      <c r="H20" s="74">
        <v>1</v>
      </c>
      <c r="I20" s="74">
        <v>0.98</v>
      </c>
      <c r="J20" s="75">
        <v>98.2</v>
      </c>
      <c r="K20"/>
    </row>
    <row r="21" spans="1:11" x14ac:dyDescent="0.25">
      <c r="A21" s="3" t="s">
        <v>171</v>
      </c>
      <c r="B21" s="3" t="s">
        <v>69</v>
      </c>
      <c r="C21" s="3" t="s">
        <v>331</v>
      </c>
      <c r="D21" s="3" t="s">
        <v>73</v>
      </c>
      <c r="E21" s="3" t="s">
        <v>72</v>
      </c>
      <c r="F21" s="73">
        <v>1.76</v>
      </c>
      <c r="G21" s="74">
        <v>0.99</v>
      </c>
      <c r="H21" s="74">
        <v>1</v>
      </c>
      <c r="I21" s="74">
        <v>1</v>
      </c>
      <c r="J21" s="75">
        <v>95</v>
      </c>
      <c r="K21"/>
    </row>
    <row r="22" spans="1:11" x14ac:dyDescent="0.25">
      <c r="A22" s="3" t="s">
        <v>172</v>
      </c>
      <c r="B22" s="3" t="s">
        <v>76</v>
      </c>
      <c r="C22" s="3" t="s">
        <v>331</v>
      </c>
      <c r="D22" s="3" t="s">
        <v>73</v>
      </c>
      <c r="E22" s="3" t="s">
        <v>72</v>
      </c>
      <c r="F22" s="73">
        <v>1.94</v>
      </c>
      <c r="G22" s="74">
        <v>0</v>
      </c>
      <c r="H22" s="74">
        <v>1</v>
      </c>
      <c r="I22" s="74">
        <v>1</v>
      </c>
      <c r="J22" s="75">
        <v>78.8</v>
      </c>
      <c r="K22"/>
    </row>
    <row r="23" spans="1:11" x14ac:dyDescent="0.25">
      <c r="A23" s="3" t="s">
        <v>173</v>
      </c>
      <c r="B23" s="3" t="s">
        <v>69</v>
      </c>
      <c r="C23" s="3" t="s">
        <v>331</v>
      </c>
      <c r="D23" s="3" t="s">
        <v>73</v>
      </c>
      <c r="E23" s="3" t="s">
        <v>356</v>
      </c>
      <c r="F23" s="73">
        <v>1.79</v>
      </c>
      <c r="G23" s="74">
        <v>0.97</v>
      </c>
      <c r="H23" s="74">
        <v>0.83</v>
      </c>
      <c r="I23" s="74">
        <v>0.77</v>
      </c>
      <c r="J23" s="75">
        <v>87.200000000000017</v>
      </c>
      <c r="K23"/>
    </row>
    <row r="24" spans="1:11" x14ac:dyDescent="0.25">
      <c r="A24" s="3" t="s">
        <v>174</v>
      </c>
      <c r="B24" s="3" t="s">
        <v>76</v>
      </c>
      <c r="C24" s="3" t="s">
        <v>331</v>
      </c>
      <c r="D24" s="3" t="s">
        <v>73</v>
      </c>
      <c r="E24" s="3" t="s">
        <v>93</v>
      </c>
      <c r="F24" s="73">
        <v>1.91</v>
      </c>
      <c r="G24" s="74">
        <v>1</v>
      </c>
      <c r="H24" s="74">
        <v>0.95</v>
      </c>
      <c r="I24" s="74">
        <v>0.93</v>
      </c>
      <c r="J24" s="75">
        <v>95.8</v>
      </c>
      <c r="K24"/>
    </row>
    <row r="25" spans="1:11" x14ac:dyDescent="0.25">
      <c r="A25" s="3" t="s">
        <v>175</v>
      </c>
      <c r="B25" s="3" t="s">
        <v>76</v>
      </c>
      <c r="C25" s="3" t="s">
        <v>331</v>
      </c>
      <c r="D25" s="3" t="s">
        <v>71</v>
      </c>
      <c r="E25" s="3" t="s">
        <v>72</v>
      </c>
      <c r="F25" s="73">
        <v>1.95</v>
      </c>
      <c r="G25" s="74">
        <v>0.98</v>
      </c>
      <c r="H25" s="74">
        <v>1</v>
      </c>
      <c r="I25" s="74">
        <v>1</v>
      </c>
      <c r="J25" s="75">
        <v>98.6</v>
      </c>
      <c r="K25"/>
    </row>
    <row r="26" spans="1:11" x14ac:dyDescent="0.25">
      <c r="A26" s="3" t="s">
        <v>176</v>
      </c>
      <c r="B26" s="3" t="s">
        <v>69</v>
      </c>
      <c r="C26" s="3" t="s">
        <v>331</v>
      </c>
      <c r="D26" s="3" t="s">
        <v>71</v>
      </c>
      <c r="E26" s="3" t="s">
        <v>362</v>
      </c>
      <c r="F26" s="73">
        <v>1.86</v>
      </c>
      <c r="G26" s="74">
        <v>0.97</v>
      </c>
      <c r="H26" s="74">
        <v>0.97</v>
      </c>
      <c r="I26" s="74">
        <v>1</v>
      </c>
      <c r="J26" s="75">
        <v>96</v>
      </c>
      <c r="K26"/>
    </row>
    <row r="27" spans="1:11" x14ac:dyDescent="0.25">
      <c r="A27" s="3" t="s">
        <v>177</v>
      </c>
      <c r="B27" s="3" t="s">
        <v>69</v>
      </c>
      <c r="C27" s="3" t="s">
        <v>361</v>
      </c>
      <c r="D27" s="3" t="s">
        <v>73</v>
      </c>
      <c r="E27" s="3" t="s">
        <v>362</v>
      </c>
      <c r="F27" s="73">
        <v>1.8</v>
      </c>
      <c r="G27" s="74">
        <v>1</v>
      </c>
      <c r="H27" s="74">
        <v>1</v>
      </c>
      <c r="I27" s="74">
        <v>1</v>
      </c>
      <c r="J27" s="75">
        <v>96</v>
      </c>
      <c r="K27"/>
    </row>
    <row r="28" spans="1:11" x14ac:dyDescent="0.25">
      <c r="A28" s="3" t="s">
        <v>178</v>
      </c>
      <c r="B28" s="3" t="s">
        <v>69</v>
      </c>
      <c r="C28" s="3" t="s">
        <v>331</v>
      </c>
      <c r="D28" s="3" t="s">
        <v>73</v>
      </c>
      <c r="E28" s="3" t="s">
        <v>83</v>
      </c>
      <c r="F28" s="73">
        <v>1.57</v>
      </c>
      <c r="G28" s="74">
        <v>1</v>
      </c>
      <c r="H28" s="74">
        <v>1</v>
      </c>
      <c r="I28" s="74">
        <v>0.91</v>
      </c>
      <c r="J28" s="75">
        <v>89.600000000000009</v>
      </c>
      <c r="K28"/>
    </row>
    <row r="29" spans="1:11" x14ac:dyDescent="0.25">
      <c r="A29" s="3" t="s">
        <v>179</v>
      </c>
      <c r="B29" s="3" t="s">
        <v>76</v>
      </c>
      <c r="C29" s="3" t="s">
        <v>361</v>
      </c>
      <c r="D29" s="3" t="s">
        <v>71</v>
      </c>
      <c r="E29" s="3" t="s">
        <v>365</v>
      </c>
      <c r="F29" s="73">
        <v>1.82</v>
      </c>
      <c r="G29" s="74">
        <v>1</v>
      </c>
      <c r="H29" s="74">
        <v>1</v>
      </c>
      <c r="I29" s="74">
        <v>1</v>
      </c>
      <c r="J29" s="75">
        <v>96.4</v>
      </c>
      <c r="K29"/>
    </row>
    <row r="30" spans="1:11" x14ac:dyDescent="0.25">
      <c r="A30" s="3" t="s">
        <v>180</v>
      </c>
      <c r="B30" s="3" t="s">
        <v>76</v>
      </c>
      <c r="C30" s="3" t="s">
        <v>331</v>
      </c>
      <c r="D30" s="3" t="s">
        <v>73</v>
      </c>
      <c r="E30" s="3" t="s">
        <v>83</v>
      </c>
      <c r="F30" s="73">
        <v>1.76</v>
      </c>
      <c r="G30" s="74">
        <v>1</v>
      </c>
      <c r="H30" s="74">
        <v>1</v>
      </c>
      <c r="I30" s="74">
        <v>0.97</v>
      </c>
      <c r="J30" s="75">
        <v>94.600000000000009</v>
      </c>
      <c r="K30"/>
    </row>
    <row r="31" spans="1:11" x14ac:dyDescent="0.25">
      <c r="A31" s="3" t="s">
        <v>181</v>
      </c>
      <c r="B31" s="3" t="s">
        <v>69</v>
      </c>
      <c r="C31" s="3" t="s">
        <v>331</v>
      </c>
      <c r="D31" s="3" t="s">
        <v>71</v>
      </c>
      <c r="E31" s="3" t="s">
        <v>83</v>
      </c>
      <c r="F31" s="73">
        <v>1.8</v>
      </c>
      <c r="G31" s="74">
        <v>1</v>
      </c>
      <c r="H31" s="74">
        <v>1</v>
      </c>
      <c r="I31" s="74">
        <v>0.97</v>
      </c>
      <c r="J31" s="75">
        <v>95.399999999999991</v>
      </c>
      <c r="K31"/>
    </row>
    <row r="32" spans="1:11" x14ac:dyDescent="0.25">
      <c r="A32" s="3" t="s">
        <v>182</v>
      </c>
      <c r="B32" s="3" t="s">
        <v>76</v>
      </c>
      <c r="C32" s="3" t="s">
        <v>331</v>
      </c>
      <c r="D32" s="3" t="s">
        <v>73</v>
      </c>
      <c r="E32" s="3" t="s">
        <v>368</v>
      </c>
      <c r="F32" s="73">
        <v>1.58</v>
      </c>
      <c r="G32" s="74">
        <v>1</v>
      </c>
      <c r="H32" s="74">
        <v>1</v>
      </c>
      <c r="I32" s="74">
        <v>1</v>
      </c>
      <c r="J32" s="75">
        <v>91.6</v>
      </c>
      <c r="K32"/>
    </row>
    <row r="33" spans="1:11" x14ac:dyDescent="0.25">
      <c r="A33" s="3" t="s">
        <v>183</v>
      </c>
      <c r="B33" s="3" t="s">
        <v>69</v>
      </c>
      <c r="C33" s="3" t="s">
        <v>331</v>
      </c>
      <c r="D33" s="3" t="s">
        <v>71</v>
      </c>
      <c r="E33" s="3" t="s">
        <v>365</v>
      </c>
      <c r="F33" s="73">
        <v>1.82</v>
      </c>
      <c r="G33" s="74">
        <v>1</v>
      </c>
      <c r="H33" s="74">
        <v>1</v>
      </c>
      <c r="I33" s="74">
        <v>0.95</v>
      </c>
      <c r="J33" s="75">
        <v>95.399999999999991</v>
      </c>
      <c r="K33"/>
    </row>
    <row r="34" spans="1:11" x14ac:dyDescent="0.25">
      <c r="A34" s="3" t="s">
        <v>184</v>
      </c>
      <c r="B34" s="3" t="s">
        <v>69</v>
      </c>
      <c r="C34" s="3" t="s">
        <v>331</v>
      </c>
      <c r="D34" s="3" t="s">
        <v>73</v>
      </c>
      <c r="E34" s="3" t="s">
        <v>362</v>
      </c>
      <c r="F34" s="73">
        <v>1.95</v>
      </c>
      <c r="G34" s="74">
        <v>1</v>
      </c>
      <c r="H34" s="74">
        <v>1</v>
      </c>
      <c r="I34" s="74">
        <v>1</v>
      </c>
      <c r="J34" s="75">
        <v>99</v>
      </c>
      <c r="K34"/>
    </row>
    <row r="35" spans="1:11" x14ac:dyDescent="0.25">
      <c r="A35" s="3" t="s">
        <v>185</v>
      </c>
      <c r="B35" s="3" t="s">
        <v>76</v>
      </c>
      <c r="C35" s="3" t="s">
        <v>331</v>
      </c>
      <c r="D35" s="3" t="s">
        <v>73</v>
      </c>
      <c r="E35" s="3" t="s">
        <v>332</v>
      </c>
      <c r="F35" s="73">
        <v>1.86</v>
      </c>
      <c r="G35" s="74">
        <v>1</v>
      </c>
      <c r="H35" s="74">
        <v>0.94</v>
      </c>
      <c r="I35" s="74">
        <v>0.8</v>
      </c>
      <c r="J35" s="75">
        <v>91.999999999999986</v>
      </c>
      <c r="K35"/>
    </row>
    <row r="36" spans="1:11" x14ac:dyDescent="0.25">
      <c r="A36" s="3" t="s">
        <v>186</v>
      </c>
      <c r="B36" s="3" t="s">
        <v>76</v>
      </c>
      <c r="C36" s="3" t="s">
        <v>331</v>
      </c>
      <c r="D36" s="3" t="s">
        <v>71</v>
      </c>
      <c r="E36" s="3" t="s">
        <v>332</v>
      </c>
      <c r="F36" s="73">
        <v>1.82</v>
      </c>
      <c r="G36" s="74">
        <v>0.97</v>
      </c>
      <c r="H36" s="74">
        <v>0.97</v>
      </c>
      <c r="I36" s="74">
        <v>0.94</v>
      </c>
      <c r="J36" s="75">
        <v>94</v>
      </c>
      <c r="K36"/>
    </row>
    <row r="37" spans="1:11" x14ac:dyDescent="0.25">
      <c r="A37" s="3" t="s">
        <v>187</v>
      </c>
      <c r="B37" s="3" t="s">
        <v>69</v>
      </c>
      <c r="C37" s="3" t="s">
        <v>331</v>
      </c>
      <c r="D37" s="3" t="s">
        <v>73</v>
      </c>
      <c r="E37" s="3" t="s">
        <v>93</v>
      </c>
      <c r="F37" s="73">
        <v>1.69</v>
      </c>
      <c r="G37" s="74">
        <v>0.99</v>
      </c>
      <c r="H37" s="74">
        <v>0.97</v>
      </c>
      <c r="I37" s="74">
        <v>0.93</v>
      </c>
      <c r="J37" s="75">
        <v>91.6</v>
      </c>
      <c r="K37"/>
    </row>
    <row r="38" spans="1:11" x14ac:dyDescent="0.25">
      <c r="A38" s="3" t="s">
        <v>188</v>
      </c>
      <c r="B38" s="3" t="s">
        <v>76</v>
      </c>
      <c r="C38" s="3" t="s">
        <v>331</v>
      </c>
      <c r="D38" s="3" t="s">
        <v>73</v>
      </c>
      <c r="E38" s="3" t="s">
        <v>350</v>
      </c>
      <c r="F38" s="73">
        <v>1.45</v>
      </c>
      <c r="G38" s="74">
        <v>1</v>
      </c>
      <c r="H38" s="74">
        <v>1</v>
      </c>
      <c r="I38" s="74">
        <v>1</v>
      </c>
      <c r="J38" s="75">
        <v>89</v>
      </c>
      <c r="K38"/>
    </row>
    <row r="39" spans="1:11" x14ac:dyDescent="0.25">
      <c r="A39" s="3" t="s">
        <v>189</v>
      </c>
      <c r="B39" s="3" t="s">
        <v>76</v>
      </c>
      <c r="C39" s="3" t="s">
        <v>331</v>
      </c>
      <c r="D39" s="3" t="s">
        <v>71</v>
      </c>
      <c r="E39" s="3" t="s">
        <v>365</v>
      </c>
      <c r="F39" s="73">
        <v>1.43</v>
      </c>
      <c r="G39" s="74">
        <v>0.95</v>
      </c>
      <c r="H39" s="74">
        <v>1</v>
      </c>
      <c r="I39" s="74">
        <v>0.89</v>
      </c>
      <c r="J39" s="75">
        <v>85.399999999999991</v>
      </c>
      <c r="K39"/>
    </row>
    <row r="40" spans="1:11" x14ac:dyDescent="0.25">
      <c r="A40" s="3" t="s">
        <v>190</v>
      </c>
      <c r="B40" s="3" t="s">
        <v>69</v>
      </c>
      <c r="C40" s="3" t="s">
        <v>331</v>
      </c>
      <c r="D40" s="3" t="s">
        <v>73</v>
      </c>
      <c r="E40" s="3" t="s">
        <v>339</v>
      </c>
      <c r="F40" s="73">
        <v>1.85</v>
      </c>
      <c r="G40" s="74">
        <v>1</v>
      </c>
      <c r="H40" s="74">
        <v>1</v>
      </c>
      <c r="I40" s="74">
        <v>0.94</v>
      </c>
      <c r="J40" s="75">
        <v>95.8</v>
      </c>
      <c r="K40"/>
    </row>
    <row r="41" spans="1:11" x14ac:dyDescent="0.25">
      <c r="A41" s="3" t="s">
        <v>191</v>
      </c>
      <c r="B41" s="3" t="s">
        <v>76</v>
      </c>
      <c r="C41" s="3" t="s">
        <v>331</v>
      </c>
      <c r="D41" s="3" t="s">
        <v>73</v>
      </c>
      <c r="E41" s="3" t="s">
        <v>344</v>
      </c>
      <c r="F41" s="73">
        <v>1.94</v>
      </c>
      <c r="G41" s="74">
        <v>0.98</v>
      </c>
      <c r="H41" s="74">
        <v>1</v>
      </c>
      <c r="I41" s="74">
        <v>1</v>
      </c>
      <c r="J41" s="75">
        <v>98.4</v>
      </c>
      <c r="K41"/>
    </row>
    <row r="42" spans="1:11" x14ac:dyDescent="0.25">
      <c r="A42" s="3" t="s">
        <v>192</v>
      </c>
      <c r="B42" s="3" t="s">
        <v>76</v>
      </c>
      <c r="C42" s="3" t="s">
        <v>331</v>
      </c>
      <c r="D42" s="3" t="s">
        <v>73</v>
      </c>
      <c r="E42" s="3" t="s">
        <v>344</v>
      </c>
      <c r="F42" s="73">
        <v>1.82</v>
      </c>
      <c r="G42" s="74">
        <v>0.87</v>
      </c>
      <c r="H42" s="74">
        <v>1</v>
      </c>
      <c r="I42" s="74">
        <v>1</v>
      </c>
      <c r="J42" s="75">
        <v>93.800000000000011</v>
      </c>
      <c r="K42"/>
    </row>
    <row r="43" spans="1:11" x14ac:dyDescent="0.25">
      <c r="A43" s="3" t="s">
        <v>193</v>
      </c>
      <c r="B43" s="3" t="s">
        <v>69</v>
      </c>
      <c r="C43" s="3" t="s">
        <v>331</v>
      </c>
      <c r="D43" s="3" t="s">
        <v>71</v>
      </c>
      <c r="E43" s="3" t="s">
        <v>93</v>
      </c>
      <c r="F43" s="73">
        <v>1.87</v>
      </c>
      <c r="G43" s="74">
        <v>1</v>
      </c>
      <c r="H43" s="74">
        <v>1</v>
      </c>
      <c r="I43" s="74">
        <v>1</v>
      </c>
      <c r="J43" s="75">
        <v>97.4</v>
      </c>
      <c r="K43"/>
    </row>
    <row r="44" spans="1:11" x14ac:dyDescent="0.25">
      <c r="A44" s="3" t="s">
        <v>194</v>
      </c>
      <c r="B44" s="3" t="s">
        <v>69</v>
      </c>
      <c r="C44" s="3" t="s">
        <v>331</v>
      </c>
      <c r="D44" s="3" t="s">
        <v>73</v>
      </c>
      <c r="E44" s="3" t="s">
        <v>83</v>
      </c>
      <c r="F44" s="73">
        <v>1.65</v>
      </c>
      <c r="G44" s="74">
        <v>1</v>
      </c>
      <c r="H44" s="74">
        <v>1</v>
      </c>
      <c r="I44" s="74">
        <v>0.97</v>
      </c>
      <c r="J44" s="75">
        <v>92.4</v>
      </c>
      <c r="K44"/>
    </row>
    <row r="45" spans="1:11" x14ac:dyDescent="0.25">
      <c r="A45" s="3" t="s">
        <v>195</v>
      </c>
      <c r="B45" s="3" t="s">
        <v>76</v>
      </c>
      <c r="C45" s="3" t="s">
        <v>331</v>
      </c>
      <c r="D45" s="3" t="s">
        <v>71</v>
      </c>
      <c r="E45" s="3" t="s">
        <v>350</v>
      </c>
      <c r="F45" s="73">
        <v>1.88</v>
      </c>
      <c r="G45" s="74">
        <v>1</v>
      </c>
      <c r="H45" s="74">
        <v>0.97</v>
      </c>
      <c r="I45" s="74">
        <v>1</v>
      </c>
      <c r="J45" s="75">
        <v>96.999999999999986</v>
      </c>
      <c r="K45"/>
    </row>
    <row r="46" spans="1:11" x14ac:dyDescent="0.25">
      <c r="A46" s="3" t="s">
        <v>196</v>
      </c>
      <c r="B46" s="3" t="s">
        <v>76</v>
      </c>
      <c r="C46" s="3" t="s">
        <v>331</v>
      </c>
      <c r="D46" s="3" t="s">
        <v>73</v>
      </c>
      <c r="E46" s="3" t="s">
        <v>345</v>
      </c>
      <c r="F46" s="73">
        <v>1.99</v>
      </c>
      <c r="G46" s="74">
        <v>1</v>
      </c>
      <c r="H46" s="74">
        <v>1</v>
      </c>
      <c r="I46" s="74">
        <v>0.91</v>
      </c>
      <c r="J46" s="75">
        <v>98.000000000000014</v>
      </c>
      <c r="K46"/>
    </row>
    <row r="47" spans="1:11" x14ac:dyDescent="0.25">
      <c r="A47" s="3" t="s">
        <v>197</v>
      </c>
      <c r="B47" s="3" t="s">
        <v>76</v>
      </c>
      <c r="C47" s="3" t="s">
        <v>331</v>
      </c>
      <c r="D47" s="3" t="s">
        <v>73</v>
      </c>
      <c r="E47" s="3" t="s">
        <v>345</v>
      </c>
      <c r="F47" s="73">
        <v>1.67</v>
      </c>
      <c r="G47" s="74">
        <v>1</v>
      </c>
      <c r="H47" s="74">
        <v>1</v>
      </c>
      <c r="I47" s="74">
        <v>0.86</v>
      </c>
      <c r="J47" s="75">
        <v>90.6</v>
      </c>
      <c r="K47"/>
    </row>
    <row r="48" spans="1:11" x14ac:dyDescent="0.25">
      <c r="A48" s="3" t="s">
        <v>198</v>
      </c>
      <c r="B48" s="3" t="s">
        <v>76</v>
      </c>
      <c r="C48" s="3" t="s">
        <v>331</v>
      </c>
      <c r="D48" s="3" t="s">
        <v>71</v>
      </c>
      <c r="E48" s="3" t="s">
        <v>365</v>
      </c>
      <c r="F48" s="73">
        <v>1.82</v>
      </c>
      <c r="G48" s="74">
        <v>0.9</v>
      </c>
      <c r="H48" s="74">
        <v>1</v>
      </c>
      <c r="I48" s="74">
        <v>1</v>
      </c>
      <c r="J48" s="75">
        <v>94.4</v>
      </c>
      <c r="K48"/>
    </row>
    <row r="49" spans="1:11" x14ac:dyDescent="0.25">
      <c r="A49" s="3" t="s">
        <v>199</v>
      </c>
      <c r="B49" s="3" t="s">
        <v>69</v>
      </c>
      <c r="C49" s="3" t="s">
        <v>331</v>
      </c>
      <c r="D49" s="3" t="s">
        <v>71</v>
      </c>
      <c r="E49" s="3" t="s">
        <v>72</v>
      </c>
      <c r="F49" s="73">
        <v>1.78</v>
      </c>
      <c r="G49" s="74">
        <v>0</v>
      </c>
      <c r="H49" s="74">
        <v>0.93</v>
      </c>
      <c r="I49" s="74">
        <v>1</v>
      </c>
      <c r="J49" s="75">
        <v>74.2</v>
      </c>
      <c r="K49"/>
    </row>
    <row r="50" spans="1:11" x14ac:dyDescent="0.25">
      <c r="A50" s="3" t="s">
        <v>200</v>
      </c>
      <c r="B50" s="3" t="s">
        <v>76</v>
      </c>
      <c r="C50" s="3" t="s">
        <v>331</v>
      </c>
      <c r="D50" s="3" t="s">
        <v>71</v>
      </c>
      <c r="E50" s="3" t="s">
        <v>332</v>
      </c>
      <c r="F50" s="73">
        <v>1.45</v>
      </c>
      <c r="G50" s="74">
        <v>0.97</v>
      </c>
      <c r="H50" s="74">
        <v>0.94</v>
      </c>
      <c r="I50" s="74">
        <v>0.97</v>
      </c>
      <c r="J50" s="75">
        <v>86.6</v>
      </c>
      <c r="K50"/>
    </row>
    <row r="51" spans="1:11" x14ac:dyDescent="0.25">
      <c r="A51" s="3" t="s">
        <v>201</v>
      </c>
      <c r="B51" s="3" t="s">
        <v>69</v>
      </c>
      <c r="C51" s="3" t="s">
        <v>331</v>
      </c>
      <c r="D51" s="3" t="s">
        <v>73</v>
      </c>
      <c r="E51" s="3" t="s">
        <v>345</v>
      </c>
      <c r="F51" s="73">
        <v>1.76</v>
      </c>
      <c r="G51" s="74">
        <v>1</v>
      </c>
      <c r="H51" s="74">
        <v>0.93</v>
      </c>
      <c r="I51" s="74">
        <v>0.77</v>
      </c>
      <c r="J51" s="75">
        <v>89.2</v>
      </c>
      <c r="K51"/>
    </row>
    <row r="52" spans="1:11" x14ac:dyDescent="0.25">
      <c r="A52" s="3" t="s">
        <v>202</v>
      </c>
      <c r="B52" s="3" t="s">
        <v>76</v>
      </c>
      <c r="C52" s="3" t="s">
        <v>331</v>
      </c>
      <c r="D52" s="3" t="s">
        <v>71</v>
      </c>
      <c r="E52" s="3" t="s">
        <v>93</v>
      </c>
      <c r="F52" s="73">
        <v>1.51</v>
      </c>
      <c r="G52" s="74">
        <v>1</v>
      </c>
      <c r="H52" s="74">
        <v>0.97</v>
      </c>
      <c r="I52" s="74">
        <v>0.9</v>
      </c>
      <c r="J52" s="75">
        <v>87.6</v>
      </c>
      <c r="K52"/>
    </row>
    <row r="53" spans="1:11" x14ac:dyDescent="0.25">
      <c r="A53" s="3" t="s">
        <v>203</v>
      </c>
      <c r="B53" s="3" t="s">
        <v>69</v>
      </c>
      <c r="C53" s="3" t="s">
        <v>331</v>
      </c>
      <c r="D53" s="3" t="s">
        <v>73</v>
      </c>
      <c r="E53" s="3" t="s">
        <v>93</v>
      </c>
      <c r="F53" s="73">
        <v>1.61</v>
      </c>
      <c r="G53" s="74">
        <v>1</v>
      </c>
      <c r="H53" s="74">
        <v>0.81</v>
      </c>
      <c r="I53" s="74">
        <v>0.97</v>
      </c>
      <c r="J53" s="75">
        <v>87.799999999999983</v>
      </c>
      <c r="K53"/>
    </row>
    <row r="54" spans="1:11" x14ac:dyDescent="0.25">
      <c r="A54" s="3" t="s">
        <v>204</v>
      </c>
      <c r="B54" s="3" t="s">
        <v>76</v>
      </c>
      <c r="C54" s="3" t="s">
        <v>331</v>
      </c>
      <c r="D54" s="3" t="s">
        <v>73</v>
      </c>
      <c r="E54" s="3" t="s">
        <v>93</v>
      </c>
      <c r="F54" s="73">
        <v>1.92</v>
      </c>
      <c r="G54" s="74">
        <v>1</v>
      </c>
      <c r="H54" s="74">
        <v>1</v>
      </c>
      <c r="I54" s="74">
        <v>1</v>
      </c>
      <c r="J54" s="75">
        <v>98.4</v>
      </c>
      <c r="K54"/>
    </row>
    <row r="55" spans="1:11" x14ac:dyDescent="0.25">
      <c r="A55" s="3" t="s">
        <v>205</v>
      </c>
      <c r="B55" s="3" t="s">
        <v>69</v>
      </c>
      <c r="C55" s="3" t="s">
        <v>331</v>
      </c>
      <c r="D55" s="3" t="s">
        <v>71</v>
      </c>
      <c r="E55" s="3" t="s">
        <v>345</v>
      </c>
      <c r="F55" s="73">
        <v>1.88</v>
      </c>
      <c r="G55" s="74">
        <v>1</v>
      </c>
      <c r="H55" s="74">
        <v>0.95</v>
      </c>
      <c r="I55" s="74">
        <v>0.95</v>
      </c>
      <c r="J55" s="75">
        <v>95.6</v>
      </c>
      <c r="K55"/>
    </row>
    <row r="56" spans="1:11" x14ac:dyDescent="0.25">
      <c r="A56" s="3" t="s">
        <v>206</v>
      </c>
      <c r="B56" s="3" t="s">
        <v>69</v>
      </c>
      <c r="C56" s="3" t="s">
        <v>331</v>
      </c>
      <c r="D56" s="3" t="s">
        <v>71</v>
      </c>
      <c r="E56" s="3" t="s">
        <v>345</v>
      </c>
      <c r="F56" s="73">
        <v>1.95</v>
      </c>
      <c r="G56" s="74">
        <v>0.96</v>
      </c>
      <c r="H56" s="74">
        <v>0.96</v>
      </c>
      <c r="I56" s="74">
        <v>1</v>
      </c>
      <c r="J56" s="75">
        <v>97.4</v>
      </c>
      <c r="K56"/>
    </row>
    <row r="57" spans="1:11" x14ac:dyDescent="0.25">
      <c r="A57" s="3" t="s">
        <v>207</v>
      </c>
      <c r="B57" s="3" t="s">
        <v>76</v>
      </c>
      <c r="C57" s="3" t="s">
        <v>331</v>
      </c>
      <c r="D57" s="3" t="s">
        <v>71</v>
      </c>
      <c r="E57" s="3" t="s">
        <v>362</v>
      </c>
      <c r="F57" s="73">
        <v>1.91</v>
      </c>
      <c r="G57" s="74">
        <v>1</v>
      </c>
      <c r="H57" s="74">
        <v>1</v>
      </c>
      <c r="I57" s="74">
        <v>1</v>
      </c>
      <c r="J57" s="75">
        <v>98.2</v>
      </c>
      <c r="K57"/>
    </row>
    <row r="58" spans="1:11" x14ac:dyDescent="0.25">
      <c r="A58" s="3" t="s">
        <v>208</v>
      </c>
      <c r="B58" s="3" t="s">
        <v>69</v>
      </c>
      <c r="C58" s="3" t="s">
        <v>331</v>
      </c>
      <c r="D58" s="3" t="s">
        <v>71</v>
      </c>
      <c r="E58" s="3" t="s">
        <v>345</v>
      </c>
      <c r="F58" s="73">
        <v>1.54</v>
      </c>
      <c r="G58" s="74">
        <v>0.93</v>
      </c>
      <c r="H58" s="74">
        <v>1</v>
      </c>
      <c r="I58" s="74">
        <v>0.96</v>
      </c>
      <c r="J58" s="75">
        <v>88.6</v>
      </c>
      <c r="K58"/>
    </row>
    <row r="59" spans="1:11" x14ac:dyDescent="0.25">
      <c r="A59" s="3" t="s">
        <v>209</v>
      </c>
      <c r="B59" s="3" t="s">
        <v>69</v>
      </c>
      <c r="C59" s="3" t="s">
        <v>331</v>
      </c>
      <c r="D59" s="3" t="s">
        <v>73</v>
      </c>
      <c r="E59" s="3" t="s">
        <v>345</v>
      </c>
      <c r="F59" s="73">
        <v>1.95</v>
      </c>
      <c r="G59" s="74">
        <v>1</v>
      </c>
      <c r="H59" s="74">
        <v>0.94</v>
      </c>
      <c r="I59" s="74">
        <v>0.94</v>
      </c>
      <c r="J59" s="75">
        <v>96.6</v>
      </c>
      <c r="K59"/>
    </row>
    <row r="60" spans="1:11" x14ac:dyDescent="0.25">
      <c r="A60" s="3" t="s">
        <v>210</v>
      </c>
      <c r="B60" s="3" t="s">
        <v>69</v>
      </c>
      <c r="C60" s="3" t="s">
        <v>331</v>
      </c>
      <c r="D60" s="3" t="s">
        <v>340</v>
      </c>
      <c r="E60" s="3" t="s">
        <v>83</v>
      </c>
      <c r="F60" s="73">
        <v>1.82</v>
      </c>
      <c r="G60" s="74">
        <v>1</v>
      </c>
      <c r="H60" s="74">
        <v>0.99</v>
      </c>
      <c r="I60" s="74">
        <v>1</v>
      </c>
      <c r="J60" s="75">
        <v>96.199999999999989</v>
      </c>
      <c r="K60"/>
    </row>
    <row r="61" spans="1:11" x14ac:dyDescent="0.25">
      <c r="A61" s="3" t="s">
        <v>211</v>
      </c>
      <c r="B61" s="3" t="s">
        <v>69</v>
      </c>
      <c r="C61" s="3" t="s">
        <v>331</v>
      </c>
      <c r="D61" s="3" t="s">
        <v>71</v>
      </c>
      <c r="E61" s="3" t="s">
        <v>365</v>
      </c>
      <c r="F61" s="73">
        <v>1.87</v>
      </c>
      <c r="G61" s="74">
        <v>1</v>
      </c>
      <c r="H61" s="74">
        <v>1</v>
      </c>
      <c r="I61" s="74">
        <v>0.98</v>
      </c>
      <c r="J61" s="75">
        <v>96.999999999999986</v>
      </c>
      <c r="K61"/>
    </row>
    <row r="62" spans="1:11" x14ac:dyDescent="0.25">
      <c r="A62" s="3" t="s">
        <v>212</v>
      </c>
      <c r="B62" s="3" t="s">
        <v>76</v>
      </c>
      <c r="C62" s="3" t="s">
        <v>331</v>
      </c>
      <c r="D62" s="3" t="s">
        <v>71</v>
      </c>
      <c r="E62" s="3" t="s">
        <v>350</v>
      </c>
      <c r="F62" s="73">
        <v>2</v>
      </c>
      <c r="G62" s="74">
        <v>0.94</v>
      </c>
      <c r="H62" s="74">
        <v>1</v>
      </c>
      <c r="I62" s="74">
        <v>0.98</v>
      </c>
      <c r="J62" s="75">
        <v>98.4</v>
      </c>
      <c r="K62"/>
    </row>
    <row r="63" spans="1:11" x14ac:dyDescent="0.25">
      <c r="A63" s="3" t="s">
        <v>213</v>
      </c>
      <c r="B63" s="3" t="s">
        <v>69</v>
      </c>
      <c r="C63" s="3" t="s">
        <v>331</v>
      </c>
      <c r="D63" s="3" t="s">
        <v>71</v>
      </c>
      <c r="E63" s="3" t="s">
        <v>365</v>
      </c>
      <c r="F63" s="73">
        <v>1.77</v>
      </c>
      <c r="G63" s="74">
        <v>1</v>
      </c>
      <c r="H63" s="74">
        <v>1</v>
      </c>
      <c r="I63" s="74">
        <v>1</v>
      </c>
      <c r="J63" s="75">
        <v>95.399999999999991</v>
      </c>
      <c r="K63"/>
    </row>
    <row r="64" spans="1:11" x14ac:dyDescent="0.25">
      <c r="A64" s="3" t="s">
        <v>214</v>
      </c>
      <c r="B64" s="3" t="s">
        <v>69</v>
      </c>
      <c r="C64" s="3" t="s">
        <v>331</v>
      </c>
      <c r="D64" s="3" t="s">
        <v>73</v>
      </c>
      <c r="E64" s="3" t="s">
        <v>345</v>
      </c>
      <c r="F64" s="73">
        <v>1.93</v>
      </c>
      <c r="G64" s="74">
        <v>1</v>
      </c>
      <c r="H64" s="74">
        <v>0.97</v>
      </c>
      <c r="I64" s="74">
        <v>0.91</v>
      </c>
      <c r="J64" s="75">
        <v>96.199999999999989</v>
      </c>
      <c r="K64"/>
    </row>
    <row r="65" spans="1:11" x14ac:dyDescent="0.25">
      <c r="A65" s="3" t="s">
        <v>215</v>
      </c>
      <c r="B65" s="3" t="s">
        <v>76</v>
      </c>
      <c r="C65" s="3" t="s">
        <v>331</v>
      </c>
      <c r="D65" s="3" t="s">
        <v>73</v>
      </c>
      <c r="E65" s="3" t="s">
        <v>72</v>
      </c>
      <c r="F65" s="73">
        <v>1.84</v>
      </c>
      <c r="G65" s="74">
        <v>1</v>
      </c>
      <c r="H65" s="74">
        <v>1</v>
      </c>
      <c r="I65" s="74">
        <v>1</v>
      </c>
      <c r="J65" s="75">
        <v>96.8</v>
      </c>
      <c r="K65"/>
    </row>
    <row r="66" spans="1:11" x14ac:dyDescent="0.25">
      <c r="A66" s="3" t="s">
        <v>216</v>
      </c>
      <c r="B66" s="3" t="s">
        <v>76</v>
      </c>
      <c r="C66" s="3" t="s">
        <v>331</v>
      </c>
      <c r="D66" s="3" t="s">
        <v>73</v>
      </c>
      <c r="E66" s="3" t="s">
        <v>93</v>
      </c>
      <c r="F66" s="73">
        <v>1.89</v>
      </c>
      <c r="G66" s="74">
        <v>1</v>
      </c>
      <c r="H66" s="74">
        <v>0.92</v>
      </c>
      <c r="I66" s="74">
        <v>0.97</v>
      </c>
      <c r="J66" s="75">
        <v>95.6</v>
      </c>
      <c r="K66"/>
    </row>
    <row r="67" spans="1:11" x14ac:dyDescent="0.25">
      <c r="A67" s="3" t="s">
        <v>217</v>
      </c>
      <c r="B67" s="3" t="s">
        <v>69</v>
      </c>
      <c r="C67" s="3" t="s">
        <v>331</v>
      </c>
      <c r="D67" s="3" t="s">
        <v>71</v>
      </c>
      <c r="E67" s="3" t="s">
        <v>398</v>
      </c>
      <c r="F67" s="73">
        <v>1.6</v>
      </c>
      <c r="G67" s="74">
        <v>0.88</v>
      </c>
      <c r="H67" s="74">
        <v>0.92</v>
      </c>
      <c r="I67" s="74">
        <v>1</v>
      </c>
      <c r="J67" s="75">
        <v>88.000000000000014</v>
      </c>
      <c r="K67"/>
    </row>
    <row r="68" spans="1:11" x14ac:dyDescent="0.25">
      <c r="A68" s="3" t="s">
        <v>218</v>
      </c>
      <c r="B68" s="3" t="s">
        <v>69</v>
      </c>
      <c r="C68" s="3" t="s">
        <v>331</v>
      </c>
      <c r="D68" s="3" t="s">
        <v>73</v>
      </c>
      <c r="E68" s="3" t="s">
        <v>368</v>
      </c>
      <c r="F68" s="73">
        <v>1.89</v>
      </c>
      <c r="G68" s="74">
        <v>1</v>
      </c>
      <c r="H68" s="74">
        <v>0.98</v>
      </c>
      <c r="I68" s="74">
        <v>1</v>
      </c>
      <c r="J68" s="75">
        <v>97.4</v>
      </c>
      <c r="K68"/>
    </row>
    <row r="69" spans="1:11" x14ac:dyDescent="0.25">
      <c r="A69" s="3" t="s">
        <v>219</v>
      </c>
      <c r="B69" s="3" t="s">
        <v>76</v>
      </c>
      <c r="C69" s="3" t="s">
        <v>331</v>
      </c>
      <c r="D69" s="3" t="s">
        <v>340</v>
      </c>
      <c r="E69" s="3" t="s">
        <v>401</v>
      </c>
      <c r="F69" s="73">
        <v>1.92</v>
      </c>
      <c r="G69" s="74">
        <v>1</v>
      </c>
      <c r="H69" s="74">
        <v>0.99</v>
      </c>
      <c r="I69" s="74">
        <v>0.98</v>
      </c>
      <c r="J69" s="75">
        <v>97.799999999999983</v>
      </c>
      <c r="K69"/>
    </row>
    <row r="70" spans="1:11" x14ac:dyDescent="0.25">
      <c r="A70" s="3" t="s">
        <v>220</v>
      </c>
      <c r="B70" s="3" t="s">
        <v>76</v>
      </c>
      <c r="C70" s="3" t="s">
        <v>331</v>
      </c>
      <c r="D70" s="3" t="s">
        <v>73</v>
      </c>
      <c r="E70" s="3" t="s">
        <v>93</v>
      </c>
      <c r="F70" s="73">
        <v>1.96</v>
      </c>
      <c r="G70" s="74">
        <v>1</v>
      </c>
      <c r="H70" s="74">
        <v>0.92</v>
      </c>
      <c r="I70" s="74">
        <v>0.96</v>
      </c>
      <c r="J70" s="75">
        <v>96.8</v>
      </c>
      <c r="K70"/>
    </row>
    <row r="71" spans="1:11" x14ac:dyDescent="0.25">
      <c r="A71" s="3" t="s">
        <v>221</v>
      </c>
      <c r="B71" s="3" t="s">
        <v>76</v>
      </c>
      <c r="C71" s="3" t="s">
        <v>331</v>
      </c>
      <c r="D71" s="3" t="s">
        <v>71</v>
      </c>
      <c r="E71" s="3" t="s">
        <v>356</v>
      </c>
      <c r="F71" s="73">
        <v>1.93</v>
      </c>
      <c r="G71" s="74">
        <v>0.99</v>
      </c>
      <c r="H71" s="74">
        <v>1</v>
      </c>
      <c r="I71" s="74">
        <v>0.99</v>
      </c>
      <c r="J71" s="75">
        <v>98.2</v>
      </c>
      <c r="K71"/>
    </row>
    <row r="72" spans="1:11" x14ac:dyDescent="0.25">
      <c r="A72" s="3" t="s">
        <v>222</v>
      </c>
      <c r="B72" s="3" t="s">
        <v>76</v>
      </c>
      <c r="C72" s="3" t="s">
        <v>331</v>
      </c>
      <c r="D72" s="3" t="s">
        <v>73</v>
      </c>
      <c r="E72" s="3" t="s">
        <v>398</v>
      </c>
      <c r="F72" s="73">
        <v>1.34</v>
      </c>
      <c r="G72" s="74">
        <v>1</v>
      </c>
      <c r="H72" s="74">
        <v>0.97</v>
      </c>
      <c r="I72" s="74">
        <v>0.96</v>
      </c>
      <c r="J72" s="75">
        <v>85.399999999999991</v>
      </c>
      <c r="K72"/>
    </row>
    <row r="73" spans="1:11" x14ac:dyDescent="0.25">
      <c r="A73" s="3" t="s">
        <v>223</v>
      </c>
      <c r="B73" s="3" t="s">
        <v>76</v>
      </c>
      <c r="C73" s="3" t="s">
        <v>331</v>
      </c>
      <c r="D73" s="3" t="s">
        <v>71</v>
      </c>
      <c r="E73" s="3" t="s">
        <v>93</v>
      </c>
      <c r="F73" s="73">
        <v>1.78</v>
      </c>
      <c r="G73" s="74">
        <v>0.99</v>
      </c>
      <c r="H73" s="74">
        <v>0.94</v>
      </c>
      <c r="I73" s="74">
        <v>1</v>
      </c>
      <c r="J73" s="75">
        <v>94.2</v>
      </c>
      <c r="K73"/>
    </row>
    <row r="74" spans="1:11" x14ac:dyDescent="0.25">
      <c r="A74" s="3" t="s">
        <v>224</v>
      </c>
      <c r="B74" s="3" t="s">
        <v>76</v>
      </c>
      <c r="C74" s="3" t="s">
        <v>331</v>
      </c>
      <c r="D74" s="3" t="s">
        <v>73</v>
      </c>
      <c r="E74" s="3" t="s">
        <v>345</v>
      </c>
      <c r="F74" s="73">
        <v>1.82</v>
      </c>
      <c r="G74" s="74">
        <v>1</v>
      </c>
      <c r="H74" s="74">
        <v>1</v>
      </c>
      <c r="I74" s="74">
        <v>0.75</v>
      </c>
      <c r="J74" s="75">
        <v>91.4</v>
      </c>
      <c r="K74"/>
    </row>
    <row r="75" spans="1:11" x14ac:dyDescent="0.25">
      <c r="A75" s="3" t="s">
        <v>225</v>
      </c>
      <c r="B75" s="3" t="s">
        <v>76</v>
      </c>
      <c r="C75" s="3" t="s">
        <v>331</v>
      </c>
      <c r="D75" s="3" t="s">
        <v>71</v>
      </c>
      <c r="E75" s="3" t="s">
        <v>398</v>
      </c>
      <c r="F75" s="73">
        <v>1.9</v>
      </c>
      <c r="G75" s="74">
        <v>0.99</v>
      </c>
      <c r="H75" s="74">
        <v>0.99</v>
      </c>
      <c r="I75" s="74">
        <v>1</v>
      </c>
      <c r="J75" s="75">
        <v>97.6</v>
      </c>
      <c r="K75"/>
    </row>
    <row r="76" spans="1:11" x14ac:dyDescent="0.25">
      <c r="A76" s="3" t="s">
        <v>226</v>
      </c>
      <c r="B76" s="3" t="s">
        <v>76</v>
      </c>
      <c r="C76" s="3" t="s">
        <v>331</v>
      </c>
      <c r="D76" s="3" t="s">
        <v>71</v>
      </c>
      <c r="E76" s="3" t="s">
        <v>72</v>
      </c>
      <c r="F76" s="73">
        <v>1.81</v>
      </c>
      <c r="G76" s="74">
        <v>1</v>
      </c>
      <c r="H76" s="74">
        <v>1</v>
      </c>
      <c r="I76" s="74">
        <v>1</v>
      </c>
      <c r="J76" s="75">
        <v>96.199999999999989</v>
      </c>
      <c r="K76"/>
    </row>
    <row r="77" spans="1:11" x14ac:dyDescent="0.25">
      <c r="A77" s="3" t="s">
        <v>227</v>
      </c>
      <c r="B77" s="3" t="s">
        <v>76</v>
      </c>
      <c r="C77" s="3" t="s">
        <v>331</v>
      </c>
      <c r="D77" s="3" t="s">
        <v>71</v>
      </c>
      <c r="E77" s="3" t="s">
        <v>353</v>
      </c>
      <c r="F77" s="73">
        <v>1.93</v>
      </c>
      <c r="G77" s="74">
        <v>1</v>
      </c>
      <c r="H77" s="74">
        <v>0.98</v>
      </c>
      <c r="I77" s="74">
        <v>1</v>
      </c>
      <c r="J77" s="75">
        <v>98.2</v>
      </c>
      <c r="K77"/>
    </row>
    <row r="78" spans="1:11" x14ac:dyDescent="0.25">
      <c r="A78" s="3" t="s">
        <v>228</v>
      </c>
      <c r="B78" s="3" t="s">
        <v>76</v>
      </c>
      <c r="C78" s="3" t="s">
        <v>331</v>
      </c>
      <c r="D78" s="3" t="s">
        <v>73</v>
      </c>
      <c r="E78" s="3" t="s">
        <v>72</v>
      </c>
      <c r="F78" s="73">
        <v>1.84</v>
      </c>
      <c r="G78" s="74">
        <v>1</v>
      </c>
      <c r="H78" s="74">
        <v>1</v>
      </c>
      <c r="I78" s="74">
        <v>1</v>
      </c>
      <c r="J78" s="75">
        <v>96.8</v>
      </c>
      <c r="K78"/>
    </row>
    <row r="79" spans="1:11" x14ac:dyDescent="0.25">
      <c r="A79" s="3" t="s">
        <v>229</v>
      </c>
      <c r="B79" s="3" t="s">
        <v>76</v>
      </c>
      <c r="C79" s="3" t="s">
        <v>331</v>
      </c>
      <c r="D79" s="3" t="s">
        <v>71</v>
      </c>
      <c r="E79" s="3" t="s">
        <v>362</v>
      </c>
      <c r="F79" s="73">
        <v>1.87</v>
      </c>
      <c r="G79" s="74">
        <v>1</v>
      </c>
      <c r="H79" s="74">
        <v>0.97</v>
      </c>
      <c r="I79" s="74">
        <v>0.96</v>
      </c>
      <c r="J79" s="75">
        <v>96</v>
      </c>
      <c r="K79"/>
    </row>
    <row r="80" spans="1:11" x14ac:dyDescent="0.25">
      <c r="A80" s="3" t="s">
        <v>230</v>
      </c>
      <c r="B80" s="3" t="s">
        <v>76</v>
      </c>
      <c r="C80" s="3" t="s">
        <v>331</v>
      </c>
      <c r="D80" s="3" t="s">
        <v>73</v>
      </c>
      <c r="E80" s="3" t="s">
        <v>345</v>
      </c>
      <c r="F80" s="73">
        <v>1.87</v>
      </c>
      <c r="G80" s="74">
        <v>1</v>
      </c>
      <c r="H80" s="74">
        <v>1</v>
      </c>
      <c r="I80" s="74">
        <v>0.9</v>
      </c>
      <c r="J80" s="75">
        <v>95.399999999999991</v>
      </c>
      <c r="K80"/>
    </row>
    <row r="81" spans="1:11" x14ac:dyDescent="0.25">
      <c r="A81" s="3" t="s">
        <v>231</v>
      </c>
      <c r="B81" s="3" t="s">
        <v>76</v>
      </c>
      <c r="C81" s="3" t="s">
        <v>331</v>
      </c>
      <c r="D81" s="3" t="s">
        <v>73</v>
      </c>
      <c r="E81" s="3" t="s">
        <v>104</v>
      </c>
      <c r="F81" s="73">
        <v>1.9</v>
      </c>
      <c r="G81" s="74">
        <v>1</v>
      </c>
      <c r="H81" s="74">
        <v>1</v>
      </c>
      <c r="I81" s="74">
        <v>1</v>
      </c>
      <c r="J81" s="75">
        <v>98.000000000000014</v>
      </c>
      <c r="K81"/>
    </row>
    <row r="82" spans="1:11" x14ac:dyDescent="0.25">
      <c r="A82" s="3" t="s">
        <v>232</v>
      </c>
      <c r="B82" s="3" t="s">
        <v>69</v>
      </c>
      <c r="C82" s="3" t="s">
        <v>331</v>
      </c>
      <c r="D82" s="3" t="s">
        <v>71</v>
      </c>
      <c r="E82" s="3" t="s">
        <v>350</v>
      </c>
      <c r="F82" s="73">
        <v>1.87</v>
      </c>
      <c r="G82" s="74">
        <v>0.99</v>
      </c>
      <c r="H82" s="74">
        <v>1</v>
      </c>
      <c r="I82" s="74">
        <v>1</v>
      </c>
      <c r="J82" s="75">
        <v>97.200000000000017</v>
      </c>
      <c r="K82"/>
    </row>
    <row r="83" spans="1:11" x14ac:dyDescent="0.25">
      <c r="A83" s="3" t="s">
        <v>233</v>
      </c>
      <c r="B83" s="3" t="s">
        <v>76</v>
      </c>
      <c r="C83" s="3" t="s">
        <v>331</v>
      </c>
      <c r="D83" s="3" t="s">
        <v>73</v>
      </c>
      <c r="E83" s="3" t="s">
        <v>93</v>
      </c>
      <c r="F83" s="73">
        <v>1.92</v>
      </c>
      <c r="G83" s="74">
        <v>0</v>
      </c>
      <c r="H83" s="74">
        <v>0.9</v>
      </c>
      <c r="I83" s="74">
        <v>1</v>
      </c>
      <c r="J83" s="75">
        <v>76.400000000000006</v>
      </c>
      <c r="K83"/>
    </row>
    <row r="84" spans="1:11" x14ac:dyDescent="0.25">
      <c r="A84" s="3" t="s">
        <v>234</v>
      </c>
      <c r="B84" s="3" t="s">
        <v>69</v>
      </c>
      <c r="C84" s="3" t="s">
        <v>331</v>
      </c>
      <c r="D84" s="3" t="s">
        <v>71</v>
      </c>
      <c r="E84" s="3" t="s">
        <v>83</v>
      </c>
      <c r="F84" s="73">
        <v>1.76</v>
      </c>
      <c r="G84" s="74">
        <v>1</v>
      </c>
      <c r="H84" s="74">
        <v>1</v>
      </c>
      <c r="I84" s="74">
        <v>1</v>
      </c>
      <c r="J84" s="75">
        <v>95.2</v>
      </c>
      <c r="K84"/>
    </row>
    <row r="85" spans="1:11" x14ac:dyDescent="0.25">
      <c r="A85" s="3" t="s">
        <v>235</v>
      </c>
      <c r="B85" s="3" t="s">
        <v>69</v>
      </c>
      <c r="C85" s="3" t="s">
        <v>331</v>
      </c>
      <c r="D85" s="3" t="s">
        <v>73</v>
      </c>
      <c r="E85" s="3" t="s">
        <v>93</v>
      </c>
      <c r="F85" s="73">
        <v>1.92</v>
      </c>
      <c r="G85" s="74">
        <v>1</v>
      </c>
      <c r="H85" s="74">
        <v>0.94</v>
      </c>
      <c r="I85" s="74">
        <v>1</v>
      </c>
      <c r="J85" s="75">
        <v>97.200000000000017</v>
      </c>
      <c r="K85"/>
    </row>
    <row r="86" spans="1:11" x14ac:dyDescent="0.25">
      <c r="A86" s="3" t="s">
        <v>236</v>
      </c>
      <c r="B86" s="3" t="s">
        <v>76</v>
      </c>
      <c r="C86" s="3" t="s">
        <v>331</v>
      </c>
      <c r="D86" s="3" t="s">
        <v>340</v>
      </c>
      <c r="E86" s="3" t="s">
        <v>368</v>
      </c>
      <c r="F86" s="73">
        <v>1.78</v>
      </c>
      <c r="G86" s="74">
        <v>1</v>
      </c>
      <c r="H86" s="74">
        <v>1</v>
      </c>
      <c r="I86" s="74">
        <v>0.97</v>
      </c>
      <c r="J86" s="75">
        <v>95</v>
      </c>
      <c r="K86"/>
    </row>
    <row r="87" spans="1:11" x14ac:dyDescent="0.25">
      <c r="A87" s="3" t="s">
        <v>237</v>
      </c>
      <c r="B87" s="3" t="s">
        <v>69</v>
      </c>
      <c r="C87" s="3" t="s">
        <v>331</v>
      </c>
      <c r="D87" s="3" t="s">
        <v>71</v>
      </c>
      <c r="E87" s="3" t="s">
        <v>83</v>
      </c>
      <c r="F87" s="73">
        <v>1.82</v>
      </c>
      <c r="G87" s="74">
        <v>1</v>
      </c>
      <c r="H87" s="74">
        <v>1</v>
      </c>
      <c r="I87" s="74">
        <v>1</v>
      </c>
      <c r="J87" s="75">
        <v>96.4</v>
      </c>
      <c r="K87"/>
    </row>
    <row r="88" spans="1:11" x14ac:dyDescent="0.25">
      <c r="A88" s="3" t="s">
        <v>238</v>
      </c>
      <c r="B88" s="3" t="s">
        <v>69</v>
      </c>
      <c r="C88" s="3" t="s">
        <v>331</v>
      </c>
      <c r="D88" s="3" t="s">
        <v>71</v>
      </c>
      <c r="E88" s="3" t="s">
        <v>332</v>
      </c>
      <c r="F88" s="73">
        <v>1.99</v>
      </c>
      <c r="G88" s="74">
        <v>0.98</v>
      </c>
      <c r="H88" s="74">
        <v>1</v>
      </c>
      <c r="I88" s="74">
        <v>1</v>
      </c>
      <c r="J88" s="75">
        <v>99.4</v>
      </c>
      <c r="K88"/>
    </row>
    <row r="89" spans="1:11" x14ac:dyDescent="0.25">
      <c r="A89" s="3" t="s">
        <v>239</v>
      </c>
      <c r="B89" s="3" t="s">
        <v>76</v>
      </c>
      <c r="C89" s="3" t="s">
        <v>331</v>
      </c>
      <c r="D89" s="3" t="s">
        <v>71</v>
      </c>
      <c r="E89" s="3" t="s">
        <v>104</v>
      </c>
      <c r="F89" s="73">
        <v>1.79</v>
      </c>
      <c r="G89" s="74">
        <v>0.99</v>
      </c>
      <c r="H89" s="74">
        <v>1</v>
      </c>
      <c r="I89" s="74">
        <v>1</v>
      </c>
      <c r="J89" s="75">
        <v>95.6</v>
      </c>
      <c r="K89"/>
    </row>
    <row r="90" spans="1:11" x14ac:dyDescent="0.25">
      <c r="A90" s="3" t="s">
        <v>240</v>
      </c>
      <c r="B90" s="3" t="s">
        <v>69</v>
      </c>
      <c r="C90" s="3" t="s">
        <v>423</v>
      </c>
      <c r="D90" s="3" t="s">
        <v>73</v>
      </c>
      <c r="E90" s="3" t="s">
        <v>93</v>
      </c>
      <c r="F90" s="73">
        <v>1.89</v>
      </c>
      <c r="G90" s="74">
        <v>0.99</v>
      </c>
      <c r="H90" s="74">
        <v>0.94</v>
      </c>
      <c r="I90" s="74">
        <v>1</v>
      </c>
      <c r="J90" s="75">
        <v>96.4</v>
      </c>
      <c r="K90"/>
    </row>
    <row r="91" spans="1:11" x14ac:dyDescent="0.25">
      <c r="A91" s="3" t="s">
        <v>241</v>
      </c>
      <c r="B91" s="3" t="s">
        <v>76</v>
      </c>
      <c r="C91" s="3" t="s">
        <v>331</v>
      </c>
      <c r="D91" s="3" t="s">
        <v>71</v>
      </c>
      <c r="E91" s="3" t="s">
        <v>93</v>
      </c>
      <c r="F91" s="73">
        <v>1.9</v>
      </c>
      <c r="G91" s="74">
        <v>1</v>
      </c>
      <c r="H91" s="74">
        <v>1</v>
      </c>
      <c r="I91" s="74">
        <v>0.94</v>
      </c>
      <c r="J91" s="75">
        <v>96.8</v>
      </c>
      <c r="K91"/>
    </row>
    <row r="92" spans="1:11" x14ac:dyDescent="0.25">
      <c r="A92" s="3" t="s">
        <v>242</v>
      </c>
      <c r="B92" s="3" t="s">
        <v>76</v>
      </c>
      <c r="C92" s="3" t="s">
        <v>361</v>
      </c>
      <c r="D92" s="3" t="s">
        <v>71</v>
      </c>
      <c r="E92" s="3" t="s">
        <v>93</v>
      </c>
      <c r="F92" s="73">
        <v>1.9</v>
      </c>
      <c r="G92" s="74">
        <v>1</v>
      </c>
      <c r="H92" s="74">
        <v>0.99</v>
      </c>
      <c r="I92" s="74">
        <v>1</v>
      </c>
      <c r="J92" s="75">
        <v>97.799999999999983</v>
      </c>
      <c r="K92"/>
    </row>
    <row r="93" spans="1:11" x14ac:dyDescent="0.25">
      <c r="A93" s="3" t="s">
        <v>243</v>
      </c>
      <c r="B93" s="3" t="s">
        <v>76</v>
      </c>
      <c r="C93" s="3" t="s">
        <v>331</v>
      </c>
      <c r="D93" s="3" t="s">
        <v>71</v>
      </c>
      <c r="E93" s="3" t="s">
        <v>93</v>
      </c>
      <c r="F93" s="73">
        <v>1.86</v>
      </c>
      <c r="G93" s="74">
        <v>1</v>
      </c>
      <c r="H93" s="74">
        <v>0.97</v>
      </c>
      <c r="I93" s="74">
        <v>0.98</v>
      </c>
      <c r="J93" s="75">
        <v>96.199999999999989</v>
      </c>
      <c r="K93"/>
    </row>
    <row r="94" spans="1:11" x14ac:dyDescent="0.25">
      <c r="A94" s="3" t="s">
        <v>244</v>
      </c>
      <c r="B94" s="3" t="s">
        <v>76</v>
      </c>
      <c r="C94" s="3" t="s">
        <v>331</v>
      </c>
      <c r="D94" s="3" t="s">
        <v>73</v>
      </c>
      <c r="E94" s="3" t="s">
        <v>93</v>
      </c>
      <c r="F94" s="73">
        <v>1.9</v>
      </c>
      <c r="G94" s="74">
        <v>0.98</v>
      </c>
      <c r="H94" s="74">
        <v>0.92</v>
      </c>
      <c r="I94" s="74">
        <v>1</v>
      </c>
      <c r="J94" s="75">
        <v>96</v>
      </c>
      <c r="K94"/>
    </row>
    <row r="95" spans="1:11" x14ac:dyDescent="0.25">
      <c r="A95" s="3" t="s">
        <v>248</v>
      </c>
      <c r="B95" s="3" t="s">
        <v>76</v>
      </c>
      <c r="C95" s="3" t="s">
        <v>361</v>
      </c>
      <c r="D95" s="3" t="s">
        <v>71</v>
      </c>
      <c r="E95" s="3" t="s">
        <v>365</v>
      </c>
      <c r="F95" s="73">
        <v>1.4</v>
      </c>
      <c r="G95" s="74">
        <v>1</v>
      </c>
      <c r="H95" s="74">
        <v>1</v>
      </c>
      <c r="I95" s="74">
        <v>0.91</v>
      </c>
      <c r="J95" s="75">
        <v>86.199999999999989</v>
      </c>
      <c r="K95"/>
    </row>
    <row r="96" spans="1:11" x14ac:dyDescent="0.25">
      <c r="A96" s="3" t="s">
        <v>245</v>
      </c>
      <c r="B96" s="3" t="s">
        <v>69</v>
      </c>
      <c r="C96" s="3" t="s">
        <v>331</v>
      </c>
      <c r="D96" s="3" t="s">
        <v>71</v>
      </c>
      <c r="E96" s="3" t="s">
        <v>72</v>
      </c>
      <c r="F96" s="73">
        <v>1.81</v>
      </c>
      <c r="G96" s="74">
        <v>1</v>
      </c>
      <c r="H96" s="74">
        <v>0.99</v>
      </c>
      <c r="I96" s="74">
        <v>1</v>
      </c>
      <c r="J96" s="75">
        <v>96</v>
      </c>
      <c r="K96"/>
    </row>
    <row r="97" spans="1:11" x14ac:dyDescent="0.25">
      <c r="A97" s="3" t="s">
        <v>246</v>
      </c>
      <c r="B97" s="3" t="s">
        <v>76</v>
      </c>
      <c r="C97" s="3" t="s">
        <v>331</v>
      </c>
      <c r="D97" s="3" t="s">
        <v>71</v>
      </c>
      <c r="E97" s="3" t="s">
        <v>72</v>
      </c>
      <c r="F97" s="73">
        <v>1.75</v>
      </c>
      <c r="G97" s="74">
        <v>0.99</v>
      </c>
      <c r="H97" s="74">
        <v>0.97</v>
      </c>
      <c r="I97" s="74">
        <v>1</v>
      </c>
      <c r="J97" s="75">
        <v>94.2</v>
      </c>
      <c r="K97"/>
    </row>
    <row r="98" spans="1:11" x14ac:dyDescent="0.25">
      <c r="A98" s="3" t="s">
        <v>247</v>
      </c>
      <c r="B98" s="3" t="s">
        <v>76</v>
      </c>
      <c r="C98" s="3" t="s">
        <v>331</v>
      </c>
      <c r="D98" s="3" t="s">
        <v>71</v>
      </c>
      <c r="E98" s="3" t="s">
        <v>368</v>
      </c>
      <c r="F98" s="73">
        <v>1.94</v>
      </c>
      <c r="G98" s="74">
        <v>1</v>
      </c>
      <c r="H98" s="74">
        <v>1</v>
      </c>
      <c r="I98" s="74">
        <v>1</v>
      </c>
      <c r="J98" s="75">
        <v>98.800000000000011</v>
      </c>
      <c r="K98"/>
    </row>
    <row r="99" spans="1:11" x14ac:dyDescent="0.25">
      <c r="A99" s="3" t="s">
        <v>249</v>
      </c>
      <c r="B99" s="3" t="s">
        <v>69</v>
      </c>
      <c r="C99" s="3" t="s">
        <v>361</v>
      </c>
      <c r="D99" s="3" t="s">
        <v>71</v>
      </c>
      <c r="E99" s="3" t="s">
        <v>83</v>
      </c>
      <c r="F99" s="73">
        <v>1.75</v>
      </c>
      <c r="G99" s="74">
        <v>0.99</v>
      </c>
      <c r="H99" s="74">
        <v>1</v>
      </c>
      <c r="I99" s="74">
        <v>1</v>
      </c>
      <c r="J99" s="75">
        <v>94.8</v>
      </c>
      <c r="K99"/>
    </row>
    <row r="100" spans="1:11" x14ac:dyDescent="0.25">
      <c r="A100" s="3" t="s">
        <v>250</v>
      </c>
      <c r="B100" s="3" t="s">
        <v>76</v>
      </c>
      <c r="C100" s="3" t="s">
        <v>331</v>
      </c>
      <c r="D100" s="3" t="s">
        <v>340</v>
      </c>
      <c r="E100" s="3" t="s">
        <v>93</v>
      </c>
      <c r="F100" s="73">
        <v>1.84</v>
      </c>
      <c r="G100" s="74">
        <v>1</v>
      </c>
      <c r="H100" s="74">
        <v>0.97</v>
      </c>
      <c r="I100" s="74">
        <v>1</v>
      </c>
      <c r="J100" s="75">
        <v>96.199999999999989</v>
      </c>
      <c r="K100"/>
    </row>
    <row r="101" spans="1:11" x14ac:dyDescent="0.25">
      <c r="A101" s="3" t="s">
        <v>251</v>
      </c>
      <c r="B101" s="3" t="s">
        <v>69</v>
      </c>
      <c r="C101" s="3" t="s">
        <v>331</v>
      </c>
      <c r="D101" s="3" t="s">
        <v>73</v>
      </c>
      <c r="E101" s="3" t="s">
        <v>83</v>
      </c>
      <c r="F101" s="73">
        <v>1.93</v>
      </c>
      <c r="G101" s="74">
        <v>1</v>
      </c>
      <c r="H101" s="74">
        <v>1</v>
      </c>
      <c r="I101" s="74">
        <v>1</v>
      </c>
      <c r="J101" s="75">
        <v>98.6</v>
      </c>
      <c r="K101"/>
    </row>
    <row r="102" spans="1:11" x14ac:dyDescent="0.25">
      <c r="A102" s="3" t="s">
        <v>252</v>
      </c>
      <c r="B102" s="3" t="s">
        <v>76</v>
      </c>
      <c r="C102" s="3" t="s">
        <v>331</v>
      </c>
      <c r="D102" s="3" t="s">
        <v>73</v>
      </c>
      <c r="E102" s="3" t="s">
        <v>104</v>
      </c>
      <c r="F102" s="73">
        <v>1.99</v>
      </c>
      <c r="G102" s="74">
        <v>0.94</v>
      </c>
      <c r="H102" s="74">
        <v>0.96</v>
      </c>
      <c r="I102" s="74">
        <v>0.97</v>
      </c>
      <c r="J102" s="75">
        <v>97.200000000000017</v>
      </c>
      <c r="K102"/>
    </row>
    <row r="103" spans="1:11" x14ac:dyDescent="0.25">
      <c r="A103" s="3" t="s">
        <v>253</v>
      </c>
      <c r="B103" s="3" t="s">
        <v>69</v>
      </c>
      <c r="C103" s="3" t="s">
        <v>331</v>
      </c>
      <c r="D103" s="3" t="s">
        <v>73</v>
      </c>
      <c r="E103" s="3" t="s">
        <v>83</v>
      </c>
      <c r="F103" s="73">
        <v>1.86</v>
      </c>
      <c r="G103" s="74">
        <v>1</v>
      </c>
      <c r="H103" s="74">
        <v>1</v>
      </c>
      <c r="I103" s="74">
        <v>1</v>
      </c>
      <c r="J103" s="75">
        <v>97.200000000000017</v>
      </c>
      <c r="K103"/>
    </row>
    <row r="104" spans="1:11" x14ac:dyDescent="0.25">
      <c r="A104" s="3" t="s">
        <v>254</v>
      </c>
      <c r="B104" s="3" t="s">
        <v>76</v>
      </c>
      <c r="C104" s="3" t="s">
        <v>331</v>
      </c>
      <c r="D104" s="3" t="s">
        <v>71</v>
      </c>
      <c r="E104" s="3" t="s">
        <v>93</v>
      </c>
      <c r="F104" s="73">
        <v>1.87</v>
      </c>
      <c r="G104" s="74">
        <v>1</v>
      </c>
      <c r="H104" s="74">
        <v>0.98</v>
      </c>
      <c r="I104" s="74">
        <v>0.97</v>
      </c>
      <c r="J104" s="75">
        <v>96.4</v>
      </c>
      <c r="K104"/>
    </row>
    <row r="105" spans="1:11" x14ac:dyDescent="0.25">
      <c r="A105" s="3" t="s">
        <v>255</v>
      </c>
      <c r="B105" s="3" t="s">
        <v>69</v>
      </c>
      <c r="C105" s="3" t="s">
        <v>331</v>
      </c>
      <c r="D105" s="3" t="s">
        <v>71</v>
      </c>
      <c r="E105" s="3" t="s">
        <v>93</v>
      </c>
      <c r="F105" s="73">
        <v>1.92</v>
      </c>
      <c r="G105" s="74">
        <v>1</v>
      </c>
      <c r="H105" s="74">
        <v>1</v>
      </c>
      <c r="I105" s="74">
        <v>1</v>
      </c>
      <c r="J105" s="75">
        <v>98.4</v>
      </c>
      <c r="K105"/>
    </row>
    <row r="106" spans="1:11" x14ac:dyDescent="0.25">
      <c r="A106" s="3" t="s">
        <v>256</v>
      </c>
      <c r="B106" s="3" t="s">
        <v>69</v>
      </c>
      <c r="C106" s="3" t="s">
        <v>331</v>
      </c>
      <c r="D106" s="3" t="s">
        <v>73</v>
      </c>
      <c r="E106" s="3" t="s">
        <v>344</v>
      </c>
      <c r="F106" s="73">
        <v>1.8</v>
      </c>
      <c r="G106" s="74">
        <v>0.96</v>
      </c>
      <c r="H106" s="74">
        <v>0.97</v>
      </c>
      <c r="I106" s="74">
        <v>0.97</v>
      </c>
      <c r="J106" s="75">
        <v>94</v>
      </c>
      <c r="K106"/>
    </row>
    <row r="107" spans="1:11" x14ac:dyDescent="0.25">
      <c r="A107" s="3" t="s">
        <v>257</v>
      </c>
      <c r="B107" s="3" t="s">
        <v>69</v>
      </c>
      <c r="C107" s="3" t="s">
        <v>331</v>
      </c>
      <c r="D107" s="3" t="s">
        <v>71</v>
      </c>
      <c r="E107" s="3" t="s">
        <v>93</v>
      </c>
      <c r="F107" s="73">
        <v>1.63</v>
      </c>
      <c r="G107" s="74">
        <v>1</v>
      </c>
      <c r="H107" s="74">
        <v>0.94</v>
      </c>
      <c r="I107" s="74">
        <v>0.98</v>
      </c>
      <c r="J107" s="75">
        <v>91</v>
      </c>
      <c r="K107"/>
    </row>
    <row r="108" spans="1:11" x14ac:dyDescent="0.25">
      <c r="A108" s="3" t="s">
        <v>260</v>
      </c>
      <c r="B108" s="3" t="s">
        <v>76</v>
      </c>
      <c r="C108" s="3" t="s">
        <v>331</v>
      </c>
      <c r="D108" s="3" t="s">
        <v>73</v>
      </c>
      <c r="E108" s="3" t="s">
        <v>74</v>
      </c>
      <c r="F108" s="73">
        <v>1.75</v>
      </c>
      <c r="G108" s="74">
        <v>1</v>
      </c>
      <c r="H108" s="74">
        <v>0.87</v>
      </c>
      <c r="I108" s="74">
        <v>0.8</v>
      </c>
      <c r="J108" s="75">
        <v>88.4</v>
      </c>
      <c r="K108"/>
    </row>
    <row r="109" spans="1:11" x14ac:dyDescent="0.25">
      <c r="A109" s="3" t="s">
        <v>261</v>
      </c>
      <c r="B109" s="3" t="s">
        <v>69</v>
      </c>
      <c r="C109" s="3" t="s">
        <v>331</v>
      </c>
      <c r="D109" s="3" t="s">
        <v>71</v>
      </c>
      <c r="E109" s="3" t="s">
        <v>83</v>
      </c>
      <c r="F109" s="73">
        <v>1.9</v>
      </c>
      <c r="G109" s="74">
        <v>1</v>
      </c>
      <c r="H109" s="74">
        <v>1</v>
      </c>
      <c r="I109" s="74">
        <v>1</v>
      </c>
      <c r="J109" s="75">
        <v>98.000000000000014</v>
      </c>
      <c r="K109"/>
    </row>
    <row r="110" spans="1:11" x14ac:dyDescent="0.25">
      <c r="A110" s="3" t="s">
        <v>262</v>
      </c>
      <c r="B110" s="3" t="s">
        <v>76</v>
      </c>
      <c r="C110" s="3" t="s">
        <v>331</v>
      </c>
      <c r="D110" s="3" t="s">
        <v>71</v>
      </c>
      <c r="E110" s="3" t="s">
        <v>93</v>
      </c>
      <c r="F110" s="73">
        <v>1.79</v>
      </c>
      <c r="G110" s="74">
        <v>0.99</v>
      </c>
      <c r="H110" s="74">
        <v>0.97</v>
      </c>
      <c r="I110" s="74">
        <v>0.97</v>
      </c>
      <c r="J110" s="75">
        <v>94.4</v>
      </c>
      <c r="K110"/>
    </row>
    <row r="111" spans="1:11" x14ac:dyDescent="0.25">
      <c r="A111" s="3" t="s">
        <v>258</v>
      </c>
      <c r="B111" s="3" t="s">
        <v>69</v>
      </c>
      <c r="C111" s="3" t="s">
        <v>331</v>
      </c>
      <c r="D111" s="3" t="s">
        <v>73</v>
      </c>
      <c r="E111" s="3" t="s">
        <v>339</v>
      </c>
      <c r="F111" s="73">
        <v>1.73</v>
      </c>
      <c r="G111" s="74">
        <v>1</v>
      </c>
      <c r="H111" s="74">
        <v>1</v>
      </c>
      <c r="I111" s="74">
        <v>0.96</v>
      </c>
      <c r="J111" s="75">
        <v>93.800000000000011</v>
      </c>
      <c r="K111"/>
    </row>
    <row r="112" spans="1:11" x14ac:dyDescent="0.25">
      <c r="A112" s="3" t="s">
        <v>259</v>
      </c>
      <c r="B112" s="3" t="s">
        <v>69</v>
      </c>
      <c r="C112" s="3" t="s">
        <v>331</v>
      </c>
      <c r="D112" s="3" t="s">
        <v>73</v>
      </c>
      <c r="E112" s="3" t="s">
        <v>356</v>
      </c>
      <c r="F112" s="73">
        <v>1.99</v>
      </c>
      <c r="G112" s="74">
        <v>1</v>
      </c>
      <c r="H112" s="74">
        <v>1</v>
      </c>
      <c r="I112" s="74">
        <v>0.97</v>
      </c>
      <c r="J112" s="75">
        <v>99.2</v>
      </c>
      <c r="K112"/>
    </row>
    <row r="113" spans="1:11" x14ac:dyDescent="0.25">
      <c r="A113" s="3" t="s">
        <v>263</v>
      </c>
      <c r="B113" s="3" t="s">
        <v>76</v>
      </c>
      <c r="C113" s="3" t="s">
        <v>423</v>
      </c>
      <c r="D113" s="3" t="s">
        <v>73</v>
      </c>
      <c r="E113" s="3" t="s">
        <v>93</v>
      </c>
      <c r="F113" s="73">
        <v>1.84</v>
      </c>
      <c r="G113" s="74">
        <v>0.99</v>
      </c>
      <c r="H113" s="74">
        <v>0.87</v>
      </c>
      <c r="I113" s="74">
        <v>0.83</v>
      </c>
      <c r="J113" s="75">
        <v>90.6</v>
      </c>
      <c r="K113"/>
    </row>
    <row r="114" spans="1:11" x14ac:dyDescent="0.25">
      <c r="A114" s="3" t="s">
        <v>264</v>
      </c>
      <c r="B114" s="3" t="s">
        <v>76</v>
      </c>
      <c r="C114" s="3" t="s">
        <v>361</v>
      </c>
      <c r="D114" s="3" t="s">
        <v>71</v>
      </c>
      <c r="E114" s="3" t="s">
        <v>368</v>
      </c>
      <c r="F114" s="73">
        <v>1.91</v>
      </c>
      <c r="G114" s="74">
        <v>1</v>
      </c>
      <c r="H114" s="74">
        <v>1</v>
      </c>
      <c r="I114" s="74">
        <v>0.98</v>
      </c>
      <c r="J114" s="75">
        <v>97.799999999999983</v>
      </c>
      <c r="K114"/>
    </row>
    <row r="115" spans="1:11" x14ac:dyDescent="0.25">
      <c r="A115" s="3" t="s">
        <v>265</v>
      </c>
      <c r="B115" s="3" t="s">
        <v>69</v>
      </c>
      <c r="C115" s="3" t="s">
        <v>331</v>
      </c>
      <c r="D115" s="3" t="s">
        <v>73</v>
      </c>
      <c r="E115" s="3" t="s">
        <v>93</v>
      </c>
      <c r="F115" s="73">
        <v>1.94</v>
      </c>
      <c r="G115" s="74">
        <v>1</v>
      </c>
      <c r="H115" s="74">
        <v>0.99</v>
      </c>
      <c r="I115" s="74">
        <v>0.99</v>
      </c>
      <c r="J115" s="75">
        <v>98.4</v>
      </c>
      <c r="K115"/>
    </row>
    <row r="116" spans="1:11" x14ac:dyDescent="0.25">
      <c r="A116" s="3" t="s">
        <v>266</v>
      </c>
      <c r="B116" s="3" t="s">
        <v>76</v>
      </c>
      <c r="C116" s="3" t="s">
        <v>331</v>
      </c>
      <c r="D116" s="3" t="s">
        <v>73</v>
      </c>
      <c r="E116" s="3" t="s">
        <v>93</v>
      </c>
      <c r="F116" s="73">
        <v>1.71</v>
      </c>
      <c r="G116" s="74">
        <v>1</v>
      </c>
      <c r="H116" s="74">
        <v>0.95</v>
      </c>
      <c r="I116" s="74">
        <v>0.97</v>
      </c>
      <c r="J116" s="75">
        <v>92.6</v>
      </c>
      <c r="K116"/>
    </row>
    <row r="117" spans="1:11" x14ac:dyDescent="0.25">
      <c r="A117" s="3" t="s">
        <v>267</v>
      </c>
      <c r="B117" s="3" t="s">
        <v>69</v>
      </c>
      <c r="C117" s="3" t="s">
        <v>331</v>
      </c>
      <c r="D117" s="3" t="s">
        <v>71</v>
      </c>
      <c r="E117" s="3" t="s">
        <v>104</v>
      </c>
      <c r="F117" s="73">
        <v>1.59</v>
      </c>
      <c r="G117" s="74">
        <v>0.96</v>
      </c>
      <c r="H117" s="74">
        <v>1</v>
      </c>
      <c r="I117" s="74">
        <v>0.92</v>
      </c>
      <c r="J117" s="75">
        <v>89.4</v>
      </c>
      <c r="K117"/>
    </row>
    <row r="118" spans="1:11" x14ac:dyDescent="0.25">
      <c r="A118" s="3" t="s">
        <v>268</v>
      </c>
      <c r="B118" s="3" t="s">
        <v>69</v>
      </c>
      <c r="C118" s="3" t="s">
        <v>331</v>
      </c>
      <c r="D118" s="3" t="s">
        <v>73</v>
      </c>
      <c r="E118" s="3" t="s">
        <v>339</v>
      </c>
      <c r="F118" s="73">
        <v>1.95</v>
      </c>
      <c r="G118" s="74">
        <v>1</v>
      </c>
      <c r="H118" s="74">
        <v>1</v>
      </c>
      <c r="I118" s="74">
        <v>0.98</v>
      </c>
      <c r="J118" s="75">
        <v>98.6</v>
      </c>
      <c r="K118"/>
    </row>
    <row r="119" spans="1:11" x14ac:dyDescent="0.25">
      <c r="A119" s="3" t="s">
        <v>320</v>
      </c>
      <c r="B119" s="3" t="s">
        <v>76</v>
      </c>
      <c r="C119" s="3" t="s">
        <v>331</v>
      </c>
      <c r="D119" s="3" t="s">
        <v>71</v>
      </c>
      <c r="E119" s="3" t="s">
        <v>93</v>
      </c>
      <c r="F119" s="73">
        <v>1.75</v>
      </c>
      <c r="G119" s="74">
        <v>0.94</v>
      </c>
      <c r="H119" s="74">
        <v>0.95</v>
      </c>
      <c r="I119" s="74">
        <v>0.97</v>
      </c>
      <c r="J119" s="75">
        <v>92.200000000000017</v>
      </c>
      <c r="K119"/>
    </row>
    <row r="120" spans="1:11" x14ac:dyDescent="0.25">
      <c r="A120" s="3" t="s">
        <v>269</v>
      </c>
      <c r="B120" s="3" t="s">
        <v>69</v>
      </c>
      <c r="C120" s="3" t="s">
        <v>331</v>
      </c>
      <c r="D120" s="3" t="s">
        <v>73</v>
      </c>
      <c r="E120" s="3" t="s">
        <v>83</v>
      </c>
      <c r="F120" s="73">
        <v>1.8</v>
      </c>
      <c r="G120" s="74">
        <v>1</v>
      </c>
      <c r="H120" s="74">
        <v>1</v>
      </c>
      <c r="I120" s="74">
        <v>1</v>
      </c>
      <c r="J120" s="75">
        <v>96</v>
      </c>
      <c r="K120"/>
    </row>
    <row r="121" spans="1:11" x14ac:dyDescent="0.25">
      <c r="A121" s="3" t="s">
        <v>270</v>
      </c>
      <c r="B121" s="3" t="s">
        <v>76</v>
      </c>
      <c r="C121" s="3" t="s">
        <v>331</v>
      </c>
      <c r="D121" s="3" t="s">
        <v>73</v>
      </c>
      <c r="E121" s="3" t="s">
        <v>368</v>
      </c>
      <c r="F121" s="73">
        <v>1.91</v>
      </c>
      <c r="G121" s="74">
        <v>0.94</v>
      </c>
      <c r="H121" s="74">
        <v>1</v>
      </c>
      <c r="I121" s="74">
        <v>1</v>
      </c>
      <c r="J121" s="75">
        <v>96.999999999999986</v>
      </c>
      <c r="K121"/>
    </row>
    <row r="122" spans="1:11" x14ac:dyDescent="0.25">
      <c r="A122" s="3" t="s">
        <v>271</v>
      </c>
      <c r="B122" s="3" t="s">
        <v>76</v>
      </c>
      <c r="C122" s="3" t="s">
        <v>331</v>
      </c>
      <c r="D122" s="3" t="s">
        <v>73</v>
      </c>
      <c r="E122" s="3" t="s">
        <v>345</v>
      </c>
      <c r="F122" s="73">
        <v>1.91</v>
      </c>
      <c r="G122" s="74">
        <v>1</v>
      </c>
      <c r="H122" s="74">
        <v>1</v>
      </c>
      <c r="I122" s="74">
        <v>0.97</v>
      </c>
      <c r="J122" s="75">
        <v>97.6</v>
      </c>
      <c r="K122"/>
    </row>
    <row r="123" spans="1:11" x14ac:dyDescent="0.25">
      <c r="A123" s="3" t="s">
        <v>272</v>
      </c>
      <c r="B123" s="3" t="s">
        <v>69</v>
      </c>
      <c r="C123" s="3" t="s">
        <v>331</v>
      </c>
      <c r="D123" s="3" t="s">
        <v>73</v>
      </c>
      <c r="E123" s="3" t="s">
        <v>368</v>
      </c>
      <c r="F123" s="73">
        <v>1.88</v>
      </c>
      <c r="G123" s="74">
        <v>0.99</v>
      </c>
      <c r="H123" s="74">
        <v>1</v>
      </c>
      <c r="I123" s="74">
        <v>1</v>
      </c>
      <c r="J123" s="75">
        <v>97.4</v>
      </c>
      <c r="K123"/>
    </row>
    <row r="124" spans="1:11" x14ac:dyDescent="0.25">
      <c r="A124" s="3" t="s">
        <v>273</v>
      </c>
      <c r="B124" s="3" t="s">
        <v>69</v>
      </c>
      <c r="C124" s="3" t="s">
        <v>331</v>
      </c>
      <c r="D124" s="3" t="s">
        <v>73</v>
      </c>
      <c r="E124" s="3" t="s">
        <v>398</v>
      </c>
      <c r="F124" s="73">
        <v>1.88</v>
      </c>
      <c r="G124" s="74">
        <v>0.94</v>
      </c>
      <c r="H124" s="74">
        <v>1</v>
      </c>
      <c r="I124" s="74">
        <v>1</v>
      </c>
      <c r="J124" s="75">
        <v>96.4</v>
      </c>
      <c r="K124"/>
    </row>
    <row r="125" spans="1:11" x14ac:dyDescent="0.25">
      <c r="A125" s="3" t="s">
        <v>274</v>
      </c>
      <c r="B125" s="3" t="s">
        <v>76</v>
      </c>
      <c r="C125" s="3" t="s">
        <v>331</v>
      </c>
      <c r="D125" s="3" t="s">
        <v>71</v>
      </c>
      <c r="E125" s="3" t="s">
        <v>332</v>
      </c>
      <c r="F125" s="73">
        <v>1.93</v>
      </c>
      <c r="G125" s="74">
        <v>0.99</v>
      </c>
      <c r="H125" s="74">
        <v>0.94</v>
      </c>
      <c r="I125" s="74">
        <v>1</v>
      </c>
      <c r="J125" s="75">
        <v>97.200000000000017</v>
      </c>
      <c r="K125"/>
    </row>
    <row r="126" spans="1:11" x14ac:dyDescent="0.25">
      <c r="A126" s="3" t="s">
        <v>275</v>
      </c>
      <c r="B126" s="3" t="s">
        <v>69</v>
      </c>
      <c r="C126" s="3" t="s">
        <v>331</v>
      </c>
      <c r="D126" s="3" t="s">
        <v>73</v>
      </c>
      <c r="E126" s="3" t="s">
        <v>132</v>
      </c>
      <c r="F126" s="73">
        <v>1.54</v>
      </c>
      <c r="G126" s="74">
        <v>1</v>
      </c>
      <c r="H126" s="74">
        <v>0.96</v>
      </c>
      <c r="I126" s="74">
        <v>0.67</v>
      </c>
      <c r="J126" s="75">
        <v>83.4</v>
      </c>
      <c r="K126"/>
    </row>
    <row r="127" spans="1:11" x14ac:dyDescent="0.25">
      <c r="A127" s="3" t="s">
        <v>276</v>
      </c>
      <c r="B127" s="3" t="s">
        <v>69</v>
      </c>
      <c r="C127" s="3" t="s">
        <v>331</v>
      </c>
      <c r="D127" s="3" t="s">
        <v>73</v>
      </c>
      <c r="E127" s="3" t="s">
        <v>72</v>
      </c>
      <c r="F127" s="73">
        <v>1.91</v>
      </c>
      <c r="G127" s="74">
        <v>1</v>
      </c>
      <c r="H127" s="74">
        <v>1</v>
      </c>
      <c r="I127" s="74">
        <v>1</v>
      </c>
      <c r="J127" s="75">
        <v>98.2</v>
      </c>
      <c r="K127"/>
    </row>
    <row r="128" spans="1:11" x14ac:dyDescent="0.25">
      <c r="A128" s="3" t="s">
        <v>277</v>
      </c>
      <c r="B128" s="3" t="s">
        <v>69</v>
      </c>
      <c r="C128" s="3" t="s">
        <v>331</v>
      </c>
      <c r="D128" s="3" t="s">
        <v>73</v>
      </c>
      <c r="E128" s="3" t="s">
        <v>332</v>
      </c>
      <c r="F128" s="73">
        <v>1.91</v>
      </c>
      <c r="G128" s="74">
        <v>1</v>
      </c>
      <c r="H128" s="74">
        <v>0.97</v>
      </c>
      <c r="I128" s="74">
        <v>0.97</v>
      </c>
      <c r="J128" s="75">
        <v>96.999999999999986</v>
      </c>
      <c r="K128"/>
    </row>
    <row r="129" spans="1:11" x14ac:dyDescent="0.25">
      <c r="A129" s="3" t="s">
        <v>278</v>
      </c>
      <c r="B129" s="3" t="s">
        <v>76</v>
      </c>
      <c r="C129" s="3" t="s">
        <v>331</v>
      </c>
      <c r="D129" s="3" t="s">
        <v>71</v>
      </c>
      <c r="E129" s="3" t="s">
        <v>356</v>
      </c>
      <c r="F129" s="73">
        <v>1.91</v>
      </c>
      <c r="G129" s="74">
        <v>0.99</v>
      </c>
      <c r="H129" s="74">
        <v>0.76</v>
      </c>
      <c r="I129" s="74">
        <v>0.92</v>
      </c>
      <c r="J129" s="75">
        <v>91.6</v>
      </c>
      <c r="K129"/>
    </row>
    <row r="130" spans="1:11" x14ac:dyDescent="0.25">
      <c r="A130" s="3" t="s">
        <v>279</v>
      </c>
      <c r="B130" s="3" t="s">
        <v>69</v>
      </c>
      <c r="C130" s="3" t="s">
        <v>331</v>
      </c>
      <c r="D130" s="3" t="s">
        <v>71</v>
      </c>
      <c r="E130" s="3" t="s">
        <v>83</v>
      </c>
      <c r="F130" s="73">
        <v>1.59</v>
      </c>
      <c r="G130" s="74">
        <v>1</v>
      </c>
      <c r="H130" s="74">
        <v>1</v>
      </c>
      <c r="I130" s="74">
        <v>0.97</v>
      </c>
      <c r="J130" s="75">
        <v>91.199999999999989</v>
      </c>
      <c r="K130"/>
    </row>
    <row r="131" spans="1:11" x14ac:dyDescent="0.25">
      <c r="A131" s="3" t="s">
        <v>280</v>
      </c>
      <c r="B131" s="3" t="s">
        <v>69</v>
      </c>
      <c r="C131" s="3" t="s">
        <v>331</v>
      </c>
      <c r="D131" s="3" t="s">
        <v>71</v>
      </c>
      <c r="E131" s="3" t="s">
        <v>356</v>
      </c>
      <c r="F131" s="73">
        <v>1.91</v>
      </c>
      <c r="G131" s="74">
        <v>0.98</v>
      </c>
      <c r="H131" s="74">
        <v>1</v>
      </c>
      <c r="I131" s="74">
        <v>1</v>
      </c>
      <c r="J131" s="75">
        <v>97.799999999999983</v>
      </c>
      <c r="K131"/>
    </row>
    <row r="132" spans="1:11" x14ac:dyDescent="0.25">
      <c r="A132" s="3" t="s">
        <v>281</v>
      </c>
      <c r="B132" s="3" t="s">
        <v>69</v>
      </c>
      <c r="C132" s="3" t="s">
        <v>331</v>
      </c>
      <c r="D132" s="3" t="s">
        <v>71</v>
      </c>
      <c r="E132" s="3" t="s">
        <v>344</v>
      </c>
      <c r="F132" s="73">
        <v>1.7</v>
      </c>
      <c r="G132" s="74">
        <v>0.99</v>
      </c>
      <c r="H132" s="74">
        <v>1</v>
      </c>
      <c r="I132" s="74">
        <v>1</v>
      </c>
      <c r="J132" s="75">
        <v>93.800000000000011</v>
      </c>
      <c r="K132"/>
    </row>
    <row r="133" spans="1:11" x14ac:dyDescent="0.25">
      <c r="A133" s="3" t="s">
        <v>282</v>
      </c>
      <c r="B133" s="3" t="s">
        <v>76</v>
      </c>
      <c r="C133" s="3" t="s">
        <v>331</v>
      </c>
      <c r="D133" s="3" t="s">
        <v>71</v>
      </c>
      <c r="E133" s="3" t="s">
        <v>104</v>
      </c>
      <c r="F133" s="73">
        <v>1.73</v>
      </c>
      <c r="G133" s="74">
        <v>1</v>
      </c>
      <c r="H133" s="74">
        <v>0.99</v>
      </c>
      <c r="I133" s="74">
        <v>0.99</v>
      </c>
      <c r="J133" s="75">
        <v>94.2</v>
      </c>
      <c r="K133"/>
    </row>
    <row r="134" spans="1:11" x14ac:dyDescent="0.25">
      <c r="A134" s="3" t="s">
        <v>283</v>
      </c>
      <c r="B134" s="3" t="s">
        <v>76</v>
      </c>
      <c r="C134" s="3" t="s">
        <v>331</v>
      </c>
      <c r="D134" s="3" t="s">
        <v>71</v>
      </c>
      <c r="E134" s="3" t="s">
        <v>362</v>
      </c>
      <c r="F134" s="73">
        <v>1.85</v>
      </c>
      <c r="G134" s="74">
        <v>1</v>
      </c>
      <c r="H134" s="74">
        <v>0.97</v>
      </c>
      <c r="I134" s="74">
        <v>1</v>
      </c>
      <c r="J134" s="75">
        <v>96.4</v>
      </c>
      <c r="K134"/>
    </row>
    <row r="135" spans="1:11" x14ac:dyDescent="0.25">
      <c r="A135" s="3" t="s">
        <v>284</v>
      </c>
      <c r="B135" s="3" t="s">
        <v>76</v>
      </c>
      <c r="C135" s="3" t="s">
        <v>331</v>
      </c>
      <c r="D135" s="3" t="s">
        <v>71</v>
      </c>
      <c r="E135" s="3" t="s">
        <v>93</v>
      </c>
      <c r="F135" s="73">
        <v>1.85</v>
      </c>
      <c r="G135" s="74">
        <v>0.99</v>
      </c>
      <c r="H135" s="74">
        <v>0.97</v>
      </c>
      <c r="I135" s="74">
        <v>1</v>
      </c>
      <c r="J135" s="75">
        <v>96.199999999999989</v>
      </c>
      <c r="K135"/>
    </row>
    <row r="136" spans="1:11" x14ac:dyDescent="0.25">
      <c r="A136" s="3" t="s">
        <v>285</v>
      </c>
      <c r="B136" s="3" t="s">
        <v>69</v>
      </c>
      <c r="C136" s="3" t="s">
        <v>331</v>
      </c>
      <c r="D136" s="3" t="s">
        <v>71</v>
      </c>
      <c r="E136" s="3" t="s">
        <v>93</v>
      </c>
      <c r="F136" s="73">
        <v>1.8</v>
      </c>
      <c r="G136" s="74">
        <v>1</v>
      </c>
      <c r="H136" s="74">
        <v>1</v>
      </c>
      <c r="I136" s="74">
        <v>0.98</v>
      </c>
      <c r="J136" s="75">
        <v>95.6</v>
      </c>
      <c r="K136"/>
    </row>
    <row r="137" spans="1:11" x14ac:dyDescent="0.25">
      <c r="A137" s="3" t="s">
        <v>286</v>
      </c>
      <c r="B137" s="3" t="s">
        <v>76</v>
      </c>
      <c r="C137" s="3" t="s">
        <v>331</v>
      </c>
      <c r="D137" s="3" t="s">
        <v>73</v>
      </c>
      <c r="E137" s="3" t="s">
        <v>74</v>
      </c>
      <c r="F137" s="73">
        <v>1.75</v>
      </c>
      <c r="G137" s="74">
        <v>1</v>
      </c>
      <c r="H137" s="74">
        <v>0.98</v>
      </c>
      <c r="I137" s="74">
        <v>1</v>
      </c>
      <c r="J137" s="75">
        <v>94.600000000000009</v>
      </c>
      <c r="K137"/>
    </row>
    <row r="138" spans="1:11" x14ac:dyDescent="0.25">
      <c r="A138" s="3" t="s">
        <v>287</v>
      </c>
      <c r="B138" s="3" t="s">
        <v>76</v>
      </c>
      <c r="C138" s="3" t="s">
        <v>331</v>
      </c>
      <c r="D138" s="3" t="s">
        <v>73</v>
      </c>
      <c r="E138" s="3" t="s">
        <v>345</v>
      </c>
      <c r="F138" s="73">
        <v>1.92</v>
      </c>
      <c r="G138" s="74">
        <v>0.99</v>
      </c>
      <c r="H138" s="74">
        <v>0.97</v>
      </c>
      <c r="I138" s="74">
        <v>1</v>
      </c>
      <c r="J138" s="75">
        <v>97.6</v>
      </c>
      <c r="K138"/>
    </row>
    <row r="139" spans="1:11" x14ac:dyDescent="0.25">
      <c r="A139" s="3" t="s">
        <v>288</v>
      </c>
      <c r="B139" s="3" t="s">
        <v>76</v>
      </c>
      <c r="C139" s="3" t="s">
        <v>331</v>
      </c>
      <c r="D139" s="3" t="s">
        <v>71</v>
      </c>
      <c r="E139" s="3" t="s">
        <v>93</v>
      </c>
      <c r="F139" s="73">
        <v>1.87</v>
      </c>
      <c r="G139" s="74">
        <v>1</v>
      </c>
      <c r="H139" s="74">
        <v>1</v>
      </c>
      <c r="I139" s="74">
        <v>1</v>
      </c>
      <c r="J139" s="75">
        <v>97.4</v>
      </c>
      <c r="K139"/>
    </row>
    <row r="140" spans="1:11" x14ac:dyDescent="0.25">
      <c r="A140" s="3" t="s">
        <v>289</v>
      </c>
      <c r="B140" s="3" t="s">
        <v>69</v>
      </c>
      <c r="C140" s="3" t="s">
        <v>331</v>
      </c>
      <c r="D140" s="3" t="s">
        <v>73</v>
      </c>
      <c r="E140" s="3" t="s">
        <v>365</v>
      </c>
      <c r="F140" s="73">
        <v>1.62</v>
      </c>
      <c r="G140" s="74">
        <v>1</v>
      </c>
      <c r="H140" s="74">
        <v>1</v>
      </c>
      <c r="I140" s="74">
        <v>0.97</v>
      </c>
      <c r="J140" s="75">
        <v>91.8</v>
      </c>
      <c r="K140"/>
    </row>
    <row r="141" spans="1:11" x14ac:dyDescent="0.25">
      <c r="A141" s="3" t="s">
        <v>290</v>
      </c>
      <c r="B141" s="3" t="s">
        <v>76</v>
      </c>
      <c r="C141" s="3" t="s">
        <v>331</v>
      </c>
      <c r="D141" s="3" t="s">
        <v>73</v>
      </c>
      <c r="E141" s="3" t="s">
        <v>72</v>
      </c>
      <c r="F141" s="73">
        <v>1.93</v>
      </c>
      <c r="G141" s="74">
        <v>0</v>
      </c>
      <c r="H141" s="74">
        <v>0.93</v>
      </c>
      <c r="I141" s="74">
        <v>1</v>
      </c>
      <c r="J141" s="75">
        <v>77.2</v>
      </c>
      <c r="K141"/>
    </row>
    <row r="142" spans="1:11" x14ac:dyDescent="0.25">
      <c r="A142" s="3" t="s">
        <v>291</v>
      </c>
      <c r="B142" s="3" t="s">
        <v>69</v>
      </c>
      <c r="C142" s="3" t="s">
        <v>331</v>
      </c>
      <c r="D142" s="3" t="s">
        <v>73</v>
      </c>
      <c r="E142" s="3" t="s">
        <v>345</v>
      </c>
      <c r="F142" s="73">
        <v>1.9</v>
      </c>
      <c r="G142" s="74">
        <v>1</v>
      </c>
      <c r="H142" s="74">
        <v>1</v>
      </c>
      <c r="I142" s="74">
        <v>0.97</v>
      </c>
      <c r="J142" s="75">
        <v>97.4</v>
      </c>
      <c r="K142"/>
    </row>
    <row r="143" spans="1:11" x14ac:dyDescent="0.25">
      <c r="A143" s="3" t="s">
        <v>292</v>
      </c>
      <c r="B143" s="3" t="s">
        <v>69</v>
      </c>
      <c r="C143" s="3" t="s">
        <v>331</v>
      </c>
      <c r="D143" s="3" t="s">
        <v>73</v>
      </c>
      <c r="E143" s="3" t="s">
        <v>345</v>
      </c>
      <c r="F143" s="73">
        <v>1.48</v>
      </c>
      <c r="G143" s="74">
        <v>1</v>
      </c>
      <c r="H143" s="74">
        <v>0.97</v>
      </c>
      <c r="I143" s="74">
        <v>0.91</v>
      </c>
      <c r="J143" s="75">
        <v>87.200000000000017</v>
      </c>
      <c r="K143"/>
    </row>
    <row r="144" spans="1:11" x14ac:dyDescent="0.25">
      <c r="A144" s="3" t="s">
        <v>293</v>
      </c>
      <c r="B144" s="3" t="s">
        <v>76</v>
      </c>
      <c r="C144" s="3" t="s">
        <v>331</v>
      </c>
      <c r="D144" s="3" t="s">
        <v>71</v>
      </c>
      <c r="E144" s="3" t="s">
        <v>398</v>
      </c>
      <c r="F144" s="73">
        <v>1.61</v>
      </c>
      <c r="G144" s="74">
        <v>0.98</v>
      </c>
      <c r="H144" s="74">
        <v>1</v>
      </c>
      <c r="I144" s="74">
        <v>1</v>
      </c>
      <c r="J144" s="75">
        <v>91.8</v>
      </c>
      <c r="K144"/>
    </row>
    <row r="145" spans="1:11" x14ac:dyDescent="0.25">
      <c r="A145" s="3" t="s">
        <v>294</v>
      </c>
      <c r="B145" s="3" t="s">
        <v>76</v>
      </c>
      <c r="C145" s="3" t="s">
        <v>361</v>
      </c>
      <c r="D145" s="3" t="s">
        <v>340</v>
      </c>
      <c r="E145" s="3" t="s">
        <v>332</v>
      </c>
      <c r="F145" s="73">
        <v>1.78</v>
      </c>
      <c r="G145" s="74">
        <v>1</v>
      </c>
      <c r="H145" s="74">
        <v>0.97</v>
      </c>
      <c r="I145" s="74">
        <v>1</v>
      </c>
      <c r="J145" s="75">
        <v>95</v>
      </c>
      <c r="K145"/>
    </row>
    <row r="146" spans="1:11" x14ac:dyDescent="0.25">
      <c r="A146" s="3" t="s">
        <v>295</v>
      </c>
      <c r="B146" s="3" t="s">
        <v>69</v>
      </c>
      <c r="C146" s="3" t="s">
        <v>331</v>
      </c>
      <c r="D146" s="3" t="s">
        <v>71</v>
      </c>
      <c r="E146" s="3" t="s">
        <v>83</v>
      </c>
      <c r="F146" s="73">
        <v>1.87</v>
      </c>
      <c r="G146" s="74">
        <v>0.98</v>
      </c>
      <c r="H146" s="74">
        <v>1</v>
      </c>
      <c r="I146" s="74">
        <v>1</v>
      </c>
      <c r="J146" s="75">
        <v>96.999999999999986</v>
      </c>
      <c r="K146"/>
    </row>
    <row r="147" spans="1:11" x14ac:dyDescent="0.25">
      <c r="A147" s="3" t="s">
        <v>296</v>
      </c>
      <c r="B147" s="3" t="s">
        <v>76</v>
      </c>
      <c r="C147" s="3" t="s">
        <v>331</v>
      </c>
      <c r="D147" s="3" t="s">
        <v>73</v>
      </c>
      <c r="E147" s="3" t="s">
        <v>72</v>
      </c>
      <c r="F147" s="73">
        <v>1.8</v>
      </c>
      <c r="G147" s="74">
        <v>1</v>
      </c>
      <c r="H147" s="74">
        <v>1</v>
      </c>
      <c r="I147" s="74">
        <v>1</v>
      </c>
      <c r="J147" s="75">
        <v>96</v>
      </c>
      <c r="K147"/>
    </row>
    <row r="148" spans="1:11" x14ac:dyDescent="0.25">
      <c r="A148" s="3" t="s">
        <v>297</v>
      </c>
      <c r="B148" s="3" t="s">
        <v>69</v>
      </c>
      <c r="C148" s="3" t="s">
        <v>331</v>
      </c>
      <c r="D148" s="3" t="s">
        <v>73</v>
      </c>
      <c r="E148" s="3" t="s">
        <v>350</v>
      </c>
      <c r="F148" s="73">
        <v>1.98</v>
      </c>
      <c r="G148" s="74">
        <v>1</v>
      </c>
      <c r="H148" s="74">
        <v>1</v>
      </c>
      <c r="I148" s="74">
        <v>1</v>
      </c>
      <c r="J148" s="75">
        <v>99.600000000000009</v>
      </c>
      <c r="K148"/>
    </row>
    <row r="149" spans="1:11" x14ac:dyDescent="0.25">
      <c r="A149" s="3" t="s">
        <v>298</v>
      </c>
      <c r="B149" s="3" t="s">
        <v>76</v>
      </c>
      <c r="C149" s="3" t="s">
        <v>331</v>
      </c>
      <c r="D149" s="3" t="s">
        <v>340</v>
      </c>
      <c r="E149" s="3" t="s">
        <v>353</v>
      </c>
      <c r="F149" s="73">
        <v>1.99</v>
      </c>
      <c r="G149" s="74">
        <v>1</v>
      </c>
      <c r="H149" s="74">
        <v>1</v>
      </c>
      <c r="I149" s="74">
        <v>1</v>
      </c>
      <c r="J149" s="75">
        <v>99.8</v>
      </c>
      <c r="K149"/>
    </row>
    <row r="150" spans="1:11" x14ac:dyDescent="0.25">
      <c r="A150" s="3" t="s">
        <v>299</v>
      </c>
      <c r="B150" s="3" t="s">
        <v>76</v>
      </c>
      <c r="C150" s="3" t="s">
        <v>331</v>
      </c>
      <c r="D150" s="3" t="s">
        <v>71</v>
      </c>
      <c r="E150" s="3" t="s">
        <v>350</v>
      </c>
      <c r="F150" s="73">
        <v>1.93</v>
      </c>
      <c r="G150" s="74">
        <v>0.99</v>
      </c>
      <c r="H150" s="74">
        <v>1</v>
      </c>
      <c r="I150" s="74">
        <v>0.97</v>
      </c>
      <c r="J150" s="75">
        <v>97.799999999999983</v>
      </c>
      <c r="K150"/>
    </row>
    <row r="151" spans="1:11" x14ac:dyDescent="0.25">
      <c r="A151" s="3" t="s">
        <v>300</v>
      </c>
      <c r="B151" s="3" t="s">
        <v>76</v>
      </c>
      <c r="C151" s="3" t="s">
        <v>331</v>
      </c>
      <c r="D151" s="3" t="s">
        <v>340</v>
      </c>
      <c r="E151" s="3" t="s">
        <v>104</v>
      </c>
      <c r="F151" s="73">
        <v>1.66</v>
      </c>
      <c r="G151" s="74">
        <v>1</v>
      </c>
      <c r="H151" s="74">
        <v>1</v>
      </c>
      <c r="I151" s="74">
        <v>1</v>
      </c>
      <c r="J151" s="75">
        <v>93.2</v>
      </c>
      <c r="K151"/>
    </row>
    <row r="152" spans="1:11" x14ac:dyDescent="0.25">
      <c r="A152" s="3" t="s">
        <v>301</v>
      </c>
      <c r="B152" s="3" t="s">
        <v>76</v>
      </c>
      <c r="C152" s="3" t="s">
        <v>331</v>
      </c>
      <c r="D152" s="3" t="s">
        <v>71</v>
      </c>
      <c r="E152" s="3" t="s">
        <v>93</v>
      </c>
      <c r="F152" s="73">
        <v>1.74</v>
      </c>
      <c r="G152" s="74">
        <v>1</v>
      </c>
      <c r="H152" s="74">
        <v>1</v>
      </c>
      <c r="I152" s="74">
        <v>0.97</v>
      </c>
      <c r="J152" s="75">
        <v>94.2</v>
      </c>
      <c r="K152"/>
    </row>
    <row r="153" spans="1:11" x14ac:dyDescent="0.25">
      <c r="A153" s="3" t="s">
        <v>302</v>
      </c>
      <c r="B153" s="3" t="s">
        <v>69</v>
      </c>
      <c r="C153" s="3" t="s">
        <v>331</v>
      </c>
      <c r="D153" s="3" t="s">
        <v>73</v>
      </c>
      <c r="E153" s="3" t="s">
        <v>72</v>
      </c>
      <c r="F153" s="73">
        <v>1.76</v>
      </c>
      <c r="G153" s="74">
        <v>0.93</v>
      </c>
      <c r="H153" s="74">
        <v>0.96</v>
      </c>
      <c r="I153" s="74">
        <v>1</v>
      </c>
      <c r="J153" s="75">
        <v>93.000000000000014</v>
      </c>
      <c r="K153"/>
    </row>
    <row r="154" spans="1:11" x14ac:dyDescent="0.25">
      <c r="A154" s="3" t="s">
        <v>303</v>
      </c>
      <c r="B154" s="3" t="s">
        <v>76</v>
      </c>
      <c r="C154" s="3" t="s">
        <v>331</v>
      </c>
      <c r="D154" s="3" t="s">
        <v>71</v>
      </c>
      <c r="E154" s="3" t="s">
        <v>365</v>
      </c>
      <c r="F154" s="73">
        <v>1.68</v>
      </c>
      <c r="G154" s="74">
        <v>1</v>
      </c>
      <c r="H154" s="74">
        <v>1</v>
      </c>
      <c r="I154" s="74">
        <v>1</v>
      </c>
      <c r="J154" s="75">
        <v>93.6</v>
      </c>
      <c r="K154"/>
    </row>
    <row r="155" spans="1:11" x14ac:dyDescent="0.25">
      <c r="A155" s="3" t="s">
        <v>304</v>
      </c>
      <c r="B155" s="3" t="s">
        <v>76</v>
      </c>
      <c r="C155" s="3" t="s">
        <v>331</v>
      </c>
      <c r="D155" s="3" t="s">
        <v>73</v>
      </c>
      <c r="E155" s="3" t="s">
        <v>365</v>
      </c>
      <c r="F155" s="73">
        <v>1.56</v>
      </c>
      <c r="G155" s="74">
        <v>1</v>
      </c>
      <c r="H155" s="74">
        <v>1</v>
      </c>
      <c r="I155" s="74">
        <v>0.96</v>
      </c>
      <c r="J155" s="75">
        <v>90.399999999999991</v>
      </c>
      <c r="K155"/>
    </row>
    <row r="156" spans="1:11" x14ac:dyDescent="0.25">
      <c r="A156" s="3" t="s">
        <v>305</v>
      </c>
      <c r="B156" s="3" t="s">
        <v>69</v>
      </c>
      <c r="C156" s="3" t="s">
        <v>331</v>
      </c>
      <c r="D156" s="3" t="s">
        <v>340</v>
      </c>
      <c r="E156" s="3" t="s">
        <v>72</v>
      </c>
      <c r="F156" s="73">
        <v>1.73</v>
      </c>
      <c r="G156" s="74">
        <v>1</v>
      </c>
      <c r="H156" s="74">
        <v>0.99</v>
      </c>
      <c r="I156" s="74">
        <v>1</v>
      </c>
      <c r="J156" s="75">
        <v>94.4</v>
      </c>
      <c r="K156"/>
    </row>
    <row r="157" spans="1:11" x14ac:dyDescent="0.25">
      <c r="A157" s="3" t="s">
        <v>306</v>
      </c>
      <c r="B157" s="3" t="s">
        <v>76</v>
      </c>
      <c r="C157" s="3" t="s">
        <v>331</v>
      </c>
      <c r="D157" s="3" t="s">
        <v>71</v>
      </c>
      <c r="E157" s="3" t="s">
        <v>344</v>
      </c>
      <c r="F157" s="73">
        <v>1.96</v>
      </c>
      <c r="G157" s="74">
        <v>1</v>
      </c>
      <c r="H157" s="74">
        <v>1</v>
      </c>
      <c r="I157" s="74">
        <v>0.95</v>
      </c>
      <c r="J157" s="75">
        <v>98.2</v>
      </c>
      <c r="K157"/>
    </row>
    <row r="158" spans="1:11" x14ac:dyDescent="0.25">
      <c r="A158" s="9" t="s">
        <v>44</v>
      </c>
      <c r="B158" s="33"/>
      <c r="C158" s="33"/>
      <c r="D158" s="33"/>
      <c r="E158" s="33"/>
      <c r="F158" s="76">
        <v>1.8157142857142861</v>
      </c>
      <c r="G158" s="77">
        <v>0.94974025974025911</v>
      </c>
      <c r="H158" s="77">
        <v>0.97746753246753249</v>
      </c>
      <c r="I158" s="77">
        <v>0.97032467532467481</v>
      </c>
      <c r="J158" s="78">
        <v>94.264935064935074</v>
      </c>
      <c r="K158"/>
    </row>
    <row r="159" spans="1:11" x14ac:dyDescent="0.25">
      <c r="G159"/>
      <c r="H159"/>
      <c r="I159"/>
      <c r="J159"/>
      <c r="K159"/>
    </row>
    <row r="160" spans="1:11" x14ac:dyDescent="0.25">
      <c r="G160"/>
      <c r="H160"/>
      <c r="I160"/>
      <c r="J160"/>
      <c r="K160"/>
    </row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0E733-8E0B-45B1-AD33-86FC9C148400}">
  <dimension ref="A1:B23"/>
  <sheetViews>
    <sheetView topLeftCell="A15" workbookViewId="0">
      <selection activeCell="B26" sqref="B26"/>
    </sheetView>
  </sheetViews>
  <sheetFormatPr baseColWidth="10" defaultRowHeight="15" x14ac:dyDescent="0.25"/>
  <cols>
    <col min="1" max="1" width="16.42578125" style="18" bestFit="1" customWidth="1"/>
    <col min="2" max="2" width="11.5703125" style="18" bestFit="1" customWidth="1"/>
  </cols>
  <sheetData>
    <row r="1" spans="1:2" x14ac:dyDescent="0.25">
      <c r="A1" s="53" t="s">
        <v>496</v>
      </c>
      <c r="B1" s="54" t="s">
        <v>500</v>
      </c>
    </row>
    <row r="3" spans="1:2" ht="60" x14ac:dyDescent="0.25">
      <c r="A3" s="55" t="s">
        <v>43</v>
      </c>
      <c r="B3" s="56" t="s">
        <v>499</v>
      </c>
    </row>
    <row r="4" spans="1:2" x14ac:dyDescent="0.25">
      <c r="A4" s="57" t="s">
        <v>69</v>
      </c>
      <c r="B4" s="58">
        <v>90.741538461538511</v>
      </c>
    </row>
    <row r="5" spans="1:2" x14ac:dyDescent="0.25">
      <c r="A5" s="59" t="s">
        <v>76</v>
      </c>
      <c r="B5" s="60">
        <v>91.996521739130358</v>
      </c>
    </row>
    <row r="6" spans="1:2" x14ac:dyDescent="0.25">
      <c r="A6" s="59" t="s">
        <v>498</v>
      </c>
      <c r="B6" s="60"/>
    </row>
    <row r="7" spans="1:2" x14ac:dyDescent="0.25">
      <c r="A7" s="61" t="s">
        <v>44</v>
      </c>
      <c r="B7" s="62">
        <v>91.420705882353019</v>
      </c>
    </row>
    <row r="15" spans="1:2" ht="60" x14ac:dyDescent="0.25">
      <c r="A15" s="53" t="s">
        <v>496</v>
      </c>
      <c r="B15" s="54" t="s">
        <v>497</v>
      </c>
    </row>
    <row r="17" spans="1:2" ht="34.5" x14ac:dyDescent="0.25">
      <c r="A17" s="68" t="s">
        <v>43</v>
      </c>
      <c r="B17" s="69" t="s">
        <v>499</v>
      </c>
    </row>
    <row r="18" spans="1:2" x14ac:dyDescent="0.25">
      <c r="A18" s="64" t="s">
        <v>340</v>
      </c>
      <c r="B18" s="65">
        <v>95.97777777777776</v>
      </c>
    </row>
    <row r="19" spans="1:2" x14ac:dyDescent="0.25">
      <c r="A19" s="66" t="s">
        <v>71</v>
      </c>
      <c r="B19" s="67">
        <v>94.905405405405375</v>
      </c>
    </row>
    <row r="20" spans="1:2" x14ac:dyDescent="0.25">
      <c r="A20" s="66" t="s">
        <v>73</v>
      </c>
      <c r="B20" s="67">
        <v>93.380281690140848</v>
      </c>
    </row>
    <row r="21" spans="1:2" x14ac:dyDescent="0.25">
      <c r="A21" s="61" t="s">
        <v>44</v>
      </c>
      <c r="B21" s="62">
        <v>94.264935064935059</v>
      </c>
    </row>
    <row r="22" spans="1:2" x14ac:dyDescent="0.25">
      <c r="A22"/>
      <c r="B22"/>
    </row>
    <row r="23" spans="1:2" x14ac:dyDescent="0.25">
      <c r="A23"/>
      <c r="B23"/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DEB9-AC14-4485-94FF-A35557CF3657}">
  <dimension ref="A1:L159"/>
  <sheetViews>
    <sheetView zoomScale="80" zoomScaleNormal="80" workbookViewId="0">
      <selection activeCell="C13" sqref="C13"/>
    </sheetView>
  </sheetViews>
  <sheetFormatPr baseColWidth="10" defaultRowHeight="15" x14ac:dyDescent="0.25"/>
  <cols>
    <col min="1" max="1" width="20.5703125" bestFit="1" customWidth="1"/>
    <col min="2" max="2" width="30.7109375" bestFit="1" customWidth="1"/>
    <col min="4" max="4" width="56.5703125" bestFit="1" customWidth="1"/>
    <col min="5" max="5" width="30.7109375" bestFit="1" customWidth="1"/>
    <col min="7" max="7" width="52.5703125" bestFit="1" customWidth="1"/>
    <col min="8" max="8" width="13.85546875" bestFit="1" customWidth="1"/>
    <col min="9" max="9" width="20.28515625" bestFit="1" customWidth="1"/>
    <col min="10" max="10" width="26" bestFit="1" customWidth="1"/>
    <col min="11" max="11" width="56.5703125" bestFit="1" customWidth="1"/>
    <col min="12" max="12" width="30.7109375" bestFit="1" customWidth="1"/>
  </cols>
  <sheetData>
    <row r="1" spans="1:12" x14ac:dyDescent="0.25">
      <c r="A1" s="31" t="s">
        <v>496</v>
      </c>
      <c r="B1" s="32" t="s">
        <v>500</v>
      </c>
      <c r="D1" s="31" t="s">
        <v>496</v>
      </c>
      <c r="E1" s="32" t="s">
        <v>500</v>
      </c>
      <c r="G1" s="31" t="s">
        <v>496</v>
      </c>
      <c r="H1" s="32" t="s">
        <v>500</v>
      </c>
    </row>
    <row r="3" spans="1:12" x14ac:dyDescent="0.25">
      <c r="A3" s="35" t="s">
        <v>43</v>
      </c>
      <c r="B3" s="36" t="s">
        <v>499</v>
      </c>
      <c r="D3" s="35" t="s">
        <v>43</v>
      </c>
      <c r="E3" s="36" t="s">
        <v>499</v>
      </c>
      <c r="G3" s="35" t="s">
        <v>43</v>
      </c>
      <c r="H3" s="37" t="s">
        <v>322</v>
      </c>
      <c r="I3" s="37" t="s">
        <v>325</v>
      </c>
      <c r="J3" s="37" t="s">
        <v>327</v>
      </c>
      <c r="K3" s="37" t="s">
        <v>328</v>
      </c>
      <c r="L3" s="36" t="s">
        <v>499</v>
      </c>
    </row>
    <row r="4" spans="1:12" x14ac:dyDescent="0.25">
      <c r="A4" s="5" t="s">
        <v>69</v>
      </c>
      <c r="B4" s="28">
        <v>94.426086956521701</v>
      </c>
      <c r="D4" s="5" t="s">
        <v>362</v>
      </c>
      <c r="E4" s="28">
        <v>96.933333333333337</v>
      </c>
      <c r="G4" s="3" t="s">
        <v>155</v>
      </c>
      <c r="H4" s="3">
        <v>61</v>
      </c>
      <c r="I4" s="3" t="s">
        <v>70</v>
      </c>
      <c r="J4" s="3" t="s">
        <v>71</v>
      </c>
      <c r="K4" s="3" t="s">
        <v>332</v>
      </c>
      <c r="L4" s="28">
        <v>96</v>
      </c>
    </row>
    <row r="5" spans="1:12" x14ac:dyDescent="0.25">
      <c r="A5" s="6" t="s">
        <v>76</v>
      </c>
      <c r="B5" s="29">
        <v>94.134117647058815</v>
      </c>
      <c r="D5" s="6" t="s">
        <v>339</v>
      </c>
      <c r="E5" s="29">
        <v>96</v>
      </c>
      <c r="G5" s="3" t="s">
        <v>156</v>
      </c>
      <c r="H5" s="3">
        <v>28</v>
      </c>
      <c r="I5" s="3" t="s">
        <v>70</v>
      </c>
      <c r="J5" s="3" t="s">
        <v>71</v>
      </c>
      <c r="K5" s="3" t="s">
        <v>365</v>
      </c>
      <c r="L5" s="28">
        <v>89.4</v>
      </c>
    </row>
    <row r="6" spans="1:12" x14ac:dyDescent="0.25">
      <c r="A6" s="6" t="s">
        <v>498</v>
      </c>
      <c r="B6" s="27"/>
      <c r="D6" s="6" t="s">
        <v>332</v>
      </c>
      <c r="E6" s="29">
        <v>95.080000000000013</v>
      </c>
      <c r="G6" s="3" t="s">
        <v>157</v>
      </c>
      <c r="H6" s="3">
        <v>35</v>
      </c>
      <c r="I6" s="3" t="s">
        <v>70</v>
      </c>
      <c r="J6" s="3" t="s">
        <v>71</v>
      </c>
      <c r="K6" s="3" t="s">
        <v>365</v>
      </c>
      <c r="L6" s="28">
        <v>94.4</v>
      </c>
    </row>
    <row r="7" spans="1:12" x14ac:dyDescent="0.25">
      <c r="A7" s="7" t="s">
        <v>44</v>
      </c>
      <c r="B7" s="30">
        <v>94.264935064935088</v>
      </c>
      <c r="D7" s="6" t="s">
        <v>345</v>
      </c>
      <c r="E7" s="29">
        <v>94.34666666666665</v>
      </c>
      <c r="G7" s="3" t="s">
        <v>158</v>
      </c>
      <c r="H7" s="3">
        <v>39</v>
      </c>
      <c r="I7" s="3" t="s">
        <v>70</v>
      </c>
      <c r="J7" s="3" t="s">
        <v>71</v>
      </c>
      <c r="K7" s="3" t="s">
        <v>332</v>
      </c>
      <c r="L7" s="28">
        <v>95.8</v>
      </c>
    </row>
    <row r="8" spans="1:12" x14ac:dyDescent="0.25">
      <c r="D8" s="6" t="s">
        <v>398</v>
      </c>
      <c r="E8" s="29">
        <v>91.84</v>
      </c>
      <c r="G8" s="3" t="s">
        <v>159</v>
      </c>
      <c r="H8" s="3">
        <v>41</v>
      </c>
      <c r="I8" s="3" t="s">
        <v>70</v>
      </c>
      <c r="J8" s="3" t="s">
        <v>71</v>
      </c>
      <c r="K8" s="3" t="s">
        <v>332</v>
      </c>
      <c r="L8" s="28">
        <v>97.799999999999983</v>
      </c>
    </row>
    <row r="9" spans="1:12" x14ac:dyDescent="0.25">
      <c r="D9" s="6" t="s">
        <v>74</v>
      </c>
      <c r="E9" s="29">
        <v>91.5</v>
      </c>
      <c r="G9" s="3" t="s">
        <v>160</v>
      </c>
      <c r="H9" s="3">
        <v>38</v>
      </c>
      <c r="I9" s="3" t="s">
        <v>70</v>
      </c>
      <c r="J9" s="3" t="s">
        <v>73</v>
      </c>
      <c r="K9" s="3" t="s">
        <v>339</v>
      </c>
      <c r="L9" s="28">
        <v>93.000000000000014</v>
      </c>
    </row>
    <row r="10" spans="1:12" x14ac:dyDescent="0.25">
      <c r="D10" s="6" t="s">
        <v>72</v>
      </c>
      <c r="E10" s="29">
        <v>92.080000000000013</v>
      </c>
      <c r="G10" s="3" t="s">
        <v>161</v>
      </c>
      <c r="H10" s="3">
        <v>43</v>
      </c>
      <c r="I10" s="3" t="s">
        <v>70</v>
      </c>
      <c r="J10" s="3" t="s">
        <v>73</v>
      </c>
      <c r="K10" s="3" t="s">
        <v>72</v>
      </c>
      <c r="L10" s="28">
        <v>95.8</v>
      </c>
    </row>
    <row r="11" spans="1:12" x14ac:dyDescent="0.25">
      <c r="A11" s="31" t="s">
        <v>496</v>
      </c>
      <c r="B11" s="32" t="s">
        <v>500</v>
      </c>
      <c r="D11" s="6" t="s">
        <v>353</v>
      </c>
      <c r="E11" s="29">
        <v>98.800000000000011</v>
      </c>
      <c r="G11" s="3" t="s">
        <v>162</v>
      </c>
      <c r="H11" s="3">
        <v>66</v>
      </c>
      <c r="I11" s="3" t="s">
        <v>70</v>
      </c>
      <c r="J11" s="3" t="s">
        <v>340</v>
      </c>
      <c r="K11" s="3" t="s">
        <v>83</v>
      </c>
      <c r="L11" s="28">
        <v>96.199999999999989</v>
      </c>
    </row>
    <row r="12" spans="1:12" x14ac:dyDescent="0.25">
      <c r="D12" s="6" t="s">
        <v>93</v>
      </c>
      <c r="E12" s="29">
        <v>93.703225806451599</v>
      </c>
      <c r="G12" s="3" t="s">
        <v>163</v>
      </c>
      <c r="H12" s="3">
        <v>42</v>
      </c>
      <c r="I12" s="3" t="s">
        <v>70</v>
      </c>
      <c r="J12" s="3" t="s">
        <v>73</v>
      </c>
      <c r="K12" s="3" t="s">
        <v>83</v>
      </c>
      <c r="L12" s="28">
        <v>77</v>
      </c>
    </row>
    <row r="13" spans="1:12" x14ac:dyDescent="0.25">
      <c r="A13" s="35" t="s">
        <v>43</v>
      </c>
      <c r="B13" s="36" t="s">
        <v>499</v>
      </c>
      <c r="D13" s="6" t="s">
        <v>356</v>
      </c>
      <c r="E13" s="29">
        <v>94.8</v>
      </c>
      <c r="G13" s="3" t="s">
        <v>164</v>
      </c>
      <c r="H13" s="3">
        <v>55</v>
      </c>
      <c r="I13" s="3" t="s">
        <v>70</v>
      </c>
      <c r="J13" s="3" t="s">
        <v>71</v>
      </c>
      <c r="K13" s="3" t="s">
        <v>93</v>
      </c>
      <c r="L13" s="28">
        <v>93.000000000000014</v>
      </c>
    </row>
    <row r="14" spans="1:12" x14ac:dyDescent="0.25">
      <c r="A14" s="5" t="s">
        <v>69</v>
      </c>
      <c r="B14" s="28">
        <v>94.426086956521701</v>
      </c>
      <c r="D14" s="6" t="s">
        <v>104</v>
      </c>
      <c r="E14" s="29">
        <v>94.600000000000009</v>
      </c>
      <c r="G14" s="3" t="s">
        <v>165</v>
      </c>
      <c r="H14" s="3">
        <v>49</v>
      </c>
      <c r="I14" s="3" t="s">
        <v>70</v>
      </c>
      <c r="J14" s="3" t="s">
        <v>71</v>
      </c>
      <c r="K14" s="3" t="s">
        <v>344</v>
      </c>
      <c r="L14" s="28">
        <v>96.8</v>
      </c>
    </row>
    <row r="15" spans="1:12" x14ac:dyDescent="0.25">
      <c r="A15" s="34" t="s">
        <v>340</v>
      </c>
      <c r="B15" s="29">
        <v>95.59999999999998</v>
      </c>
      <c r="D15" s="6" t="s">
        <v>365</v>
      </c>
      <c r="E15" s="29">
        <v>92.483333333333334</v>
      </c>
      <c r="G15" s="3" t="s">
        <v>166</v>
      </c>
      <c r="H15" s="3">
        <v>38</v>
      </c>
      <c r="I15" s="3" t="s">
        <v>70</v>
      </c>
      <c r="J15" s="3" t="s">
        <v>73</v>
      </c>
      <c r="K15" s="3" t="s">
        <v>345</v>
      </c>
      <c r="L15" s="28">
        <v>96.4</v>
      </c>
    </row>
    <row r="16" spans="1:12" x14ac:dyDescent="0.25">
      <c r="A16" s="34" t="s">
        <v>71</v>
      </c>
      <c r="B16" s="29">
        <v>94.553333333333342</v>
      </c>
      <c r="D16" s="6" t="s">
        <v>350</v>
      </c>
      <c r="E16" s="29">
        <v>96.857142857142861</v>
      </c>
      <c r="G16" s="3" t="s">
        <v>167</v>
      </c>
      <c r="H16" s="3">
        <v>32</v>
      </c>
      <c r="I16" s="3" t="s">
        <v>70</v>
      </c>
      <c r="J16" s="3" t="s">
        <v>71</v>
      </c>
      <c r="K16" s="3" t="s">
        <v>339</v>
      </c>
      <c r="L16" s="28">
        <v>98.800000000000011</v>
      </c>
    </row>
    <row r="17" spans="1:12" x14ac:dyDescent="0.25">
      <c r="A17" s="34" t="s">
        <v>73</v>
      </c>
      <c r="B17" s="29">
        <v>94.222222222222229</v>
      </c>
      <c r="D17" s="6" t="s">
        <v>368</v>
      </c>
      <c r="E17" s="29">
        <v>96.428571428571431</v>
      </c>
      <c r="G17" s="3" t="s">
        <v>168</v>
      </c>
      <c r="H17" s="3">
        <v>35</v>
      </c>
      <c r="I17" s="3" t="s">
        <v>70</v>
      </c>
      <c r="J17" s="3" t="s">
        <v>71</v>
      </c>
      <c r="K17" s="3" t="s">
        <v>350</v>
      </c>
      <c r="L17" s="28">
        <v>99</v>
      </c>
    </row>
    <row r="18" spans="1:12" x14ac:dyDescent="0.25">
      <c r="A18" s="6" t="s">
        <v>76</v>
      </c>
      <c r="B18" s="29">
        <v>94.134117647058815</v>
      </c>
      <c r="D18" s="6" t="s">
        <v>344</v>
      </c>
      <c r="E18" s="29">
        <v>96.171428571428578</v>
      </c>
      <c r="G18" s="3" t="s">
        <v>169</v>
      </c>
      <c r="H18" s="3">
        <v>42</v>
      </c>
      <c r="I18" s="3" t="s">
        <v>70</v>
      </c>
      <c r="J18" s="3" t="s">
        <v>71</v>
      </c>
      <c r="K18" s="3" t="s">
        <v>353</v>
      </c>
      <c r="L18" s="28">
        <v>98.4</v>
      </c>
    </row>
    <row r="19" spans="1:12" x14ac:dyDescent="0.25">
      <c r="A19" s="34" t="s">
        <v>340</v>
      </c>
      <c r="B19" s="29">
        <v>96.166666666666671</v>
      </c>
      <c r="D19" s="6" t="s">
        <v>132</v>
      </c>
      <c r="E19" s="29">
        <v>83.4</v>
      </c>
      <c r="G19" s="3" t="s">
        <v>309</v>
      </c>
      <c r="H19" s="3">
        <v>45</v>
      </c>
      <c r="I19" s="3" t="s">
        <v>70</v>
      </c>
      <c r="J19" s="3" t="s">
        <v>73</v>
      </c>
      <c r="K19" s="3" t="s">
        <v>93</v>
      </c>
      <c r="L19" s="28">
        <v>76.2</v>
      </c>
    </row>
    <row r="20" spans="1:12" x14ac:dyDescent="0.25">
      <c r="A20" s="34" t="s">
        <v>71</v>
      </c>
      <c r="B20" s="29">
        <v>95.145454545454541</v>
      </c>
      <c r="D20" s="6" t="s">
        <v>83</v>
      </c>
      <c r="E20" s="29">
        <v>94.112500000000011</v>
      </c>
      <c r="G20" s="3" t="s">
        <v>170</v>
      </c>
      <c r="H20" s="3">
        <v>32</v>
      </c>
      <c r="I20" s="3" t="s">
        <v>70</v>
      </c>
      <c r="J20" s="3" t="s">
        <v>73</v>
      </c>
      <c r="K20" s="3" t="s">
        <v>344</v>
      </c>
      <c r="L20" s="28">
        <v>98.2</v>
      </c>
    </row>
    <row r="21" spans="1:12" x14ac:dyDescent="0.25">
      <c r="A21" s="34" t="s">
        <v>73</v>
      </c>
      <c r="B21" s="29">
        <v>92.514285714285705</v>
      </c>
      <c r="D21" s="6" t="s">
        <v>401</v>
      </c>
      <c r="E21" s="29">
        <v>97.799999999999983</v>
      </c>
      <c r="G21" s="3" t="s">
        <v>171</v>
      </c>
      <c r="H21" s="3">
        <v>51</v>
      </c>
      <c r="I21" s="3" t="s">
        <v>70</v>
      </c>
      <c r="J21" s="3" t="s">
        <v>73</v>
      </c>
      <c r="K21" s="3" t="s">
        <v>72</v>
      </c>
      <c r="L21" s="28">
        <v>95</v>
      </c>
    </row>
    <row r="22" spans="1:12" x14ac:dyDescent="0.25">
      <c r="A22" s="6" t="s">
        <v>498</v>
      </c>
      <c r="B22" s="27"/>
      <c r="D22" s="7" t="s">
        <v>44</v>
      </c>
      <c r="E22" s="30">
        <v>94.264935064935059</v>
      </c>
      <c r="G22" s="3" t="s">
        <v>172</v>
      </c>
      <c r="H22" s="3">
        <v>33</v>
      </c>
      <c r="I22" s="3" t="s">
        <v>70</v>
      </c>
      <c r="J22" s="3" t="s">
        <v>73</v>
      </c>
      <c r="K22" s="3" t="s">
        <v>72</v>
      </c>
      <c r="L22" s="28">
        <v>78.8</v>
      </c>
    </row>
    <row r="23" spans="1:12" x14ac:dyDescent="0.25">
      <c r="A23" s="34" t="s">
        <v>498</v>
      </c>
      <c r="B23" s="27"/>
      <c r="G23" s="3" t="s">
        <v>173</v>
      </c>
      <c r="H23" s="3">
        <v>62</v>
      </c>
      <c r="I23" s="3" t="s">
        <v>70</v>
      </c>
      <c r="J23" s="3" t="s">
        <v>73</v>
      </c>
      <c r="K23" s="3" t="s">
        <v>356</v>
      </c>
      <c r="L23" s="28">
        <v>87.200000000000017</v>
      </c>
    </row>
    <row r="24" spans="1:12" x14ac:dyDescent="0.25">
      <c r="A24" s="7" t="s">
        <v>44</v>
      </c>
      <c r="B24" s="30">
        <v>94.264935064935059</v>
      </c>
      <c r="G24" s="3" t="s">
        <v>174</v>
      </c>
      <c r="H24" s="3">
        <v>30</v>
      </c>
      <c r="I24" s="3" t="s">
        <v>70</v>
      </c>
      <c r="J24" s="3" t="s">
        <v>73</v>
      </c>
      <c r="K24" s="3" t="s">
        <v>93</v>
      </c>
      <c r="L24" s="28">
        <v>95.8</v>
      </c>
    </row>
    <row r="25" spans="1:12" x14ac:dyDescent="0.25">
      <c r="G25" s="3" t="s">
        <v>175</v>
      </c>
      <c r="H25" s="3">
        <v>54</v>
      </c>
      <c r="I25" s="3" t="s">
        <v>70</v>
      </c>
      <c r="J25" s="3" t="s">
        <v>71</v>
      </c>
      <c r="K25" s="3" t="s">
        <v>72</v>
      </c>
      <c r="L25" s="28">
        <v>98.6</v>
      </c>
    </row>
    <row r="26" spans="1:12" x14ac:dyDescent="0.25">
      <c r="G26" s="3" t="s">
        <v>176</v>
      </c>
      <c r="H26" s="3">
        <v>50</v>
      </c>
      <c r="I26" s="3" t="s">
        <v>70</v>
      </c>
      <c r="J26" s="3" t="s">
        <v>71</v>
      </c>
      <c r="K26" s="3" t="s">
        <v>362</v>
      </c>
      <c r="L26" s="28">
        <v>96</v>
      </c>
    </row>
    <row r="27" spans="1:12" x14ac:dyDescent="0.25">
      <c r="G27" s="3" t="s">
        <v>177</v>
      </c>
      <c r="H27" s="3">
        <v>35</v>
      </c>
      <c r="I27" s="3" t="s">
        <v>70</v>
      </c>
      <c r="J27" s="3" t="s">
        <v>73</v>
      </c>
      <c r="K27" s="3" t="s">
        <v>362</v>
      </c>
      <c r="L27" s="28">
        <v>96</v>
      </c>
    </row>
    <row r="28" spans="1:12" x14ac:dyDescent="0.25">
      <c r="G28" s="3" t="s">
        <v>178</v>
      </c>
      <c r="H28" s="3">
        <v>58</v>
      </c>
      <c r="I28" s="3" t="s">
        <v>70</v>
      </c>
      <c r="J28" s="3" t="s">
        <v>73</v>
      </c>
      <c r="K28" s="3" t="s">
        <v>83</v>
      </c>
      <c r="L28" s="28">
        <v>89.600000000000009</v>
      </c>
    </row>
    <row r="29" spans="1:12" x14ac:dyDescent="0.25">
      <c r="G29" s="3" t="s">
        <v>179</v>
      </c>
      <c r="H29" s="3">
        <v>64</v>
      </c>
      <c r="I29" s="3" t="s">
        <v>70</v>
      </c>
      <c r="J29" s="3" t="s">
        <v>71</v>
      </c>
      <c r="K29" s="3" t="s">
        <v>365</v>
      </c>
      <c r="L29" s="28">
        <v>96.4</v>
      </c>
    </row>
    <row r="30" spans="1:12" x14ac:dyDescent="0.25">
      <c r="G30" s="3" t="s">
        <v>180</v>
      </c>
      <c r="H30" s="3">
        <v>59</v>
      </c>
      <c r="I30" s="3" t="s">
        <v>70</v>
      </c>
      <c r="J30" s="3" t="s">
        <v>73</v>
      </c>
      <c r="K30" s="3" t="s">
        <v>83</v>
      </c>
      <c r="L30" s="28">
        <v>94.600000000000009</v>
      </c>
    </row>
    <row r="31" spans="1:12" x14ac:dyDescent="0.25">
      <c r="A31" s="35"/>
      <c r="B31" s="36"/>
      <c r="G31" s="3" t="s">
        <v>181</v>
      </c>
      <c r="H31" s="3">
        <v>41</v>
      </c>
      <c r="I31" s="3" t="s">
        <v>70</v>
      </c>
      <c r="J31" s="3" t="s">
        <v>71</v>
      </c>
      <c r="K31" s="3" t="s">
        <v>83</v>
      </c>
      <c r="L31" s="28">
        <v>95.399999999999991</v>
      </c>
    </row>
    <row r="32" spans="1:12" x14ac:dyDescent="0.25">
      <c r="A32" s="5"/>
      <c r="B32" s="28"/>
      <c r="G32" s="3" t="s">
        <v>182</v>
      </c>
      <c r="H32" s="3">
        <v>44</v>
      </c>
      <c r="I32" s="3" t="s">
        <v>70</v>
      </c>
      <c r="J32" s="3" t="s">
        <v>73</v>
      </c>
      <c r="K32" s="3" t="s">
        <v>368</v>
      </c>
      <c r="L32" s="28">
        <v>91.6</v>
      </c>
    </row>
    <row r="33" spans="1:12" x14ac:dyDescent="0.25">
      <c r="A33" s="6"/>
      <c r="B33" s="29"/>
      <c r="G33" s="3" t="s">
        <v>183</v>
      </c>
      <c r="H33" s="3">
        <v>29</v>
      </c>
      <c r="I33" s="3" t="s">
        <v>70</v>
      </c>
      <c r="J33" s="3" t="s">
        <v>71</v>
      </c>
      <c r="K33" s="3" t="s">
        <v>365</v>
      </c>
      <c r="L33" s="28">
        <v>95.399999999999991</v>
      </c>
    </row>
    <row r="34" spans="1:12" x14ac:dyDescent="0.25">
      <c r="A34" s="6"/>
      <c r="B34" s="27"/>
      <c r="G34" s="3" t="s">
        <v>184</v>
      </c>
      <c r="H34" s="3">
        <v>38</v>
      </c>
      <c r="I34" s="3" t="s">
        <v>70</v>
      </c>
      <c r="J34" s="3" t="s">
        <v>73</v>
      </c>
      <c r="K34" s="3" t="s">
        <v>362</v>
      </c>
      <c r="L34" s="28">
        <v>99</v>
      </c>
    </row>
    <row r="35" spans="1:12" x14ac:dyDescent="0.25">
      <c r="A35" s="7"/>
      <c r="B35" s="30"/>
      <c r="G35" s="3" t="s">
        <v>185</v>
      </c>
      <c r="H35" s="3">
        <v>50</v>
      </c>
      <c r="I35" s="3" t="s">
        <v>70</v>
      </c>
      <c r="J35" s="3" t="s">
        <v>73</v>
      </c>
      <c r="K35" s="3" t="s">
        <v>332</v>
      </c>
      <c r="L35" s="28">
        <v>91.999999999999986</v>
      </c>
    </row>
    <row r="36" spans="1:12" x14ac:dyDescent="0.25">
      <c r="G36" s="3" t="s">
        <v>186</v>
      </c>
      <c r="H36" s="3">
        <v>55</v>
      </c>
      <c r="I36" s="3" t="s">
        <v>70</v>
      </c>
      <c r="J36" s="3" t="s">
        <v>71</v>
      </c>
      <c r="K36" s="3" t="s">
        <v>332</v>
      </c>
      <c r="L36" s="28">
        <v>94</v>
      </c>
    </row>
    <row r="37" spans="1:12" x14ac:dyDescent="0.25">
      <c r="G37" s="3" t="s">
        <v>187</v>
      </c>
      <c r="H37" s="3">
        <v>65</v>
      </c>
      <c r="I37" s="3" t="s">
        <v>70</v>
      </c>
      <c r="J37" s="3" t="s">
        <v>73</v>
      </c>
      <c r="K37" s="3" t="s">
        <v>93</v>
      </c>
      <c r="L37" s="28">
        <v>91.6</v>
      </c>
    </row>
    <row r="38" spans="1:12" x14ac:dyDescent="0.25">
      <c r="G38" s="3" t="s">
        <v>188</v>
      </c>
      <c r="H38" s="3">
        <v>57</v>
      </c>
      <c r="I38" s="3" t="s">
        <v>70</v>
      </c>
      <c r="J38" s="3" t="s">
        <v>73</v>
      </c>
      <c r="K38" s="3" t="s">
        <v>350</v>
      </c>
      <c r="L38" s="28">
        <v>89</v>
      </c>
    </row>
    <row r="39" spans="1:12" x14ac:dyDescent="0.25">
      <c r="A39" s="31" t="s">
        <v>496</v>
      </c>
      <c r="B39" s="32" t="s">
        <v>500</v>
      </c>
      <c r="G39" s="3" t="s">
        <v>189</v>
      </c>
      <c r="H39" s="3">
        <v>31</v>
      </c>
      <c r="I39" s="3" t="s">
        <v>70</v>
      </c>
      <c r="J39" s="3" t="s">
        <v>71</v>
      </c>
      <c r="K39" s="3" t="s">
        <v>365</v>
      </c>
      <c r="L39" s="28">
        <v>85.399999999999991</v>
      </c>
    </row>
    <row r="40" spans="1:12" x14ac:dyDescent="0.25">
      <c r="G40" s="3" t="s">
        <v>190</v>
      </c>
      <c r="H40" s="3">
        <v>32</v>
      </c>
      <c r="I40" s="3" t="s">
        <v>70</v>
      </c>
      <c r="J40" s="3" t="s">
        <v>73</v>
      </c>
      <c r="K40" s="3" t="s">
        <v>339</v>
      </c>
      <c r="L40" s="28">
        <v>95.8</v>
      </c>
    </row>
    <row r="41" spans="1:12" x14ac:dyDescent="0.25">
      <c r="A41" s="35" t="s">
        <v>43</v>
      </c>
      <c r="B41" s="36" t="s">
        <v>499</v>
      </c>
      <c r="G41" s="3" t="s">
        <v>191</v>
      </c>
      <c r="H41" s="3">
        <v>34</v>
      </c>
      <c r="I41" s="3" t="s">
        <v>70</v>
      </c>
      <c r="J41" s="3" t="s">
        <v>73</v>
      </c>
      <c r="K41" s="3" t="s">
        <v>344</v>
      </c>
      <c r="L41" s="28">
        <v>98.4</v>
      </c>
    </row>
    <row r="42" spans="1:12" x14ac:dyDescent="0.25">
      <c r="A42" s="5" t="s">
        <v>69</v>
      </c>
      <c r="B42" s="28">
        <v>94.426086956521701</v>
      </c>
      <c r="G42" s="3" t="s">
        <v>192</v>
      </c>
      <c r="H42" s="3">
        <v>45</v>
      </c>
      <c r="I42" s="3" t="s">
        <v>70</v>
      </c>
      <c r="J42" s="3" t="s">
        <v>73</v>
      </c>
      <c r="K42" s="3" t="s">
        <v>344</v>
      </c>
      <c r="L42" s="28">
        <v>93.800000000000011</v>
      </c>
    </row>
    <row r="43" spans="1:12" x14ac:dyDescent="0.25">
      <c r="A43" s="6" t="s">
        <v>76</v>
      </c>
      <c r="B43" s="29">
        <v>94.134117647058815</v>
      </c>
      <c r="G43" s="3" t="s">
        <v>193</v>
      </c>
      <c r="H43" s="3">
        <v>55</v>
      </c>
      <c r="I43" s="3" t="s">
        <v>70</v>
      </c>
      <c r="J43" s="3" t="s">
        <v>71</v>
      </c>
      <c r="K43" s="3" t="s">
        <v>93</v>
      </c>
      <c r="L43" s="28">
        <v>97.4</v>
      </c>
    </row>
    <row r="44" spans="1:12" x14ac:dyDescent="0.25">
      <c r="A44" s="6" t="s">
        <v>498</v>
      </c>
      <c r="B44" s="27"/>
      <c r="G44" s="3" t="s">
        <v>194</v>
      </c>
      <c r="H44" s="3">
        <v>32</v>
      </c>
      <c r="I44" s="3" t="s">
        <v>70</v>
      </c>
      <c r="J44" s="3" t="s">
        <v>73</v>
      </c>
      <c r="K44" s="3" t="s">
        <v>83</v>
      </c>
      <c r="L44" s="28">
        <v>92.4</v>
      </c>
    </row>
    <row r="45" spans="1:12" x14ac:dyDescent="0.25">
      <c r="A45" s="7" t="s">
        <v>44</v>
      </c>
      <c r="B45" s="30">
        <v>94.264935064935088</v>
      </c>
      <c r="G45" s="3" t="s">
        <v>195</v>
      </c>
      <c r="H45" s="3">
        <v>34</v>
      </c>
      <c r="I45" s="3" t="s">
        <v>70</v>
      </c>
      <c r="J45" s="3" t="s">
        <v>71</v>
      </c>
      <c r="K45" s="3" t="s">
        <v>350</v>
      </c>
      <c r="L45" s="28">
        <v>96.999999999999986</v>
      </c>
    </row>
    <row r="46" spans="1:12" x14ac:dyDescent="0.25">
      <c r="G46" s="3" t="s">
        <v>196</v>
      </c>
      <c r="H46" s="3">
        <v>36</v>
      </c>
      <c r="I46" s="3" t="s">
        <v>70</v>
      </c>
      <c r="J46" s="3" t="s">
        <v>73</v>
      </c>
      <c r="K46" s="3" t="s">
        <v>345</v>
      </c>
      <c r="L46" s="28">
        <v>98.000000000000014</v>
      </c>
    </row>
    <row r="47" spans="1:12" x14ac:dyDescent="0.25">
      <c r="G47" s="3" t="s">
        <v>197</v>
      </c>
      <c r="H47" s="3">
        <v>30</v>
      </c>
      <c r="I47" s="3" t="s">
        <v>70</v>
      </c>
      <c r="J47" s="3" t="s">
        <v>73</v>
      </c>
      <c r="K47" s="3" t="s">
        <v>345</v>
      </c>
      <c r="L47" s="28">
        <v>90.6</v>
      </c>
    </row>
    <row r="48" spans="1:12" x14ac:dyDescent="0.25">
      <c r="G48" s="3" t="s">
        <v>198</v>
      </c>
      <c r="H48" s="3">
        <v>51</v>
      </c>
      <c r="I48" s="3" t="s">
        <v>70</v>
      </c>
      <c r="J48" s="3" t="s">
        <v>71</v>
      </c>
      <c r="K48" s="3" t="s">
        <v>365</v>
      </c>
      <c r="L48" s="28">
        <v>94.4</v>
      </c>
    </row>
    <row r="49" spans="7:12" x14ac:dyDescent="0.25">
      <c r="G49" s="3" t="s">
        <v>199</v>
      </c>
      <c r="H49" s="3">
        <v>32</v>
      </c>
      <c r="I49" s="3" t="s">
        <v>70</v>
      </c>
      <c r="J49" s="3" t="s">
        <v>71</v>
      </c>
      <c r="K49" s="3" t="s">
        <v>72</v>
      </c>
      <c r="L49" s="28">
        <v>74.2</v>
      </c>
    </row>
    <row r="50" spans="7:12" x14ac:dyDescent="0.25">
      <c r="G50" s="3" t="s">
        <v>200</v>
      </c>
      <c r="H50" s="3">
        <v>29</v>
      </c>
      <c r="I50" s="3" t="s">
        <v>70</v>
      </c>
      <c r="J50" s="3" t="s">
        <v>71</v>
      </c>
      <c r="K50" s="3" t="s">
        <v>332</v>
      </c>
      <c r="L50" s="28">
        <v>86.6</v>
      </c>
    </row>
    <row r="51" spans="7:12" x14ac:dyDescent="0.25">
      <c r="G51" s="3" t="s">
        <v>201</v>
      </c>
      <c r="H51" s="3">
        <v>42</v>
      </c>
      <c r="I51" s="3" t="s">
        <v>70</v>
      </c>
      <c r="J51" s="3" t="s">
        <v>73</v>
      </c>
      <c r="K51" s="3" t="s">
        <v>345</v>
      </c>
      <c r="L51" s="28">
        <v>89.2</v>
      </c>
    </row>
    <row r="52" spans="7:12" x14ac:dyDescent="0.25">
      <c r="G52" s="3" t="s">
        <v>202</v>
      </c>
      <c r="H52" s="3">
        <v>58</v>
      </c>
      <c r="I52" s="3" t="s">
        <v>70</v>
      </c>
      <c r="J52" s="3" t="s">
        <v>71</v>
      </c>
      <c r="K52" s="3" t="s">
        <v>93</v>
      </c>
      <c r="L52" s="28">
        <v>87.6</v>
      </c>
    </row>
    <row r="53" spans="7:12" x14ac:dyDescent="0.25">
      <c r="G53" s="3" t="s">
        <v>203</v>
      </c>
      <c r="H53" s="3">
        <v>36</v>
      </c>
      <c r="I53" s="3" t="s">
        <v>70</v>
      </c>
      <c r="J53" s="3" t="s">
        <v>73</v>
      </c>
      <c r="K53" s="3" t="s">
        <v>93</v>
      </c>
      <c r="L53" s="28">
        <v>87.799999999999983</v>
      </c>
    </row>
    <row r="54" spans="7:12" x14ac:dyDescent="0.25">
      <c r="G54" s="3" t="s">
        <v>204</v>
      </c>
      <c r="H54" s="3">
        <v>36</v>
      </c>
      <c r="I54" s="3" t="s">
        <v>70</v>
      </c>
      <c r="J54" s="3" t="s">
        <v>73</v>
      </c>
      <c r="K54" s="3" t="s">
        <v>93</v>
      </c>
      <c r="L54" s="28">
        <v>98.4</v>
      </c>
    </row>
    <row r="55" spans="7:12" x14ac:dyDescent="0.25">
      <c r="G55" s="3" t="s">
        <v>205</v>
      </c>
      <c r="H55" s="3">
        <v>63</v>
      </c>
      <c r="I55" s="3" t="s">
        <v>70</v>
      </c>
      <c r="J55" s="3" t="s">
        <v>71</v>
      </c>
      <c r="K55" s="3" t="s">
        <v>345</v>
      </c>
      <c r="L55" s="28">
        <v>95.6</v>
      </c>
    </row>
    <row r="56" spans="7:12" x14ac:dyDescent="0.25">
      <c r="G56" s="3" t="s">
        <v>206</v>
      </c>
      <c r="H56" s="3">
        <v>33</v>
      </c>
      <c r="I56" s="3" t="s">
        <v>70</v>
      </c>
      <c r="J56" s="3" t="s">
        <v>71</v>
      </c>
      <c r="K56" s="3" t="s">
        <v>345</v>
      </c>
      <c r="L56" s="28">
        <v>97.4</v>
      </c>
    </row>
    <row r="57" spans="7:12" x14ac:dyDescent="0.25">
      <c r="G57" s="3" t="s">
        <v>207</v>
      </c>
      <c r="H57" s="3">
        <v>28</v>
      </c>
      <c r="I57" s="3" t="s">
        <v>70</v>
      </c>
      <c r="J57" s="3" t="s">
        <v>71</v>
      </c>
      <c r="K57" s="3" t="s">
        <v>362</v>
      </c>
      <c r="L57" s="28">
        <v>98.2</v>
      </c>
    </row>
    <row r="58" spans="7:12" x14ac:dyDescent="0.25">
      <c r="G58" s="3" t="s">
        <v>208</v>
      </c>
      <c r="H58" s="3">
        <v>36</v>
      </c>
      <c r="I58" s="3" t="s">
        <v>70</v>
      </c>
      <c r="J58" s="3" t="s">
        <v>71</v>
      </c>
      <c r="K58" s="3" t="s">
        <v>345</v>
      </c>
      <c r="L58" s="28">
        <v>88.6</v>
      </c>
    </row>
    <row r="59" spans="7:12" x14ac:dyDescent="0.25">
      <c r="G59" s="3" t="s">
        <v>209</v>
      </c>
      <c r="H59" s="3">
        <v>48</v>
      </c>
      <c r="I59" s="3" t="s">
        <v>70</v>
      </c>
      <c r="J59" s="3" t="s">
        <v>73</v>
      </c>
      <c r="K59" s="3" t="s">
        <v>345</v>
      </c>
      <c r="L59" s="28">
        <v>96.6</v>
      </c>
    </row>
    <row r="60" spans="7:12" x14ac:dyDescent="0.25">
      <c r="G60" s="3" t="s">
        <v>210</v>
      </c>
      <c r="H60" s="3">
        <v>47</v>
      </c>
      <c r="I60" s="3" t="s">
        <v>70</v>
      </c>
      <c r="J60" s="3" t="s">
        <v>340</v>
      </c>
      <c r="K60" s="3" t="s">
        <v>83</v>
      </c>
      <c r="L60" s="28">
        <v>96.199999999999989</v>
      </c>
    </row>
    <row r="61" spans="7:12" x14ac:dyDescent="0.25">
      <c r="G61" s="3" t="s">
        <v>211</v>
      </c>
      <c r="H61" s="3">
        <v>39</v>
      </c>
      <c r="I61" s="3" t="s">
        <v>70</v>
      </c>
      <c r="J61" s="3" t="s">
        <v>71</v>
      </c>
      <c r="K61" s="3" t="s">
        <v>365</v>
      </c>
      <c r="L61" s="28">
        <v>96.999999999999986</v>
      </c>
    </row>
    <row r="62" spans="7:12" x14ac:dyDescent="0.25">
      <c r="G62" s="3" t="s">
        <v>212</v>
      </c>
      <c r="H62" s="3">
        <v>35</v>
      </c>
      <c r="I62" s="3" t="s">
        <v>70</v>
      </c>
      <c r="J62" s="3" t="s">
        <v>71</v>
      </c>
      <c r="K62" s="3" t="s">
        <v>350</v>
      </c>
      <c r="L62" s="28">
        <v>98.4</v>
      </c>
    </row>
    <row r="63" spans="7:12" x14ac:dyDescent="0.25">
      <c r="G63" s="3" t="s">
        <v>213</v>
      </c>
      <c r="H63" s="3">
        <v>32</v>
      </c>
      <c r="I63" s="3" t="s">
        <v>70</v>
      </c>
      <c r="J63" s="3" t="s">
        <v>71</v>
      </c>
      <c r="K63" s="3" t="s">
        <v>365</v>
      </c>
      <c r="L63" s="28">
        <v>95.399999999999991</v>
      </c>
    </row>
    <row r="64" spans="7:12" x14ac:dyDescent="0.25">
      <c r="G64" s="3" t="s">
        <v>214</v>
      </c>
      <c r="H64" s="3">
        <v>39</v>
      </c>
      <c r="I64" s="3" t="s">
        <v>70</v>
      </c>
      <c r="J64" s="3" t="s">
        <v>73</v>
      </c>
      <c r="K64" s="3" t="s">
        <v>345</v>
      </c>
      <c r="L64" s="28">
        <v>96.199999999999989</v>
      </c>
    </row>
    <row r="65" spans="7:12" x14ac:dyDescent="0.25">
      <c r="G65" s="3" t="s">
        <v>215</v>
      </c>
      <c r="H65" s="3">
        <v>49</v>
      </c>
      <c r="I65" s="3" t="s">
        <v>70</v>
      </c>
      <c r="J65" s="3" t="s">
        <v>73</v>
      </c>
      <c r="K65" s="3" t="s">
        <v>72</v>
      </c>
      <c r="L65" s="28">
        <v>96.8</v>
      </c>
    </row>
    <row r="66" spans="7:12" x14ac:dyDescent="0.25">
      <c r="G66" s="3" t="s">
        <v>216</v>
      </c>
      <c r="H66" s="3">
        <v>46</v>
      </c>
      <c r="I66" s="3" t="s">
        <v>70</v>
      </c>
      <c r="J66" s="3" t="s">
        <v>73</v>
      </c>
      <c r="K66" s="3" t="s">
        <v>93</v>
      </c>
      <c r="L66" s="28">
        <v>95.6</v>
      </c>
    </row>
    <row r="67" spans="7:12" x14ac:dyDescent="0.25">
      <c r="G67" s="3" t="s">
        <v>217</v>
      </c>
      <c r="H67" s="3">
        <v>47</v>
      </c>
      <c r="I67" s="3" t="s">
        <v>70</v>
      </c>
      <c r="J67" s="3" t="s">
        <v>71</v>
      </c>
      <c r="K67" s="3" t="s">
        <v>398</v>
      </c>
      <c r="L67" s="28">
        <v>88.000000000000014</v>
      </c>
    </row>
    <row r="68" spans="7:12" x14ac:dyDescent="0.25">
      <c r="G68" s="3" t="s">
        <v>218</v>
      </c>
      <c r="H68" s="3">
        <v>31</v>
      </c>
      <c r="I68" s="3" t="s">
        <v>70</v>
      </c>
      <c r="J68" s="3" t="s">
        <v>73</v>
      </c>
      <c r="K68" s="3" t="s">
        <v>368</v>
      </c>
      <c r="L68" s="28">
        <v>97.4</v>
      </c>
    </row>
    <row r="69" spans="7:12" x14ac:dyDescent="0.25">
      <c r="G69" s="3" t="s">
        <v>219</v>
      </c>
      <c r="H69" s="3">
        <v>56</v>
      </c>
      <c r="I69" s="3" t="s">
        <v>70</v>
      </c>
      <c r="J69" s="3" t="s">
        <v>340</v>
      </c>
      <c r="K69" s="3" t="s">
        <v>401</v>
      </c>
      <c r="L69" s="28">
        <v>97.799999999999983</v>
      </c>
    </row>
    <row r="70" spans="7:12" x14ac:dyDescent="0.25">
      <c r="G70" s="3" t="s">
        <v>220</v>
      </c>
      <c r="H70" s="3">
        <v>42</v>
      </c>
      <c r="I70" s="3" t="s">
        <v>70</v>
      </c>
      <c r="J70" s="3" t="s">
        <v>73</v>
      </c>
      <c r="K70" s="3" t="s">
        <v>93</v>
      </c>
      <c r="L70" s="28">
        <v>96.8</v>
      </c>
    </row>
    <row r="71" spans="7:12" x14ac:dyDescent="0.25">
      <c r="G71" s="3" t="s">
        <v>221</v>
      </c>
      <c r="H71" s="3">
        <v>25</v>
      </c>
      <c r="I71" s="3" t="s">
        <v>70</v>
      </c>
      <c r="J71" s="3" t="s">
        <v>71</v>
      </c>
      <c r="K71" s="3" t="s">
        <v>356</v>
      </c>
      <c r="L71" s="28">
        <v>98.2</v>
      </c>
    </row>
    <row r="72" spans="7:12" x14ac:dyDescent="0.25">
      <c r="G72" s="3" t="s">
        <v>222</v>
      </c>
      <c r="H72" s="3">
        <v>39</v>
      </c>
      <c r="I72" s="3" t="s">
        <v>70</v>
      </c>
      <c r="J72" s="3" t="s">
        <v>73</v>
      </c>
      <c r="K72" s="3" t="s">
        <v>398</v>
      </c>
      <c r="L72" s="28">
        <v>85.399999999999991</v>
      </c>
    </row>
    <row r="73" spans="7:12" x14ac:dyDescent="0.25">
      <c r="G73" s="3" t="s">
        <v>223</v>
      </c>
      <c r="H73" s="3">
        <v>60</v>
      </c>
      <c r="I73" s="3" t="s">
        <v>70</v>
      </c>
      <c r="J73" s="3" t="s">
        <v>71</v>
      </c>
      <c r="K73" s="3" t="s">
        <v>93</v>
      </c>
      <c r="L73" s="28">
        <v>94.2</v>
      </c>
    </row>
    <row r="74" spans="7:12" x14ac:dyDescent="0.25">
      <c r="G74" s="3" t="s">
        <v>224</v>
      </c>
      <c r="H74" s="3">
        <v>34</v>
      </c>
      <c r="I74" s="3" t="s">
        <v>70</v>
      </c>
      <c r="J74" s="3" t="s">
        <v>73</v>
      </c>
      <c r="K74" s="3" t="s">
        <v>345</v>
      </c>
      <c r="L74" s="28">
        <v>91.4</v>
      </c>
    </row>
    <row r="75" spans="7:12" x14ac:dyDescent="0.25">
      <c r="G75" s="3" t="s">
        <v>225</v>
      </c>
      <c r="H75" s="3">
        <v>44</v>
      </c>
      <c r="I75" s="3" t="s">
        <v>70</v>
      </c>
      <c r="J75" s="3" t="s">
        <v>71</v>
      </c>
      <c r="K75" s="3" t="s">
        <v>398</v>
      </c>
      <c r="L75" s="28">
        <v>97.6</v>
      </c>
    </row>
    <row r="76" spans="7:12" x14ac:dyDescent="0.25">
      <c r="G76" s="3" t="s">
        <v>226</v>
      </c>
      <c r="H76" s="3">
        <v>43</v>
      </c>
      <c r="I76" s="3" t="s">
        <v>70</v>
      </c>
      <c r="J76" s="3" t="s">
        <v>71</v>
      </c>
      <c r="K76" s="3" t="s">
        <v>72</v>
      </c>
      <c r="L76" s="28">
        <v>96.199999999999989</v>
      </c>
    </row>
    <row r="77" spans="7:12" x14ac:dyDescent="0.25">
      <c r="G77" s="3" t="s">
        <v>227</v>
      </c>
      <c r="H77" s="3">
        <v>46</v>
      </c>
      <c r="I77" s="3" t="s">
        <v>70</v>
      </c>
      <c r="J77" s="3" t="s">
        <v>71</v>
      </c>
      <c r="K77" s="3" t="s">
        <v>353</v>
      </c>
      <c r="L77" s="28">
        <v>98.2</v>
      </c>
    </row>
    <row r="78" spans="7:12" x14ac:dyDescent="0.25">
      <c r="G78" s="3" t="s">
        <v>228</v>
      </c>
      <c r="H78" s="3">
        <v>49</v>
      </c>
      <c r="I78" s="3" t="s">
        <v>70</v>
      </c>
      <c r="J78" s="3" t="s">
        <v>73</v>
      </c>
      <c r="K78" s="3" t="s">
        <v>72</v>
      </c>
      <c r="L78" s="28">
        <v>96.8</v>
      </c>
    </row>
    <row r="79" spans="7:12" x14ac:dyDescent="0.25">
      <c r="G79" s="3" t="s">
        <v>229</v>
      </c>
      <c r="H79" s="3">
        <v>51</v>
      </c>
      <c r="I79" s="3" t="s">
        <v>70</v>
      </c>
      <c r="J79" s="3" t="s">
        <v>71</v>
      </c>
      <c r="K79" s="3" t="s">
        <v>362</v>
      </c>
      <c r="L79" s="28">
        <v>96</v>
      </c>
    </row>
    <row r="80" spans="7:12" x14ac:dyDescent="0.25">
      <c r="G80" s="3" t="s">
        <v>230</v>
      </c>
      <c r="H80" s="3">
        <v>52</v>
      </c>
      <c r="I80" s="3" t="s">
        <v>70</v>
      </c>
      <c r="J80" s="3" t="s">
        <v>73</v>
      </c>
      <c r="K80" s="3" t="s">
        <v>345</v>
      </c>
      <c r="L80" s="28">
        <v>95.399999999999991</v>
      </c>
    </row>
    <row r="81" spans="7:12" x14ac:dyDescent="0.25">
      <c r="G81" s="3" t="s">
        <v>231</v>
      </c>
      <c r="H81" s="3">
        <v>27</v>
      </c>
      <c r="I81" s="3" t="s">
        <v>70</v>
      </c>
      <c r="J81" s="3" t="s">
        <v>73</v>
      </c>
      <c r="K81" s="3" t="s">
        <v>104</v>
      </c>
      <c r="L81" s="28">
        <v>98.000000000000014</v>
      </c>
    </row>
    <row r="82" spans="7:12" x14ac:dyDescent="0.25">
      <c r="G82" s="3" t="s">
        <v>232</v>
      </c>
      <c r="H82" s="3">
        <v>42</v>
      </c>
      <c r="I82" s="3" t="s">
        <v>70</v>
      </c>
      <c r="J82" s="3" t="s">
        <v>71</v>
      </c>
      <c r="K82" s="3" t="s">
        <v>350</v>
      </c>
      <c r="L82" s="28">
        <v>97.200000000000017</v>
      </c>
    </row>
    <row r="83" spans="7:12" x14ac:dyDescent="0.25">
      <c r="G83" s="3" t="s">
        <v>233</v>
      </c>
      <c r="H83" s="3">
        <v>42</v>
      </c>
      <c r="I83" s="3" t="s">
        <v>70</v>
      </c>
      <c r="J83" s="3" t="s">
        <v>73</v>
      </c>
      <c r="K83" s="3" t="s">
        <v>93</v>
      </c>
      <c r="L83" s="28">
        <v>76.400000000000006</v>
      </c>
    </row>
    <row r="84" spans="7:12" x14ac:dyDescent="0.25">
      <c r="G84" s="3" t="s">
        <v>234</v>
      </c>
      <c r="H84" s="3">
        <v>49</v>
      </c>
      <c r="I84" s="3" t="s">
        <v>70</v>
      </c>
      <c r="J84" s="3" t="s">
        <v>71</v>
      </c>
      <c r="K84" s="3" t="s">
        <v>83</v>
      </c>
      <c r="L84" s="28">
        <v>95.2</v>
      </c>
    </row>
    <row r="85" spans="7:12" x14ac:dyDescent="0.25">
      <c r="G85" s="3" t="s">
        <v>235</v>
      </c>
      <c r="H85" s="3">
        <v>44</v>
      </c>
      <c r="I85" s="3" t="s">
        <v>70</v>
      </c>
      <c r="J85" s="3" t="s">
        <v>73</v>
      </c>
      <c r="K85" s="3" t="s">
        <v>93</v>
      </c>
      <c r="L85" s="28">
        <v>97.200000000000017</v>
      </c>
    </row>
    <row r="86" spans="7:12" x14ac:dyDescent="0.25">
      <c r="G86" s="3" t="s">
        <v>236</v>
      </c>
      <c r="H86" s="3">
        <v>62</v>
      </c>
      <c r="I86" s="3" t="s">
        <v>70</v>
      </c>
      <c r="J86" s="3" t="s">
        <v>340</v>
      </c>
      <c r="K86" s="3" t="s">
        <v>368</v>
      </c>
      <c r="L86" s="28">
        <v>95</v>
      </c>
    </row>
    <row r="87" spans="7:12" x14ac:dyDescent="0.25">
      <c r="G87" s="3" t="s">
        <v>237</v>
      </c>
      <c r="H87" s="3">
        <v>42</v>
      </c>
      <c r="I87" s="3" t="s">
        <v>70</v>
      </c>
      <c r="J87" s="3" t="s">
        <v>71</v>
      </c>
      <c r="K87" s="3" t="s">
        <v>83</v>
      </c>
      <c r="L87" s="28">
        <v>96.4</v>
      </c>
    </row>
    <row r="88" spans="7:12" x14ac:dyDescent="0.25">
      <c r="G88" s="3" t="s">
        <v>238</v>
      </c>
      <c r="H88" s="3">
        <v>31</v>
      </c>
      <c r="I88" s="3" t="s">
        <v>70</v>
      </c>
      <c r="J88" s="3" t="s">
        <v>71</v>
      </c>
      <c r="K88" s="3" t="s">
        <v>332</v>
      </c>
      <c r="L88" s="28">
        <v>99.4</v>
      </c>
    </row>
    <row r="89" spans="7:12" x14ac:dyDescent="0.25">
      <c r="G89" s="3" t="s">
        <v>239</v>
      </c>
      <c r="H89" s="3">
        <v>29</v>
      </c>
      <c r="I89" s="3" t="s">
        <v>70</v>
      </c>
      <c r="J89" s="3" t="s">
        <v>71</v>
      </c>
      <c r="K89" s="3" t="s">
        <v>104</v>
      </c>
      <c r="L89" s="28">
        <v>95.6</v>
      </c>
    </row>
    <row r="90" spans="7:12" x14ac:dyDescent="0.25">
      <c r="G90" s="3" t="s">
        <v>240</v>
      </c>
      <c r="H90" s="3">
        <v>37</v>
      </c>
      <c r="I90" s="3" t="s">
        <v>70</v>
      </c>
      <c r="J90" s="3" t="s">
        <v>73</v>
      </c>
      <c r="K90" s="3" t="s">
        <v>93</v>
      </c>
      <c r="L90" s="28">
        <v>96.4</v>
      </c>
    </row>
    <row r="91" spans="7:12" x14ac:dyDescent="0.25">
      <c r="G91" s="3" t="s">
        <v>241</v>
      </c>
      <c r="H91" s="3">
        <v>32</v>
      </c>
      <c r="I91" s="3" t="s">
        <v>70</v>
      </c>
      <c r="J91" s="3" t="s">
        <v>71</v>
      </c>
      <c r="K91" s="3" t="s">
        <v>93</v>
      </c>
      <c r="L91" s="28">
        <v>96.8</v>
      </c>
    </row>
    <row r="92" spans="7:12" x14ac:dyDescent="0.25">
      <c r="G92" s="3" t="s">
        <v>242</v>
      </c>
      <c r="H92" s="3">
        <v>56</v>
      </c>
      <c r="I92" s="3" t="s">
        <v>70</v>
      </c>
      <c r="J92" s="3" t="s">
        <v>71</v>
      </c>
      <c r="K92" s="3" t="s">
        <v>93</v>
      </c>
      <c r="L92" s="28">
        <v>97.799999999999983</v>
      </c>
    </row>
    <row r="93" spans="7:12" x14ac:dyDescent="0.25">
      <c r="G93" s="3" t="s">
        <v>243</v>
      </c>
      <c r="H93" s="3">
        <v>58</v>
      </c>
      <c r="I93" s="3" t="s">
        <v>70</v>
      </c>
      <c r="J93" s="3" t="s">
        <v>71</v>
      </c>
      <c r="K93" s="3" t="s">
        <v>93</v>
      </c>
      <c r="L93" s="28">
        <v>96.199999999999989</v>
      </c>
    </row>
    <row r="94" spans="7:12" x14ac:dyDescent="0.25">
      <c r="G94" s="3" t="s">
        <v>244</v>
      </c>
      <c r="H94" s="3">
        <v>36</v>
      </c>
      <c r="I94" s="3" t="s">
        <v>70</v>
      </c>
      <c r="J94" s="3" t="s">
        <v>73</v>
      </c>
      <c r="K94" s="3" t="s">
        <v>93</v>
      </c>
      <c r="L94" s="28">
        <v>96</v>
      </c>
    </row>
    <row r="95" spans="7:12" x14ac:dyDescent="0.25">
      <c r="G95" s="3" t="s">
        <v>248</v>
      </c>
      <c r="H95" s="3">
        <v>68</v>
      </c>
      <c r="I95" s="3" t="s">
        <v>70</v>
      </c>
      <c r="J95" s="3" t="s">
        <v>71</v>
      </c>
      <c r="K95" s="3" t="s">
        <v>365</v>
      </c>
      <c r="L95" s="28">
        <v>86.199999999999989</v>
      </c>
    </row>
    <row r="96" spans="7:12" x14ac:dyDescent="0.25">
      <c r="G96" s="3" t="s">
        <v>245</v>
      </c>
      <c r="H96" s="3">
        <v>41</v>
      </c>
      <c r="I96" s="3" t="s">
        <v>70</v>
      </c>
      <c r="J96" s="3" t="s">
        <v>71</v>
      </c>
      <c r="K96" s="3" t="s">
        <v>72</v>
      </c>
      <c r="L96" s="28">
        <v>96</v>
      </c>
    </row>
    <row r="97" spans="7:12" x14ac:dyDescent="0.25">
      <c r="G97" s="3" t="s">
        <v>246</v>
      </c>
      <c r="H97" s="3">
        <v>52</v>
      </c>
      <c r="I97" s="3" t="s">
        <v>70</v>
      </c>
      <c r="J97" s="3" t="s">
        <v>71</v>
      </c>
      <c r="K97" s="3" t="s">
        <v>72</v>
      </c>
      <c r="L97" s="28">
        <v>94.2</v>
      </c>
    </row>
    <row r="98" spans="7:12" x14ac:dyDescent="0.25">
      <c r="G98" s="3" t="s">
        <v>247</v>
      </c>
      <c r="H98" s="3">
        <v>50</v>
      </c>
      <c r="I98" s="3" t="s">
        <v>70</v>
      </c>
      <c r="J98" s="3" t="s">
        <v>71</v>
      </c>
      <c r="K98" s="3" t="s">
        <v>368</v>
      </c>
      <c r="L98" s="28">
        <v>98.800000000000011</v>
      </c>
    </row>
    <row r="99" spans="7:12" x14ac:dyDescent="0.25">
      <c r="G99" s="3" t="s">
        <v>249</v>
      </c>
      <c r="H99" s="3">
        <v>39</v>
      </c>
      <c r="I99" s="3" t="s">
        <v>70</v>
      </c>
      <c r="J99" s="3" t="s">
        <v>71</v>
      </c>
      <c r="K99" s="3" t="s">
        <v>83</v>
      </c>
      <c r="L99" s="28">
        <v>94.8</v>
      </c>
    </row>
    <row r="100" spans="7:12" x14ac:dyDescent="0.25">
      <c r="G100" s="3" t="s">
        <v>250</v>
      </c>
      <c r="H100" s="3">
        <v>37</v>
      </c>
      <c r="I100" s="3" t="s">
        <v>70</v>
      </c>
      <c r="J100" s="3" t="s">
        <v>340</v>
      </c>
      <c r="K100" s="3" t="s">
        <v>93</v>
      </c>
      <c r="L100" s="28">
        <v>96.199999999999989</v>
      </c>
    </row>
    <row r="101" spans="7:12" x14ac:dyDescent="0.25">
      <c r="G101" s="3" t="s">
        <v>251</v>
      </c>
      <c r="H101" s="3">
        <v>48</v>
      </c>
      <c r="I101" s="3" t="s">
        <v>70</v>
      </c>
      <c r="J101" s="3" t="s">
        <v>73</v>
      </c>
      <c r="K101" s="3" t="s">
        <v>83</v>
      </c>
      <c r="L101" s="28">
        <v>98.6</v>
      </c>
    </row>
    <row r="102" spans="7:12" x14ac:dyDescent="0.25">
      <c r="G102" s="3" t="s">
        <v>252</v>
      </c>
      <c r="H102" s="3">
        <v>51</v>
      </c>
      <c r="I102" s="3" t="s">
        <v>70</v>
      </c>
      <c r="J102" s="3" t="s">
        <v>73</v>
      </c>
      <c r="K102" s="3" t="s">
        <v>104</v>
      </c>
      <c r="L102" s="28">
        <v>97.200000000000017</v>
      </c>
    </row>
    <row r="103" spans="7:12" x14ac:dyDescent="0.25">
      <c r="G103" s="3" t="s">
        <v>253</v>
      </c>
      <c r="H103" s="3">
        <v>48</v>
      </c>
      <c r="I103" s="3" t="s">
        <v>70</v>
      </c>
      <c r="J103" s="3" t="s">
        <v>73</v>
      </c>
      <c r="K103" s="3" t="s">
        <v>83</v>
      </c>
      <c r="L103" s="28">
        <v>97.200000000000017</v>
      </c>
    </row>
    <row r="104" spans="7:12" x14ac:dyDescent="0.25">
      <c r="G104" s="3" t="s">
        <v>254</v>
      </c>
      <c r="H104" s="3">
        <v>48</v>
      </c>
      <c r="I104" s="3" t="s">
        <v>70</v>
      </c>
      <c r="J104" s="3" t="s">
        <v>71</v>
      </c>
      <c r="K104" s="3" t="s">
        <v>93</v>
      </c>
      <c r="L104" s="28">
        <v>96.4</v>
      </c>
    </row>
    <row r="105" spans="7:12" x14ac:dyDescent="0.25">
      <c r="G105" s="3" t="s">
        <v>255</v>
      </c>
      <c r="H105" s="3">
        <v>51</v>
      </c>
      <c r="I105" s="3" t="s">
        <v>70</v>
      </c>
      <c r="J105" s="3" t="s">
        <v>71</v>
      </c>
      <c r="K105" s="3" t="s">
        <v>93</v>
      </c>
      <c r="L105" s="28">
        <v>98.4</v>
      </c>
    </row>
    <row r="106" spans="7:12" x14ac:dyDescent="0.25">
      <c r="G106" s="3" t="s">
        <v>256</v>
      </c>
      <c r="H106" s="3">
        <v>39</v>
      </c>
      <c r="I106" s="3" t="s">
        <v>70</v>
      </c>
      <c r="J106" s="3" t="s">
        <v>73</v>
      </c>
      <c r="K106" s="3" t="s">
        <v>344</v>
      </c>
      <c r="L106" s="28">
        <v>94</v>
      </c>
    </row>
    <row r="107" spans="7:12" x14ac:dyDescent="0.25">
      <c r="G107" s="3" t="s">
        <v>257</v>
      </c>
      <c r="H107" s="3">
        <v>59</v>
      </c>
      <c r="I107" s="3" t="s">
        <v>70</v>
      </c>
      <c r="J107" s="3" t="s">
        <v>71</v>
      </c>
      <c r="K107" s="3" t="s">
        <v>93</v>
      </c>
      <c r="L107" s="28">
        <v>91</v>
      </c>
    </row>
    <row r="108" spans="7:12" x14ac:dyDescent="0.25">
      <c r="G108" s="3" t="s">
        <v>260</v>
      </c>
      <c r="H108" s="3">
        <v>46</v>
      </c>
      <c r="I108" s="3" t="s">
        <v>70</v>
      </c>
      <c r="J108" s="3" t="s">
        <v>73</v>
      </c>
      <c r="K108" s="3" t="s">
        <v>74</v>
      </c>
      <c r="L108" s="28">
        <v>88.4</v>
      </c>
    </row>
    <row r="109" spans="7:12" x14ac:dyDescent="0.25">
      <c r="G109" s="3" t="s">
        <v>261</v>
      </c>
      <c r="H109" s="3">
        <v>45</v>
      </c>
      <c r="I109" s="3" t="s">
        <v>70</v>
      </c>
      <c r="J109" s="3" t="s">
        <v>71</v>
      </c>
      <c r="K109" s="3" t="s">
        <v>83</v>
      </c>
      <c r="L109" s="28">
        <v>98.000000000000014</v>
      </c>
    </row>
    <row r="110" spans="7:12" x14ac:dyDescent="0.25">
      <c r="G110" s="3" t="s">
        <v>262</v>
      </c>
      <c r="H110" s="3">
        <v>40</v>
      </c>
      <c r="I110" s="3" t="s">
        <v>70</v>
      </c>
      <c r="J110" s="3" t="s">
        <v>71</v>
      </c>
      <c r="K110" s="3" t="s">
        <v>93</v>
      </c>
      <c r="L110" s="28">
        <v>94.4</v>
      </c>
    </row>
    <row r="111" spans="7:12" x14ac:dyDescent="0.25">
      <c r="G111" s="3" t="s">
        <v>258</v>
      </c>
      <c r="H111" s="3">
        <v>43</v>
      </c>
      <c r="I111" s="3" t="s">
        <v>70</v>
      </c>
      <c r="J111" s="3" t="s">
        <v>73</v>
      </c>
      <c r="K111" s="3" t="s">
        <v>339</v>
      </c>
      <c r="L111" s="28">
        <v>93.800000000000011</v>
      </c>
    </row>
    <row r="112" spans="7:12" x14ac:dyDescent="0.25">
      <c r="G112" s="3" t="s">
        <v>259</v>
      </c>
      <c r="H112" s="3">
        <v>31</v>
      </c>
      <c r="I112" s="3" t="s">
        <v>70</v>
      </c>
      <c r="J112" s="3" t="s">
        <v>73</v>
      </c>
      <c r="K112" s="3" t="s">
        <v>356</v>
      </c>
      <c r="L112" s="28">
        <v>99.2</v>
      </c>
    </row>
    <row r="113" spans="7:12" x14ac:dyDescent="0.25">
      <c r="G113" s="3" t="s">
        <v>263</v>
      </c>
      <c r="H113" s="3">
        <v>35</v>
      </c>
      <c r="I113" s="3" t="s">
        <v>70</v>
      </c>
      <c r="J113" s="3" t="s">
        <v>73</v>
      </c>
      <c r="K113" s="3" t="s">
        <v>93</v>
      </c>
      <c r="L113" s="28">
        <v>90.6</v>
      </c>
    </row>
    <row r="114" spans="7:12" x14ac:dyDescent="0.25">
      <c r="G114" s="3" t="s">
        <v>264</v>
      </c>
      <c r="H114" s="3">
        <v>64</v>
      </c>
      <c r="I114" s="3" t="s">
        <v>70</v>
      </c>
      <c r="J114" s="3" t="s">
        <v>71</v>
      </c>
      <c r="K114" s="3" t="s">
        <v>368</v>
      </c>
      <c r="L114" s="28">
        <v>97.799999999999983</v>
      </c>
    </row>
    <row r="115" spans="7:12" x14ac:dyDescent="0.25">
      <c r="G115" s="3" t="s">
        <v>265</v>
      </c>
      <c r="H115" s="3">
        <v>30</v>
      </c>
      <c r="I115" s="3" t="s">
        <v>70</v>
      </c>
      <c r="J115" s="3" t="s">
        <v>73</v>
      </c>
      <c r="K115" s="3" t="s">
        <v>93</v>
      </c>
      <c r="L115" s="28">
        <v>98.4</v>
      </c>
    </row>
    <row r="116" spans="7:12" x14ac:dyDescent="0.25">
      <c r="G116" s="3" t="s">
        <v>266</v>
      </c>
      <c r="H116" s="3">
        <v>54</v>
      </c>
      <c r="I116" s="3" t="s">
        <v>70</v>
      </c>
      <c r="J116" s="3" t="s">
        <v>73</v>
      </c>
      <c r="K116" s="3" t="s">
        <v>93</v>
      </c>
      <c r="L116" s="28">
        <v>92.6</v>
      </c>
    </row>
    <row r="117" spans="7:12" x14ac:dyDescent="0.25">
      <c r="G117" s="3" t="s">
        <v>267</v>
      </c>
      <c r="H117" s="3">
        <v>52</v>
      </c>
      <c r="I117" s="3" t="s">
        <v>70</v>
      </c>
      <c r="J117" s="3" t="s">
        <v>71</v>
      </c>
      <c r="K117" s="3" t="s">
        <v>104</v>
      </c>
      <c r="L117" s="28">
        <v>89.4</v>
      </c>
    </row>
    <row r="118" spans="7:12" x14ac:dyDescent="0.25">
      <c r="G118" s="3" t="s">
        <v>268</v>
      </c>
      <c r="H118" s="3">
        <v>39</v>
      </c>
      <c r="I118" s="3" t="s">
        <v>70</v>
      </c>
      <c r="J118" s="3" t="s">
        <v>73</v>
      </c>
      <c r="K118" s="3" t="s">
        <v>339</v>
      </c>
      <c r="L118" s="28">
        <v>98.6</v>
      </c>
    </row>
    <row r="119" spans="7:12" x14ac:dyDescent="0.25">
      <c r="G119" s="3" t="s">
        <v>320</v>
      </c>
      <c r="H119" s="3">
        <v>30</v>
      </c>
      <c r="I119" s="3" t="s">
        <v>70</v>
      </c>
      <c r="J119" s="3" t="s">
        <v>71</v>
      </c>
      <c r="K119" s="3" t="s">
        <v>93</v>
      </c>
      <c r="L119" s="28">
        <v>92.200000000000017</v>
      </c>
    </row>
    <row r="120" spans="7:12" x14ac:dyDescent="0.25">
      <c r="G120" s="3" t="s">
        <v>269</v>
      </c>
      <c r="H120" s="3">
        <v>50</v>
      </c>
      <c r="I120" s="3" t="s">
        <v>70</v>
      </c>
      <c r="J120" s="3" t="s">
        <v>73</v>
      </c>
      <c r="K120" s="3" t="s">
        <v>83</v>
      </c>
      <c r="L120" s="28">
        <v>96</v>
      </c>
    </row>
    <row r="121" spans="7:12" x14ac:dyDescent="0.25">
      <c r="G121" s="3" t="s">
        <v>270</v>
      </c>
      <c r="H121" s="3">
        <v>31</v>
      </c>
      <c r="I121" s="3" t="s">
        <v>70</v>
      </c>
      <c r="J121" s="3" t="s">
        <v>73</v>
      </c>
      <c r="K121" s="3" t="s">
        <v>368</v>
      </c>
      <c r="L121" s="28">
        <v>96.999999999999986</v>
      </c>
    </row>
    <row r="122" spans="7:12" x14ac:dyDescent="0.25">
      <c r="G122" s="3" t="s">
        <v>271</v>
      </c>
      <c r="H122" s="3">
        <v>38</v>
      </c>
      <c r="I122" s="3" t="s">
        <v>70</v>
      </c>
      <c r="J122" s="3" t="s">
        <v>73</v>
      </c>
      <c r="K122" s="3" t="s">
        <v>345</v>
      </c>
      <c r="L122" s="28">
        <v>97.6</v>
      </c>
    </row>
    <row r="123" spans="7:12" x14ac:dyDescent="0.25">
      <c r="G123" s="3" t="s">
        <v>272</v>
      </c>
      <c r="H123" s="3">
        <v>51</v>
      </c>
      <c r="I123" s="3" t="s">
        <v>70</v>
      </c>
      <c r="J123" s="3" t="s">
        <v>73</v>
      </c>
      <c r="K123" s="3" t="s">
        <v>368</v>
      </c>
      <c r="L123" s="28">
        <v>97.4</v>
      </c>
    </row>
    <row r="124" spans="7:12" x14ac:dyDescent="0.25">
      <c r="G124" s="3" t="s">
        <v>273</v>
      </c>
      <c r="H124" s="3">
        <v>38</v>
      </c>
      <c r="I124" s="3" t="s">
        <v>70</v>
      </c>
      <c r="J124" s="3" t="s">
        <v>73</v>
      </c>
      <c r="K124" s="3" t="s">
        <v>398</v>
      </c>
      <c r="L124" s="28">
        <v>96.4</v>
      </c>
    </row>
    <row r="125" spans="7:12" x14ac:dyDescent="0.25">
      <c r="G125" s="3" t="s">
        <v>274</v>
      </c>
      <c r="H125" s="3">
        <v>46</v>
      </c>
      <c r="I125" s="3" t="s">
        <v>70</v>
      </c>
      <c r="J125" s="3" t="s">
        <v>71</v>
      </c>
      <c r="K125" s="3" t="s">
        <v>332</v>
      </c>
      <c r="L125" s="28">
        <v>97.200000000000017</v>
      </c>
    </row>
    <row r="126" spans="7:12" x14ac:dyDescent="0.25">
      <c r="G126" s="3" t="s">
        <v>275</v>
      </c>
      <c r="H126" s="3">
        <v>37</v>
      </c>
      <c r="I126" s="3" t="s">
        <v>70</v>
      </c>
      <c r="J126" s="3" t="s">
        <v>73</v>
      </c>
      <c r="K126" s="3" t="s">
        <v>132</v>
      </c>
      <c r="L126" s="28">
        <v>83.4</v>
      </c>
    </row>
    <row r="127" spans="7:12" x14ac:dyDescent="0.25">
      <c r="G127" s="3" t="s">
        <v>276</v>
      </c>
      <c r="H127" s="3">
        <v>28</v>
      </c>
      <c r="I127" s="3" t="s">
        <v>70</v>
      </c>
      <c r="J127" s="3" t="s">
        <v>73</v>
      </c>
      <c r="K127" s="3" t="s">
        <v>72</v>
      </c>
      <c r="L127" s="28">
        <v>98.2</v>
      </c>
    </row>
    <row r="128" spans="7:12" x14ac:dyDescent="0.25">
      <c r="G128" s="3" t="s">
        <v>277</v>
      </c>
      <c r="H128" s="3">
        <v>48</v>
      </c>
      <c r="I128" s="3" t="s">
        <v>70</v>
      </c>
      <c r="J128" s="3" t="s">
        <v>73</v>
      </c>
      <c r="K128" s="3" t="s">
        <v>332</v>
      </c>
      <c r="L128" s="28">
        <v>96.999999999999986</v>
      </c>
    </row>
    <row r="129" spans="7:12" x14ac:dyDescent="0.25">
      <c r="G129" s="3" t="s">
        <v>278</v>
      </c>
      <c r="H129" s="3">
        <v>31</v>
      </c>
      <c r="I129" s="3" t="s">
        <v>70</v>
      </c>
      <c r="J129" s="3" t="s">
        <v>71</v>
      </c>
      <c r="K129" s="3" t="s">
        <v>356</v>
      </c>
      <c r="L129" s="28">
        <v>91.6</v>
      </c>
    </row>
    <row r="130" spans="7:12" x14ac:dyDescent="0.25">
      <c r="G130" s="3" t="s">
        <v>279</v>
      </c>
      <c r="H130" s="3">
        <v>41</v>
      </c>
      <c r="I130" s="3" t="s">
        <v>70</v>
      </c>
      <c r="J130" s="3" t="s">
        <v>71</v>
      </c>
      <c r="K130" s="3" t="s">
        <v>83</v>
      </c>
      <c r="L130" s="28">
        <v>91.199999999999989</v>
      </c>
    </row>
    <row r="131" spans="7:12" x14ac:dyDescent="0.25">
      <c r="G131" s="3" t="s">
        <v>280</v>
      </c>
      <c r="H131" s="3">
        <v>30</v>
      </c>
      <c r="I131" s="3" t="s">
        <v>70</v>
      </c>
      <c r="J131" s="3" t="s">
        <v>71</v>
      </c>
      <c r="K131" s="3" t="s">
        <v>356</v>
      </c>
      <c r="L131" s="28">
        <v>97.799999999999983</v>
      </c>
    </row>
    <row r="132" spans="7:12" x14ac:dyDescent="0.25">
      <c r="G132" s="3" t="s">
        <v>281</v>
      </c>
      <c r="H132" s="3">
        <v>31</v>
      </c>
      <c r="I132" s="3" t="s">
        <v>70</v>
      </c>
      <c r="J132" s="3" t="s">
        <v>71</v>
      </c>
      <c r="K132" s="3" t="s">
        <v>344</v>
      </c>
      <c r="L132" s="28">
        <v>93.800000000000011</v>
      </c>
    </row>
    <row r="133" spans="7:12" x14ac:dyDescent="0.25">
      <c r="G133" s="3" t="s">
        <v>282</v>
      </c>
      <c r="H133" s="3">
        <v>37</v>
      </c>
      <c r="I133" s="3" t="s">
        <v>70</v>
      </c>
      <c r="J133" s="3" t="s">
        <v>71</v>
      </c>
      <c r="K133" s="3" t="s">
        <v>104</v>
      </c>
      <c r="L133" s="28">
        <v>94.2</v>
      </c>
    </row>
    <row r="134" spans="7:12" x14ac:dyDescent="0.25">
      <c r="G134" s="3" t="s">
        <v>283</v>
      </c>
      <c r="H134" s="3">
        <v>48</v>
      </c>
      <c r="I134" s="3" t="s">
        <v>70</v>
      </c>
      <c r="J134" s="3" t="s">
        <v>71</v>
      </c>
      <c r="K134" s="3" t="s">
        <v>362</v>
      </c>
      <c r="L134" s="28">
        <v>96.4</v>
      </c>
    </row>
    <row r="135" spans="7:12" x14ac:dyDescent="0.25">
      <c r="G135" s="3" t="s">
        <v>284</v>
      </c>
      <c r="H135" s="3">
        <v>58</v>
      </c>
      <c r="I135" s="3" t="s">
        <v>70</v>
      </c>
      <c r="J135" s="3" t="s">
        <v>71</v>
      </c>
      <c r="K135" s="3" t="s">
        <v>93</v>
      </c>
      <c r="L135" s="28">
        <v>96.199999999999989</v>
      </c>
    </row>
    <row r="136" spans="7:12" x14ac:dyDescent="0.25">
      <c r="G136" s="3" t="s">
        <v>285</v>
      </c>
      <c r="H136" s="3">
        <v>67</v>
      </c>
      <c r="I136" s="3" t="s">
        <v>70</v>
      </c>
      <c r="J136" s="3" t="s">
        <v>71</v>
      </c>
      <c r="K136" s="3" t="s">
        <v>93</v>
      </c>
      <c r="L136" s="28">
        <v>95.6</v>
      </c>
    </row>
    <row r="137" spans="7:12" x14ac:dyDescent="0.25">
      <c r="G137" s="3" t="s">
        <v>286</v>
      </c>
      <c r="H137" s="3">
        <v>52</v>
      </c>
      <c r="I137" s="3" t="s">
        <v>70</v>
      </c>
      <c r="J137" s="3" t="s">
        <v>73</v>
      </c>
      <c r="K137" s="3" t="s">
        <v>74</v>
      </c>
      <c r="L137" s="28">
        <v>94.600000000000009</v>
      </c>
    </row>
    <row r="138" spans="7:12" x14ac:dyDescent="0.25">
      <c r="G138" s="3" t="s">
        <v>287</v>
      </c>
      <c r="H138" s="3">
        <v>62</v>
      </c>
      <c r="I138" s="3" t="s">
        <v>70</v>
      </c>
      <c r="J138" s="3" t="s">
        <v>73</v>
      </c>
      <c r="K138" s="3" t="s">
        <v>345</v>
      </c>
      <c r="L138" s="28">
        <v>97.6</v>
      </c>
    </row>
    <row r="139" spans="7:12" x14ac:dyDescent="0.25">
      <c r="G139" s="3" t="s">
        <v>288</v>
      </c>
      <c r="H139" s="3">
        <v>54</v>
      </c>
      <c r="I139" s="3" t="s">
        <v>70</v>
      </c>
      <c r="J139" s="3" t="s">
        <v>71</v>
      </c>
      <c r="K139" s="3" t="s">
        <v>93</v>
      </c>
      <c r="L139" s="28">
        <v>97.4</v>
      </c>
    </row>
    <row r="140" spans="7:12" x14ac:dyDescent="0.25">
      <c r="G140" s="3" t="s">
        <v>289</v>
      </c>
      <c r="H140" s="3">
        <v>30</v>
      </c>
      <c r="I140" s="3" t="s">
        <v>70</v>
      </c>
      <c r="J140" s="3" t="s">
        <v>73</v>
      </c>
      <c r="K140" s="3" t="s">
        <v>365</v>
      </c>
      <c r="L140" s="28">
        <v>91.8</v>
      </c>
    </row>
    <row r="141" spans="7:12" x14ac:dyDescent="0.25">
      <c r="G141" s="3" t="s">
        <v>290</v>
      </c>
      <c r="H141" s="3">
        <v>43</v>
      </c>
      <c r="I141" s="3" t="s">
        <v>70</v>
      </c>
      <c r="J141" s="3" t="s">
        <v>73</v>
      </c>
      <c r="K141" s="3" t="s">
        <v>72</v>
      </c>
      <c r="L141" s="28">
        <v>77.2</v>
      </c>
    </row>
    <row r="142" spans="7:12" x14ac:dyDescent="0.25">
      <c r="G142" s="3" t="s">
        <v>291</v>
      </c>
      <c r="H142" s="3">
        <v>37</v>
      </c>
      <c r="I142" s="3" t="s">
        <v>70</v>
      </c>
      <c r="J142" s="3" t="s">
        <v>73</v>
      </c>
      <c r="K142" s="3" t="s">
        <v>345</v>
      </c>
      <c r="L142" s="28">
        <v>97.4</v>
      </c>
    </row>
    <row r="143" spans="7:12" x14ac:dyDescent="0.25">
      <c r="G143" s="3" t="s">
        <v>292</v>
      </c>
      <c r="H143" s="3">
        <v>47</v>
      </c>
      <c r="I143" s="3" t="s">
        <v>70</v>
      </c>
      <c r="J143" s="3" t="s">
        <v>73</v>
      </c>
      <c r="K143" s="3" t="s">
        <v>345</v>
      </c>
      <c r="L143" s="28">
        <v>87.200000000000017</v>
      </c>
    </row>
    <row r="144" spans="7:12" x14ac:dyDescent="0.25">
      <c r="G144" s="3" t="s">
        <v>293</v>
      </c>
      <c r="H144" s="3">
        <v>42</v>
      </c>
      <c r="I144" s="3" t="s">
        <v>70</v>
      </c>
      <c r="J144" s="3" t="s">
        <v>71</v>
      </c>
      <c r="K144" s="3" t="s">
        <v>398</v>
      </c>
      <c r="L144" s="28">
        <v>91.8</v>
      </c>
    </row>
    <row r="145" spans="7:12" x14ac:dyDescent="0.25">
      <c r="G145" s="3" t="s">
        <v>294</v>
      </c>
      <c r="H145" s="3">
        <v>50</v>
      </c>
      <c r="I145" s="3" t="s">
        <v>70</v>
      </c>
      <c r="J145" s="3" t="s">
        <v>340</v>
      </c>
      <c r="K145" s="3" t="s">
        <v>332</v>
      </c>
      <c r="L145" s="28">
        <v>95</v>
      </c>
    </row>
    <row r="146" spans="7:12" x14ac:dyDescent="0.25">
      <c r="G146" s="3" t="s">
        <v>295</v>
      </c>
      <c r="H146" s="3">
        <v>31</v>
      </c>
      <c r="I146" s="3" t="s">
        <v>70</v>
      </c>
      <c r="J146" s="3" t="s">
        <v>71</v>
      </c>
      <c r="K146" s="3" t="s">
        <v>83</v>
      </c>
      <c r="L146" s="28">
        <v>96.999999999999986</v>
      </c>
    </row>
    <row r="147" spans="7:12" x14ac:dyDescent="0.25">
      <c r="G147" s="3" t="s">
        <v>296</v>
      </c>
      <c r="H147" s="3">
        <v>36</v>
      </c>
      <c r="I147" s="3" t="s">
        <v>70</v>
      </c>
      <c r="J147" s="3" t="s">
        <v>73</v>
      </c>
      <c r="K147" s="3" t="s">
        <v>72</v>
      </c>
      <c r="L147" s="28">
        <v>96</v>
      </c>
    </row>
    <row r="148" spans="7:12" x14ac:dyDescent="0.25">
      <c r="G148" s="3" t="s">
        <v>297</v>
      </c>
      <c r="H148" s="3">
        <v>41</v>
      </c>
      <c r="I148" s="3" t="s">
        <v>70</v>
      </c>
      <c r="J148" s="3" t="s">
        <v>73</v>
      </c>
      <c r="K148" s="3" t="s">
        <v>350</v>
      </c>
      <c r="L148" s="28">
        <v>99.600000000000009</v>
      </c>
    </row>
    <row r="149" spans="7:12" x14ac:dyDescent="0.25">
      <c r="G149" s="3" t="s">
        <v>298</v>
      </c>
      <c r="H149" s="3">
        <v>59</v>
      </c>
      <c r="I149" s="3" t="s">
        <v>70</v>
      </c>
      <c r="J149" s="3" t="s">
        <v>340</v>
      </c>
      <c r="K149" s="3" t="s">
        <v>353</v>
      </c>
      <c r="L149" s="28">
        <v>99.8</v>
      </c>
    </row>
    <row r="150" spans="7:12" x14ac:dyDescent="0.25">
      <c r="G150" s="3" t="s">
        <v>299</v>
      </c>
      <c r="H150" s="3">
        <v>39</v>
      </c>
      <c r="I150" s="3" t="s">
        <v>70</v>
      </c>
      <c r="J150" s="3" t="s">
        <v>71</v>
      </c>
      <c r="K150" s="3" t="s">
        <v>350</v>
      </c>
      <c r="L150" s="28">
        <v>97.799999999999983</v>
      </c>
    </row>
    <row r="151" spans="7:12" x14ac:dyDescent="0.25">
      <c r="G151" s="3" t="s">
        <v>300</v>
      </c>
      <c r="H151" s="3">
        <v>35</v>
      </c>
      <c r="I151" s="3" t="s">
        <v>70</v>
      </c>
      <c r="J151" s="3" t="s">
        <v>340</v>
      </c>
      <c r="K151" s="3" t="s">
        <v>104</v>
      </c>
      <c r="L151" s="28">
        <v>93.2</v>
      </c>
    </row>
    <row r="152" spans="7:12" x14ac:dyDescent="0.25">
      <c r="G152" s="3" t="s">
        <v>301</v>
      </c>
      <c r="H152" s="3">
        <v>58</v>
      </c>
      <c r="I152" s="3" t="s">
        <v>70</v>
      </c>
      <c r="J152" s="3" t="s">
        <v>71</v>
      </c>
      <c r="K152" s="3" t="s">
        <v>93</v>
      </c>
      <c r="L152" s="28">
        <v>94.2</v>
      </c>
    </row>
    <row r="153" spans="7:12" x14ac:dyDescent="0.25">
      <c r="G153" s="3" t="s">
        <v>302</v>
      </c>
      <c r="H153" s="3">
        <v>33</v>
      </c>
      <c r="I153" s="3" t="s">
        <v>70</v>
      </c>
      <c r="J153" s="3" t="s">
        <v>73</v>
      </c>
      <c r="K153" s="3" t="s">
        <v>72</v>
      </c>
      <c r="L153" s="28">
        <v>93.000000000000014</v>
      </c>
    </row>
    <row r="154" spans="7:12" x14ac:dyDescent="0.25">
      <c r="G154" s="3" t="s">
        <v>303</v>
      </c>
      <c r="H154" s="3">
        <v>35</v>
      </c>
      <c r="I154" s="3" t="s">
        <v>70</v>
      </c>
      <c r="J154" s="3" t="s">
        <v>71</v>
      </c>
      <c r="K154" s="3" t="s">
        <v>365</v>
      </c>
      <c r="L154" s="28">
        <v>93.6</v>
      </c>
    </row>
    <row r="155" spans="7:12" x14ac:dyDescent="0.25">
      <c r="G155" s="3" t="s">
        <v>304</v>
      </c>
      <c r="H155" s="3">
        <v>44</v>
      </c>
      <c r="I155" s="3" t="s">
        <v>70</v>
      </c>
      <c r="J155" s="3" t="s">
        <v>73</v>
      </c>
      <c r="K155" s="3" t="s">
        <v>365</v>
      </c>
      <c r="L155" s="28">
        <v>90.399999999999991</v>
      </c>
    </row>
    <row r="156" spans="7:12" x14ac:dyDescent="0.25">
      <c r="G156" s="3" t="s">
        <v>305</v>
      </c>
      <c r="H156" s="3">
        <v>40</v>
      </c>
      <c r="I156" s="3" t="s">
        <v>70</v>
      </c>
      <c r="J156" s="3" t="s">
        <v>340</v>
      </c>
      <c r="K156" s="3" t="s">
        <v>72</v>
      </c>
      <c r="L156" s="28">
        <v>94.4</v>
      </c>
    </row>
    <row r="157" spans="7:12" x14ac:dyDescent="0.25">
      <c r="G157" s="3" t="s">
        <v>306</v>
      </c>
      <c r="H157" s="3">
        <v>50</v>
      </c>
      <c r="I157" s="3" t="s">
        <v>70</v>
      </c>
      <c r="J157" s="3" t="s">
        <v>71</v>
      </c>
      <c r="K157" s="3" t="s">
        <v>344</v>
      </c>
      <c r="L157" s="28">
        <v>98.2</v>
      </c>
    </row>
    <row r="158" spans="7:12" x14ac:dyDescent="0.25">
      <c r="G158" s="3" t="s">
        <v>498</v>
      </c>
      <c r="H158" s="3" t="s">
        <v>498</v>
      </c>
      <c r="I158" s="3" t="s">
        <v>498</v>
      </c>
      <c r="J158" s="3" t="s">
        <v>498</v>
      </c>
      <c r="K158" s="3" t="s">
        <v>498</v>
      </c>
      <c r="L158" s="38"/>
    </row>
    <row r="159" spans="7:12" x14ac:dyDescent="0.25">
      <c r="G159" s="9" t="s">
        <v>44</v>
      </c>
      <c r="H159" s="33"/>
      <c r="I159" s="33"/>
      <c r="J159" s="33"/>
      <c r="K159" s="33"/>
      <c r="L159" s="30">
        <v>94.264935064935074</v>
      </c>
    </row>
  </sheetData>
  <conditionalFormatting pivot="1" sqref="L4:L157">
    <cfRule type="cellIs" dxfId="46" priority="1" operator="lessThan">
      <formula>85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40EC0-F018-420C-8DFB-6C50BF8D46A2}">
  <dimension ref="A1:O44"/>
  <sheetViews>
    <sheetView topLeftCell="C1" zoomScale="70" zoomScaleNormal="70" workbookViewId="0">
      <selection activeCell="F10" sqref="F10"/>
    </sheetView>
  </sheetViews>
  <sheetFormatPr baseColWidth="10" defaultRowHeight="15" x14ac:dyDescent="0.25"/>
  <cols>
    <col min="1" max="1" width="28.140625" style="20" customWidth="1"/>
    <col min="2" max="2" width="42.5703125" customWidth="1"/>
    <col min="3" max="3" width="13.42578125" customWidth="1"/>
    <col min="4" max="4" width="8.42578125" bestFit="1" customWidth="1"/>
    <col min="5" max="9" width="24.85546875" customWidth="1"/>
    <col min="10" max="10" width="12.5703125" customWidth="1"/>
    <col min="12" max="12" width="16.85546875" customWidth="1"/>
    <col min="13" max="13" width="11.28515625" customWidth="1"/>
    <col min="15" max="15" width="17.5703125" customWidth="1"/>
  </cols>
  <sheetData>
    <row r="1" spans="1:15" ht="15.75" thickBot="1" x14ac:dyDescent="0.3"/>
    <row r="2" spans="1:15" ht="15.75" thickBot="1" x14ac:dyDescent="0.3">
      <c r="A2" s="21" t="s">
        <v>140</v>
      </c>
      <c r="B2" s="11" t="s">
        <v>0</v>
      </c>
      <c r="C2" s="11" t="s">
        <v>52</v>
      </c>
      <c r="D2" s="11" t="s">
        <v>51</v>
      </c>
      <c r="E2" s="11" t="s">
        <v>53</v>
      </c>
      <c r="F2" s="11" t="s">
        <v>54</v>
      </c>
      <c r="G2" s="11" t="s">
        <v>55</v>
      </c>
      <c r="H2" s="11" t="s">
        <v>56</v>
      </c>
      <c r="I2" s="11" t="s">
        <v>57</v>
      </c>
      <c r="J2" s="12" t="s">
        <v>1</v>
      </c>
      <c r="K2" s="12" t="s">
        <v>2</v>
      </c>
      <c r="L2" s="12" t="s">
        <v>3</v>
      </c>
      <c r="M2" s="12" t="s">
        <v>4</v>
      </c>
      <c r="N2" s="13" t="s">
        <v>5</v>
      </c>
      <c r="O2" s="14" t="s">
        <v>49</v>
      </c>
    </row>
    <row r="3" spans="1:15" ht="30" x14ac:dyDescent="0.25">
      <c r="A3" s="20">
        <v>202301</v>
      </c>
      <c r="B3" s="15" t="s">
        <v>6</v>
      </c>
      <c r="C3" s="15">
        <v>852067545</v>
      </c>
      <c r="D3" s="15">
        <v>41</v>
      </c>
      <c r="E3" s="18" t="s">
        <v>78</v>
      </c>
      <c r="F3" t="s">
        <v>75</v>
      </c>
      <c r="G3" t="s">
        <v>76</v>
      </c>
      <c r="H3" t="s">
        <v>89</v>
      </c>
      <c r="I3" t="s">
        <v>71</v>
      </c>
      <c r="J3" s="1">
        <v>0</v>
      </c>
      <c r="K3" s="1">
        <v>1</v>
      </c>
      <c r="L3" s="1">
        <v>0.94</v>
      </c>
      <c r="M3" s="1">
        <v>0.97</v>
      </c>
      <c r="N3" s="2">
        <v>2.91</v>
      </c>
      <c r="O3">
        <v>58.2</v>
      </c>
    </row>
    <row r="4" spans="1:15" ht="30" x14ac:dyDescent="0.25">
      <c r="A4" s="20">
        <v>202301</v>
      </c>
      <c r="B4" s="15" t="s">
        <v>58</v>
      </c>
      <c r="C4" s="17" t="s">
        <v>96</v>
      </c>
      <c r="D4" s="15">
        <v>42</v>
      </c>
      <c r="E4" s="18" t="s">
        <v>83</v>
      </c>
      <c r="F4" s="15" t="s">
        <v>75</v>
      </c>
      <c r="G4" s="15" t="s">
        <v>76</v>
      </c>
      <c r="H4" s="15" t="s">
        <v>70</v>
      </c>
      <c r="I4" s="15" t="s">
        <v>73</v>
      </c>
      <c r="J4" s="1">
        <v>1.85</v>
      </c>
      <c r="K4" s="1">
        <v>0</v>
      </c>
      <c r="L4" s="1">
        <v>1</v>
      </c>
      <c r="M4" s="1">
        <v>1</v>
      </c>
      <c r="N4" s="2">
        <v>3.85</v>
      </c>
      <c r="O4">
        <v>77</v>
      </c>
    </row>
    <row r="5" spans="1:15" ht="30" x14ac:dyDescent="0.25">
      <c r="A5" s="20">
        <v>202301</v>
      </c>
      <c r="B5" s="15" t="s">
        <v>7</v>
      </c>
      <c r="C5" s="15" t="s">
        <v>99</v>
      </c>
      <c r="D5" s="15">
        <v>45</v>
      </c>
      <c r="E5" s="18" t="s">
        <v>78</v>
      </c>
      <c r="F5" s="15" t="s">
        <v>79</v>
      </c>
      <c r="G5" s="15" t="s">
        <v>76</v>
      </c>
      <c r="H5" s="15" t="s">
        <v>89</v>
      </c>
      <c r="I5" s="15" t="s">
        <v>73</v>
      </c>
      <c r="J5" s="1">
        <v>1.5</v>
      </c>
      <c r="K5" s="1">
        <v>1</v>
      </c>
      <c r="L5" s="1">
        <v>0.67</v>
      </c>
      <c r="M5" s="1">
        <v>0.97</v>
      </c>
      <c r="N5" s="2">
        <v>4.1399999999999997</v>
      </c>
      <c r="O5">
        <v>82.799999999999983</v>
      </c>
    </row>
    <row r="6" spans="1:15" x14ac:dyDescent="0.25">
      <c r="A6" s="20">
        <v>202301</v>
      </c>
      <c r="B6" s="15" t="s">
        <v>62</v>
      </c>
      <c r="C6" s="19" t="s">
        <v>95</v>
      </c>
      <c r="D6" s="15">
        <v>45</v>
      </c>
      <c r="E6" s="18" t="s">
        <v>93</v>
      </c>
      <c r="F6" s="15" t="s">
        <v>82</v>
      </c>
      <c r="G6" s="15" t="s">
        <v>69</v>
      </c>
      <c r="H6" s="15" t="s">
        <v>70</v>
      </c>
      <c r="I6" s="15" t="s">
        <v>73</v>
      </c>
      <c r="J6" s="1">
        <v>1.92</v>
      </c>
      <c r="K6" s="1">
        <v>0</v>
      </c>
      <c r="L6" s="1">
        <v>0.89</v>
      </c>
      <c r="M6" s="1">
        <v>1</v>
      </c>
      <c r="N6" s="2">
        <v>3.81</v>
      </c>
      <c r="O6">
        <v>76.2</v>
      </c>
    </row>
    <row r="7" spans="1:15" ht="60" x14ac:dyDescent="0.25">
      <c r="A7" s="20">
        <v>202301</v>
      </c>
      <c r="B7" s="15" t="s">
        <v>8</v>
      </c>
      <c r="C7" s="15" t="s">
        <v>100</v>
      </c>
      <c r="D7" s="15">
        <v>37</v>
      </c>
      <c r="E7" s="18" t="s">
        <v>86</v>
      </c>
      <c r="F7" s="15" t="s">
        <v>75</v>
      </c>
      <c r="G7" s="15" t="s">
        <v>69</v>
      </c>
      <c r="H7" s="15" t="s">
        <v>139</v>
      </c>
      <c r="I7" s="15" t="s">
        <v>73</v>
      </c>
      <c r="J7" s="1">
        <v>2</v>
      </c>
      <c r="K7" s="1">
        <v>0</v>
      </c>
      <c r="L7" s="1">
        <v>1</v>
      </c>
      <c r="M7" s="1">
        <v>1</v>
      </c>
      <c r="N7" s="2">
        <v>4</v>
      </c>
      <c r="O7">
        <v>80</v>
      </c>
    </row>
    <row r="8" spans="1:15" ht="45" x14ac:dyDescent="0.25">
      <c r="A8" s="20">
        <v>202301</v>
      </c>
      <c r="B8" s="15" t="s">
        <v>9</v>
      </c>
      <c r="C8" s="15" t="s">
        <v>101</v>
      </c>
      <c r="D8" s="15">
        <v>40</v>
      </c>
      <c r="E8" s="18" t="s">
        <v>102</v>
      </c>
      <c r="F8" s="15" t="s">
        <v>87</v>
      </c>
      <c r="G8" s="15" t="s">
        <v>69</v>
      </c>
      <c r="H8" s="15" t="s">
        <v>70</v>
      </c>
      <c r="I8" s="15" t="s">
        <v>73</v>
      </c>
      <c r="J8" s="1">
        <v>1.92</v>
      </c>
      <c r="K8" s="1">
        <v>0</v>
      </c>
      <c r="L8" s="1">
        <v>0.79</v>
      </c>
      <c r="M8" s="1">
        <v>1</v>
      </c>
      <c r="N8" s="2">
        <v>3.71</v>
      </c>
      <c r="O8">
        <v>74.2</v>
      </c>
    </row>
    <row r="9" spans="1:15" x14ac:dyDescent="0.25">
      <c r="A9" s="20">
        <v>202301</v>
      </c>
      <c r="B9" s="15" t="s">
        <v>10</v>
      </c>
      <c r="C9" s="15" t="s">
        <v>103</v>
      </c>
      <c r="D9" s="15">
        <v>53</v>
      </c>
      <c r="E9" s="18" t="s">
        <v>104</v>
      </c>
      <c r="F9" s="15" t="s">
        <v>94</v>
      </c>
      <c r="G9" s="15" t="s">
        <v>69</v>
      </c>
      <c r="H9" s="15" t="s">
        <v>70</v>
      </c>
      <c r="I9" s="15" t="s">
        <v>73</v>
      </c>
      <c r="J9" s="1">
        <v>0</v>
      </c>
      <c r="K9" s="1">
        <v>1</v>
      </c>
      <c r="L9" s="1">
        <v>0.86</v>
      </c>
      <c r="M9" s="1">
        <v>0.95</v>
      </c>
      <c r="N9" s="2">
        <v>2.81</v>
      </c>
      <c r="O9">
        <v>56.2</v>
      </c>
    </row>
    <row r="10" spans="1:15" ht="30" x14ac:dyDescent="0.25">
      <c r="A10" s="20">
        <v>202301</v>
      </c>
      <c r="B10" s="15" t="s">
        <v>11</v>
      </c>
      <c r="C10" s="15" t="s">
        <v>63</v>
      </c>
      <c r="D10" s="15">
        <v>33</v>
      </c>
      <c r="E10" s="18" t="s">
        <v>74</v>
      </c>
      <c r="F10" s="15" t="s">
        <v>75</v>
      </c>
      <c r="G10" s="15" t="s">
        <v>76</v>
      </c>
      <c r="H10" s="15" t="s">
        <v>70</v>
      </c>
      <c r="I10" s="15" t="s">
        <v>73</v>
      </c>
      <c r="J10" s="1">
        <v>1.94</v>
      </c>
      <c r="K10" s="1">
        <v>0</v>
      </c>
      <c r="L10" s="1">
        <v>1</v>
      </c>
      <c r="M10" s="1">
        <v>1</v>
      </c>
      <c r="N10" s="2">
        <v>3.94</v>
      </c>
      <c r="O10">
        <v>78.8</v>
      </c>
    </row>
    <row r="11" spans="1:15" ht="22.5" customHeight="1" x14ac:dyDescent="0.25">
      <c r="A11" s="20">
        <v>202301</v>
      </c>
      <c r="B11" s="15" t="s">
        <v>12</v>
      </c>
      <c r="C11" s="15" t="s">
        <v>77</v>
      </c>
      <c r="D11" s="15">
        <v>66</v>
      </c>
      <c r="E11" s="18" t="s">
        <v>78</v>
      </c>
      <c r="F11" s="15" t="s">
        <v>79</v>
      </c>
      <c r="G11" s="15" t="s">
        <v>76</v>
      </c>
      <c r="H11" s="15" t="s">
        <v>70</v>
      </c>
      <c r="I11" s="15" t="s">
        <v>73</v>
      </c>
      <c r="J11" s="1">
        <v>0</v>
      </c>
      <c r="K11" s="1">
        <v>1</v>
      </c>
      <c r="L11" s="1">
        <v>0.79</v>
      </c>
      <c r="M11" s="1">
        <v>0.91</v>
      </c>
      <c r="N11" s="2">
        <v>2.7</v>
      </c>
      <c r="O11">
        <v>54</v>
      </c>
    </row>
    <row r="12" spans="1:15" x14ac:dyDescent="0.25">
      <c r="A12" s="20">
        <v>202301</v>
      </c>
      <c r="B12" s="15" t="s">
        <v>13</v>
      </c>
      <c r="C12" s="15" t="s">
        <v>105</v>
      </c>
      <c r="D12" s="15">
        <v>44</v>
      </c>
      <c r="E12" s="18" t="s">
        <v>138</v>
      </c>
      <c r="F12" s="15" t="s">
        <v>75</v>
      </c>
      <c r="G12" s="15" t="s">
        <v>76</v>
      </c>
      <c r="H12" s="15" t="s">
        <v>70</v>
      </c>
      <c r="I12" s="15" t="s">
        <v>71</v>
      </c>
      <c r="J12" s="1">
        <v>0</v>
      </c>
      <c r="K12" s="1">
        <v>0</v>
      </c>
      <c r="L12" s="1">
        <v>0.97</v>
      </c>
      <c r="M12" s="1">
        <v>1</v>
      </c>
      <c r="N12" s="2">
        <v>1.97</v>
      </c>
      <c r="O12">
        <v>39.4</v>
      </c>
    </row>
    <row r="13" spans="1:15" ht="30" x14ac:dyDescent="0.25">
      <c r="A13" s="20">
        <v>202301</v>
      </c>
      <c r="B13" s="15" t="s">
        <v>14</v>
      </c>
      <c r="C13" s="15" t="s">
        <v>106</v>
      </c>
      <c r="D13" s="15">
        <v>31</v>
      </c>
      <c r="E13" s="18" t="s">
        <v>78</v>
      </c>
      <c r="F13" s="15" t="s">
        <v>79</v>
      </c>
      <c r="G13" s="15" t="s">
        <v>76</v>
      </c>
      <c r="H13" s="15" t="s">
        <v>89</v>
      </c>
      <c r="I13" s="15" t="s">
        <v>73</v>
      </c>
      <c r="J13" s="1">
        <v>1.59</v>
      </c>
      <c r="K13" s="1">
        <v>0</v>
      </c>
      <c r="L13" s="1">
        <v>0.84</v>
      </c>
      <c r="M13" s="1">
        <v>1</v>
      </c>
      <c r="N13" s="2">
        <v>3.43</v>
      </c>
      <c r="O13">
        <v>68.599999999999994</v>
      </c>
    </row>
    <row r="14" spans="1:15" ht="45" x14ac:dyDescent="0.25">
      <c r="A14" s="20">
        <v>202301</v>
      </c>
      <c r="B14" s="15" t="s">
        <v>15</v>
      </c>
      <c r="C14" s="15" t="s">
        <v>64</v>
      </c>
      <c r="D14" s="15">
        <v>44</v>
      </c>
      <c r="E14" s="18" t="s">
        <v>85</v>
      </c>
      <c r="F14" s="15" t="s">
        <v>75</v>
      </c>
      <c r="G14" s="15" t="s">
        <v>69</v>
      </c>
      <c r="H14" s="15" t="s">
        <v>70</v>
      </c>
      <c r="I14" s="15" t="s">
        <v>73</v>
      </c>
      <c r="J14" s="1">
        <v>2</v>
      </c>
      <c r="K14" s="1">
        <v>0</v>
      </c>
      <c r="L14" s="1">
        <v>1</v>
      </c>
      <c r="M14" s="1">
        <v>1</v>
      </c>
      <c r="N14" s="2">
        <v>4</v>
      </c>
      <c r="O14">
        <v>80</v>
      </c>
    </row>
    <row r="15" spans="1:15" ht="60" x14ac:dyDescent="0.25">
      <c r="A15" s="20">
        <v>202301</v>
      </c>
      <c r="B15" s="15" t="s">
        <v>59</v>
      </c>
      <c r="C15" s="16">
        <v>1103694434</v>
      </c>
      <c r="D15" s="15">
        <v>41</v>
      </c>
      <c r="E15" s="18" t="s">
        <v>86</v>
      </c>
      <c r="F15" s="15" t="s">
        <v>87</v>
      </c>
      <c r="G15" s="15" t="s">
        <v>69</v>
      </c>
      <c r="H15" s="15" t="s">
        <v>139</v>
      </c>
      <c r="I15" s="15" t="s">
        <v>73</v>
      </c>
      <c r="J15" s="1">
        <v>2</v>
      </c>
      <c r="K15" s="1">
        <v>0</v>
      </c>
      <c r="L15" s="1">
        <v>0.95</v>
      </c>
      <c r="M15" s="1">
        <v>1</v>
      </c>
      <c r="N15" s="2">
        <v>3.95</v>
      </c>
      <c r="O15">
        <v>79</v>
      </c>
    </row>
    <row r="16" spans="1:15" ht="30" x14ac:dyDescent="0.25">
      <c r="A16" s="20">
        <v>202301</v>
      </c>
      <c r="B16" s="15" t="s">
        <v>16</v>
      </c>
      <c r="C16" s="15" t="s">
        <v>107</v>
      </c>
      <c r="D16" s="15">
        <v>45</v>
      </c>
      <c r="E16" s="18" t="s">
        <v>108</v>
      </c>
      <c r="F16" s="15" t="s">
        <v>87</v>
      </c>
      <c r="G16" s="15" t="s">
        <v>69</v>
      </c>
      <c r="H16" s="15" t="s">
        <v>70</v>
      </c>
      <c r="I16" s="15" t="s">
        <v>73</v>
      </c>
      <c r="J16" s="1">
        <v>1.75</v>
      </c>
      <c r="K16" s="1">
        <v>0</v>
      </c>
      <c r="L16" s="1">
        <v>1</v>
      </c>
      <c r="M16" s="1">
        <v>1</v>
      </c>
      <c r="N16" s="2">
        <v>3.75</v>
      </c>
      <c r="O16">
        <v>75</v>
      </c>
    </row>
    <row r="17" spans="1:15" ht="60" x14ac:dyDescent="0.25">
      <c r="A17" s="20">
        <v>202301</v>
      </c>
      <c r="B17" s="15" t="s">
        <v>17</v>
      </c>
      <c r="C17" s="15" t="s">
        <v>65</v>
      </c>
      <c r="D17" s="15">
        <v>35</v>
      </c>
      <c r="E17" s="18" t="s">
        <v>86</v>
      </c>
      <c r="F17" s="15" t="s">
        <v>75</v>
      </c>
      <c r="G17" s="15" t="s">
        <v>69</v>
      </c>
      <c r="H17" s="15" t="s">
        <v>70</v>
      </c>
      <c r="I17" s="15" t="s">
        <v>73</v>
      </c>
      <c r="J17" s="1">
        <v>2</v>
      </c>
      <c r="K17" s="1">
        <v>0</v>
      </c>
      <c r="L17" s="1">
        <v>1</v>
      </c>
      <c r="M17" s="1">
        <v>1</v>
      </c>
      <c r="N17" s="2">
        <v>4</v>
      </c>
      <c r="O17">
        <v>80</v>
      </c>
    </row>
    <row r="18" spans="1:15" ht="30" x14ac:dyDescent="0.25">
      <c r="A18" s="20">
        <v>202301</v>
      </c>
      <c r="B18" s="15" t="s">
        <v>18</v>
      </c>
      <c r="C18" s="15" t="s">
        <v>109</v>
      </c>
      <c r="D18" s="15">
        <v>39</v>
      </c>
      <c r="E18" s="16" t="s">
        <v>88</v>
      </c>
      <c r="F18" s="15" t="s">
        <v>80</v>
      </c>
      <c r="G18" s="15" t="s">
        <v>69</v>
      </c>
      <c r="H18" s="15" t="s">
        <v>139</v>
      </c>
      <c r="I18" s="15" t="s">
        <v>73</v>
      </c>
      <c r="J18" s="1">
        <v>1.97</v>
      </c>
      <c r="K18" s="1">
        <v>0</v>
      </c>
      <c r="L18" s="1">
        <v>1</v>
      </c>
      <c r="M18" s="1">
        <v>1</v>
      </c>
      <c r="N18" s="2">
        <v>3.97</v>
      </c>
      <c r="O18">
        <v>79.400000000000006</v>
      </c>
    </row>
    <row r="19" spans="1:15" x14ac:dyDescent="0.25">
      <c r="A19" s="20">
        <v>202301</v>
      </c>
      <c r="B19" s="15" t="s">
        <v>19</v>
      </c>
      <c r="C19" s="15" t="s">
        <v>110</v>
      </c>
      <c r="D19" s="15">
        <v>42</v>
      </c>
      <c r="E19" s="18"/>
      <c r="F19" s="15" t="s">
        <v>84</v>
      </c>
      <c r="G19" s="15" t="s">
        <v>69</v>
      </c>
      <c r="H19" s="15" t="s">
        <v>139</v>
      </c>
      <c r="I19" s="15" t="s">
        <v>73</v>
      </c>
      <c r="J19" s="1">
        <v>2</v>
      </c>
      <c r="K19" s="1">
        <v>0</v>
      </c>
      <c r="L19" s="1">
        <v>1</v>
      </c>
      <c r="M19" s="1">
        <v>1</v>
      </c>
      <c r="N19" s="2">
        <v>4</v>
      </c>
      <c r="O19">
        <v>80</v>
      </c>
    </row>
    <row r="20" spans="1:15" ht="45" x14ac:dyDescent="0.25">
      <c r="A20" s="20">
        <v>202301</v>
      </c>
      <c r="B20" s="15" t="s">
        <v>20</v>
      </c>
      <c r="C20" s="15" t="s">
        <v>111</v>
      </c>
      <c r="D20" s="15">
        <v>61</v>
      </c>
      <c r="E20" s="18" t="s">
        <v>112</v>
      </c>
      <c r="F20" s="15" t="s">
        <v>87</v>
      </c>
      <c r="G20" s="15" t="s">
        <v>69</v>
      </c>
      <c r="H20" s="15" t="s">
        <v>70</v>
      </c>
      <c r="I20" s="15" t="s">
        <v>73</v>
      </c>
      <c r="J20" s="1">
        <v>1.88</v>
      </c>
      <c r="K20" s="1">
        <v>0</v>
      </c>
      <c r="L20" s="1">
        <v>1</v>
      </c>
      <c r="M20" s="1">
        <v>1</v>
      </c>
      <c r="N20" s="2">
        <v>3.88</v>
      </c>
      <c r="O20">
        <v>77.599999999999994</v>
      </c>
    </row>
    <row r="21" spans="1:15" ht="30" x14ac:dyDescent="0.25">
      <c r="A21" s="20">
        <v>202301</v>
      </c>
      <c r="B21" s="15" t="s">
        <v>21</v>
      </c>
      <c r="C21" s="15" t="s">
        <v>113</v>
      </c>
      <c r="D21" s="15">
        <v>32</v>
      </c>
      <c r="E21" s="18" t="s">
        <v>72</v>
      </c>
      <c r="F21" s="15" t="s">
        <v>114</v>
      </c>
      <c r="G21" s="15" t="s">
        <v>69</v>
      </c>
      <c r="H21" s="15" t="s">
        <v>70</v>
      </c>
      <c r="I21" s="15" t="s">
        <v>71</v>
      </c>
      <c r="J21" s="1">
        <v>1.78</v>
      </c>
      <c r="K21" s="1">
        <v>0</v>
      </c>
      <c r="L21" s="1">
        <v>0.93</v>
      </c>
      <c r="M21" s="1">
        <v>1</v>
      </c>
      <c r="N21" s="2">
        <v>3.71</v>
      </c>
      <c r="O21">
        <v>74.2</v>
      </c>
    </row>
    <row r="22" spans="1:15" ht="30" x14ac:dyDescent="0.25">
      <c r="A22" s="20">
        <v>202301</v>
      </c>
      <c r="B22" s="15" t="s">
        <v>61</v>
      </c>
      <c r="C22" s="17" t="s">
        <v>97</v>
      </c>
      <c r="D22" s="15">
        <v>29</v>
      </c>
      <c r="E22" s="18" t="s">
        <v>78</v>
      </c>
      <c r="F22" s="15" t="s">
        <v>98</v>
      </c>
      <c r="G22" s="15" t="s">
        <v>76</v>
      </c>
      <c r="H22" s="15" t="s">
        <v>70</v>
      </c>
      <c r="I22" s="15" t="s">
        <v>73</v>
      </c>
      <c r="J22" s="1">
        <v>0</v>
      </c>
      <c r="K22" s="1">
        <v>1</v>
      </c>
      <c r="L22" s="1">
        <v>1</v>
      </c>
      <c r="M22" s="1">
        <v>0.6</v>
      </c>
      <c r="N22" s="2">
        <v>2.6</v>
      </c>
      <c r="O22">
        <v>52</v>
      </c>
    </row>
    <row r="23" spans="1:15" ht="30" x14ac:dyDescent="0.25">
      <c r="A23" s="20">
        <v>202301</v>
      </c>
      <c r="B23" s="15" t="s">
        <v>22</v>
      </c>
      <c r="C23" s="15" t="s">
        <v>115</v>
      </c>
      <c r="D23" s="15">
        <v>28</v>
      </c>
      <c r="E23" s="18" t="s">
        <v>78</v>
      </c>
      <c r="F23" s="15" t="s">
        <v>79</v>
      </c>
      <c r="G23" s="15" t="s">
        <v>69</v>
      </c>
      <c r="H23" s="15" t="s">
        <v>89</v>
      </c>
      <c r="I23" s="15" t="s">
        <v>73</v>
      </c>
      <c r="J23" s="1">
        <v>1.83</v>
      </c>
      <c r="K23" s="1">
        <v>1</v>
      </c>
      <c r="L23" s="1">
        <v>0.59</v>
      </c>
      <c r="M23" s="1">
        <v>0.82</v>
      </c>
      <c r="N23" s="2">
        <v>4.24</v>
      </c>
      <c r="O23">
        <v>84.8</v>
      </c>
    </row>
    <row r="24" spans="1:15" ht="30" x14ac:dyDescent="0.25">
      <c r="A24" s="20">
        <v>202301</v>
      </c>
      <c r="B24" s="15" t="s">
        <v>23</v>
      </c>
      <c r="C24" s="15" t="s">
        <v>116</v>
      </c>
      <c r="D24" s="15">
        <v>44</v>
      </c>
      <c r="E24" s="18" t="s">
        <v>117</v>
      </c>
      <c r="F24" s="15" t="s">
        <v>87</v>
      </c>
      <c r="G24" s="15" t="s">
        <v>76</v>
      </c>
      <c r="H24" s="15" t="s">
        <v>70</v>
      </c>
      <c r="I24" s="15" t="s">
        <v>73</v>
      </c>
      <c r="J24" s="1">
        <v>1.82</v>
      </c>
      <c r="K24" s="1">
        <v>0</v>
      </c>
      <c r="L24" s="1">
        <v>1</v>
      </c>
      <c r="M24" s="1">
        <v>1</v>
      </c>
      <c r="N24" s="2">
        <v>3.82</v>
      </c>
      <c r="O24">
        <v>76.400000000000006</v>
      </c>
    </row>
    <row r="25" spans="1:15" ht="30" x14ac:dyDescent="0.25">
      <c r="A25" s="20">
        <v>202301</v>
      </c>
      <c r="B25" s="15" t="s">
        <v>24</v>
      </c>
      <c r="C25" s="15" t="s">
        <v>118</v>
      </c>
      <c r="D25" s="15">
        <v>39</v>
      </c>
      <c r="E25" s="18" t="s">
        <v>72</v>
      </c>
      <c r="F25" s="15" t="s">
        <v>119</v>
      </c>
      <c r="G25" s="15" t="s">
        <v>69</v>
      </c>
      <c r="H25" s="15" t="s">
        <v>70</v>
      </c>
      <c r="I25" s="15" t="s">
        <v>71</v>
      </c>
      <c r="J25" s="1">
        <v>0</v>
      </c>
      <c r="K25" s="1">
        <v>0</v>
      </c>
      <c r="L25" s="1">
        <v>1</v>
      </c>
      <c r="M25" s="1">
        <v>1</v>
      </c>
      <c r="N25" s="2">
        <v>2</v>
      </c>
      <c r="O25">
        <v>40</v>
      </c>
    </row>
    <row r="26" spans="1:15" ht="60" x14ac:dyDescent="0.25">
      <c r="A26" s="20">
        <v>202301</v>
      </c>
      <c r="B26" s="15" t="s">
        <v>25</v>
      </c>
      <c r="C26" s="15" t="s">
        <v>120</v>
      </c>
      <c r="D26" s="15">
        <v>41</v>
      </c>
      <c r="E26" s="18" t="s">
        <v>86</v>
      </c>
      <c r="F26" s="15" t="s">
        <v>121</v>
      </c>
      <c r="G26" s="15" t="s">
        <v>69</v>
      </c>
      <c r="H26" s="15" t="s">
        <v>70</v>
      </c>
      <c r="I26" s="15" t="s">
        <v>73</v>
      </c>
      <c r="J26" s="1">
        <v>1.88</v>
      </c>
      <c r="K26" s="1">
        <v>0</v>
      </c>
      <c r="L26" s="1">
        <v>0.97</v>
      </c>
      <c r="M26" s="1">
        <v>1</v>
      </c>
      <c r="N26" s="2">
        <v>3.85</v>
      </c>
      <c r="O26">
        <v>77</v>
      </c>
    </row>
    <row r="27" spans="1:15" ht="30" x14ac:dyDescent="0.25">
      <c r="A27" s="20">
        <v>202301</v>
      </c>
      <c r="B27" s="15" t="s">
        <v>26</v>
      </c>
      <c r="C27" s="15" t="s">
        <v>122</v>
      </c>
      <c r="D27" s="15">
        <v>44</v>
      </c>
      <c r="E27" s="18" t="s">
        <v>108</v>
      </c>
      <c r="F27" s="15" t="s">
        <v>75</v>
      </c>
      <c r="G27" s="15" t="s">
        <v>69</v>
      </c>
      <c r="H27" s="15" t="s">
        <v>70</v>
      </c>
      <c r="I27" s="15" t="s">
        <v>73</v>
      </c>
      <c r="J27" s="1">
        <v>1.92</v>
      </c>
      <c r="K27" s="1">
        <v>0</v>
      </c>
      <c r="L27" s="1">
        <v>1</v>
      </c>
      <c r="M27" s="1">
        <v>1</v>
      </c>
      <c r="N27" s="2">
        <v>3.92</v>
      </c>
      <c r="O27">
        <v>78.400000000000006</v>
      </c>
    </row>
    <row r="28" spans="1:15" ht="30" x14ac:dyDescent="0.25">
      <c r="A28" s="20">
        <v>202301</v>
      </c>
      <c r="B28" s="15" t="s">
        <v>27</v>
      </c>
      <c r="C28" s="15" t="s">
        <v>123</v>
      </c>
      <c r="D28" s="15">
        <v>51</v>
      </c>
      <c r="E28" s="18" t="s">
        <v>124</v>
      </c>
      <c r="F28" s="15" t="s">
        <v>79</v>
      </c>
      <c r="G28" s="15" t="s">
        <v>76</v>
      </c>
      <c r="H28" s="15" t="s">
        <v>89</v>
      </c>
      <c r="I28" s="15" t="s">
        <v>73</v>
      </c>
      <c r="J28" s="1">
        <v>0</v>
      </c>
      <c r="K28" s="1">
        <v>0.93</v>
      </c>
      <c r="L28" s="1">
        <v>0.95</v>
      </c>
      <c r="M28" s="1">
        <v>0.95</v>
      </c>
      <c r="N28" s="2">
        <v>2.83</v>
      </c>
      <c r="O28">
        <v>56.6</v>
      </c>
    </row>
    <row r="29" spans="1:15" ht="30" x14ac:dyDescent="0.25">
      <c r="A29" s="20">
        <v>202301</v>
      </c>
      <c r="B29" s="15" t="s">
        <v>28</v>
      </c>
      <c r="C29" s="15" t="s">
        <v>90</v>
      </c>
      <c r="D29" s="15">
        <v>50</v>
      </c>
      <c r="E29" s="18" t="s">
        <v>91</v>
      </c>
      <c r="F29" s="15" t="s">
        <v>87</v>
      </c>
      <c r="G29" s="15" t="s">
        <v>76</v>
      </c>
      <c r="H29" s="15" t="s">
        <v>70</v>
      </c>
      <c r="I29" s="15" t="s">
        <v>73</v>
      </c>
      <c r="J29" s="1">
        <v>1.89</v>
      </c>
      <c r="K29" s="1">
        <v>0</v>
      </c>
      <c r="L29" s="1">
        <v>1</v>
      </c>
      <c r="M29" s="1">
        <v>1</v>
      </c>
      <c r="N29" s="2">
        <v>3.89</v>
      </c>
      <c r="O29">
        <v>77.8</v>
      </c>
    </row>
    <row r="30" spans="1:15" x14ac:dyDescent="0.25">
      <c r="A30" s="20">
        <v>202301</v>
      </c>
      <c r="B30" s="15" t="s">
        <v>29</v>
      </c>
      <c r="C30" s="15" t="s">
        <v>92</v>
      </c>
      <c r="D30" s="15">
        <v>42</v>
      </c>
      <c r="E30" s="18" t="s">
        <v>93</v>
      </c>
      <c r="F30" s="15" t="s">
        <v>87</v>
      </c>
      <c r="G30" s="15" t="s">
        <v>76</v>
      </c>
      <c r="H30" s="15" t="s">
        <v>70</v>
      </c>
      <c r="I30" s="15" t="s">
        <v>73</v>
      </c>
      <c r="J30" s="1">
        <v>1.92</v>
      </c>
      <c r="K30" s="1">
        <v>0</v>
      </c>
      <c r="L30" s="1">
        <v>0.9</v>
      </c>
      <c r="M30" s="1">
        <v>1</v>
      </c>
      <c r="N30" s="2">
        <v>3.82</v>
      </c>
      <c r="O30">
        <v>76.400000000000006</v>
      </c>
    </row>
    <row r="31" spans="1:15" ht="45" x14ac:dyDescent="0.25">
      <c r="A31" s="20">
        <v>202301</v>
      </c>
      <c r="B31" s="15" t="s">
        <v>30</v>
      </c>
      <c r="C31" s="15" t="s">
        <v>125</v>
      </c>
      <c r="D31" s="15">
        <v>58</v>
      </c>
      <c r="E31" s="18" t="s">
        <v>81</v>
      </c>
      <c r="F31" s="15" t="s">
        <v>121</v>
      </c>
      <c r="G31" s="15" t="s">
        <v>76</v>
      </c>
      <c r="H31" s="15" t="s">
        <v>70</v>
      </c>
      <c r="I31" s="15" t="s">
        <v>73</v>
      </c>
      <c r="J31" s="1">
        <v>1.94</v>
      </c>
      <c r="K31" s="1">
        <v>0</v>
      </c>
      <c r="L31" s="1">
        <v>1</v>
      </c>
      <c r="M31" s="1">
        <v>1</v>
      </c>
      <c r="N31" s="2">
        <v>3.94</v>
      </c>
      <c r="O31">
        <v>78.8</v>
      </c>
    </row>
    <row r="32" spans="1:15" ht="30" x14ac:dyDescent="0.25">
      <c r="A32" s="20">
        <v>202301</v>
      </c>
      <c r="B32" s="15" t="s">
        <v>31</v>
      </c>
      <c r="C32" s="15" t="s">
        <v>66</v>
      </c>
      <c r="D32" s="15">
        <v>42</v>
      </c>
      <c r="E32" s="18" t="s">
        <v>88</v>
      </c>
      <c r="F32" s="15" t="s">
        <v>82</v>
      </c>
      <c r="G32" s="15" t="s">
        <v>76</v>
      </c>
      <c r="H32" s="15" t="s">
        <v>70</v>
      </c>
      <c r="I32" s="15" t="s">
        <v>73</v>
      </c>
      <c r="J32" s="1">
        <v>1.88</v>
      </c>
      <c r="K32" s="1">
        <v>0</v>
      </c>
      <c r="L32" s="1">
        <v>1</v>
      </c>
      <c r="M32" s="1">
        <v>1</v>
      </c>
      <c r="N32" s="2">
        <v>3.88</v>
      </c>
      <c r="O32">
        <v>77.599999999999994</v>
      </c>
    </row>
    <row r="33" spans="1:15" ht="30" x14ac:dyDescent="0.25">
      <c r="A33" s="20">
        <v>202301</v>
      </c>
      <c r="B33" s="15" t="s">
        <v>32</v>
      </c>
      <c r="C33" s="15" t="s">
        <v>126</v>
      </c>
      <c r="D33" s="15">
        <v>29</v>
      </c>
      <c r="E33" s="18" t="s">
        <v>78</v>
      </c>
      <c r="F33" s="15" t="s">
        <v>79</v>
      </c>
      <c r="G33" s="15" t="s">
        <v>69</v>
      </c>
      <c r="H33" s="15" t="s">
        <v>89</v>
      </c>
      <c r="I33" s="15" t="s">
        <v>73</v>
      </c>
      <c r="J33" s="1">
        <v>1.44</v>
      </c>
      <c r="K33" s="1">
        <v>1</v>
      </c>
      <c r="L33" s="1">
        <v>0.54</v>
      </c>
      <c r="M33" s="1">
        <v>0.65</v>
      </c>
      <c r="N33" s="2">
        <v>3.63</v>
      </c>
      <c r="O33">
        <v>72.599999999999994</v>
      </c>
    </row>
    <row r="34" spans="1:15" ht="30" x14ac:dyDescent="0.25">
      <c r="A34" s="20">
        <v>202301</v>
      </c>
      <c r="B34" s="15" t="s">
        <v>33</v>
      </c>
      <c r="C34" s="15" t="s">
        <v>127</v>
      </c>
      <c r="D34" s="15">
        <v>43</v>
      </c>
      <c r="E34" s="18" t="s">
        <v>78</v>
      </c>
      <c r="F34" s="15" t="s">
        <v>79</v>
      </c>
      <c r="G34" s="15" t="s">
        <v>76</v>
      </c>
      <c r="H34" s="15" t="s">
        <v>70</v>
      </c>
      <c r="I34" s="15" t="s">
        <v>73</v>
      </c>
      <c r="J34" s="1">
        <v>0</v>
      </c>
      <c r="K34" s="1">
        <v>1</v>
      </c>
      <c r="L34" s="1">
        <v>0.79</v>
      </c>
      <c r="M34" s="1">
        <v>0.91</v>
      </c>
      <c r="N34" s="2">
        <v>2.7</v>
      </c>
      <c r="O34">
        <v>54</v>
      </c>
    </row>
    <row r="35" spans="1:15" ht="30" x14ac:dyDescent="0.25">
      <c r="A35" s="20">
        <v>202301</v>
      </c>
      <c r="B35" s="15" t="s">
        <v>34</v>
      </c>
      <c r="C35" s="15" t="s">
        <v>128</v>
      </c>
      <c r="D35" s="15">
        <v>35</v>
      </c>
      <c r="E35" s="18" t="s">
        <v>129</v>
      </c>
      <c r="F35" s="15" t="s">
        <v>79</v>
      </c>
      <c r="G35" s="15" t="s">
        <v>69</v>
      </c>
      <c r="H35" s="15" t="s">
        <v>89</v>
      </c>
      <c r="I35" s="15" t="s">
        <v>73</v>
      </c>
      <c r="J35" s="1">
        <v>1.47</v>
      </c>
      <c r="K35" s="1">
        <v>1</v>
      </c>
      <c r="L35" s="1">
        <v>0.77</v>
      </c>
      <c r="M35" s="1">
        <v>0.76</v>
      </c>
      <c r="N35" s="2">
        <v>4</v>
      </c>
      <c r="O35">
        <v>80</v>
      </c>
    </row>
    <row r="36" spans="1:15" ht="45" x14ac:dyDescent="0.25">
      <c r="A36" s="20">
        <v>202301</v>
      </c>
      <c r="B36" s="15" t="s">
        <v>35</v>
      </c>
      <c r="C36" s="15" t="s">
        <v>130</v>
      </c>
      <c r="D36" s="15">
        <v>52</v>
      </c>
      <c r="E36" s="18" t="s">
        <v>85</v>
      </c>
      <c r="F36" s="15" t="s">
        <v>75</v>
      </c>
      <c r="G36" s="15" t="s">
        <v>69</v>
      </c>
      <c r="H36" s="15" t="s">
        <v>70</v>
      </c>
      <c r="I36" s="15" t="s">
        <v>73</v>
      </c>
      <c r="J36" s="1">
        <v>1.81</v>
      </c>
      <c r="K36" s="1">
        <v>0</v>
      </c>
      <c r="L36" s="1">
        <v>1</v>
      </c>
      <c r="M36" s="1">
        <v>1</v>
      </c>
      <c r="N36" s="2">
        <v>3.81</v>
      </c>
      <c r="O36">
        <v>76.2</v>
      </c>
    </row>
    <row r="37" spans="1:15" ht="60" x14ac:dyDescent="0.25">
      <c r="A37" s="20">
        <v>202301</v>
      </c>
      <c r="B37" s="15" t="s">
        <v>60</v>
      </c>
      <c r="C37" s="16" t="s">
        <v>67</v>
      </c>
      <c r="D37" s="15">
        <v>38</v>
      </c>
      <c r="E37" s="18" t="s">
        <v>86</v>
      </c>
      <c r="F37" s="15" t="s">
        <v>87</v>
      </c>
      <c r="G37" s="15" t="s">
        <v>69</v>
      </c>
      <c r="H37" s="15" t="s">
        <v>70</v>
      </c>
      <c r="I37" s="15" t="s">
        <v>73</v>
      </c>
      <c r="J37" s="1">
        <v>1.92</v>
      </c>
      <c r="K37" s="1">
        <v>0</v>
      </c>
      <c r="L37" s="1">
        <v>1</v>
      </c>
      <c r="M37" s="1">
        <v>1</v>
      </c>
      <c r="N37" s="2">
        <v>3.92</v>
      </c>
      <c r="O37">
        <v>78.400000000000006</v>
      </c>
    </row>
    <row r="38" spans="1:15" x14ac:dyDescent="0.25">
      <c r="A38" s="20">
        <v>202301</v>
      </c>
      <c r="B38" s="15" t="s">
        <v>36</v>
      </c>
      <c r="C38" s="15" t="s">
        <v>131</v>
      </c>
      <c r="D38" s="15">
        <v>37</v>
      </c>
      <c r="E38" s="18" t="s">
        <v>132</v>
      </c>
      <c r="F38" s="15" t="s">
        <v>75</v>
      </c>
      <c r="G38" s="15" t="s">
        <v>69</v>
      </c>
      <c r="H38" s="15" t="s">
        <v>70</v>
      </c>
      <c r="I38" s="15" t="s">
        <v>73</v>
      </c>
      <c r="J38" s="1">
        <v>1.54</v>
      </c>
      <c r="K38" s="1">
        <v>1</v>
      </c>
      <c r="L38" s="1">
        <v>0.96</v>
      </c>
      <c r="M38" s="1">
        <v>0.67</v>
      </c>
      <c r="N38" s="2">
        <v>4.17</v>
      </c>
      <c r="O38">
        <v>83.4</v>
      </c>
    </row>
    <row r="39" spans="1:15" ht="30" x14ac:dyDescent="0.25">
      <c r="A39" s="20">
        <v>202301</v>
      </c>
      <c r="B39" s="15" t="s">
        <v>37</v>
      </c>
      <c r="C39" s="15" t="s">
        <v>68</v>
      </c>
      <c r="D39" s="15">
        <v>39</v>
      </c>
      <c r="E39" s="18" t="s">
        <v>88</v>
      </c>
      <c r="F39" s="15" t="s">
        <v>87</v>
      </c>
      <c r="G39" s="15" t="s">
        <v>69</v>
      </c>
      <c r="H39" s="15" t="s">
        <v>70</v>
      </c>
      <c r="I39" s="15" t="s">
        <v>73</v>
      </c>
      <c r="J39" s="1">
        <v>2</v>
      </c>
      <c r="K39" s="1">
        <v>0</v>
      </c>
      <c r="L39" s="1">
        <v>1</v>
      </c>
      <c r="M39" s="1">
        <v>1</v>
      </c>
      <c r="N39" s="2">
        <v>4</v>
      </c>
      <c r="O39">
        <v>80</v>
      </c>
    </row>
    <row r="40" spans="1:15" ht="45" x14ac:dyDescent="0.25">
      <c r="A40" s="20">
        <v>202301</v>
      </c>
      <c r="B40" s="15" t="s">
        <v>38</v>
      </c>
      <c r="C40" s="15" t="s">
        <v>133</v>
      </c>
      <c r="D40" s="15">
        <v>35</v>
      </c>
      <c r="E40" s="18" t="s">
        <v>102</v>
      </c>
      <c r="F40" s="15" t="s">
        <v>87</v>
      </c>
      <c r="G40" s="15" t="s">
        <v>76</v>
      </c>
      <c r="H40" s="15" t="s">
        <v>70</v>
      </c>
      <c r="I40" s="15" t="s">
        <v>73</v>
      </c>
      <c r="J40" s="1">
        <v>2</v>
      </c>
      <c r="K40" s="1">
        <v>0</v>
      </c>
      <c r="L40" s="1">
        <v>1</v>
      </c>
      <c r="M40" s="1">
        <v>1</v>
      </c>
      <c r="N40" s="2">
        <v>4</v>
      </c>
      <c r="O40">
        <v>80</v>
      </c>
    </row>
    <row r="41" spans="1:15" ht="30" x14ac:dyDescent="0.25">
      <c r="A41" s="20">
        <v>202301</v>
      </c>
      <c r="B41" s="15" t="s">
        <v>39</v>
      </c>
      <c r="C41" s="15" t="s">
        <v>134</v>
      </c>
      <c r="D41" s="15">
        <v>40</v>
      </c>
      <c r="E41" s="18" t="s">
        <v>78</v>
      </c>
      <c r="F41" s="15" t="s">
        <v>79</v>
      </c>
      <c r="G41" s="15" t="s">
        <v>76</v>
      </c>
      <c r="H41" s="15" t="s">
        <v>89</v>
      </c>
      <c r="I41" s="15" t="s">
        <v>73</v>
      </c>
      <c r="J41" s="1">
        <v>0</v>
      </c>
      <c r="K41" s="1">
        <v>1</v>
      </c>
      <c r="L41" s="1">
        <v>0.96</v>
      </c>
      <c r="M41" s="1">
        <v>0.96</v>
      </c>
      <c r="N41" s="2">
        <v>2.92</v>
      </c>
      <c r="O41">
        <v>58.4</v>
      </c>
    </row>
    <row r="42" spans="1:15" ht="60" x14ac:dyDescent="0.25">
      <c r="A42" s="20">
        <v>202301</v>
      </c>
      <c r="B42" s="15" t="s">
        <v>40</v>
      </c>
      <c r="C42" s="15" t="s">
        <v>135</v>
      </c>
      <c r="D42" s="15">
        <v>32</v>
      </c>
      <c r="E42" s="18" t="s">
        <v>86</v>
      </c>
      <c r="F42" s="15" t="s">
        <v>82</v>
      </c>
      <c r="G42" s="15" t="s">
        <v>69</v>
      </c>
      <c r="H42" s="15" t="s">
        <v>70</v>
      </c>
      <c r="I42" s="15" t="s">
        <v>73</v>
      </c>
      <c r="J42" s="1">
        <v>2</v>
      </c>
      <c r="K42" s="1">
        <v>0</v>
      </c>
      <c r="L42" s="1">
        <v>1</v>
      </c>
      <c r="M42" s="1">
        <v>1</v>
      </c>
      <c r="N42" s="2">
        <v>4</v>
      </c>
      <c r="O42">
        <v>80</v>
      </c>
    </row>
    <row r="43" spans="1:15" ht="30" x14ac:dyDescent="0.25">
      <c r="A43" s="20">
        <v>202301</v>
      </c>
      <c r="B43" s="15" t="s">
        <v>41</v>
      </c>
      <c r="C43" s="15" t="s">
        <v>136</v>
      </c>
      <c r="D43" s="15">
        <v>43</v>
      </c>
      <c r="E43" s="18" t="s">
        <v>72</v>
      </c>
      <c r="F43" s="15" t="s">
        <v>98</v>
      </c>
      <c r="G43" s="15" t="s">
        <v>76</v>
      </c>
      <c r="H43" s="15" t="s">
        <v>70</v>
      </c>
      <c r="I43" s="15" t="s">
        <v>73</v>
      </c>
      <c r="J43" s="1">
        <v>1.93</v>
      </c>
      <c r="K43" s="1">
        <v>0</v>
      </c>
      <c r="L43" s="1">
        <v>0.93</v>
      </c>
      <c r="M43" s="1">
        <v>1</v>
      </c>
      <c r="N43" s="2">
        <v>3.86</v>
      </c>
      <c r="O43">
        <v>77.2</v>
      </c>
    </row>
    <row r="44" spans="1:15" ht="60" x14ac:dyDescent="0.25">
      <c r="A44" s="20">
        <v>202301</v>
      </c>
      <c r="B44" s="15" t="s">
        <v>42</v>
      </c>
      <c r="C44" s="15" t="s">
        <v>137</v>
      </c>
      <c r="D44" s="15">
        <v>39</v>
      </c>
      <c r="E44" s="18" t="s">
        <v>86</v>
      </c>
      <c r="F44" s="15" t="s">
        <v>82</v>
      </c>
      <c r="G44" s="15" t="s">
        <v>69</v>
      </c>
      <c r="H44" s="15" t="s">
        <v>70</v>
      </c>
      <c r="I44" s="15" t="s">
        <v>73</v>
      </c>
      <c r="J44" s="1">
        <v>1.21</v>
      </c>
      <c r="K44" s="1">
        <v>0</v>
      </c>
      <c r="L44" s="1">
        <v>0.89</v>
      </c>
      <c r="M44" s="1">
        <v>1</v>
      </c>
      <c r="N44" s="2">
        <v>3.1</v>
      </c>
      <c r="O44">
        <v>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242C-C776-44AE-944E-AFE6E63E7E1E}">
  <dimension ref="A1:N43"/>
  <sheetViews>
    <sheetView zoomScale="85" zoomScaleNormal="85" workbookViewId="0">
      <selection activeCell="D11" sqref="D11"/>
    </sheetView>
  </sheetViews>
  <sheetFormatPr baseColWidth="10" defaultRowHeight="15" x14ac:dyDescent="0.25"/>
  <cols>
    <col min="1" max="8" width="24.85546875" customWidth="1"/>
    <col min="9" max="9" width="12.5703125" customWidth="1"/>
    <col min="11" max="11" width="16.85546875" customWidth="1"/>
    <col min="12" max="12" width="11.28515625" customWidth="1"/>
    <col min="14" max="14" width="17.5703125" customWidth="1"/>
  </cols>
  <sheetData>
    <row r="1" spans="1:14" ht="15.75" thickBot="1" x14ac:dyDescent="0.3">
      <c r="A1" s="11" t="s">
        <v>0</v>
      </c>
      <c r="B1" s="11" t="s">
        <v>52</v>
      </c>
      <c r="C1" s="11" t="s">
        <v>51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2" t="s">
        <v>1</v>
      </c>
      <c r="J1" s="12" t="s">
        <v>2</v>
      </c>
      <c r="K1" s="12" t="s">
        <v>3</v>
      </c>
      <c r="L1" s="12" t="s">
        <v>4</v>
      </c>
      <c r="M1" s="13" t="s">
        <v>5</v>
      </c>
      <c r="N1" s="14" t="s">
        <v>49</v>
      </c>
    </row>
    <row r="2" spans="1:14" x14ac:dyDescent="0.25">
      <c r="A2" s="15" t="s">
        <v>6</v>
      </c>
      <c r="B2" s="15" t="str">
        <f>INDEX([1]Sheet1!$C:$C,MATCH(Tabla1[[#This Row],[Apellidos y Nombres]],[1]Sheet1!$AT:$AT,0))</f>
        <v>0852067545</v>
      </c>
      <c r="C2" s="15" t="e">
        <f>INDEX([2]Matriz!$J:$J,MATCH(Tabla1[[#This Row],[CEDULA]],[2]Matriz!$B:$B,0))</f>
        <v>#N/A</v>
      </c>
      <c r="D2" s="18" t="e">
        <f>+INDEX([2]Matriz!$AH:$AH,MATCH(Tabla1[[#This Row],[CEDULA]],[2]Matriz!$B:$B,0))</f>
        <v>#N/A</v>
      </c>
      <c r="E2" t="e">
        <f>INDEX([2]Matriz!$AD:$AD,MATCH(B2,[2]Matriz!$B:$B,0))</f>
        <v>#N/A</v>
      </c>
      <c r="F2" t="e">
        <f>INDEX([2]Matriz!$G:$G,MATCH(B2,[2]Matriz!$B:$B,0))</f>
        <v>#N/A</v>
      </c>
      <c r="G2" t="e">
        <f>INDEX([2]Matriz!$BG:$BG,MATCH(B2,[2]Matriz!$B:$B,0))</f>
        <v>#N/A</v>
      </c>
      <c r="H2" t="e">
        <f>INDEX([2]Matriz!$AG:$AG,MATCH(B2,[2]Matriz!$B:$B,0))</f>
        <v>#N/A</v>
      </c>
      <c r="I2" s="1">
        <v>0</v>
      </c>
      <c r="J2" s="1">
        <v>1</v>
      </c>
      <c r="K2" s="1">
        <v>0.94</v>
      </c>
      <c r="L2" s="1">
        <v>0.97</v>
      </c>
      <c r="M2" s="2">
        <v>2.91</v>
      </c>
      <c r="N2">
        <v>58.2</v>
      </c>
    </row>
    <row r="3" spans="1:14" ht="30" x14ac:dyDescent="0.25">
      <c r="A3" s="15" t="s">
        <v>58</v>
      </c>
      <c r="B3" s="17" t="s">
        <v>96</v>
      </c>
      <c r="C3" s="15">
        <f>INDEX([2]Matriz!$J:$J,MATCH(Tabla1[[#This Row],[CEDULA]],[2]Matriz!$B:$B,0))</f>
        <v>42</v>
      </c>
      <c r="D3" s="18" t="str">
        <f>+INDEX([2]Matriz!$AH:$AH,MATCH(Tabla1[[#This Row],[CEDULA]],[2]Matriz!$B:$B,0))</f>
        <v>TECNOLOGÍAS DE LA INFORMACIÓN</v>
      </c>
      <c r="E3" s="15" t="str">
        <f>INDEX([2]Matriz!$AD:$AD,MATCH(B3,[2]Matriz!$B:$B,0))</f>
        <v>0 AÑOS 7 MESES</v>
      </c>
      <c r="F3" s="15" t="str">
        <f>INDEX([2]Matriz!$G:$G,MATCH(B3,[2]Matriz!$B:$B,0))</f>
        <v>MUJER</v>
      </c>
      <c r="G3" s="15" t="str">
        <f>INDEX([2]Matriz!$BG:$BG,MATCH(B3,[2]Matriz!$B:$B,0))</f>
        <v>CUARTO NIVEL</v>
      </c>
      <c r="H3" s="15" t="str">
        <f>INDEX([2]Matriz!$AG:$AG,MATCH(B3,[2]Matriz!$B:$B,0))</f>
        <v>TIEMPO PARCIAL</v>
      </c>
      <c r="I3" s="1">
        <v>1.85</v>
      </c>
      <c r="J3" s="1">
        <v>0</v>
      </c>
      <c r="K3" s="1">
        <v>1</v>
      </c>
      <c r="L3" s="1">
        <v>1</v>
      </c>
      <c r="M3" s="2">
        <v>3.85</v>
      </c>
      <c r="N3">
        <v>77</v>
      </c>
    </row>
    <row r="4" spans="1:14" ht="30" x14ac:dyDescent="0.25">
      <c r="A4" s="15" t="s">
        <v>7</v>
      </c>
      <c r="B4" s="15" t="str">
        <f>INDEX([1]Sheet1!$C:$C,MATCH(Tabla1[[#This Row],[Apellidos y Nombres]],[1]Sheet1!$AT:$AT,0))</f>
        <v>0802127670</v>
      </c>
      <c r="C4" s="15">
        <f>INDEX([2]Matriz!$J:$J,MATCH(Tabla1[[#This Row],[CEDULA]],[2]Matriz!$B:$B,0))</f>
        <v>45</v>
      </c>
      <c r="D4" s="18" t="str">
        <f>+INDEX([2]Matriz!$AH:$AH,MATCH(Tabla1[[#This Row],[CEDULA]],[2]Matriz!$B:$B,0))</f>
        <v>ENFERMERÍA (TECNOLOGÍA)</v>
      </c>
      <c r="E4" s="15" t="str">
        <f>INDEX([2]Matriz!$AD:$AD,MATCH(B4,[2]Matriz!$B:$B,0))</f>
        <v>0 AÑOS 8 MESES</v>
      </c>
      <c r="F4" s="15" t="str">
        <f>INDEX([2]Matriz!$G:$G,MATCH(B4,[2]Matriz!$B:$B,0))</f>
        <v>MUJER</v>
      </c>
      <c r="G4" s="15" t="str">
        <f>INDEX([2]Matriz!$BG:$BG,MATCH(B4,[2]Matriz!$B:$B,0))</f>
        <v>TERCER NIVEL</v>
      </c>
      <c r="H4" s="15" t="str">
        <f>INDEX([2]Matriz!$AG:$AG,MATCH(B4,[2]Matriz!$B:$B,0))</f>
        <v>TIEMPO PARCIAL</v>
      </c>
      <c r="I4" s="1">
        <v>1.5</v>
      </c>
      <c r="J4" s="1">
        <v>1</v>
      </c>
      <c r="K4" s="1">
        <v>0.67</v>
      </c>
      <c r="L4" s="1">
        <v>0.97</v>
      </c>
      <c r="M4" s="2">
        <v>4.1399999999999997</v>
      </c>
      <c r="N4">
        <v>82.799999999999983</v>
      </c>
    </row>
    <row r="5" spans="1:14" x14ac:dyDescent="0.25">
      <c r="A5" s="15" t="s">
        <v>62</v>
      </c>
      <c r="B5" s="19" t="s">
        <v>95</v>
      </c>
      <c r="C5" s="15">
        <f>INDEX([2]Matriz!$J:$J,MATCH(Tabla1[[#This Row],[CEDULA]],[2]Matriz!$B:$B,0))</f>
        <v>45</v>
      </c>
      <c r="D5" s="18" t="str">
        <f>+INDEX([2]Matriz!$AH:$AH,MATCH(Tabla1[[#This Row],[CEDULA]],[2]Matriz!$B:$B,0))</f>
        <v>ENFERMERÍA</v>
      </c>
      <c r="E5" s="15" t="str">
        <f>INDEX([2]Matriz!$AD:$AD,MATCH(B5,[2]Matriz!$B:$B,0))</f>
        <v>0 AÑOS 5 MESES</v>
      </c>
      <c r="F5" s="15" t="str">
        <f>INDEX([2]Matriz!$G:$G,MATCH(B5,[2]Matriz!$B:$B,0))</f>
        <v>HOMBRE</v>
      </c>
      <c r="G5" s="15" t="str">
        <f>INDEX([2]Matriz!$BG:$BG,MATCH(B5,[2]Matriz!$B:$B,0))</f>
        <v>CUARTO NIVEL</v>
      </c>
      <c r="H5" s="15" t="str">
        <f>INDEX([2]Matriz!$AG:$AG,MATCH(B5,[2]Matriz!$B:$B,0))</f>
        <v>TIEMPO PARCIAL</v>
      </c>
      <c r="I5" s="1">
        <v>1.92</v>
      </c>
      <c r="J5" s="1">
        <v>0</v>
      </c>
      <c r="K5" s="1">
        <v>0.89</v>
      </c>
      <c r="L5" s="1">
        <v>1</v>
      </c>
      <c r="M5" s="2">
        <v>3.81</v>
      </c>
      <c r="N5">
        <v>76.2</v>
      </c>
    </row>
    <row r="6" spans="1:14" ht="60" x14ac:dyDescent="0.25">
      <c r="A6" s="15" t="s">
        <v>8</v>
      </c>
      <c r="B6" s="15" t="str">
        <f>INDEX([1]Sheet1!$C:$C,MATCH(Tabla1[[#This Row],[Apellidos y Nombres]],[1]Sheet1!$AT:$AT,0))</f>
        <v>0703875393</v>
      </c>
      <c r="C6" s="15">
        <f>INDEX([2]Matriz!$J:$J,MATCH(Tabla1[[#This Row],[CEDULA]],[2]Matriz!$B:$B,0))</f>
        <v>37</v>
      </c>
      <c r="D6" s="18" t="str">
        <f>+INDEX([2]Matriz!$AH:$AH,MATCH(Tabla1[[#This Row],[CEDULA]],[2]Matriz!$B:$B,0))</f>
        <v>MAESTRÍA EN ELECTRICIDAD MENCIÓN ENERGÍAS RENOVABLES Y EFICIENCIA ENERGÉTICA</v>
      </c>
      <c r="E6" s="15" t="str">
        <f>INDEX([2]Matriz!$AD:$AD,MATCH(B6,[2]Matriz!$B:$B,0))</f>
        <v>0 AÑOS 7 MESES</v>
      </c>
      <c r="F6" s="15" t="str">
        <f>INDEX([2]Matriz!$G:$G,MATCH(B6,[2]Matriz!$B:$B,0))</f>
        <v>HOMBRE</v>
      </c>
      <c r="G6" s="15" t="str">
        <f>INDEX([2]Matriz!$BG:$BG,MATCH(B6,[2]Matriz!$B:$B,0))</f>
        <v>CUARTO NIVEL</v>
      </c>
      <c r="H6" s="15" t="str">
        <f>INDEX([2]Matriz!$AG:$AG,MATCH(B6,[2]Matriz!$B:$B,0))</f>
        <v>TIEMPO PARCIAL</v>
      </c>
      <c r="I6" s="1">
        <v>2</v>
      </c>
      <c r="J6" s="1">
        <v>0</v>
      </c>
      <c r="K6" s="1">
        <v>1</v>
      </c>
      <c r="L6" s="1">
        <v>1</v>
      </c>
      <c r="M6" s="2">
        <v>4</v>
      </c>
      <c r="N6">
        <v>80</v>
      </c>
    </row>
    <row r="7" spans="1:14" ht="45" x14ac:dyDescent="0.25">
      <c r="A7" s="15" t="s">
        <v>9</v>
      </c>
      <c r="B7" s="15" t="str">
        <f>INDEX([1]Sheet1!$C:$C,MATCH(Tabla1[[#This Row],[Apellidos y Nombres]],[1]Sheet1!$AT:$AT,0))</f>
        <v>1803467131</v>
      </c>
      <c r="C7" s="15">
        <f>INDEX([2]Matriz!$J:$J,MATCH(Tabla1[[#This Row],[CEDULA]],[2]Matriz!$B:$B,0))</f>
        <v>40</v>
      </c>
      <c r="D7" s="18" t="str">
        <f>+INDEX([2]Matriz!$AH:$AH,MATCH(Tabla1[[#This Row],[CEDULA]],[2]Matriz!$B:$B,0))</f>
        <v>MAESTRÍA EN PEDOGAGÍA DEL INGLÉS COMO LENGUA EXTRANJERA</v>
      </c>
      <c r="E7" s="15" t="str">
        <f>INDEX([2]Matriz!$AD:$AD,MATCH(B7,[2]Matriz!$B:$B,0))</f>
        <v>0 AÑOS 6 MESES</v>
      </c>
      <c r="F7" s="15" t="str">
        <f>INDEX([2]Matriz!$G:$G,MATCH(B7,[2]Matriz!$B:$B,0))</f>
        <v>HOMBRE</v>
      </c>
      <c r="G7" s="15" t="str">
        <f>INDEX([2]Matriz!$BG:$BG,MATCH(B7,[2]Matriz!$B:$B,0))</f>
        <v>CUARTO NIVEL</v>
      </c>
      <c r="H7" s="15" t="str">
        <f>INDEX([2]Matriz!$AG:$AG,MATCH(B7,[2]Matriz!$B:$B,0))</f>
        <v>TIEMPO PARCIAL</v>
      </c>
      <c r="I7" s="1">
        <v>1.92</v>
      </c>
      <c r="J7" s="1">
        <v>0</v>
      </c>
      <c r="K7" s="1">
        <v>0.79</v>
      </c>
      <c r="L7" s="1">
        <v>1</v>
      </c>
      <c r="M7" s="2">
        <v>3.71</v>
      </c>
      <c r="N7">
        <v>74.2</v>
      </c>
    </row>
    <row r="8" spans="1:14" x14ac:dyDescent="0.25">
      <c r="A8" s="15" t="s">
        <v>10</v>
      </c>
      <c r="B8" s="15" t="str">
        <f>INDEX([1]Sheet1!$C:$C,MATCH(Tabla1[[#This Row],[Apellidos y Nombres]],[1]Sheet1!$AT:$AT,0))</f>
        <v>0801539396</v>
      </c>
      <c r="C8" s="15">
        <f>INDEX([2]Matriz!$J:$J,MATCH(Tabla1[[#This Row],[CEDULA]],[2]Matriz!$B:$B,0))</f>
        <v>53</v>
      </c>
      <c r="D8" s="18" t="str">
        <f>+INDEX([2]Matriz!$AH:$AH,MATCH(Tabla1[[#This Row],[CEDULA]],[2]Matriz!$B:$B,0))</f>
        <v>GESTIÓN AMBIENTAL</v>
      </c>
      <c r="E8" s="15" t="str">
        <f>INDEX([2]Matriz!$AD:$AD,MATCH(B8,[2]Matriz!$B:$B,0))</f>
        <v>10 AÑOS 2 MESES</v>
      </c>
      <c r="F8" s="15" t="str">
        <f>INDEX([2]Matriz!$G:$G,MATCH(B8,[2]Matriz!$B:$B,0))</f>
        <v>HOMBRE</v>
      </c>
      <c r="G8" s="15" t="str">
        <f>INDEX([2]Matriz!$BG:$BG,MATCH(B8,[2]Matriz!$B:$B,0))</f>
        <v>CUARTO NIVEL</v>
      </c>
      <c r="H8" s="15" t="str">
        <f>INDEX([2]Matriz!$AG:$AG,MATCH(B8,[2]Matriz!$B:$B,0))</f>
        <v>TIEMPO PARCIAL</v>
      </c>
      <c r="I8" s="1">
        <v>0</v>
      </c>
      <c r="J8" s="1">
        <v>1</v>
      </c>
      <c r="K8" s="1">
        <v>0.86</v>
      </c>
      <c r="L8" s="1">
        <v>0.95</v>
      </c>
      <c r="M8" s="2">
        <v>2.81</v>
      </c>
      <c r="N8">
        <v>56.2</v>
      </c>
    </row>
    <row r="9" spans="1:14" ht="30" x14ac:dyDescent="0.25">
      <c r="A9" s="15" t="s">
        <v>11</v>
      </c>
      <c r="B9" s="15" t="str">
        <f>INDEX([1]Sheet1!$C:$C,MATCH(Tabla1[[#This Row],[Apellidos y Nombres]],[1]Sheet1!$AT:$AT,0))</f>
        <v>0802916130</v>
      </c>
      <c r="C9" s="15">
        <f>INDEX([2]Matriz!$J:$J,MATCH(Tabla1[[#This Row],[CEDULA]],[2]Matriz!$B:$B,0))</f>
        <v>33</v>
      </c>
      <c r="D9" s="18" t="str">
        <f>+INDEX([2]Matriz!$AH:$AH,MATCH(Tabla1[[#This Row],[CEDULA]],[2]Matriz!$B:$B,0))</f>
        <v>EDUCACIÓN BÁSICA PRESENCIAL</v>
      </c>
      <c r="E9" s="15" t="str">
        <f>INDEX([2]Matriz!$AD:$AD,MATCH(B9,[2]Matriz!$B:$B,0))</f>
        <v>0 AÑOS 7 MESES</v>
      </c>
      <c r="F9" s="15" t="str">
        <f>INDEX([2]Matriz!$G:$G,MATCH(B9,[2]Matriz!$B:$B,0))</f>
        <v>MUJER</v>
      </c>
      <c r="G9" s="15" t="str">
        <f>INDEX([2]Matriz!$BG:$BG,MATCH(B9,[2]Matriz!$B:$B,0))</f>
        <v>CUARTO NIVEL</v>
      </c>
      <c r="H9" s="15" t="str">
        <f>INDEX([2]Matriz!$AG:$AG,MATCH(B9,[2]Matriz!$B:$B,0))</f>
        <v>TIEMPO PARCIAL</v>
      </c>
      <c r="I9" s="1">
        <v>1.94</v>
      </c>
      <c r="J9" s="1">
        <v>0</v>
      </c>
      <c r="K9" s="1">
        <v>1</v>
      </c>
      <c r="L9" s="1">
        <v>1</v>
      </c>
      <c r="M9" s="2">
        <v>3.94</v>
      </c>
      <c r="N9">
        <v>78.8</v>
      </c>
    </row>
    <row r="10" spans="1:14" ht="30" x14ac:dyDescent="0.25">
      <c r="A10" s="15" t="s">
        <v>12</v>
      </c>
      <c r="B10" s="15" t="str">
        <f>INDEX([1]Sheet1!$C:$C,MATCH(Tabla1[[#This Row],[Apellidos y Nombres]],[1]Sheet1!$AT:$AT,0))</f>
        <v>0800461311</v>
      </c>
      <c r="C10" s="15">
        <f>INDEX([2]Matriz!$J:$J,MATCH(Tabla1[[#This Row],[CEDULA]],[2]Matriz!$B:$B,0))</f>
        <v>66</v>
      </c>
      <c r="D10" s="18" t="str">
        <f>+INDEX([2]Matriz!$AH:$AH,MATCH(Tabla1[[#This Row],[CEDULA]],[2]Matriz!$B:$B,0))</f>
        <v>ENFERMERÍA (TECNOLOGÍA)</v>
      </c>
      <c r="E10" s="15" t="str">
        <f>INDEX([2]Matriz!$AD:$AD,MATCH(B10,[2]Matriz!$B:$B,0))</f>
        <v>0 AÑOS 8 MESES</v>
      </c>
      <c r="F10" s="15" t="str">
        <f>INDEX([2]Matriz!$G:$G,MATCH(B10,[2]Matriz!$B:$B,0))</f>
        <v>MUJER</v>
      </c>
      <c r="G10" s="15" t="str">
        <f>INDEX([2]Matriz!$BG:$BG,MATCH(B10,[2]Matriz!$B:$B,0))</f>
        <v>CUARTO NIVEL</v>
      </c>
      <c r="H10" s="15" t="str">
        <f>INDEX([2]Matriz!$AG:$AG,MATCH(B10,[2]Matriz!$B:$B,0))</f>
        <v>TIEMPO PARCIAL</v>
      </c>
      <c r="I10" s="1">
        <v>0</v>
      </c>
      <c r="J10" s="1">
        <v>1</v>
      </c>
      <c r="K10" s="1">
        <v>0.79</v>
      </c>
      <c r="L10" s="1">
        <v>0.91</v>
      </c>
      <c r="M10" s="2">
        <v>2.7</v>
      </c>
      <c r="N10">
        <v>54</v>
      </c>
    </row>
    <row r="11" spans="1:14" x14ac:dyDescent="0.25">
      <c r="A11" s="15" t="s">
        <v>13</v>
      </c>
      <c r="B11" s="15" t="str">
        <f>INDEX([1]Sheet1!$C:$C,MATCH(Tabla1[[#This Row],[Apellidos y Nombres]],[1]Sheet1!$AT:$AT,0))</f>
        <v>0802326355</v>
      </c>
      <c r="C11" s="15" t="e">
        <f>INDEX([2]Matriz!$J:$J,MATCH(Tabla1[[#This Row],[CEDULA]],[2]Matriz!$B:$B,0))</f>
        <v>#N/A</v>
      </c>
      <c r="D11" s="18" t="e">
        <f>+INDEX([2]Matriz!$AH:$AH,MATCH(Tabla1[[#This Row],[CEDULA]],[2]Matriz!$B:$B,0))</f>
        <v>#N/A</v>
      </c>
      <c r="E11" s="15" t="e">
        <f>INDEX([2]Matriz!$AD:$AD,MATCH(B11,[2]Matriz!$B:$B,0))</f>
        <v>#N/A</v>
      </c>
      <c r="F11" s="15" t="e">
        <f>INDEX([2]Matriz!$G:$G,MATCH(B11,[2]Matriz!$B:$B,0))</f>
        <v>#N/A</v>
      </c>
      <c r="G11" s="15" t="e">
        <f>INDEX([2]Matriz!$BG:$BG,MATCH(B11,[2]Matriz!$B:$B,0))</f>
        <v>#N/A</v>
      </c>
      <c r="H11" s="15" t="e">
        <f>INDEX([2]Matriz!$AG:$AG,MATCH(B11,[2]Matriz!$B:$B,0))</f>
        <v>#N/A</v>
      </c>
      <c r="I11" s="1">
        <v>0</v>
      </c>
      <c r="J11" s="1">
        <v>0</v>
      </c>
      <c r="K11" s="1">
        <v>0.97</v>
      </c>
      <c r="L11" s="1">
        <v>1</v>
      </c>
      <c r="M11" s="2">
        <v>1.97</v>
      </c>
      <c r="N11">
        <v>39.4</v>
      </c>
    </row>
    <row r="12" spans="1:14" ht="30" x14ac:dyDescent="0.25">
      <c r="A12" s="15" t="s">
        <v>14</v>
      </c>
      <c r="B12" s="15" t="str">
        <f>INDEX([1]Sheet1!$C:$C,MATCH(Tabla1[[#This Row],[Apellidos y Nombres]],[1]Sheet1!$AT:$AT,0))</f>
        <v>0803766518</v>
      </c>
      <c r="C12" s="15">
        <f>INDEX([2]Matriz!$J:$J,MATCH(Tabla1[[#This Row],[CEDULA]],[2]Matriz!$B:$B,0))</f>
        <v>31</v>
      </c>
      <c r="D12" s="18" t="str">
        <f>+INDEX([2]Matriz!$AH:$AH,MATCH(Tabla1[[#This Row],[CEDULA]],[2]Matriz!$B:$B,0))</f>
        <v>ENFERMERÍA (TECNOLOGÍA)</v>
      </c>
      <c r="E12" s="15" t="str">
        <f>INDEX([2]Matriz!$AD:$AD,MATCH(B12,[2]Matriz!$B:$B,0))</f>
        <v>0 AÑOS 8 MESES</v>
      </c>
      <c r="F12" s="15" t="str">
        <f>INDEX([2]Matriz!$G:$G,MATCH(B12,[2]Matriz!$B:$B,0))</f>
        <v>MUJER</v>
      </c>
      <c r="G12" s="15" t="str">
        <f>INDEX([2]Matriz!$BG:$BG,MATCH(B12,[2]Matriz!$B:$B,0))</f>
        <v>TERCER NIVEL</v>
      </c>
      <c r="H12" s="15" t="str">
        <f>INDEX([2]Matriz!$AG:$AG,MATCH(B12,[2]Matriz!$B:$B,0))</f>
        <v>TIEMPO PARCIAL</v>
      </c>
      <c r="I12" s="1">
        <v>1.59</v>
      </c>
      <c r="J12" s="1">
        <v>0</v>
      </c>
      <c r="K12" s="1">
        <v>0.84</v>
      </c>
      <c r="L12" s="1">
        <v>1</v>
      </c>
      <c r="M12" s="2">
        <v>3.43</v>
      </c>
      <c r="N12">
        <v>68.599999999999994</v>
      </c>
    </row>
    <row r="13" spans="1:14" ht="45" x14ac:dyDescent="0.25">
      <c r="A13" s="15" t="s">
        <v>15</v>
      </c>
      <c r="B13" s="15" t="str">
        <f>INDEX([1]Sheet1!$C:$C,MATCH(Tabla1[[#This Row],[Apellidos y Nombres]],[1]Sheet1!$AT:$AT,0))</f>
        <v>0959775016</v>
      </c>
      <c r="C13" s="15">
        <f>INDEX([2]Matriz!$J:$J,MATCH(Tabla1[[#This Row],[CEDULA]],[2]Matriz!$B:$B,0))</f>
        <v>44</v>
      </c>
      <c r="D13" s="18" t="str">
        <f>+INDEX([2]Matriz!$AH:$AH,MATCH(Tabla1[[#This Row],[CEDULA]],[2]Matriz!$B:$B,0))</f>
        <v>MAESTRÍA EN PEDAGOGÍA MENCIÓN EDUCACCIÓN TÉCNICA Y TECNOLÓGICA</v>
      </c>
      <c r="E13" s="15" t="str">
        <f>INDEX([2]Matriz!$AD:$AD,MATCH(B13,[2]Matriz!$B:$B,0))</f>
        <v>0 AÑOS 7 MESES</v>
      </c>
      <c r="F13" s="15" t="str">
        <f>INDEX([2]Matriz!$G:$G,MATCH(B13,[2]Matriz!$B:$B,0))</f>
        <v>HOMBRE</v>
      </c>
      <c r="G13" s="15" t="str">
        <f>INDEX([2]Matriz!$BG:$BG,MATCH(B13,[2]Matriz!$B:$B,0))</f>
        <v>CUARTO NIVEL</v>
      </c>
      <c r="H13" s="15" t="str">
        <f>INDEX([2]Matriz!$AG:$AG,MATCH(B13,[2]Matriz!$B:$B,0))</f>
        <v>TIEMPO PARCIAL</v>
      </c>
      <c r="I13" s="1">
        <v>2</v>
      </c>
      <c r="J13" s="1">
        <v>0</v>
      </c>
      <c r="K13" s="1">
        <v>1</v>
      </c>
      <c r="L13" s="1">
        <v>1</v>
      </c>
      <c r="M13" s="2">
        <v>4</v>
      </c>
      <c r="N13">
        <v>80</v>
      </c>
    </row>
    <row r="14" spans="1:14" ht="60" x14ac:dyDescent="0.25">
      <c r="A14" s="15" t="s">
        <v>59</v>
      </c>
      <c r="B14" s="16">
        <v>1103694434</v>
      </c>
      <c r="C14" s="15">
        <f>INDEX([2]Matriz!$J:$J,MATCH(Tabla1[[#This Row],[CEDULA]],[2]Matriz!$B:$B,0))</f>
        <v>41</v>
      </c>
      <c r="D14" s="18" t="str">
        <f>+INDEX([2]Matriz!$AH:$AH,MATCH(Tabla1[[#This Row],[CEDULA]],[2]Matriz!$B:$B,0))</f>
        <v>MAESTRÍA EN ELECTRICIDAD MENCIÓN ENERGÍAS RENOVABLES Y EFICIENCIA ENERGÉTICA</v>
      </c>
      <c r="E14" s="15" t="str">
        <f>INDEX([2]Matriz!$AD:$AD,MATCH(B14,[2]Matriz!$B:$B,0))</f>
        <v>0 AÑOS 6 MESES</v>
      </c>
      <c r="F14" s="15" t="str">
        <f>INDEX([2]Matriz!$G:$G,MATCH(B14,[2]Matriz!$B:$B,0))</f>
        <v>HOMBRE</v>
      </c>
      <c r="G14" s="15" t="str">
        <f>INDEX([2]Matriz!$BG:$BG,MATCH(B14,[2]Matriz!$B:$B,0))</f>
        <v>CUARTO NIVEL</v>
      </c>
      <c r="H14" s="15" t="str">
        <f>INDEX([2]Matriz!$AG:$AG,MATCH(B14,[2]Matriz!$B:$B,0))</f>
        <v>TIEMPO PARCIAL</v>
      </c>
      <c r="I14" s="1">
        <v>2</v>
      </c>
      <c r="J14" s="1">
        <v>0</v>
      </c>
      <c r="K14" s="1">
        <v>0.95</v>
      </c>
      <c r="L14" s="1">
        <v>1</v>
      </c>
      <c r="M14" s="2">
        <v>3.95</v>
      </c>
      <c r="N14">
        <v>79</v>
      </c>
    </row>
    <row r="15" spans="1:14" ht="30" x14ac:dyDescent="0.25">
      <c r="A15" s="15" t="s">
        <v>16</v>
      </c>
      <c r="B15" s="15" t="str">
        <f>INDEX([1]Sheet1!$C:$C,MATCH(Tabla1[[#This Row],[Apellidos y Nombres]],[1]Sheet1!$AT:$AT,0))</f>
        <v>1002100046</v>
      </c>
      <c r="C15" s="15">
        <f>INDEX([2]Matriz!$J:$J,MATCH(Tabla1[[#This Row],[CEDULA]],[2]Matriz!$B:$B,0))</f>
        <v>45</v>
      </c>
      <c r="D15" s="18" t="str">
        <f>+INDEX([2]Matriz!$AH:$AH,MATCH(Tabla1[[#This Row],[CEDULA]],[2]Matriz!$B:$B,0))</f>
        <v>MAESTRÍA EN GESTIÓN DE RIESGOS LABORALES</v>
      </c>
      <c r="E15" s="15" t="str">
        <f>INDEX([2]Matriz!$AD:$AD,MATCH(B15,[2]Matriz!$B:$B,0))</f>
        <v>0 AÑOS 6 MESES</v>
      </c>
      <c r="F15" s="15" t="str">
        <f>INDEX([2]Matriz!$G:$G,MATCH(B15,[2]Matriz!$B:$B,0))</f>
        <v>HOMBRE</v>
      </c>
      <c r="G15" s="15" t="str">
        <f>INDEX([2]Matriz!$BG:$BG,MATCH(B15,[2]Matriz!$B:$B,0))</f>
        <v>CUARTO NIVEL</v>
      </c>
      <c r="H15" s="15" t="str">
        <f>INDEX([2]Matriz!$AG:$AG,MATCH(B15,[2]Matriz!$B:$B,0))</f>
        <v>TIEMPO PARCIAL</v>
      </c>
      <c r="I15" s="1">
        <v>1.75</v>
      </c>
      <c r="J15" s="1">
        <v>0</v>
      </c>
      <c r="K15" s="1">
        <v>1</v>
      </c>
      <c r="L15" s="1">
        <v>1</v>
      </c>
      <c r="M15" s="2">
        <v>3.75</v>
      </c>
      <c r="N15">
        <v>75</v>
      </c>
    </row>
    <row r="16" spans="1:14" ht="60" x14ac:dyDescent="0.25">
      <c r="A16" s="15" t="s">
        <v>17</v>
      </c>
      <c r="B16" s="15" t="str">
        <f>INDEX([1]Sheet1!$C:$C,MATCH(Tabla1[[#This Row],[Apellidos y Nombres]],[1]Sheet1!$AT:$AT,0))</f>
        <v>0104947692</v>
      </c>
      <c r="C16" s="15">
        <f>INDEX([2]Matriz!$J:$J,MATCH(Tabla1[[#This Row],[CEDULA]],[2]Matriz!$B:$B,0))</f>
        <v>35</v>
      </c>
      <c r="D16" s="18" t="str">
        <f>+INDEX([2]Matriz!$AH:$AH,MATCH(Tabla1[[#This Row],[CEDULA]],[2]Matriz!$B:$B,0))</f>
        <v>MAESTRÍA EN ELECTRICIDAD MENCIÓN ENERGÍAS RENOVABLES Y EFICIENCIA ENERGÉTICA</v>
      </c>
      <c r="E16" s="15" t="str">
        <f>INDEX([2]Matriz!$AD:$AD,MATCH(B16,[2]Matriz!$B:$B,0))</f>
        <v>0 AÑOS 7 MESES</v>
      </c>
      <c r="F16" s="15" t="str">
        <f>INDEX([2]Matriz!$G:$G,MATCH(B16,[2]Matriz!$B:$B,0))</f>
        <v>HOMBRE</v>
      </c>
      <c r="G16" s="15" t="str">
        <f>INDEX([2]Matriz!$BG:$BG,MATCH(B16,[2]Matriz!$B:$B,0))</f>
        <v>CUARTO NIVEL</v>
      </c>
      <c r="H16" s="15" t="str">
        <f>INDEX([2]Matriz!$AG:$AG,MATCH(B16,[2]Matriz!$B:$B,0))</f>
        <v>TIEMPO PARCIAL</v>
      </c>
      <c r="I16" s="1">
        <v>2</v>
      </c>
      <c r="J16" s="1">
        <v>0</v>
      </c>
      <c r="K16" s="1">
        <v>1</v>
      </c>
      <c r="L16" s="1">
        <v>1</v>
      </c>
      <c r="M16" s="2">
        <v>4</v>
      </c>
      <c r="N16">
        <v>80</v>
      </c>
    </row>
    <row r="17" spans="1:14" x14ac:dyDescent="0.25">
      <c r="A17" s="15" t="s">
        <v>18</v>
      </c>
      <c r="B17" s="15" t="str">
        <f>INDEX([1]Sheet1!$C:$C,MATCH(Tabla1[[#This Row],[Apellidos y Nombres]],[1]Sheet1!$AT:$AT,0))</f>
        <v>1753114006</v>
      </c>
      <c r="C17" s="15" t="e">
        <f>INDEX([2]Matriz!$J:$J,MATCH(Tabla1[[#This Row],[CEDULA]],[2]Matriz!$B:$B,0))</f>
        <v>#N/A</v>
      </c>
      <c r="D17" s="18" t="e">
        <f>+INDEX([2]Matriz!$AH:$AH,MATCH(Tabla1[[#This Row],[CEDULA]],[2]Matriz!$B:$B,0))</f>
        <v>#N/A</v>
      </c>
      <c r="E17" s="15" t="e">
        <f>INDEX([2]Matriz!$AD:$AD,MATCH(B17,[2]Matriz!$B:$B,0))</f>
        <v>#N/A</v>
      </c>
      <c r="F17" s="15" t="e">
        <f>INDEX([2]Matriz!$G:$G,MATCH(B17,[2]Matriz!$B:$B,0))</f>
        <v>#N/A</v>
      </c>
      <c r="G17" s="15" t="e">
        <f>INDEX([2]Matriz!$BG:$BG,MATCH(B17,[2]Matriz!$B:$B,0))</f>
        <v>#N/A</v>
      </c>
      <c r="H17" s="15" t="e">
        <f>INDEX([2]Matriz!$AG:$AG,MATCH(B17,[2]Matriz!$B:$B,0))</f>
        <v>#N/A</v>
      </c>
      <c r="I17" s="1">
        <v>1.97</v>
      </c>
      <c r="J17" s="1">
        <v>0</v>
      </c>
      <c r="K17" s="1">
        <v>1</v>
      </c>
      <c r="L17" s="1">
        <v>1</v>
      </c>
      <c r="M17" s="2">
        <v>3.97</v>
      </c>
      <c r="N17">
        <v>79.400000000000006</v>
      </c>
    </row>
    <row r="18" spans="1:14" x14ac:dyDescent="0.25">
      <c r="A18" s="15" t="s">
        <v>19</v>
      </c>
      <c r="B18" s="15" t="str">
        <f>INDEX([1]Sheet1!$C:$C,MATCH(Tabla1[[#This Row],[Apellidos y Nombres]],[1]Sheet1!$AT:$AT,0))</f>
        <v>1600335739</v>
      </c>
      <c r="C18" s="15" t="e">
        <f>INDEX([2]Matriz!$J:$J,MATCH(Tabla1[[#This Row],[CEDULA]],[2]Matriz!$B:$B,0))</f>
        <v>#N/A</v>
      </c>
      <c r="D18" s="18" t="e">
        <f>+INDEX([2]Matriz!$AH:$AH,MATCH(Tabla1[[#This Row],[CEDULA]],[2]Matriz!$B:$B,0))</f>
        <v>#N/A</v>
      </c>
      <c r="E18" s="15" t="e">
        <f>INDEX([2]Matriz!$AD:$AD,MATCH(B18,[2]Matriz!$B:$B,0))</f>
        <v>#N/A</v>
      </c>
      <c r="F18" s="15" t="e">
        <f>INDEX([2]Matriz!$G:$G,MATCH(B18,[2]Matriz!$B:$B,0))</f>
        <v>#N/A</v>
      </c>
      <c r="G18" s="15" t="e">
        <f>INDEX([2]Matriz!$BG:$BG,MATCH(B18,[2]Matriz!$B:$B,0))</f>
        <v>#N/A</v>
      </c>
      <c r="H18" s="15" t="e">
        <f>INDEX([2]Matriz!$AG:$AG,MATCH(B18,[2]Matriz!$B:$B,0))</f>
        <v>#N/A</v>
      </c>
      <c r="I18" s="1">
        <v>2</v>
      </c>
      <c r="J18" s="1">
        <v>0</v>
      </c>
      <c r="K18" s="1">
        <v>1</v>
      </c>
      <c r="L18" s="1">
        <v>1</v>
      </c>
      <c r="M18" s="2">
        <v>4</v>
      </c>
      <c r="N18">
        <v>80</v>
      </c>
    </row>
    <row r="19" spans="1:14" ht="45" x14ac:dyDescent="0.25">
      <c r="A19" s="15" t="s">
        <v>20</v>
      </c>
      <c r="B19" s="15" t="str">
        <f>INDEX([1]Sheet1!$C:$C,MATCH(Tabla1[[#This Row],[Apellidos y Nombres]],[1]Sheet1!$AT:$AT,0))</f>
        <v>1706733167</v>
      </c>
      <c r="C19" s="15">
        <f>INDEX([2]Matriz!$J:$J,MATCH(Tabla1[[#This Row],[CEDULA]],[2]Matriz!$B:$B,0))</f>
        <v>61</v>
      </c>
      <c r="D19" s="18" t="str">
        <f>+INDEX([2]Matriz!$AH:$AH,MATCH(Tabla1[[#This Row],[CEDULA]],[2]Matriz!$B:$B,0))</f>
        <v>MAESTRÍA EN TECNOLOGÍAS DE LA INFORMACIÓN</v>
      </c>
      <c r="E19" s="15" t="str">
        <f>INDEX([2]Matriz!$AD:$AD,MATCH(B19,[2]Matriz!$B:$B,0))</f>
        <v>0 AÑOS 6 MESES</v>
      </c>
      <c r="F19" s="15" t="str">
        <f>INDEX([2]Matriz!$G:$G,MATCH(B19,[2]Matriz!$B:$B,0))</f>
        <v>HOMBRE</v>
      </c>
      <c r="G19" s="15" t="str">
        <f>INDEX([2]Matriz!$BG:$BG,MATCH(B19,[2]Matriz!$B:$B,0))</f>
        <v>CUARTO NIVEL</v>
      </c>
      <c r="H19" s="15" t="str">
        <f>INDEX([2]Matriz!$AG:$AG,MATCH(B19,[2]Matriz!$B:$B,0))</f>
        <v>TIEMPO PARCIAL</v>
      </c>
      <c r="I19" s="1">
        <v>1.88</v>
      </c>
      <c r="J19" s="1">
        <v>0</v>
      </c>
      <c r="K19" s="1">
        <v>1</v>
      </c>
      <c r="L19" s="1">
        <v>1</v>
      </c>
      <c r="M19" s="2">
        <v>3.88</v>
      </c>
      <c r="N19">
        <v>77.599999999999994</v>
      </c>
    </row>
    <row r="20" spans="1:14" ht="30" x14ac:dyDescent="0.25">
      <c r="A20" s="15" t="s">
        <v>21</v>
      </c>
      <c r="B20" s="15" t="str">
        <f>INDEX([1]Sheet1!$C:$C,MATCH(Tabla1[[#This Row],[Apellidos y Nombres]],[1]Sheet1!$AT:$AT,0))</f>
        <v>0803181320</v>
      </c>
      <c r="C20" s="15">
        <f>INDEX([2]Matriz!$J:$J,MATCH(Tabla1[[#This Row],[CEDULA]],[2]Matriz!$B:$B,0))</f>
        <v>32</v>
      </c>
      <c r="D20" s="18" t="str">
        <f>+INDEX([2]Matriz!$AH:$AH,MATCH(Tabla1[[#This Row],[CEDULA]],[2]Matriz!$B:$B,0))</f>
        <v>EDUCACIÓN BÁSICA SEMIPRESENCIAL</v>
      </c>
      <c r="E20" s="15" t="str">
        <f>INDEX([2]Matriz!$AD:$AD,MATCH(B20,[2]Matriz!$B:$B,0))</f>
        <v>4 AÑOS 2 MESES</v>
      </c>
      <c r="F20" s="15" t="str">
        <f>INDEX([2]Matriz!$G:$G,MATCH(B20,[2]Matriz!$B:$B,0))</f>
        <v>HOMBRE</v>
      </c>
      <c r="G20" s="15" t="str">
        <f>INDEX([2]Matriz!$BG:$BG,MATCH(B20,[2]Matriz!$B:$B,0))</f>
        <v>CUARTO NIVEL</v>
      </c>
      <c r="H20" s="15" t="str">
        <f>INDEX([2]Matriz!$AG:$AG,MATCH(B20,[2]Matriz!$B:$B,0))</f>
        <v>TIEMPO COMPLETO</v>
      </c>
      <c r="I20" s="1">
        <v>1.78</v>
      </c>
      <c r="J20" s="1">
        <v>0</v>
      </c>
      <c r="K20" s="1">
        <v>0.93</v>
      </c>
      <c r="L20" s="1">
        <v>1</v>
      </c>
      <c r="M20" s="2">
        <v>3.71</v>
      </c>
      <c r="N20">
        <v>74.2</v>
      </c>
    </row>
    <row r="21" spans="1:14" ht="30" x14ac:dyDescent="0.25">
      <c r="A21" s="15" t="s">
        <v>61</v>
      </c>
      <c r="B21" s="17" t="s">
        <v>97</v>
      </c>
      <c r="C21" s="15">
        <v>29</v>
      </c>
      <c r="D21" s="18" t="s">
        <v>78</v>
      </c>
      <c r="E21" s="15" t="s">
        <v>98</v>
      </c>
      <c r="F21" s="15" t="s">
        <v>76</v>
      </c>
      <c r="G21" s="15" t="s">
        <v>70</v>
      </c>
      <c r="H21" s="15" t="s">
        <v>73</v>
      </c>
      <c r="I21" s="1">
        <v>0</v>
      </c>
      <c r="J21" s="1">
        <v>1</v>
      </c>
      <c r="K21" s="1">
        <v>1</v>
      </c>
      <c r="L21" s="1">
        <v>0.6</v>
      </c>
      <c r="M21" s="2">
        <v>2.6</v>
      </c>
      <c r="N21">
        <v>52</v>
      </c>
    </row>
    <row r="22" spans="1:14" ht="30" x14ac:dyDescent="0.25">
      <c r="A22" s="15" t="s">
        <v>22</v>
      </c>
      <c r="B22" s="15" t="str">
        <f>INDEX([1]Sheet1!$C:$C,MATCH(Tabla1[[#This Row],[Apellidos y Nombres]],[1]Sheet1!$AT:$AT,0))</f>
        <v>0804318970</v>
      </c>
      <c r="C22" s="15">
        <f>INDEX([2]Matriz!$J:$J,MATCH(Tabla1[[#This Row],[CEDULA]],[2]Matriz!$B:$B,0))</f>
        <v>28</v>
      </c>
      <c r="D22" s="18" t="str">
        <f>+INDEX([2]Matriz!$AH:$AH,MATCH(Tabla1[[#This Row],[CEDULA]],[2]Matriz!$B:$B,0))</f>
        <v>ENFERMERÍA (TECNOLOGÍA)</v>
      </c>
      <c r="E22" s="15" t="str">
        <f>INDEX([2]Matriz!$AD:$AD,MATCH(B22,[2]Matriz!$B:$B,0))</f>
        <v>0 AÑOS 8 MESES</v>
      </c>
      <c r="F22" s="15" t="str">
        <f>INDEX([2]Matriz!$G:$G,MATCH(B22,[2]Matriz!$B:$B,0))</f>
        <v>HOMBRE</v>
      </c>
      <c r="G22" s="15" t="str">
        <f>INDEX([2]Matriz!$BG:$BG,MATCH(B22,[2]Matriz!$B:$B,0))</f>
        <v>TERCER NIVEL</v>
      </c>
      <c r="H22" s="15" t="str">
        <f>INDEX([2]Matriz!$AG:$AG,MATCH(B22,[2]Matriz!$B:$B,0))</f>
        <v>TIEMPO PARCIAL</v>
      </c>
      <c r="I22" s="1">
        <v>1.83</v>
      </c>
      <c r="J22" s="1">
        <v>1</v>
      </c>
      <c r="K22" s="1">
        <v>0.59</v>
      </c>
      <c r="L22" s="1">
        <v>0.82</v>
      </c>
      <c r="M22" s="2">
        <v>4.24</v>
      </c>
      <c r="N22">
        <v>84.8</v>
      </c>
    </row>
    <row r="23" spans="1:14" ht="30" x14ac:dyDescent="0.25">
      <c r="A23" s="15" t="s">
        <v>23</v>
      </c>
      <c r="B23" s="15" t="str">
        <f>INDEX([1]Sheet1!$C:$C,MATCH(Tabla1[[#This Row],[Apellidos y Nombres]],[1]Sheet1!$AT:$AT,0))</f>
        <v>1758460826</v>
      </c>
      <c r="C23" s="15">
        <f>INDEX([2]Matriz!$J:$J,MATCH(Tabla1[[#This Row],[CEDULA]],[2]Matriz!$B:$B,0))</f>
        <v>44</v>
      </c>
      <c r="D23" s="18" t="str">
        <f>+INDEX([2]Matriz!$AH:$AH,MATCH(Tabla1[[#This Row],[CEDULA]],[2]Matriz!$B:$B,0))</f>
        <v>MAESTRÍA EN GESTIÓN DEL CUIDADO</v>
      </c>
      <c r="E23" s="15" t="str">
        <f>INDEX([2]Matriz!$AD:$AD,MATCH(B23,[2]Matriz!$B:$B,0))</f>
        <v>0 AÑOS 6 MESES</v>
      </c>
      <c r="F23" s="15" t="str">
        <f>INDEX([2]Matriz!$G:$G,MATCH(B23,[2]Matriz!$B:$B,0))</f>
        <v>MUJER</v>
      </c>
      <c r="G23" s="15" t="str">
        <f>INDEX([2]Matriz!$BG:$BG,MATCH(B23,[2]Matriz!$B:$B,0))</f>
        <v>CUARTO NIVEL</v>
      </c>
      <c r="H23" s="15" t="str">
        <f>INDEX([2]Matriz!$AG:$AG,MATCH(B23,[2]Matriz!$B:$B,0))</f>
        <v>TIEMPO PARCIAL</v>
      </c>
      <c r="I23" s="1">
        <v>1.82</v>
      </c>
      <c r="J23" s="1">
        <v>0</v>
      </c>
      <c r="K23" s="1">
        <v>1</v>
      </c>
      <c r="L23" s="1">
        <v>1</v>
      </c>
      <c r="M23" s="2">
        <v>3.82</v>
      </c>
      <c r="N23">
        <v>76.400000000000006</v>
      </c>
    </row>
    <row r="24" spans="1:14" ht="30" x14ac:dyDescent="0.25">
      <c r="A24" s="15" t="s">
        <v>24</v>
      </c>
      <c r="B24" s="15" t="str">
        <f>INDEX([1]Sheet1!$C:$C,MATCH(Tabla1[[#This Row],[Apellidos y Nombres]],[1]Sheet1!$AT:$AT,0))</f>
        <v>0802423889</v>
      </c>
      <c r="C24" s="15">
        <f>INDEX([2]Matriz!$J:$J,MATCH(Tabla1[[#This Row],[CEDULA]],[2]Matriz!$B:$B,0))</f>
        <v>39</v>
      </c>
      <c r="D24" s="18" t="str">
        <f>+INDEX([2]Matriz!$AH:$AH,MATCH(Tabla1[[#This Row],[CEDULA]],[2]Matriz!$B:$B,0))</f>
        <v>EDUCACIÓN BÁSICA SEMIPRESENCIAL</v>
      </c>
      <c r="E24" s="15" t="str">
        <f>INDEX([2]Matriz!$AD:$AD,MATCH(B24,[2]Matriz!$B:$B,0))</f>
        <v>1 AÑOS 1 MESES</v>
      </c>
      <c r="F24" s="15" t="str">
        <f>INDEX([2]Matriz!$G:$G,MATCH(B24,[2]Matriz!$B:$B,0))</f>
        <v>HOMBRE</v>
      </c>
      <c r="G24" s="15" t="str">
        <f>INDEX([2]Matriz!$BG:$BG,MATCH(B24,[2]Matriz!$B:$B,0))</f>
        <v>CUARTO NIVEL</v>
      </c>
      <c r="H24" s="15" t="str">
        <f>INDEX([2]Matriz!$AG:$AG,MATCH(B24,[2]Matriz!$B:$B,0))</f>
        <v>TIEMPO COMPLETO</v>
      </c>
      <c r="I24" s="1">
        <v>0</v>
      </c>
      <c r="J24" s="1">
        <v>0</v>
      </c>
      <c r="K24" s="1">
        <v>1</v>
      </c>
      <c r="L24" s="1">
        <v>1</v>
      </c>
      <c r="M24" s="2">
        <v>2</v>
      </c>
      <c r="N24">
        <v>40</v>
      </c>
    </row>
    <row r="25" spans="1:14" ht="60" x14ac:dyDescent="0.25">
      <c r="A25" s="15" t="s">
        <v>25</v>
      </c>
      <c r="B25" s="15" t="str">
        <f>INDEX([1]Sheet1!$C:$C,MATCH(Tabla1[[#This Row],[Apellidos y Nombres]],[1]Sheet1!$AT:$AT,0))</f>
        <v>0502662455</v>
      </c>
      <c r="C25" s="15">
        <f>INDEX([2]Matriz!$J:$J,MATCH(Tabla1[[#This Row],[CEDULA]],[2]Matriz!$B:$B,0))</f>
        <v>41</v>
      </c>
      <c r="D25" s="18" t="str">
        <f>+INDEX([2]Matriz!$AH:$AH,MATCH(Tabla1[[#This Row],[CEDULA]],[2]Matriz!$B:$B,0))</f>
        <v>MAESTRÍA EN ELECTRICIDAD MENCIÓN ENERGÍAS RENOVABLES Y EFICIENCIA ENERGÉTICA</v>
      </c>
      <c r="E25" s="15" t="str">
        <f>INDEX([2]Matriz!$AD:$AD,MATCH(B25,[2]Matriz!$B:$B,0))</f>
        <v>0 AÑOS 4 MESES</v>
      </c>
      <c r="F25" s="15" t="str">
        <f>INDEX([2]Matriz!$G:$G,MATCH(B25,[2]Matriz!$B:$B,0))</f>
        <v>HOMBRE</v>
      </c>
      <c r="G25" s="15" t="str">
        <f>INDEX([2]Matriz!$BG:$BG,MATCH(B25,[2]Matriz!$B:$B,0))</f>
        <v>CUARTO NIVEL</v>
      </c>
      <c r="H25" s="15" t="str">
        <f>INDEX([2]Matriz!$AG:$AG,MATCH(B25,[2]Matriz!$B:$B,0))</f>
        <v>TIEMPO PARCIAL</v>
      </c>
      <c r="I25" s="1">
        <v>1.88</v>
      </c>
      <c r="J25" s="1">
        <v>0</v>
      </c>
      <c r="K25" s="1">
        <v>0.97</v>
      </c>
      <c r="L25" s="1">
        <v>1</v>
      </c>
      <c r="M25" s="2">
        <v>3.85</v>
      </c>
      <c r="N25">
        <v>77</v>
      </c>
    </row>
    <row r="26" spans="1:14" ht="30" x14ac:dyDescent="0.25">
      <c r="A26" s="15" t="s">
        <v>26</v>
      </c>
      <c r="B26" s="15" t="str">
        <f>INDEX([1]Sheet1!$C:$C,MATCH(Tabla1[[#This Row],[Apellidos y Nombres]],[1]Sheet1!$AT:$AT,0))</f>
        <v>1713736294</v>
      </c>
      <c r="C26" s="15">
        <f>INDEX([2]Matriz!$J:$J,MATCH(Tabla1[[#This Row],[CEDULA]],[2]Matriz!$B:$B,0))</f>
        <v>44</v>
      </c>
      <c r="D26" s="18" t="str">
        <f>+INDEX([2]Matriz!$AH:$AH,MATCH(Tabla1[[#This Row],[CEDULA]],[2]Matriz!$B:$B,0))</f>
        <v>MAESTRÍA EN GESTIÓN DE RIESGOS LABORALES</v>
      </c>
      <c r="E26" s="15" t="str">
        <f>INDEX([2]Matriz!$AD:$AD,MATCH(B26,[2]Matriz!$B:$B,0))</f>
        <v>0 AÑOS 7 MESES</v>
      </c>
      <c r="F26" s="15" t="str">
        <f>INDEX([2]Matriz!$G:$G,MATCH(B26,[2]Matriz!$B:$B,0))</f>
        <v>HOMBRE</v>
      </c>
      <c r="G26" s="15" t="str">
        <f>INDEX([2]Matriz!$BG:$BG,MATCH(B26,[2]Matriz!$B:$B,0))</f>
        <v>CUARTO NIVEL</v>
      </c>
      <c r="H26" s="15" t="str">
        <f>INDEX([2]Matriz!$AG:$AG,MATCH(B26,[2]Matriz!$B:$B,0))</f>
        <v>TIEMPO PARCIAL</v>
      </c>
      <c r="I26" s="1">
        <v>1.92</v>
      </c>
      <c r="J26" s="1">
        <v>0</v>
      </c>
      <c r="K26" s="1">
        <v>1</v>
      </c>
      <c r="L26" s="1">
        <v>1</v>
      </c>
      <c r="M26" s="2">
        <v>3.92</v>
      </c>
      <c r="N26">
        <v>78.400000000000006</v>
      </c>
    </row>
    <row r="27" spans="1:14" ht="30" x14ac:dyDescent="0.25">
      <c r="A27" s="15" t="s">
        <v>27</v>
      </c>
      <c r="B27" s="15" t="str">
        <f>INDEX([1]Sheet1!$C:$C,MATCH(Tabla1[[#This Row],[Apellidos y Nombres]],[1]Sheet1!$AT:$AT,0))</f>
        <v>0801663758</v>
      </c>
      <c r="C27" s="15">
        <f>INDEX([2]Matriz!$J:$J,MATCH(Tabla1[[#This Row],[CEDULA]],[2]Matriz!$B:$B,0))</f>
        <v>51</v>
      </c>
      <c r="D27" s="18" t="str">
        <f>+INDEX([2]Matriz!$AH:$AH,MATCH(Tabla1[[#This Row],[CEDULA]],[2]Matriz!$B:$B,0))</f>
        <v>GESTIÓN CULINARIA (TECNOLOGÍA)</v>
      </c>
      <c r="E27" s="15" t="str">
        <f>INDEX([2]Matriz!$AD:$AD,MATCH(B27,[2]Matriz!$B:$B,0))</f>
        <v>0 AÑOS 8 MESES</v>
      </c>
      <c r="F27" s="15" t="str">
        <f>INDEX([2]Matriz!$G:$G,MATCH(B27,[2]Matriz!$B:$B,0))</f>
        <v>MUJER</v>
      </c>
      <c r="G27" s="15" t="str">
        <f>INDEX([2]Matriz!$BG:$BG,MATCH(B27,[2]Matriz!$B:$B,0))</f>
        <v>TERCER NIVEL</v>
      </c>
      <c r="H27" s="15" t="str">
        <f>INDEX([2]Matriz!$AG:$AG,MATCH(B27,[2]Matriz!$B:$B,0))</f>
        <v>TIEMPO PARCIAL</v>
      </c>
      <c r="I27" s="1">
        <v>0</v>
      </c>
      <c r="J27" s="1">
        <v>0.93</v>
      </c>
      <c r="K27" s="1">
        <v>0.95</v>
      </c>
      <c r="L27" s="1">
        <v>0.95</v>
      </c>
      <c r="M27" s="2">
        <v>2.83</v>
      </c>
      <c r="N27">
        <v>56.6</v>
      </c>
    </row>
    <row r="28" spans="1:14" ht="30" x14ac:dyDescent="0.25">
      <c r="A28" s="15" t="s">
        <v>28</v>
      </c>
      <c r="B28" s="15" t="str">
        <f>INDEX([1]Sheet1!$C:$C,MATCH(Tabla1[[#This Row],[Apellidos y Nombres]],[1]Sheet1!$AT:$AT,0))</f>
        <v>1758933202</v>
      </c>
      <c r="C28" s="15">
        <f>INDEX([2]Matriz!$J:$J,MATCH(Tabla1[[#This Row],[CEDULA]],[2]Matriz!$B:$B,0))</f>
        <v>50</v>
      </c>
      <c r="D28" s="18" t="str">
        <f>+INDEX([2]Matriz!$AH:$AH,MATCH(Tabla1[[#This Row],[CEDULA]],[2]Matriz!$B:$B,0))</f>
        <v>MAESTRÍA EN GÉNERO Y DESARROLLO</v>
      </c>
      <c r="E28" s="15" t="str">
        <f>INDEX([2]Matriz!$AD:$AD,MATCH(B28,[2]Matriz!$B:$B,0))</f>
        <v>0 AÑOS 6 MESES</v>
      </c>
      <c r="F28" s="15" t="str">
        <f>INDEX([2]Matriz!$G:$G,MATCH(B28,[2]Matriz!$B:$B,0))</f>
        <v>MUJER</v>
      </c>
      <c r="G28" s="15" t="str">
        <f>INDEX([2]Matriz!$BG:$BG,MATCH(B28,[2]Matriz!$B:$B,0))</f>
        <v>CUARTO NIVEL</v>
      </c>
      <c r="H28" s="15" t="str">
        <f>INDEX([2]Matriz!$AG:$AG,MATCH(B28,[2]Matriz!$B:$B,0))</f>
        <v>TIEMPO PARCIAL</v>
      </c>
      <c r="I28" s="1">
        <v>1.89</v>
      </c>
      <c r="J28" s="1">
        <v>0</v>
      </c>
      <c r="K28" s="1">
        <v>1</v>
      </c>
      <c r="L28" s="1">
        <v>1</v>
      </c>
      <c r="M28" s="2">
        <v>3.89</v>
      </c>
      <c r="N28">
        <v>77.8</v>
      </c>
    </row>
    <row r="29" spans="1:14" x14ac:dyDescent="0.25">
      <c r="A29" s="15" t="s">
        <v>29</v>
      </c>
      <c r="B29" s="15" t="str">
        <f>INDEX([1]Sheet1!$C:$C,MATCH(Tabla1[[#This Row],[Apellidos y Nombres]],[1]Sheet1!$AT:$AT,0))</f>
        <v>0802321364</v>
      </c>
      <c r="C29" s="15">
        <f>INDEX([2]Matriz!$J:$J,MATCH(Tabla1[[#This Row],[CEDULA]],[2]Matriz!$B:$B,0))</f>
        <v>42</v>
      </c>
      <c r="D29" s="18" t="str">
        <f>+INDEX([2]Matriz!$AH:$AH,MATCH(Tabla1[[#This Row],[CEDULA]],[2]Matriz!$B:$B,0))</f>
        <v>ENFERMERÍA</v>
      </c>
      <c r="E29" s="15" t="str">
        <f>INDEX([2]Matriz!$AD:$AD,MATCH(B29,[2]Matriz!$B:$B,0))</f>
        <v>0 AÑOS 6 MESES</v>
      </c>
      <c r="F29" s="15" t="str">
        <f>INDEX([2]Matriz!$G:$G,MATCH(B29,[2]Matriz!$B:$B,0))</f>
        <v>MUJER</v>
      </c>
      <c r="G29" s="15" t="str">
        <f>INDEX([2]Matriz!$BG:$BG,MATCH(B29,[2]Matriz!$B:$B,0))</f>
        <v>CUARTO NIVEL</v>
      </c>
      <c r="H29" s="15" t="str">
        <f>INDEX([2]Matriz!$AG:$AG,MATCH(B29,[2]Matriz!$B:$B,0))</f>
        <v>TIEMPO PARCIAL</v>
      </c>
      <c r="I29" s="1">
        <v>1.92</v>
      </c>
      <c r="J29" s="1">
        <v>0</v>
      </c>
      <c r="K29" s="1">
        <v>0.9</v>
      </c>
      <c r="L29" s="1">
        <v>1</v>
      </c>
      <c r="M29" s="2">
        <v>3.82</v>
      </c>
      <c r="N29">
        <v>76.400000000000006</v>
      </c>
    </row>
    <row r="30" spans="1:14" ht="45" x14ac:dyDescent="0.25">
      <c r="A30" s="15" t="s">
        <v>30</v>
      </c>
      <c r="B30" s="15" t="str">
        <f>INDEX([1]Sheet1!$C:$C,MATCH(Tabla1[[#This Row],[Apellidos y Nombres]],[1]Sheet1!$AT:$AT,0))</f>
        <v>1001591955</v>
      </c>
      <c r="C30" s="15">
        <f>INDEX([2]Matriz!$J:$J,MATCH(Tabla1[[#This Row],[CEDULA]],[2]Matriz!$B:$B,0))</f>
        <v>58</v>
      </c>
      <c r="D30" s="18" t="str">
        <f>+INDEX([2]Matriz!$AH:$AH,MATCH(Tabla1[[#This Row],[CEDULA]],[2]Matriz!$B:$B,0))</f>
        <v>MAESTRÍA EN INNOVACIÓN EN EDUCACIÓN</v>
      </c>
      <c r="E30" s="15" t="str">
        <f>INDEX([2]Matriz!$AD:$AD,MATCH(B30,[2]Matriz!$B:$B,0))</f>
        <v>0 AÑOS 4 MESES</v>
      </c>
      <c r="F30" s="15" t="str">
        <f>INDEX([2]Matriz!$G:$G,MATCH(B30,[2]Matriz!$B:$B,0))</f>
        <v>MUJER</v>
      </c>
      <c r="G30" s="15" t="str">
        <f>INDEX([2]Matriz!$BG:$BG,MATCH(B30,[2]Matriz!$B:$B,0))</f>
        <v>CUARTO NIVEL</v>
      </c>
      <c r="H30" s="15" t="str">
        <f>INDEX([2]Matriz!$AG:$AG,MATCH(B30,[2]Matriz!$B:$B,0))</f>
        <v>TIEMPO PARCIAL</v>
      </c>
      <c r="I30" s="1">
        <v>1.94</v>
      </c>
      <c r="J30" s="1">
        <v>0</v>
      </c>
      <c r="K30" s="1">
        <v>1</v>
      </c>
      <c r="L30" s="1">
        <v>1</v>
      </c>
      <c r="M30" s="2">
        <v>3.94</v>
      </c>
      <c r="N30">
        <v>78.8</v>
      </c>
    </row>
    <row r="31" spans="1:14" ht="30" x14ac:dyDescent="0.25">
      <c r="A31" s="15" t="s">
        <v>31</v>
      </c>
      <c r="B31" s="15" t="str">
        <f>INDEX([1]Sheet1!$C:$C,MATCH(Tabla1[[#This Row],[Apellidos y Nombres]],[1]Sheet1!$AT:$AT,0))</f>
        <v>0804348290</v>
      </c>
      <c r="C31" s="15">
        <f>INDEX([2]Matriz!$J:$J,MATCH(Tabla1[[#This Row],[CEDULA]],[2]Matriz!$B:$B,0))</f>
        <v>42</v>
      </c>
      <c r="D31" s="18" t="str">
        <f>+INDEX([2]Matriz!$AH:$AH,MATCH(Tabla1[[#This Row],[CEDULA]],[2]Matriz!$B:$B,0))</f>
        <v>MAESTRÍA EN INCLUSIÓN EDUCATIVA</v>
      </c>
      <c r="E31" s="15" t="str">
        <f>INDEX([2]Matriz!$AD:$AD,MATCH(B31,[2]Matriz!$B:$B,0))</f>
        <v>0 AÑOS 5 MESES</v>
      </c>
      <c r="F31" s="15" t="str">
        <f>INDEX([2]Matriz!$G:$G,MATCH(B31,[2]Matriz!$B:$B,0))</f>
        <v>MUJER</v>
      </c>
      <c r="G31" s="15" t="str">
        <f>INDEX([2]Matriz!$BG:$BG,MATCH(B31,[2]Matriz!$B:$B,0))</f>
        <v>CUARTO NIVEL</v>
      </c>
      <c r="H31" s="15" t="str">
        <f>INDEX([2]Matriz!$AG:$AG,MATCH(B31,[2]Matriz!$B:$B,0))</f>
        <v>TIEMPO PARCIAL</v>
      </c>
      <c r="I31" s="1">
        <v>1.88</v>
      </c>
      <c r="J31" s="1">
        <v>0</v>
      </c>
      <c r="K31" s="1">
        <v>1</v>
      </c>
      <c r="L31" s="1">
        <v>1</v>
      </c>
      <c r="M31" s="2">
        <v>3.88</v>
      </c>
      <c r="N31">
        <v>77.599999999999994</v>
      </c>
    </row>
    <row r="32" spans="1:14" ht="30" x14ac:dyDescent="0.25">
      <c r="A32" s="15" t="s">
        <v>32</v>
      </c>
      <c r="B32" s="15" t="str">
        <f>INDEX([1]Sheet1!$C:$C,MATCH(Tabla1[[#This Row],[Apellidos y Nombres]],[1]Sheet1!$AT:$AT,0))</f>
        <v>0850095191</v>
      </c>
      <c r="C32" s="15">
        <f>INDEX([2]Matriz!$J:$J,MATCH(Tabla1[[#This Row],[CEDULA]],[2]Matriz!$B:$B,0))</f>
        <v>29</v>
      </c>
      <c r="D32" s="18" t="str">
        <f>+INDEX([2]Matriz!$AH:$AH,MATCH(Tabla1[[#This Row],[CEDULA]],[2]Matriz!$B:$B,0))</f>
        <v>ENFERMERÍA (TECNOLOGÍA)</v>
      </c>
      <c r="E32" s="15" t="str">
        <f>INDEX([2]Matriz!$AD:$AD,MATCH(B32,[2]Matriz!$B:$B,0))</f>
        <v>0 AÑOS 8 MESES</v>
      </c>
      <c r="F32" s="15" t="str">
        <f>INDEX([2]Matriz!$G:$G,MATCH(B32,[2]Matriz!$B:$B,0))</f>
        <v>HOMBRE</v>
      </c>
      <c r="G32" s="15" t="str">
        <f>INDEX([2]Matriz!$BG:$BG,MATCH(B32,[2]Matriz!$B:$B,0))</f>
        <v>TERCER NIVEL</v>
      </c>
      <c r="H32" s="15" t="str">
        <f>INDEX([2]Matriz!$AG:$AG,MATCH(B32,[2]Matriz!$B:$B,0))</f>
        <v>TIEMPO PARCIAL</v>
      </c>
      <c r="I32" s="1">
        <v>1.44</v>
      </c>
      <c r="J32" s="1">
        <v>1</v>
      </c>
      <c r="K32" s="1">
        <v>0.54</v>
      </c>
      <c r="L32" s="1">
        <v>0.65</v>
      </c>
      <c r="M32" s="2">
        <v>3.63</v>
      </c>
      <c r="N32">
        <v>72.599999999999994</v>
      </c>
    </row>
    <row r="33" spans="1:14" ht="30" x14ac:dyDescent="0.25">
      <c r="A33" s="15" t="s">
        <v>33</v>
      </c>
      <c r="B33" s="15" t="str">
        <f>INDEX([1]Sheet1!$C:$C,MATCH(Tabla1[[#This Row],[Apellidos y Nombres]],[1]Sheet1!$AT:$AT,0))</f>
        <v>0959881327</v>
      </c>
      <c r="C33" s="15">
        <f>INDEX([2]Matriz!$J:$J,MATCH(Tabla1[[#This Row],[CEDULA]],[2]Matriz!$B:$B,0))</f>
        <v>43</v>
      </c>
      <c r="D33" s="18" t="str">
        <f>+INDEX([2]Matriz!$AH:$AH,MATCH(Tabla1[[#This Row],[CEDULA]],[2]Matriz!$B:$B,0))</f>
        <v>ENFERMERÍA (TECNOLOGÍA)</v>
      </c>
      <c r="E33" s="15" t="str">
        <f>INDEX([2]Matriz!$AD:$AD,MATCH(B33,[2]Matriz!$B:$B,0))</f>
        <v>0 AÑOS 8 MESES</v>
      </c>
      <c r="F33" s="15" t="str">
        <f>INDEX([2]Matriz!$G:$G,MATCH(B33,[2]Matriz!$B:$B,0))</f>
        <v>MUJER</v>
      </c>
      <c r="G33" s="15" t="str">
        <f>INDEX([2]Matriz!$BG:$BG,MATCH(B33,[2]Matriz!$B:$B,0))</f>
        <v>CUARTO NIVEL</v>
      </c>
      <c r="H33" s="15" t="str">
        <f>INDEX([2]Matriz!$AG:$AG,MATCH(B33,[2]Matriz!$B:$B,0))</f>
        <v>TIEMPO PARCIAL</v>
      </c>
      <c r="I33" s="1">
        <v>0</v>
      </c>
      <c r="J33" s="1">
        <v>1</v>
      </c>
      <c r="K33" s="1">
        <v>0.79</v>
      </c>
      <c r="L33" s="1">
        <v>0.91</v>
      </c>
      <c r="M33" s="2">
        <v>2.7</v>
      </c>
      <c r="N33">
        <v>54</v>
      </c>
    </row>
    <row r="34" spans="1:14" ht="30" x14ac:dyDescent="0.25">
      <c r="A34" s="15" t="s">
        <v>34</v>
      </c>
      <c r="B34" s="15" t="str">
        <f>INDEX([1]Sheet1!$C:$C,MATCH(Tabla1[[#This Row],[Apellidos y Nombres]],[1]Sheet1!$AT:$AT,0))</f>
        <v>1104871148</v>
      </c>
      <c r="C34" s="15">
        <f>INDEX([2]Matriz!$J:$J,MATCH(Tabla1[[#This Row],[CEDULA]],[2]Matriz!$B:$B,0))</f>
        <v>35</v>
      </c>
      <c r="D34" s="18" t="str">
        <f>+INDEX([2]Matriz!$AH:$AH,MATCH(Tabla1[[#This Row],[CEDULA]],[2]Matriz!$B:$B,0))</f>
        <v>ACCIÓN PASTORAL (TECNOLOGÍA)</v>
      </c>
      <c r="E34" s="15" t="str">
        <f>INDEX([2]Matriz!$AD:$AD,MATCH(B34,[2]Matriz!$B:$B,0))</f>
        <v>0 AÑOS 8 MESES</v>
      </c>
      <c r="F34" s="15" t="str">
        <f>INDEX([2]Matriz!$G:$G,MATCH(B34,[2]Matriz!$B:$B,0))</f>
        <v>HOMBRE</v>
      </c>
      <c r="G34" s="15" t="str">
        <f>INDEX([2]Matriz!$BG:$BG,MATCH(B34,[2]Matriz!$B:$B,0))</f>
        <v>TERCER NIVEL</v>
      </c>
      <c r="H34" s="15" t="str">
        <f>INDEX([2]Matriz!$AG:$AG,MATCH(B34,[2]Matriz!$B:$B,0))</f>
        <v>TIEMPO PARCIAL</v>
      </c>
      <c r="I34" s="1">
        <v>1.47</v>
      </c>
      <c r="J34" s="1">
        <v>1</v>
      </c>
      <c r="K34" s="1">
        <v>0.77</v>
      </c>
      <c r="L34" s="1">
        <v>0.76</v>
      </c>
      <c r="M34" s="2">
        <v>4</v>
      </c>
      <c r="N34">
        <v>80</v>
      </c>
    </row>
    <row r="35" spans="1:14" ht="45" x14ac:dyDescent="0.25">
      <c r="A35" s="15" t="s">
        <v>35</v>
      </c>
      <c r="B35" s="15" t="str">
        <f>INDEX([1]Sheet1!$C:$C,MATCH(Tabla1[[#This Row],[Apellidos y Nombres]],[1]Sheet1!$AT:$AT,0))</f>
        <v>0801581935</v>
      </c>
      <c r="C35" s="15">
        <f>INDEX([2]Matriz!$J:$J,MATCH(Tabla1[[#This Row],[CEDULA]],[2]Matriz!$B:$B,0))</f>
        <v>52</v>
      </c>
      <c r="D35" s="18" t="str">
        <f>+INDEX([2]Matriz!$AH:$AH,MATCH(Tabla1[[#This Row],[CEDULA]],[2]Matriz!$B:$B,0))</f>
        <v>MAESTRÍA EN PEDAGOGÍA MENCIÓN EDUCACCIÓN TÉCNICA Y TECNOLÓGICA</v>
      </c>
      <c r="E35" s="15" t="str">
        <f>INDEX([2]Matriz!$AD:$AD,MATCH(B35,[2]Matriz!$B:$B,0))</f>
        <v>0 AÑOS 7 MESES</v>
      </c>
      <c r="F35" s="15" t="str">
        <f>INDEX([2]Matriz!$G:$G,MATCH(B35,[2]Matriz!$B:$B,0))</f>
        <v>HOMBRE</v>
      </c>
      <c r="G35" s="15" t="str">
        <f>INDEX([2]Matriz!$BG:$BG,MATCH(B35,[2]Matriz!$B:$B,0))</f>
        <v>CUARTO NIVEL</v>
      </c>
      <c r="H35" s="15" t="str">
        <f>INDEX([2]Matriz!$AG:$AG,MATCH(B35,[2]Matriz!$B:$B,0))</f>
        <v>TIEMPO PARCIAL</v>
      </c>
      <c r="I35" s="1">
        <v>1.81</v>
      </c>
      <c r="J35" s="1">
        <v>0</v>
      </c>
      <c r="K35" s="1">
        <v>1</v>
      </c>
      <c r="L35" s="1">
        <v>1</v>
      </c>
      <c r="M35" s="2">
        <v>3.81</v>
      </c>
      <c r="N35">
        <v>76.2</v>
      </c>
    </row>
    <row r="36" spans="1:14" ht="60" x14ac:dyDescent="0.25">
      <c r="A36" s="15" t="s">
        <v>60</v>
      </c>
      <c r="B36" s="16" t="s">
        <v>67</v>
      </c>
      <c r="C36" s="15">
        <f>INDEX([2]Matriz!$J:$J,MATCH(Tabla1[[#This Row],[CEDULA]],[2]Matriz!$B:$B,0))</f>
        <v>38</v>
      </c>
      <c r="D36" s="18" t="str">
        <f>+INDEX([2]Matriz!$AH:$AH,MATCH(Tabla1[[#This Row],[CEDULA]],[2]Matriz!$B:$B,0))</f>
        <v>MAESTRÍA EN ELECTRICIDAD MENCIÓN ENERGÍAS RENOVABLES Y EFICIENCIA ENERGÉTICA</v>
      </c>
      <c r="E36" s="15" t="str">
        <f>INDEX([2]Matriz!$AD:$AD,MATCH(B36,[2]Matriz!$B:$B,0))</f>
        <v>0 AÑOS 6 MESES</v>
      </c>
      <c r="F36" s="15" t="str">
        <f>INDEX([2]Matriz!$G:$G,MATCH(B36,[2]Matriz!$B:$B,0))</f>
        <v>HOMBRE</v>
      </c>
      <c r="G36" s="15" t="str">
        <f>INDEX([2]Matriz!$BG:$BG,MATCH(B36,[2]Matriz!$B:$B,0))</f>
        <v>CUARTO NIVEL</v>
      </c>
      <c r="H36" s="15" t="str">
        <f>INDEX([2]Matriz!$AG:$AG,MATCH(B36,[2]Matriz!$B:$B,0))</f>
        <v>TIEMPO PARCIAL</v>
      </c>
      <c r="I36" s="1">
        <v>1.92</v>
      </c>
      <c r="J36" s="1">
        <v>0</v>
      </c>
      <c r="K36" s="1">
        <v>1</v>
      </c>
      <c r="L36" s="1">
        <v>1</v>
      </c>
      <c r="M36" s="2">
        <v>3.92</v>
      </c>
      <c r="N36">
        <v>78.400000000000006</v>
      </c>
    </row>
    <row r="37" spans="1:14" x14ac:dyDescent="0.25">
      <c r="A37" s="15" t="s">
        <v>36</v>
      </c>
      <c r="B37" s="15" t="str">
        <f>INDEX([1]Sheet1!$C:$C,MATCH(Tabla1[[#This Row],[Apellidos y Nombres]],[1]Sheet1!$AT:$AT,0))</f>
        <v>0103034963</v>
      </c>
      <c r="C37" s="15">
        <f>INDEX([2]Matriz!$J:$J,MATCH(Tabla1[[#This Row],[CEDULA]],[2]Matriz!$B:$B,0))</f>
        <v>37</v>
      </c>
      <c r="D37" s="18" t="str">
        <f>+INDEX([2]Matriz!$AH:$AH,MATCH(Tabla1[[#This Row],[CEDULA]],[2]Matriz!$B:$B,0))</f>
        <v>RECURSOS NATURALES</v>
      </c>
      <c r="E37" s="15" t="str">
        <f>INDEX([2]Matriz!$AD:$AD,MATCH(B37,[2]Matriz!$B:$B,0))</f>
        <v>0 AÑOS 7 MESES</v>
      </c>
      <c r="F37" s="15" t="str">
        <f>INDEX([2]Matriz!$G:$G,MATCH(B37,[2]Matriz!$B:$B,0))</f>
        <v>HOMBRE</v>
      </c>
      <c r="G37" s="15" t="str">
        <f>INDEX([2]Matriz!$BG:$BG,MATCH(B37,[2]Matriz!$B:$B,0))</f>
        <v>CUARTO NIVEL</v>
      </c>
      <c r="H37" s="15" t="str">
        <f>INDEX([2]Matriz!$AG:$AG,MATCH(B37,[2]Matriz!$B:$B,0))</f>
        <v>TIEMPO PARCIAL</v>
      </c>
      <c r="I37" s="1">
        <v>1.54</v>
      </c>
      <c r="J37" s="1">
        <v>1</v>
      </c>
      <c r="K37" s="1">
        <v>0.96</v>
      </c>
      <c r="L37" s="1">
        <v>0.67</v>
      </c>
      <c r="M37" s="2">
        <v>4.17</v>
      </c>
      <c r="N37">
        <v>83.4</v>
      </c>
    </row>
    <row r="38" spans="1:14" ht="30" x14ac:dyDescent="0.25">
      <c r="A38" s="15" t="s">
        <v>37</v>
      </c>
      <c r="B38" s="15" t="str">
        <f>INDEX([1]Sheet1!$C:$C,MATCH(Tabla1[[#This Row],[Apellidos y Nombres]],[1]Sheet1!$AT:$AT,0))</f>
        <v>AAF231229</v>
      </c>
      <c r="C38" s="15">
        <f>INDEX([2]Matriz!$J:$J,MATCH(Tabla1[[#This Row],[CEDULA]],[2]Matriz!$B:$B,0))</f>
        <v>39</v>
      </c>
      <c r="D38" s="18" t="str">
        <f>+INDEX([2]Matriz!$AH:$AH,MATCH(Tabla1[[#This Row],[CEDULA]],[2]Matriz!$B:$B,0))</f>
        <v>MAESTRÍA EN INCLUSIÓN EDUCATIVA</v>
      </c>
      <c r="E38" s="15" t="str">
        <f>INDEX([2]Matriz!$AD:$AD,MATCH(B38,[2]Matriz!$B:$B,0))</f>
        <v>0 AÑOS 6 MESES</v>
      </c>
      <c r="F38" s="15" t="str">
        <f>INDEX([2]Matriz!$G:$G,MATCH(B38,[2]Matriz!$B:$B,0))</f>
        <v>HOMBRE</v>
      </c>
      <c r="G38" s="15" t="str">
        <f>INDEX([2]Matriz!$BG:$BG,MATCH(B38,[2]Matriz!$B:$B,0))</f>
        <v>CUARTO NIVEL</v>
      </c>
      <c r="H38" s="15" t="str">
        <f>INDEX([2]Matriz!$AG:$AG,MATCH(B38,[2]Matriz!$B:$B,0))</f>
        <v>TIEMPO PARCIAL</v>
      </c>
      <c r="I38" s="1">
        <v>2</v>
      </c>
      <c r="J38" s="1">
        <v>0</v>
      </c>
      <c r="K38" s="1">
        <v>1</v>
      </c>
      <c r="L38" s="1">
        <v>1</v>
      </c>
      <c r="M38" s="2">
        <v>4</v>
      </c>
      <c r="N38">
        <v>80</v>
      </c>
    </row>
    <row r="39" spans="1:14" ht="45" x14ac:dyDescent="0.25">
      <c r="A39" s="15" t="s">
        <v>38</v>
      </c>
      <c r="B39" s="15" t="str">
        <f>INDEX([1]Sheet1!$C:$C,MATCH(Tabla1[[#This Row],[Apellidos y Nombres]],[1]Sheet1!$AT:$AT,0))</f>
        <v>1758831687</v>
      </c>
      <c r="C39" s="15">
        <f>INDEX([2]Matriz!$J:$J,MATCH(Tabla1[[#This Row],[CEDULA]],[2]Matriz!$B:$B,0))</f>
        <v>35</v>
      </c>
      <c r="D39" s="18" t="str">
        <f>+INDEX([2]Matriz!$AH:$AH,MATCH(Tabla1[[#This Row],[CEDULA]],[2]Matriz!$B:$B,0))</f>
        <v>MAESTRÍA EN PEDOGAGÍA DEL INGLÉS COMO LENGUA EXTRANJERA</v>
      </c>
      <c r="E39" s="15" t="str">
        <f>INDEX([2]Matriz!$AD:$AD,MATCH(B39,[2]Matriz!$B:$B,0))</f>
        <v>0 AÑOS 6 MESES</v>
      </c>
      <c r="F39" s="15" t="str">
        <f>INDEX([2]Matriz!$G:$G,MATCH(B39,[2]Matriz!$B:$B,0))</f>
        <v>MUJER</v>
      </c>
      <c r="G39" s="15" t="str">
        <f>INDEX([2]Matriz!$BG:$BG,MATCH(B39,[2]Matriz!$B:$B,0))</f>
        <v>CUARTO NIVEL</v>
      </c>
      <c r="H39" s="15" t="str">
        <f>INDEX([2]Matriz!$AG:$AG,MATCH(B39,[2]Matriz!$B:$B,0))</f>
        <v>TIEMPO PARCIAL</v>
      </c>
      <c r="I39" s="1">
        <v>2</v>
      </c>
      <c r="J39" s="1">
        <v>0</v>
      </c>
      <c r="K39" s="1">
        <v>1</v>
      </c>
      <c r="L39" s="1">
        <v>1</v>
      </c>
      <c r="M39" s="2">
        <v>4</v>
      </c>
      <c r="N39">
        <v>80</v>
      </c>
    </row>
    <row r="40" spans="1:14" ht="30" x14ac:dyDescent="0.25">
      <c r="A40" s="15" t="s">
        <v>39</v>
      </c>
      <c r="B40" s="15" t="str">
        <f>INDEX([1]Sheet1!$C:$C,MATCH(Tabla1[[#This Row],[Apellidos y Nombres]],[1]Sheet1!$AT:$AT,0))</f>
        <v>0802800755</v>
      </c>
      <c r="C40" s="15">
        <f>INDEX([2]Matriz!$J:$J,MATCH(Tabla1[[#This Row],[CEDULA]],[2]Matriz!$B:$B,0))</f>
        <v>40</v>
      </c>
      <c r="D40" s="18" t="str">
        <f>+INDEX([2]Matriz!$AH:$AH,MATCH(Tabla1[[#This Row],[CEDULA]],[2]Matriz!$B:$B,0))</f>
        <v>ENFERMERÍA (TECNOLOGÍA)</v>
      </c>
      <c r="E40" s="15" t="str">
        <f>INDEX([2]Matriz!$AD:$AD,MATCH(B40,[2]Matriz!$B:$B,0))</f>
        <v>0 AÑOS 8 MESES</v>
      </c>
      <c r="F40" s="15" t="str">
        <f>INDEX([2]Matriz!$G:$G,MATCH(B40,[2]Matriz!$B:$B,0))</f>
        <v>MUJER</v>
      </c>
      <c r="G40" s="15" t="str">
        <f>INDEX([2]Matriz!$BG:$BG,MATCH(B40,[2]Matriz!$B:$B,0))</f>
        <v>TERCER NIVEL</v>
      </c>
      <c r="H40" s="15" t="str">
        <f>INDEX([2]Matriz!$AG:$AG,MATCH(B40,[2]Matriz!$B:$B,0))</f>
        <v>TIEMPO PARCIAL</v>
      </c>
      <c r="I40" s="1">
        <v>0</v>
      </c>
      <c r="J40" s="1">
        <v>1</v>
      </c>
      <c r="K40" s="1">
        <v>0.96</v>
      </c>
      <c r="L40" s="1">
        <v>0.96</v>
      </c>
      <c r="M40" s="2">
        <v>2.92</v>
      </c>
      <c r="N40">
        <v>58.4</v>
      </c>
    </row>
    <row r="41" spans="1:14" ht="60" x14ac:dyDescent="0.25">
      <c r="A41" s="15" t="s">
        <v>40</v>
      </c>
      <c r="B41" s="15" t="str">
        <f>INDEX([1]Sheet1!$C:$C,MATCH(Tabla1[[#This Row],[Apellidos y Nombres]],[1]Sheet1!$AT:$AT,0))</f>
        <v>0923864540</v>
      </c>
      <c r="C41" s="15">
        <f>INDEX([2]Matriz!$J:$J,MATCH(Tabla1[[#This Row],[CEDULA]],[2]Matriz!$B:$B,0))</f>
        <v>32</v>
      </c>
      <c r="D41" s="18" t="str">
        <f>+INDEX([2]Matriz!$AH:$AH,MATCH(Tabla1[[#This Row],[CEDULA]],[2]Matriz!$B:$B,0))</f>
        <v>MAESTRÍA EN ELECTRICIDAD MENCIÓN ENERGÍAS RENOVABLES Y EFICIENCIA ENERGÉTICA</v>
      </c>
      <c r="E41" s="15" t="str">
        <f>INDEX([2]Matriz!$AD:$AD,MATCH(B41,[2]Matriz!$B:$B,0))</f>
        <v>0 AÑOS 5 MESES</v>
      </c>
      <c r="F41" s="15" t="str">
        <f>INDEX([2]Matriz!$G:$G,MATCH(B41,[2]Matriz!$B:$B,0))</f>
        <v>HOMBRE</v>
      </c>
      <c r="G41" s="15" t="str">
        <f>INDEX([2]Matriz!$BG:$BG,MATCH(B41,[2]Matriz!$B:$B,0))</f>
        <v>CUARTO NIVEL</v>
      </c>
      <c r="H41" s="15" t="str">
        <f>INDEX([2]Matriz!$AG:$AG,MATCH(B41,[2]Matriz!$B:$B,0))</f>
        <v>TIEMPO PARCIAL</v>
      </c>
      <c r="I41" s="1">
        <v>2</v>
      </c>
      <c r="J41" s="1">
        <v>0</v>
      </c>
      <c r="K41" s="1">
        <v>1</v>
      </c>
      <c r="L41" s="1">
        <v>1</v>
      </c>
      <c r="M41" s="2">
        <v>4</v>
      </c>
      <c r="N41">
        <v>80</v>
      </c>
    </row>
    <row r="42" spans="1:14" ht="30" x14ac:dyDescent="0.25">
      <c r="A42" s="15" t="s">
        <v>41</v>
      </c>
      <c r="B42" s="15" t="str">
        <f>INDEX([1]Sheet1!$C:$C,MATCH(Tabla1[[#This Row],[Apellidos y Nombres]],[1]Sheet1!$AT:$AT,0))</f>
        <v>0802223719</v>
      </c>
      <c r="C42" s="15">
        <v>43</v>
      </c>
      <c r="D42" s="18" t="s">
        <v>72</v>
      </c>
      <c r="E42" s="15" t="s">
        <v>98</v>
      </c>
      <c r="F42" s="15" t="s">
        <v>76</v>
      </c>
      <c r="G42" s="15" t="s">
        <v>89</v>
      </c>
      <c r="H42" s="15" t="s">
        <v>73</v>
      </c>
      <c r="I42" s="1">
        <v>1.93</v>
      </c>
      <c r="J42" s="1">
        <v>0</v>
      </c>
      <c r="K42" s="1">
        <v>0.93</v>
      </c>
      <c r="L42" s="1">
        <v>1</v>
      </c>
      <c r="M42" s="2">
        <v>3.86</v>
      </c>
      <c r="N42">
        <v>77.2</v>
      </c>
    </row>
    <row r="43" spans="1:14" ht="60" x14ac:dyDescent="0.25">
      <c r="A43" s="15" t="s">
        <v>42</v>
      </c>
      <c r="B43" s="15" t="str">
        <f>INDEX([1]Sheet1!$C:$C,MATCH(Tabla1[[#This Row],[Apellidos y Nombres]],[1]Sheet1!$AT:$AT,0))</f>
        <v>0922338553</v>
      </c>
      <c r="C43" s="15">
        <f>INDEX([2]Matriz!$J:$J,MATCH(Tabla1[[#This Row],[CEDULA]],[2]Matriz!$B:$B,0))</f>
        <v>39</v>
      </c>
      <c r="D43" s="18" t="str">
        <f>+INDEX([2]Matriz!$AH:$AH,MATCH(Tabla1[[#This Row],[CEDULA]],[2]Matriz!$B:$B,0))</f>
        <v>MAESTRÍA EN ELECTRICIDAD MENCIÓN ENERGÍAS RENOVABLES Y EFICIENCIA ENERGÉTICA</v>
      </c>
      <c r="E43" s="15" t="str">
        <f>INDEX([2]Matriz!$AD:$AD,MATCH(B43,[2]Matriz!$B:$B,0))</f>
        <v>0 AÑOS 5 MESES</v>
      </c>
      <c r="F43" s="15" t="str">
        <f>INDEX([2]Matriz!$G:$G,MATCH(B43,[2]Matriz!$B:$B,0))</f>
        <v>HOMBRE</v>
      </c>
      <c r="G43" s="15" t="str">
        <f>INDEX([2]Matriz!$BG:$BG,MATCH(B43,[2]Matriz!$B:$B,0))</f>
        <v>CUARTO NIVEL</v>
      </c>
      <c r="H43" s="15" t="str">
        <f>INDEX([2]Matriz!$AG:$AG,MATCH(B43,[2]Matriz!$B:$B,0))</f>
        <v>TIEMPO PARCIAL</v>
      </c>
      <c r="I43" s="1">
        <v>1.21</v>
      </c>
      <c r="J43" s="1">
        <v>0</v>
      </c>
      <c r="K43" s="1">
        <v>0.89</v>
      </c>
      <c r="L43" s="1">
        <v>1</v>
      </c>
      <c r="M43" s="2">
        <v>3.1</v>
      </c>
      <c r="N43">
        <v>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Worksheet</vt:lpstr>
      <vt:lpstr>Worksheet (2)</vt:lpstr>
      <vt:lpstr>TABLA DINAMICA</vt:lpstr>
      <vt:lpstr>GRAFICOS</vt:lpstr>
      <vt:lpstr>TABLA</vt:lpstr>
      <vt:lpstr>REPORTE GENERAL</vt:lpstr>
      <vt:lpstr>Hoja3</vt:lpstr>
    </vt:vector>
  </TitlesOfParts>
  <Manager/>
  <Company>Krajee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Jackeline Zambrano Delgado</dc:creator>
  <cp:keywords/>
  <dc:description>Exportación de grilla generada por Krajee ExportMenu (yii2-export)</dc:description>
  <cp:lastModifiedBy>Gloria Jackeline Zambrano Delgado</cp:lastModifiedBy>
  <dcterms:created xsi:type="dcterms:W3CDTF">2025-03-06T14:06:34Z</dcterms:created>
  <dcterms:modified xsi:type="dcterms:W3CDTF">2025-05-20T20:46:32Z</dcterms:modified>
  <cp:category/>
</cp:coreProperties>
</file>