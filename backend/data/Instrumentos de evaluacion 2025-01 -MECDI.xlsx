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uceseedu-my.sharepoint.com/personal/evaluacion_docente_pucese_edu_ec/Documents/EVALUACION DOCENTE/NUEVO MODELO DE EVALUACION NUEVO SEMESTRE 2024/AJUSTES NUEVO MODELO/"/>
    </mc:Choice>
  </mc:AlternateContent>
  <xr:revisionPtr revIDLastSave="234" documentId="13_ncr:1_{A79A238C-5F38-4548-8763-31999FAF0434}" xr6:coauthVersionLast="47" xr6:coauthVersionMax="47" xr10:uidLastSave="{6AFDC293-DB96-45AC-B0E7-7F0CF48EB09E}"/>
  <bookViews>
    <workbookView xWindow="-120" yWindow="-120" windowWidth="20730" windowHeight="11160" tabRatio="711" activeTab="12" xr2:uid="{8860B773-D271-4A92-BF74-C55FBAE3182B}"/>
  </bookViews>
  <sheets>
    <sheet name=" Indice ajustado" sheetId="7" r:id="rId1"/>
    <sheet name="1" sheetId="8" r:id="rId2"/>
    <sheet name="2" sheetId="9" r:id="rId3"/>
    <sheet name="3" sheetId="10" r:id="rId4"/>
    <sheet name="4" sheetId="11" r:id="rId5"/>
    <sheet name="5" sheetId="12" r:id="rId6"/>
    <sheet name="6" sheetId="13" r:id="rId7"/>
    <sheet name="7" sheetId="14" r:id="rId8"/>
    <sheet name="8" sheetId="15" r:id="rId9"/>
    <sheet name="9" sheetId="16" r:id="rId10"/>
    <sheet name="10" sheetId="17" r:id="rId11"/>
    <sheet name="11" sheetId="18" r:id="rId12"/>
    <sheet name="12" sheetId="19" r:id="rId13"/>
    <sheet name="13" sheetId="20" r:id="rId14"/>
    <sheet name=" Indice ajustado vin.." sheetId="1" state="hidden" r:id="rId15"/>
    <sheet name="14" sheetId="2" r:id="rId16"/>
    <sheet name="15 " sheetId="3" r:id="rId17"/>
    <sheet name="16" sheetId="4" r:id="rId18"/>
    <sheet name="17 " sheetId="5" r:id="rId19"/>
    <sheet name="18" sheetId="38" r:id="rId20"/>
    <sheet name="19" sheetId="39" r:id="rId21"/>
    <sheet name="20" sheetId="40" r:id="rId22"/>
  </sheets>
  <definedNames>
    <definedName name="_xlnm._FilterDatabase" localSheetId="0" hidden="1">' Indice ajustado'!$B$7:$K$35</definedName>
    <definedName name="_xlnm._FilterDatabase" localSheetId="14" hidden="1">' Indice ajustado vin..'!$B$7:$I$7</definedName>
    <definedName name="_xlnm._FilterDatabase" localSheetId="17" hidden="1">'16'!$A$8:$H$18</definedName>
    <definedName name="_xlnm.Print_Area" localSheetId="14">' Indice ajustado vin..'!$B$2:$H$35</definedName>
    <definedName name="_xlnm.Print_Area" localSheetId="15">'14'!$A$1:$H$18</definedName>
    <definedName name="_xlnm.Print_Area" localSheetId="16">'15 '!$A$1:$H$21</definedName>
    <definedName name="_xlnm.Print_Area" localSheetId="17">'16'!$1:$19</definedName>
    <definedName name="_xlnm.Print_Area" localSheetId="18">'17 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9" l="1"/>
  <c r="I14" i="19" s="1"/>
  <c r="D16" i="18"/>
  <c r="D23" i="16"/>
  <c r="D23" i="15"/>
  <c r="D23" i="14"/>
  <c r="E23" i="13"/>
  <c r="D24" i="12"/>
  <c r="D25" i="11"/>
  <c r="D13" i="10"/>
  <c r="D23" i="9"/>
  <c r="D23" i="8"/>
  <c r="D20" i="5" l="1"/>
  <c r="D21" i="3"/>
  <c r="J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IDROVO GONZALEZ MARIA VERONICA</author>
  </authors>
  <commentList>
    <comment ref="E9" authorId="0" shapeId="0" xr:uid="{DDB7EA6E-8B5A-4C0A-BA38-59D94F7D6660}">
      <text>
        <r>
          <rPr>
            <b/>
            <sz val="9"/>
            <color indexed="81"/>
            <rFont val="Tahoma"/>
            <family val="2"/>
          </rPr>
          <t>IDROVO GONZALEZ MARIA VERONICA:</t>
        </r>
        <r>
          <rPr>
            <sz val="9"/>
            <color indexed="81"/>
            <rFont val="Tahoma"/>
            <family val="2"/>
          </rPr>
          <t xml:space="preserve">
Solicitar explicación de criterio</t>
        </r>
      </text>
    </comment>
  </commentList>
</comments>
</file>

<file path=xl/sharedStrings.xml><?xml version="1.0" encoding="utf-8"?>
<sst xmlns="http://schemas.openxmlformats.org/spreadsheetml/2006/main" count="993" uniqueCount="376">
  <si>
    <t>Nuevo Modelo de Evaluacion 360</t>
  </si>
  <si>
    <t>Ámbito</t>
  </si>
  <si>
    <t>Rol</t>
  </si>
  <si>
    <t>Peso</t>
  </si>
  <si>
    <t># de instrumento</t>
  </si>
  <si>
    <t>Nombre del instrumento</t>
  </si>
  <si>
    <t>Informante</t>
  </si>
  <si>
    <t>Tipo de evaluación</t>
  </si>
  <si>
    <t>Docencia</t>
  </si>
  <si>
    <t>Rol docente</t>
  </si>
  <si>
    <t>01</t>
  </si>
  <si>
    <t>INSTRUMENTO DE AUTOEVALUACIÓN - DOCENTE</t>
  </si>
  <si>
    <t>EL PROPIO DOCENTE</t>
  </si>
  <si>
    <t>Competencias</t>
  </si>
  <si>
    <t xml:space="preserve">02 </t>
  </si>
  <si>
    <t xml:space="preserve">INSTRUMENTO DE COEVALUACIÓN - PARES A LA DOCENCIA/ DOCENCIA ABP /SERVICIO </t>
  </si>
  <si>
    <t>COEVALUADOR PAR O COMISION DE EVALUACION</t>
  </si>
  <si>
    <t>03</t>
  </si>
  <si>
    <t>INSTRUMENTO DE COEVALUACIÓN - COORDINADOR DEL  CEV</t>
  </si>
  <si>
    <t>RESPONSABLE CEV/COORDINADOR CARRERA PUCETEC</t>
  </si>
  <si>
    <t>Cumplimiento de actividades</t>
  </si>
  <si>
    <t>04</t>
  </si>
  <si>
    <t>INSTRUMENTO DE HETEROEVALUACIÓN A LA DOCENCIA</t>
  </si>
  <si>
    <t>ESTUDIANTES</t>
  </si>
  <si>
    <t>Rol  docente ABP</t>
  </si>
  <si>
    <t>05</t>
  </si>
  <si>
    <t>INSTRUMENTO DE AUTOEVALUACIÓN - DOCENTE EN SERVICIO/DOCENTE ABP</t>
  </si>
  <si>
    <t>02</t>
  </si>
  <si>
    <t>INSTRUMENTO DE COEVALUACIÓN - PARES A LA DOCENCIA/ DOCENCIA ABP /SERVICIO</t>
  </si>
  <si>
    <t xml:space="preserve">RESPONSABLE DIRECCIÓN DE INNOVACIÓN EDUCATIVA </t>
  </si>
  <si>
    <t>RESPONSABLE CEV</t>
  </si>
  <si>
    <t>06</t>
  </si>
  <si>
    <t>INSTRUMENTO DE HETEROEVALUACIÓN AL DOCENTE DE MEDICINA (ABP)</t>
  </si>
  <si>
    <t>Rol docente en servicios</t>
  </si>
  <si>
    <t>07</t>
  </si>
  <si>
    <t>INSTRUMENTO DE HETEROEVALUACIÓN AL DOCENTE EN SERVICIO</t>
  </si>
  <si>
    <t>Rol PUCETEC</t>
  </si>
  <si>
    <t>COORDINADOR DE CARRERA</t>
  </si>
  <si>
    <t>Rol docente  de posgrados</t>
  </si>
  <si>
    <t>08</t>
  </si>
  <si>
    <t>INSTRUMENTO DE AUTOEVALUACIÓN - DOCENTE POSGRADO</t>
  </si>
  <si>
    <t>INSTRUMENTO DE COEVALUACIÓN -   CEV (excepto especialidades médicas)</t>
  </si>
  <si>
    <t>COORDINADOR POSGRADO</t>
  </si>
  <si>
    <t>9</t>
  </si>
  <si>
    <t>INSTRUMENTO DE HETEROEVALUACIÓN A LA DOCENCIA POSGRADO</t>
  </si>
  <si>
    <t>Investigación</t>
  </si>
  <si>
    <t xml:space="preserve">Investigador    </t>
  </si>
  <si>
    <t xml:space="preserve">INSTRUMENTO DE AUTOEVALUACIÓN - INVESTIGADOR </t>
  </si>
  <si>
    <t>EL PROPIO INVESTIGADOR</t>
  </si>
  <si>
    <t>INSTRUMENTO DE HETEROEVALUACIÓN - DIRECCIÓN DE INVESTIGACIÓN AL INVESTIGADOR</t>
  </si>
  <si>
    <t>DIRECCION DE INVESTIGACIÓN</t>
  </si>
  <si>
    <t>INSTRUMENTO DE COEVALUACION DEL INVESTIGADOR PAR AL INVESTIGADOR</t>
  </si>
  <si>
    <t>INVESTIGADOR PAR</t>
  </si>
  <si>
    <t>INSTRUMENTO DE HETEROEVALUACION - DECANO/COORDINADOR UNIDAD DE INVESTIGACIÓN AL INVESTIGADOR</t>
  </si>
  <si>
    <t>DECANO O COORDINADOR DE INVESTIGACIÓN DE LA FACULTAD</t>
  </si>
  <si>
    <t>Vinculación</t>
  </si>
  <si>
    <t>Docente Responsable Actividad de Vinculación</t>
  </si>
  <si>
    <t>INSTRUMENTO DE AUTOEVALUACIÓN -  DOCENTE RESPONSABLE DE LA ACTIVIDAD DE VINCULACIÓN</t>
  </si>
  <si>
    <t>EL PROPIO DOCENTE RESPONSABLE DE LA  ACTIVIDAD DE VINCULACIÓN</t>
  </si>
  <si>
    <t>INSTRUMENTO DE HETEROEVALUACIÓN  DEL DIRECTIVO ENTIDAD ACADEMICA  AL DOCENTE  RESPONSABLE DE LA ACTIVIDAD DE VINCULACIÓN</t>
  </si>
  <si>
    <t>INSTRUMENTO DE HETEROEVALUACIÓN A LA DOCENCIA (UNICAMENTE NRC ASOCIADOS A VINCULACIÓN)</t>
  </si>
  <si>
    <t>INSTRUMENTO DE HETEROEVALUACIÓN  DIRECCIÓN DE INVESTIGACIÓN DOCENTE  RESPONSABLE DE LA ACTIVIDAD DE VINCULACIÓN</t>
  </si>
  <si>
    <t>RESPONSABLE DIRECCIÓN DE INVESTIGACIÓN, VINCULACIÓN E INNOVACIÓN</t>
  </si>
  <si>
    <t>Gestión Académica</t>
  </si>
  <si>
    <t>Directivo grado y PUCETEC</t>
  </si>
  <si>
    <t>INSTRUMENTO DE AUTOEVALUACIÓN - DIRECTIVO</t>
  </si>
  <si>
    <t>INSTRUMENTO DE COEVALUACIÓN - DIRECTIVO AL DIRECTIVO</t>
  </si>
  <si>
    <t>INMEDIATO SUPERIOR (DIRECTOR GENERAL ACADÉMICO, DECANO, DIRECTOR, COORDINADOR DE CARRERA Y DOMINIO, RESPONSABLE, ETC)</t>
  </si>
  <si>
    <t>INSTRUMENTO DE HETEROEVALUACION - DOCENTE AL DIRECTIVO</t>
  </si>
  <si>
    <t>DOCENTES O DIRECTIVOS QUE CONOCEN SOBRE LA ACTIVIDAD DE GESTION EVALUADA</t>
  </si>
  <si>
    <t>Directivo PUCETEC</t>
  </si>
  <si>
    <t>Mentoría</t>
  </si>
  <si>
    <t>N/A</t>
  </si>
  <si>
    <t>INSTRUMENTO DE HETEROEVALUACIÓN - MENTORÍAS</t>
  </si>
  <si>
    <t xml:space="preserve"> </t>
  </si>
  <si>
    <t>014 INSTRUMENTO DE AUTOEVALUACIÓN -  DOCENTE RESPONSABLE ACTIVIDAD  DE VINCULACIÓN</t>
  </si>
  <si>
    <t>Rol:</t>
  </si>
  <si>
    <t xml:space="preserve"> Docente responsable actividad de vinculación</t>
  </si>
  <si>
    <t>Tipo de instrumento:</t>
  </si>
  <si>
    <t>Autoevaluación</t>
  </si>
  <si>
    <t>Informante:</t>
  </si>
  <si>
    <t>Propio docente</t>
  </si>
  <si>
    <t>Periodicidad:</t>
  </si>
  <si>
    <t xml:space="preserve">Semestral </t>
  </si>
  <si>
    <t>Ponderación:</t>
  </si>
  <si>
    <t>ESCALA</t>
  </si>
  <si>
    <t xml:space="preserve">No. </t>
  </si>
  <si>
    <t>Comportamientos</t>
  </si>
  <si>
    <t>Pesos</t>
  </si>
  <si>
    <t>No desarrollado </t>
  </si>
  <si>
    <r>
      <t>En progreso</t>
    </r>
    <r>
      <rPr>
        <sz val="12"/>
        <color theme="0"/>
        <rFont val="Calibri"/>
        <family val="2"/>
        <scheme val="minor"/>
      </rPr>
      <t> </t>
    </r>
  </si>
  <si>
    <r>
      <t>Eficaz</t>
    </r>
    <r>
      <rPr>
        <sz val="12"/>
        <color theme="0"/>
        <rFont val="Calibri"/>
        <family val="2"/>
        <scheme val="minor"/>
      </rPr>
      <t> </t>
    </r>
  </si>
  <si>
    <r>
      <t>Sobresaliente</t>
    </r>
    <r>
      <rPr>
        <sz val="12"/>
        <color theme="0"/>
        <rFont val="Calibri"/>
        <family val="2"/>
        <scheme val="minor"/>
      </rPr>
      <t> </t>
    </r>
  </si>
  <si>
    <t>Planificar y organizar</t>
  </si>
  <si>
    <t xml:space="preserve">Diseño y  propongo actividades, programas  y/o proyectos de vinculación con objetivos claros y alcanzables , alineados a la estrategia de la Institución . </t>
  </si>
  <si>
    <t>Capacidad de seguimiento y monitoreo</t>
  </si>
  <si>
    <t>Planifico mis acciones y  las de mi  equipo de trabajo, considerando las necesidades de los grupos de interés internos y externos.</t>
  </si>
  <si>
    <t>Monitoreo y doy seguimiento al avance de los proyectos y programas de vinculación asignados, validando que se cumpla con las actividades, cronogramas y recursos planificados.</t>
  </si>
  <si>
    <t>Realizo el seguimiento del servicio brindado a las personas usuarias, tanto internas como externas con la finalidad de obtener retroalimentación para cumplir con los parámetros preestablecidos.</t>
  </si>
  <si>
    <t>Pensamiento estratégico</t>
  </si>
  <si>
    <t xml:space="preserve">Genero alianzas con otras áreas, unidades académicas  o instituciones para facilitar el logro de los resultados. </t>
  </si>
  <si>
    <t>Comunicación efectiva</t>
  </si>
  <si>
    <t xml:space="preserve"> Me comunico de manera clara y concisa con los diferentes actores involucrados  en el cumplimiento de los objetivos de los proyectos, actividades o programas de vinculación a su cargo.</t>
  </si>
  <si>
    <t>Proactividad</t>
  </si>
  <si>
    <t>Busco activamente oportunidades de mejora y planteo soluciones, acorde a las necesidades de la comunidad, sociedad y grupos de atención prioritaria.</t>
  </si>
  <si>
    <t>Aprendizaje continuo bidireccional</t>
  </si>
  <si>
    <t>Diseño y aplico métodos  de la transferencia de valores, actitudes y  conocimientos  innovadores, multidiscplinarios y colaborativos que generen un impacto en el desarrollo humano, social y económico  de los grupos de interés de la PUCE.</t>
  </si>
  <si>
    <t>TOTAL PESO PORCENTAJE</t>
  </si>
  <si>
    <t>015 INSTRUMENTO DE HETEROEVALUACIÓN  DEL DIRECTIVO  ENTIDAD ACADEMICA/CARRERA AL  DOCENTE RESPONSABLE DE LA ACTIVIDAD DE VINCULACIÓN</t>
  </si>
  <si>
    <r>
      <t>En progreso</t>
    </r>
    <r>
      <rPr>
        <sz val="12"/>
        <color theme="0"/>
        <rFont val="Calibri"/>
        <family val="2"/>
      </rPr>
      <t> </t>
    </r>
  </si>
  <si>
    <r>
      <t>Eficaz</t>
    </r>
    <r>
      <rPr>
        <sz val="12"/>
        <color theme="0"/>
        <rFont val="Calibri"/>
        <family val="2"/>
      </rPr>
      <t> </t>
    </r>
  </si>
  <si>
    <r>
      <t>Sobresaliente</t>
    </r>
    <r>
      <rPr>
        <sz val="12"/>
        <color theme="0"/>
        <rFont val="Calibri"/>
        <family val="2"/>
      </rPr>
      <t> </t>
    </r>
  </si>
  <si>
    <t xml:space="preserve">Diseña y propone actividades, programas y/o proyectos de vinculación que integren la docencia y la investigación, alineados con la estrategia institucional y el perfil de egreso del estudiante, para fortalecer su formación académica. </t>
  </si>
  <si>
    <t>Planifica sus acciones y  de su equipo de trabajo, considerando las necesidades de los grupos de interés internos y externos.</t>
  </si>
  <si>
    <t>Monitorea, evalúa y ajusta el avance de los proyectos y programas de vinculación asignados, validando el cumplimiento de actividades, cronogramas y uso eficiente de los recursos planificados.</t>
  </si>
  <si>
    <t>Supervisa y optimiza la calidad del servicio brindado por su equipo de trabajo (docentes y estudiantes) a los grupos de interés con  el cumplimiento de los estándares preestablecidos y la retroalimentación para la mejora continua.</t>
  </si>
  <si>
    <t xml:space="preserve">Genera alianzas con otras áreas, unidades académicas  o instituciones para
facilitar el logro de los resultados dentro del proyecto o actividad de vinculación. </t>
  </si>
  <si>
    <t xml:space="preserve"> Facilita espacios de diálogo e intercambio de información con los diferentes actores involucrados para el trabajo colaborativo y la toma de decisiones conjunta en los proyectos y programas de vinculación  que participa</t>
  </si>
  <si>
    <t>Busca activamente oportunidades de mejora y plantea soluciones, acorde a las necesidades la comunidad, sociedad y grupos de atención prioritaria.</t>
  </si>
  <si>
    <t xml:space="preserve">Diseña y aplica métodos de transferencia de conocimientos innovadores, multidiscplinarios y colaborativos que generen un impacto en el desarrollo humano, social y económico  de los grupos de interés de la PUCE </t>
  </si>
  <si>
    <t>016 INSTRUMENTO DE HETEROEVALUACION - DOCENTE RESPONSABLE DE LA ACTIVIDAD DE VINCULACIÓN (Unicamente NRC asociados a vinculación)</t>
  </si>
  <si>
    <t>Heteroevaluación</t>
  </si>
  <si>
    <t>Estudiantes</t>
  </si>
  <si>
    <t>semestral</t>
  </si>
  <si>
    <t>AREAS</t>
  </si>
  <si>
    <t>Las actividades planteadas por el docente en el proyecto tienen relación con mi formación académica y aportan a mi desarrollo profesional y personal.</t>
  </si>
  <si>
    <t xml:space="preserve">El docente facilita espacios de reflexión situada donde relaciona el sistema de valores PUCE con el proceso de aprendizaje desarrollado en el proyecto </t>
  </si>
  <si>
    <t>El docente dio seguimiento y retroalimentó  las actividades de campo de acuerdo con lo programado en el proyecto.</t>
  </si>
  <si>
    <t>El docente establece criterios de evaluación claros que fueron comunicados en clases.</t>
  </si>
  <si>
    <t>Manejo de relaciones interpersonales-</t>
  </si>
  <si>
    <t>El docente mantiene un trato igualitario, sin preferencias y sin establecer ninguna forma de coacción por su rol.</t>
  </si>
  <si>
    <t>Metodología</t>
  </si>
  <si>
    <t>El docente se comunica de manera clara y efectiva con los estudiantes y con la comunidad, utilizando un lenguaje accesible y fácil de entender.</t>
  </si>
  <si>
    <t xml:space="preserve"> El docente es empático, capaz de comprender, valorar las diferencias culturales y respetar las perspectivas y tradiciones de sus estudiantes y de la comunidad.</t>
  </si>
  <si>
    <t>Creatividad</t>
  </si>
  <si>
    <t>El docente fomenta la autonomía y la iniciativa propia, posibilitando la toma de decisiones y la asunción de responsabilidades dentro del proyecto.</t>
  </si>
  <si>
    <t>Conocimiento</t>
  </si>
  <si>
    <t xml:space="preserve">El docente guía y supervisa la construcción de materiales de apoyo que faciliten la ejecución del proyecto de conformidad con lo planificado. </t>
  </si>
  <si>
    <t>El docente establece metas y objetivos claros para el proyecto y los comunica oportunamente.</t>
  </si>
  <si>
    <t>017 INSTRUMENTO DE HETEROEVALUACION DE DIRECCIÓN DE INVESTIGACIÓN, VINCULACIÓN E INNOVACIÓN AL  DOCENTE RESPONSABLE DE LA ACTIVIDAD DE VINCULACIÓN</t>
  </si>
  <si>
    <t>Dirección de Investigación, Vinculación e Innovación</t>
  </si>
  <si>
    <t>Las actividades planteadas por el docente en el proyecto tienen relación con la formación académica de los estudiantes y aportan a su desarrollo profesional y personal</t>
  </si>
  <si>
    <t xml:space="preserve">Diseña y propone actividades, programas  y/o proyectos de vinculación con objetivos claros y ancanzables , alineados a la estrategia de la Institución . </t>
  </si>
  <si>
    <t>Planifica sus acciones y  la de sus estudiantes, considerando las necesidades de los grupos de interés internos y externos.</t>
  </si>
  <si>
    <t>Monitorea y da seguimiento al avance de los proyectos y programas de vinculación asignados, validando que se cumpla con las actividades, cronogramas y recursos planificados.</t>
  </si>
  <si>
    <t xml:space="preserve">Genera alianzas con otras áreas, unidades académicas  o instituciones para
facilitar el logro de los resultados. </t>
  </si>
  <si>
    <t xml:space="preserve"> Se comunica de manera clara y concisa con los diferentes actores involucrados  en el cumplimiento de los objetivos de los proyectos, actividades o programas de vinculación a su cargo </t>
  </si>
  <si>
    <t>Heteroevaluación del Jefe inmediato</t>
  </si>
  <si>
    <t xml:space="preserve">Coordinador de carrera  / Responsable segumiento actividades de vinculación </t>
  </si>
  <si>
    <t>Heteroevaluación  del Jefe inmediato</t>
  </si>
  <si>
    <t>Ajustado</t>
  </si>
  <si>
    <t>Nuevo</t>
  </si>
  <si>
    <t>Se mantiene</t>
  </si>
  <si>
    <t>COORDINADOR DE CARRERA O DOCENTE RESPONSABLE SEGUIMIENTO ENTIDAD ACADEMICA</t>
  </si>
  <si>
    <t>001 INSTRUMENTO DE AUTOEVALUACIÓN - DOCENTE</t>
  </si>
  <si>
    <t>El propio docente</t>
  </si>
  <si>
    <t>Comparto mis conocimientos con disposición y claridad a través de metodologías participativas, didácticas e  innovadoras que facilitan el aprendizaje de mis estudiantes</t>
  </si>
  <si>
    <t>Guío y superviso los resultados de aprendizaje alcanzados por mis estudiantes, a través de exámenes, pruebas, trabajos y otras diferentes formas de evaluación.</t>
  </si>
  <si>
    <t>Identifico a tiempo a los  estudiantes que necesitan apoyo adicional y desarrollo planes de acción para atender sus necesidades.</t>
  </si>
  <si>
    <t>Mantengo  un trato igualitario, sin preferencias y sin establecer ninguna forma de  coacción sobre mis estudiantes</t>
  </si>
  <si>
    <t>Me comunico de manera clara y efectiva con los estudiantes, utilizando un lenguaje accesible y fácil de entender.</t>
  </si>
  <si>
    <t>Promuevo la consecución  de metas comunes y fomento un clima de colaboración, participación y respeto, con mis estudiantes, compañeros y autoridades</t>
  </si>
  <si>
    <t>Selecciono y modifico recursos o contenidos físicos o digitales que me permitan cumplir los Resultados de Aprendizaje y enriquecer el proceso de enseñanza.</t>
  </si>
  <si>
    <t>Propongo e implemento nuevas  propuestas de trabajo  afines a mis actividades asignadas, generando valor agregado al entorno.</t>
  </si>
  <si>
    <t xml:space="preserve">Minuciosidad </t>
  </si>
  <si>
    <t>Analizo cautelosamente los materiales de enseñanza que utilizo en clase, asegurándome que estén actualizados, que sean relevantes para el tema que se va a tratar y el grupo de estudiantes a los que se va a dirigir.</t>
  </si>
  <si>
    <t>Elaboro cuidadosamente los criterios de evaluación a mis estudiantes, identificando fortalezas y debilidades individuales y colectivas, con base en los resultados de aprendizaje planteados para ajustar su enseñanza en relación a las mismas.</t>
  </si>
  <si>
    <t>Adaptabilidad al cambio</t>
  </si>
  <si>
    <t>Soy receptivo a la retroalimentación de mis estudiantes , pares o autoridades, y adapto mi  metodología de acuerdo a sus sugerencias para mejorar su enseñanza y acoplarme a sus necesidades.</t>
  </si>
  <si>
    <t>Autonomía</t>
  </si>
  <si>
    <t>Soy capaz de tomar decisiones, planificar y organizar mi trabajo de manera independiente, dentro del marco regulatorio genera de la PUCE, adecuando estrategias en relación a la situación.</t>
  </si>
  <si>
    <t>Tratamiento de la información y medios</t>
  </si>
  <si>
    <t>Integro de manera crítica y responsable las tecnologías digitales requeridas  dentro de sus clases, fomentando el desarrollo de la competencia digital en el proceso de enseñanza aprendizaje de mis estudiantes</t>
  </si>
  <si>
    <t>Selecciono, modifico y creo recursos educativos digitales  que enriquecen el proceso de aprendizaje en mis estudiantes</t>
  </si>
  <si>
    <t xml:space="preserve">002 INSTRUMENTO DE COEVALUACIÓN - PARES A LA DOCENCIA/ DOC. ABP/DOC. EN SERVICIO </t>
  </si>
  <si>
    <t>Docente</t>
  </si>
  <si>
    <r>
      <t xml:space="preserve">Tipo de instrumento: </t>
    </r>
    <r>
      <rPr>
        <sz val="11"/>
        <color theme="1"/>
        <rFont val="Calibri"/>
        <family val="2"/>
      </rPr>
      <t>Coevaluación</t>
    </r>
  </si>
  <si>
    <t>Coevaluador Par o Comisión de evaluación</t>
  </si>
  <si>
    <r>
      <t xml:space="preserve">Periodicidad: </t>
    </r>
    <r>
      <rPr>
        <sz val="11"/>
        <color theme="1"/>
        <rFont val="Calibri"/>
        <family val="2"/>
      </rPr>
      <t>Semestral</t>
    </r>
  </si>
  <si>
    <r>
      <t xml:space="preserve">Ponderación: </t>
    </r>
    <r>
      <rPr>
        <sz val="11"/>
        <color theme="1"/>
        <rFont val="Calibri"/>
        <family val="2"/>
      </rPr>
      <t>20%</t>
    </r>
  </si>
  <si>
    <t>Número</t>
  </si>
  <si>
    <t>Comportamiento observable</t>
  </si>
  <si>
    <t>PESO</t>
  </si>
  <si>
    <t>Mantiene  un trato igualitario, sin preferencias y sin establecer ninguna forma de  coacción en los estudiantes de la asignatura</t>
  </si>
  <si>
    <t>Comunica asertivamente a sus estudiantes utilizando un lenguaje accesible, de fácil entendimiento, alineado a la dinámica y complejidad de la asignatura monitoreada</t>
  </si>
  <si>
    <t>Fomenta un ambiente de colaboración, participación, respeto y diálogo, con y entre los estudiantes</t>
  </si>
  <si>
    <t>Comparte sus conocimientos a través de una metodología  estructurada y clara, durante la sesion observada</t>
  </si>
  <si>
    <t>Utiliza materiales, recursos innovadores y fuentes actuales, e incluso información en otro idioma, si fuera pertinente para enriquecer el contenido docente  evidenciado en el aula o el syllabus de la asignatura</t>
  </si>
  <si>
    <t>Establece prioridades y remarca las temáticas o contenidos más importantes  a transmitirse</t>
  </si>
  <si>
    <t>Escucha, interactua y solventa dudas e inquietudes de los estudiantes</t>
  </si>
  <si>
    <t>El docente adapta  su metodología de acuerdo a  las necesidades de aprendizaje, infraestructura y tecnológicas</t>
  </si>
  <si>
    <t>Inteligencia cultural</t>
  </si>
  <si>
    <t>Promueve un ambiente de respeto en el aula sin importar la religión, cultura, creencias o preferencias</t>
  </si>
  <si>
    <t>Diseña experiencias de aprendizaje  dinámicas a través del manejo de  herramientas y recursos digitales en el aula.</t>
  </si>
  <si>
    <t>Pensamiento crítico</t>
  </si>
  <si>
    <t xml:space="preserve">Implementa actividades o espacios que fomentan la reflexión y el cuestionamiento fundamentado </t>
  </si>
  <si>
    <t xml:space="preserve">Promueve la investigación y experimentación en la clase observada </t>
  </si>
  <si>
    <t>003 INSTRUMENTO DE COEVALUACIÓN - COORDINADOR DEL  CEV</t>
  </si>
  <si>
    <t>Coevaluación coordinador CEV/PUCETEC Coordinador Carrera</t>
  </si>
  <si>
    <t>Evaluadores aulas virtuales</t>
  </si>
  <si>
    <t>Semestral</t>
  </si>
  <si>
    <t>RUBRICA PROPUESTA DITH</t>
  </si>
  <si>
    <t>Actividad Asociada</t>
  </si>
  <si>
    <t>Cumplimiento óptimo</t>
  </si>
  <si>
    <t>Nivel importante de  cumplimiento</t>
  </si>
  <si>
    <t xml:space="preserve"> Cumplimiento Mínimo</t>
  </si>
  <si>
    <t>No cumplimiento</t>
  </si>
  <si>
    <t>Se utilizan recursos y materiales didácticos variados, de alta calidad e inherentes al contenido de la materia. (al menos tres tipos de actividades)</t>
  </si>
  <si>
    <t>Del 76% al 100% de las actividades planteadas utilizan recursos y materiales didácticos</t>
  </si>
  <si>
    <t>Del 51% al 75% de las actividades planteadas utilizan recursos y materiales didácticos</t>
  </si>
  <si>
    <t>Del 26% al 50% de las actividades planteadas utilizan recursos y materiales didácticos</t>
  </si>
  <si>
    <t>De 0% al 25% de las actividades planteadas utilizan recursos y materiales didáctico</t>
  </si>
  <si>
    <t xml:space="preserve">Capacidad de seguimiento y monitoreo
</t>
  </si>
  <si>
    <t xml:space="preserve">Se evidencia la elaboración y aplicación de instrumentos de evaluación con instrucciones claras </t>
  </si>
  <si>
    <t>Del 76% al 100% de instrumentos de evaluación   son claros y relacionados con el resultado de aprendizaje</t>
  </si>
  <si>
    <t>Del 51% al 75% de instrumentos de evaluación   son claros y relacionados con el resultado de aprendizaje</t>
  </si>
  <si>
    <t>Del 26 el 50% de instrumentos de evaluación   son claros y relacionados con el resultado de aprendizaje</t>
  </si>
  <si>
    <t xml:space="preserve">De 0 al 25% de instrumentos de evaluación   son claros y relacionados con el resultado de aprendizaje </t>
  </si>
  <si>
    <t>Minuciosidad</t>
  </si>
  <si>
    <t>Se evidencia  la  configuración  de contenidos de aprendizaje   de manera estructurada</t>
  </si>
  <si>
    <t xml:space="preserve"> Los contenidos de aprendizaje se encuentran configurados de manera estructurada  del 76 al 100% </t>
  </si>
  <si>
    <t xml:space="preserve">Los contenidos de aprendizaje se encuentran configurados de manera estructurada del  51 al 75% </t>
  </si>
  <si>
    <t xml:space="preserve">Los contenidos de aprendizaje se encuentran configurados de manera estructurada del 26 al 50% </t>
  </si>
  <si>
    <t xml:space="preserve">Los contenidos de aprendizaje se encuentran configurados de manera estructurada del 0 al 25% </t>
  </si>
  <si>
    <t xml:space="preserve"> Se evidencia la configuración de la libreta de calificaciones de acuerdo con el modelo educativo rediseño o repotenciación</t>
  </si>
  <si>
    <t xml:space="preserve">Del 76 al 100% de las actividades evaluadas tienen registradas sus calificaciones en las fechas establecidas </t>
  </si>
  <si>
    <t xml:space="preserve">Del 51 al 75% de las actividades evaluadas tienen registradas sus calificaciones en las fechas establecidas </t>
  </si>
  <si>
    <t xml:space="preserve">Del 26 al 50% de las actividades evaluadas tienen registradas sus calificaciones en las fechas establecidas </t>
  </si>
  <si>
    <t xml:space="preserve">Del 0 al 25% de las actividades evaluadas tienen registradas sus calificaciones en las fechas establecidas </t>
  </si>
  <si>
    <t xml:space="preserve">Se evidencia  retroalimentación de las actividades planteadas </t>
  </si>
  <si>
    <t xml:space="preserve">Del 76 al 100% de las actividades evaluadas  evidencian retroalimentación máximo una semana después de asignada </t>
  </si>
  <si>
    <t xml:space="preserve">Del 51 al 75% de las actividades evaluadas se evidencia retroalimentación máximo una semana después de asignada </t>
  </si>
  <si>
    <t xml:space="preserve">Del 0 al 25% de las actividades evaluadas se evidencia retroalimentación máximo una semana después de asignada </t>
  </si>
  <si>
    <t>004 INSTRUMENTO DE HETEROEVALUACION - DOCENTE</t>
  </si>
  <si>
    <t xml:space="preserve">Docencia / tutoría académica </t>
  </si>
  <si>
    <t>El docente comparte sus conocimientos con disposición y claridad a través de metodologías participativas, didácticas e  innovadoras que facilitan el aprendizaje.</t>
  </si>
  <si>
    <t>El docente genera y aprovecha espacios para compartir experiencias  que faciliten la comprensión de los conocimientos compartidos.</t>
  </si>
  <si>
    <t>El docente guía y supervisa los resultados de aprendizaje alcanzados por sus estudiantes, a través de exámenes, pruebas, trabajos y otras diferentes formas de evaluación.</t>
  </si>
  <si>
    <t>El docente identifica a tiempo estudiantes que necesitan apoyo adicional y desarrolla planes de acción para atender sus necesidades.</t>
  </si>
  <si>
    <t>El docente utiliza técnicas de retroalimentación efectiva para brindar a los estudiantes información sobre su desempeño y áreas de mejora.</t>
  </si>
  <si>
    <t>El docente mantiene un trato igualitario, sin preferencias y sin establecer ninguna forma de  coacción por su rol.</t>
  </si>
  <si>
    <t>El docente se comunica de manera clara y efectiva con los estudiantes, utilizando un lenguaje accesible y fácil de entender.</t>
  </si>
  <si>
    <t xml:space="preserve"> El docente es empático y capaz de comprender y valorar las diferencias culturales e ideales y respeta las perspectivas y tradiciones de sus estudiantes.</t>
  </si>
  <si>
    <t>El docente selecciona y modifica recursos o contenidos físicos o digitales y estrategias que le permitan cumplir los Resultados de Aprendizaje para enriquecer el proceso de enseñanza.</t>
  </si>
  <si>
    <t>El docente promueve la curiosidad y la exploración en los estudiantes, alentándolos a investigar y experimentar en el proceso de aprendizaje.</t>
  </si>
  <si>
    <t>El docente analiza cautelosamente los materiales de enseñanza que utilizará en clase, asegurándose que estén actualizados, que sean relevantes para el tema que se va a tratar y el grupo de estudiantes a los que se va a dirigir.</t>
  </si>
  <si>
    <t>El docente elabora cuidadosamente los criterios de evaluación de los estudiantes, identificando fortalezas y debilidades individuales y colectivas, con base en los resultados de aprendizaje planteados para ajustar su enseñanza en relación a las mismas.</t>
  </si>
  <si>
    <t>El docente es receptivo a la retroalimentación de sus estudiantes y pares, y adapta su metodología de acuerdo a sus sugerencias utilizarla para mejorar su enseñanza y adaptarse a las necesidades.</t>
  </si>
  <si>
    <t>El docente actualiza y ajusta la clase de acuerdo a las novedades científicas y pedagógicas emergentes, toma decisiones eficaces en situaciones cambiantes y complejas, basándose en su conocimiento y experiencia.</t>
  </si>
  <si>
    <t>El docente integra de manera crítica y responsable las tecnologías digitales requeridas  dentro de sus clases, fomentando el desarrollo de la competencia digital en el proceso de enseñanza aprendizaje</t>
  </si>
  <si>
    <t>El docente  selecciona, modifica y crea recursos educativos digitales  que enriquecen el proceso de aprendizaje</t>
  </si>
  <si>
    <t>005  INSTRUMENTO DE AUTOEVALUACIÓN - DOCENTE EN SERVICIO/DOCENTE ABP</t>
  </si>
  <si>
    <t>20% (ABP)- 30(servicio)</t>
  </si>
  <si>
    <r>
      <t>En progreso</t>
    </r>
    <r>
      <rPr>
        <sz val="10"/>
        <color theme="0"/>
        <rFont val="Calibri"/>
        <family val="2"/>
        <scheme val="minor"/>
      </rPr>
      <t> </t>
    </r>
  </si>
  <si>
    <r>
      <t>Eficaz</t>
    </r>
    <r>
      <rPr>
        <sz val="10"/>
        <color theme="0"/>
        <rFont val="Calibri"/>
        <family val="2"/>
        <scheme val="minor"/>
      </rPr>
      <t> </t>
    </r>
  </si>
  <si>
    <r>
      <t>Sobresaliente</t>
    </r>
    <r>
      <rPr>
        <sz val="10"/>
        <color theme="0"/>
        <rFont val="Calibri"/>
        <family val="2"/>
        <scheme val="minor"/>
      </rPr>
      <t> </t>
    </r>
  </si>
  <si>
    <t>Comparto mis conocimientos y/o facilito la generación de los mismos  de manera clara y accesible a través del uso de metodologías participativas, didácticas que faciliten el proceso de enseñanza y aprendizaje</t>
  </si>
  <si>
    <t>Genero espacios y oportunidades para compartir experiencias y conocimientos que fortalezcan el crecimiento institucional.</t>
  </si>
  <si>
    <t>Guío y superviso los resultados de aprendizaje de mis estudiantes a través de exámenes, pruebas, trabajos y otras formas de evaluación.</t>
  </si>
  <si>
    <t>Atiendo dudas  e Identifico oportunamente  necesidades de aprendizaje de mis estudiantes  para quienes brindo  apoyo adicional  y desarrollo planes de acción específicos</t>
  </si>
  <si>
    <t>Utilizo técnicas de retroalimentación efectiva para brindar a los estudiantes información sobre su desempeño y áreas de mejor.</t>
  </si>
  <si>
    <t>Elaboro y presento a mis estudiantes los criterios de evaluación oportunamente, basándome en sus resultados de aprendizaje.</t>
  </si>
  <si>
    <t>Manejo de relaciones interpersonales</t>
  </si>
  <si>
    <t>Mantengo un trato respetuoso e  igualitario con las personas de mi entorno, sin establecer ninguna forma de coacción por mi rol.</t>
  </si>
  <si>
    <t>Me comunico de manera clara y efectiva con las personas de mi entorno (docentes, estudiantes, directivos y usuarios externos)</t>
  </si>
  <si>
    <t>Soy respetuoso y ético en mis relaciones interpersonales (estudiantes, pares, directivos y usuarios externos)</t>
  </si>
  <si>
    <t>Selecciono y adapto recursos físicos o digitales, estrategias y actividades prácticas que me permitan cumplir con los resultados de aprendizaje requeridos</t>
  </si>
  <si>
    <t>Promuevo la curiosidad y la investigación en los estudiantes, alentándolos a comprender la realidad para generar nuevos aprendizaje.</t>
  </si>
  <si>
    <t>Soy receptivo a la retroalimentación de estudiantes, pares y directivos, y adapto mi metodología en función de las sugerencias, avances científicos y pedagógicos para mejorar el proceso de enseñanza y aprendizaje.</t>
  </si>
  <si>
    <t>006 INSTRUMENTO DE HETEROEVALUACION  ABP- DOCENTE</t>
  </si>
  <si>
    <t>Heteroevaluación ABP</t>
  </si>
  <si>
    <t>Estudiante ABP</t>
  </si>
  <si>
    <t>El docente comparte sus conocimientos a través de metodologías participativas, didácticas e innovadoras que facilitan el aprendizaje.</t>
  </si>
  <si>
    <t>El docente genera y aprovecha espacios para compartir experiencias que faciliten la comprensión de los conocimientos compartidos.</t>
  </si>
  <si>
    <t>El docente guía y supervisa los resultados de aprendizaje de sus estudiantes, a través de exámenes, pruebas, trabajos y otras formas de evaluación.</t>
  </si>
  <si>
    <t>El docente elabora los criterios de evaluación de los estudiantes, identificando fortalezas y debilidades individuales y grupales, con base en los resultados de aprendizaje planteados para ajustar su enseñanza en relación a estos.</t>
  </si>
  <si>
    <t xml:space="preserve"> El docente es empático, capaz de comprender y valorar diferencias culturales respetando las perspectivas y tradiciones de sus estudiantes.</t>
  </si>
  <si>
    <t>El docente selecciona y modifica recursos o contenidos físicos o digitales y estrategias que le permitan cumplir los Resultados de Aprendizaje.</t>
  </si>
  <si>
    <t>El docente revisa los materiales de enseñanza, asegurándose que sean actualizados, relevantes para el tema y el grupo al que se va a dirigir.</t>
  </si>
  <si>
    <t>El docente es receptivo a la retroalimentación y adapta su metodología de acuerdo a sus sugerencias y necesidades para mejorar su enseñanza.</t>
  </si>
  <si>
    <t>El docente actualiza y ajusta la clase de acuerdo a novedades científicas y pedagógicas, es eficaz en situaciones cambiantes y complejas.</t>
  </si>
  <si>
    <t>007 INSTRUCTIVO DE HETEROEVALUACIÓN AL DOCENTE EN SERVICIO</t>
  </si>
  <si>
    <t>El docente comparte los conocimientos con disposición y claridad a través de metodologías participativas, didácticas e  innovadoras que facilitan el aprendizaje.</t>
  </si>
  <si>
    <t>El docente genera y aprovecha espacios y oportunidades para compartir experiencias  que faciliten la comprensión de los conocimientos compartidos.</t>
  </si>
  <si>
    <t>El docente guía y supervisa al estudiante en los horarios durante la jornada establecida.</t>
  </si>
  <si>
    <t>El docente atiende dudas o necesidades de aprendizaje que los estudiantes tienen durante sus actividades prácticas.</t>
  </si>
  <si>
    <t>El docente comparte de manera oportuna, la normativa, lineamientos y mecanismos de evaluación de las actividades prácticas.</t>
  </si>
  <si>
    <t>El docente mantiene un trato respetuoso, sin preferencias y sin establecer ninguna forma de  coacción por su rol.</t>
  </si>
  <si>
    <t>El docente se comunica de manera clara y efectiva con los estudiantes.</t>
  </si>
  <si>
    <t xml:space="preserve">El docente es respetuoso y ético en sus relaciones interpersonales (usuario/paciente y otros colaboradores) durante las actividades prácticas.  </t>
  </si>
  <si>
    <t xml:space="preserve">El docente selecciona y adapta recursos,  contenidos físicos o digitales y estrategias que le permitan cumplir con los resultados de aprendizaje durante las actividades prácticas. </t>
  </si>
  <si>
    <t>El docente promueve y facilita actividades prácticas para la adquisición y el desarollo de destrezas y habilidades en el estudiante, acorde a resultados de aprendizaje.</t>
  </si>
  <si>
    <t>008 INSTRUMENTO DE AUTOEVALUACIÓN - DOCENTE POSGRADO</t>
  </si>
  <si>
    <t xml:space="preserve">Docente posgrado </t>
  </si>
  <si>
    <t>Ejecuto y aplico actividades de trabajo autónomo coherentes con los contenidos y preveo el tiempo adecuado para cumplirlas.</t>
  </si>
  <si>
    <t>Establezco canales efectivos de comunicación para el acompañamiento de mis estudianes durante el proceso educativo</t>
  </si>
  <si>
    <t>Promuevo la consecución  de metas comunes y fomento un clima de colaboración, participación y respeto con mis estudiantes, compañeros y autoridades</t>
  </si>
  <si>
    <t>Soy capaz de tomar decisiones, planificar y organizar mi trabajo de manera independiente, dentro del marco regulatorio general de la PUCE, adecuando estrategias en relación a la situación.</t>
  </si>
  <si>
    <t>Integro de manera crítica y responsable las tecnologías digitales requeridas  dentro de mis clases, fomentando el desarrollo de la competencia digital en el proceso de enseñanza aprendizaje de mis estudiantes</t>
  </si>
  <si>
    <t>Conozco y utilizo la plataforma virtual con soltura y de manera proactiva.</t>
  </si>
  <si>
    <t xml:space="preserve">9 INSTRUMENTO DE HETEROEVALUACION - DOCENTE POSGRADO </t>
  </si>
  <si>
    <t>Estudiante</t>
  </si>
  <si>
    <t>El docente ejecuta y aplica las actividades de trabajo autónomo coherentes con los contenidos y prevee el tiempo adecuado para cumplirlas</t>
  </si>
  <si>
    <t>El docente es receptivo a la retroalimentación de sus estudiantes y pares, y adapta su metodología de acuerdo a sus sugerencias  para mejorar su enseñanza y adaptarse a las necesidades.</t>
  </si>
  <si>
    <t>El docente integra de manera crítica y responsable las tecnologías digitales requeridas  dentro de sus clases, fomentando el desarrollo de la competencia digital en el proceso de enseñanza aprendizaje.</t>
  </si>
  <si>
    <t>El docente, conoce y utiliza herramientas de la plataforma con soltura y de manera  proactiva y consigue los resultados de aprendizaje en el aula virtual</t>
  </si>
  <si>
    <t xml:space="preserve">010 INSTRUMENTO DE AUTOEVALUACIÓN - INVESTIGADOR </t>
  </si>
  <si>
    <t>Investigador</t>
  </si>
  <si>
    <t>El propio investigador</t>
  </si>
  <si>
    <t xml:space="preserve">Inicial </t>
  </si>
  <si>
    <t>Medio</t>
  </si>
  <si>
    <t>Alto</t>
  </si>
  <si>
    <t>Innovación</t>
  </si>
  <si>
    <t>Propongo nuevas ideas que aportan a perfeccionar o mejorar las actividades de investigación que realizo.</t>
  </si>
  <si>
    <t>25</t>
  </si>
  <si>
    <t>Planificar y  organizar</t>
  </si>
  <si>
    <t>Planifico mis actividades de investigación de acuerdo con los recursos y plazos disponibles para alcanzar las metas propuestas.</t>
  </si>
  <si>
    <t>Entrego los productos cumpliendo los plazos y  requisitos establecidos de acuerdo con la planificación de las actividades de investigación.</t>
  </si>
  <si>
    <t xml:space="preserve"> Autonomía</t>
  </si>
  <si>
    <t>Realizo las actividades planificadas/programadas de forma autónoma sin requerir supervisión.</t>
  </si>
  <si>
    <t>100</t>
  </si>
  <si>
    <t>011 INSTRUMENTO DE HETEROEVALUACIÓN - Dirección de Investigación al Investigador</t>
  </si>
  <si>
    <t>Heteroevaluación del directivo</t>
  </si>
  <si>
    <t>Dirección de investigación</t>
  </si>
  <si>
    <t>Pensamiento estratégico (Transferencia de resultados)</t>
  </si>
  <si>
    <t>Identifica mecanismos para la transferencia de resultados de investigación a públicos estratégicos.</t>
  </si>
  <si>
    <t>Promueve alianzas estratégicas internas y externas para ampliar el alcance de los resultados de investigación.</t>
  </si>
  <si>
    <t>Planificar y Organizar</t>
  </si>
  <si>
    <t>Gestiona los recursos disponibles de manera eficiente respetando los procedimientos establecidos.</t>
  </si>
  <si>
    <t>Presenta informes y resultados de acuerdo con su planificación en calidad y tiempo.</t>
  </si>
  <si>
    <t>Propone actividades de investigación novedosas que aportan a la generación de nuevo conocimiento.</t>
  </si>
  <si>
    <t>012 INSTRUMENTO DE COEVALUACIÓN DEL INVESTIGADOR PAR AL INVESTIGADOR</t>
  </si>
  <si>
    <t>Coevaluación al investigador</t>
  </si>
  <si>
    <t>Investigador par del mismo campo del conocimiento</t>
  </si>
  <si>
    <t>Trabajo en equipo por objetivos</t>
  </si>
  <si>
    <t>A su criterio, el docente utiliza los espacios comunes de investigación de manera respetuosa de acuerdo con los procedimientos establecidos.</t>
  </si>
  <si>
    <t>30</t>
  </si>
  <si>
    <t>Participa en actividades de investigación que promueve la unidad académica/unidad de investigación.</t>
  </si>
  <si>
    <t>20</t>
  </si>
  <si>
    <t>Participa en actividades de divulgación de resultados que promueve la unidad académica/unidad de investigación.</t>
  </si>
  <si>
    <t xml:space="preserve"> TOTAL PESO PORCENTAJE</t>
  </si>
  <si>
    <t>013  INSTRUMENTO DE HETEROEVALUACION - DECANO/COORDINADOR UNIDAD DE INVESTIGACIÓN AL INVESTIGADOR</t>
  </si>
  <si>
    <t>Decano/ coordinador de la unidad de investigación</t>
  </si>
  <si>
    <t>Actividad</t>
  </si>
  <si>
    <t>Comportamientos observables</t>
  </si>
  <si>
    <t>Utiliza los espacios comunes de investigación de manera respetuosa de acuerdo con los procedimientos establecidos.</t>
  </si>
  <si>
    <t>Propone actividades de investigación novedosas que aportan a la generación de nuevo conocimiento y/o a la articulación entre docencia e investigación.</t>
  </si>
  <si>
    <t>016 INSTRUMENTO DE AUTOEVALUACIÓN - DIRECTIVO</t>
  </si>
  <si>
    <t>Directivo</t>
  </si>
  <si>
    <t>Periocidad:</t>
  </si>
  <si>
    <t>No.</t>
  </si>
  <si>
    <t>PROPUESTA FINAL</t>
  </si>
  <si>
    <t xml:space="preserve">Planifico estrategias y actividades  alineadas a las prioridades  y necesidades de mi Unidad Académica y  la institución </t>
  </si>
  <si>
    <t>Fomento la colaboración entre los miembros de la Unidad, empoderándolos,  delegándoles funciones y actividades de importancia, lo que se traduce en un trabajo sinérgico y un alto desempeño colectivo</t>
  </si>
  <si>
    <t>Establezco espacios de diálogo, seguimiento y supervisión que favorece el cumplimiento de resultados,  procesos, actividades y el desarrrollo profesional  del personal a mi cargo</t>
  </si>
  <si>
    <t>Genero alianzas y  colaboro con otras unidades, instituciones o aliados estratégicos para la consecución de resultados de mi Unidad Académica</t>
  </si>
  <si>
    <t>017 INSTRUMENTO DE COEVALUACIÓN - DIRECTIVO AL DIRECTIVO</t>
  </si>
  <si>
    <t>Coevaluación del  directivo</t>
  </si>
  <si>
    <t>Inmediato superior (Director General Académico, decano, director, coordinador, responsable, etc)</t>
  </si>
  <si>
    <t>Competencias anitguo diccionario</t>
  </si>
  <si>
    <t>Comportamiento observable vigente</t>
  </si>
  <si>
    <t xml:space="preserve">Planifica estrategias y actividades  alineadas a las necesidades  de la Unidad Académica y  la Institución </t>
  </si>
  <si>
    <t>Fomenta la colaboración y comunicación entre miembros de su Unidad Académica y autoridades, estableciendo prioridades para la toma de decisiones.</t>
  </si>
  <si>
    <t>Establece espacios de diálogo, seguimiento y supervisión con autoridades,  docentes y estudiantes favoreciendo el cumplimiento de resultados,  procesos,  actividades y su desarrollo profesional.</t>
  </si>
  <si>
    <t>Genero alianzas y  colabora con otras unidades, instituciones o aliados estratégicos para la consecución de resultados de mi Unidad Académica</t>
  </si>
  <si>
    <t>018 INSTRUMENTO DE HETEROEVALUACION - DOCENTE AL DIRECTIVO</t>
  </si>
  <si>
    <t>Coevaluación</t>
  </si>
  <si>
    <t>Docentes</t>
  </si>
  <si>
    <t>Competencia Nuevo Diccionario</t>
  </si>
  <si>
    <t>Comportamiento</t>
  </si>
  <si>
    <t>Planifica estrategias y actividades  alineadas a las necesidades  de la Unidad Académica y  la institución</t>
  </si>
  <si>
    <t>Liderazgo</t>
  </si>
  <si>
    <t>Establece espacios de diálogo, seguimiento y supervisión con  docentes y estudiantes que favorecen el cumplimiento de resultados,  procesos,  actividades.</t>
  </si>
  <si>
    <t>Fomenta la colaboración y la comunicación constante  entre miembros de la Unidad Académica.</t>
  </si>
  <si>
    <t>Genera un buen ambiente de trabajo dentro de la Unidad Académica, fomentando la autonomía, la confianza y gestionando oportunidades de desarrollo para sus docentes</t>
  </si>
  <si>
    <t>Maria
Evaluado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</si>
</sst>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m\-yy;@"/>
    <numFmt numFmtId="165" formatCode="0.0%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9"/>
      <color theme="1"/>
      <name val="Calibri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2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Calibri"/>
      <family val="2"/>
    </font>
    <font>
      <sz val="12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BD1EC"/>
        <bgColor indexed="64"/>
      </patternFill>
    </fill>
    <fill>
      <patternFill patternType="solid">
        <fgColor rgb="FFF6B6A8"/>
        <bgColor indexed="64"/>
      </patternFill>
    </fill>
    <fill>
      <patternFill patternType="solid">
        <fgColor rgb="FFFDFF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3BBEC"/>
        <bgColor indexed="64"/>
      </patternFill>
    </fill>
    <fill>
      <patternFill patternType="solid">
        <fgColor rgb="FFC3EF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F88F"/>
        <bgColor indexed="64"/>
      </patternFill>
    </fill>
    <fill>
      <patternFill patternType="solid">
        <fgColor rgb="FFA4E1C8"/>
        <bgColor indexed="64"/>
      </patternFill>
    </fill>
    <fill>
      <patternFill patternType="solid">
        <fgColor rgb="FFF6879B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F4F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C9C9C9"/>
      </right>
      <top style="thin">
        <color rgb="FF000000"/>
      </top>
      <bottom style="thin">
        <color rgb="FF000000"/>
      </bottom>
      <diagonal/>
    </border>
    <border>
      <left style="thin">
        <color rgb="FFC9C9C9"/>
      </left>
      <right style="thin">
        <color rgb="FFC9C9C9"/>
      </right>
      <top style="thin">
        <color rgb="FF000000"/>
      </top>
      <bottom style="thin">
        <color rgb="FF000000"/>
      </bottom>
      <diagonal/>
    </border>
    <border>
      <left style="thin">
        <color rgb="FFC9C9C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9C9C9"/>
      </right>
      <top style="thin">
        <color rgb="FF000000"/>
      </top>
      <bottom/>
      <diagonal/>
    </border>
    <border>
      <left style="thin">
        <color rgb="FFC9C9C9"/>
      </left>
      <right style="thin">
        <color rgb="FFC9C9C9"/>
      </right>
      <top style="thin">
        <color rgb="FF000000"/>
      </top>
      <bottom/>
      <diagonal/>
    </border>
    <border>
      <left style="thin">
        <color rgb="FFC9C9C9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22" fillId="0" borderId="0"/>
    <xf numFmtId="164" fontId="54" fillId="0" borderId="0"/>
  </cellStyleXfs>
  <cellXfs count="680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/>
    </xf>
    <xf numFmtId="9" fontId="0" fillId="0" borderId="0" xfId="1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9" fontId="9" fillId="4" borderId="1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9" fontId="9" fillId="5" borderId="1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9" fontId="9" fillId="6" borderId="1" xfId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9" fontId="9" fillId="7" borderId="1" xfId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9" fontId="9" fillId="8" borderId="1" xfId="1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9" fontId="9" fillId="10" borderId="1" xfId="1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9" fontId="9" fillId="10" borderId="2" xfId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9" fontId="9" fillId="11" borderId="1" xfId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9" fontId="9" fillId="12" borderId="1" xfId="1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4" xfId="0" applyFont="1" applyFill="1" applyBorder="1" applyAlignment="1">
      <alignment vertical="center" wrapText="1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 vertical="center" wrapText="1"/>
    </xf>
    <xf numFmtId="9" fontId="9" fillId="13" borderId="1" xfId="1" applyFont="1" applyFill="1" applyBorder="1" applyAlignment="1">
      <alignment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horizontal="center" vertical="center" wrapText="1"/>
    </xf>
    <xf numFmtId="0" fontId="14" fillId="0" borderId="0" xfId="2" applyFont="1" applyAlignment="1">
      <alignment vertical="center" wrapText="1"/>
    </xf>
    <xf numFmtId="0" fontId="15" fillId="0" borderId="0" xfId="2" applyFont="1" applyAlignment="1">
      <alignment vertical="center" wrapText="1"/>
    </xf>
    <xf numFmtId="0" fontId="16" fillId="0" borderId="0" xfId="2" applyFont="1" applyAlignment="1">
      <alignment vertical="center" wrapText="1"/>
    </xf>
    <xf numFmtId="2" fontId="17" fillId="0" borderId="0" xfId="2" applyNumberFormat="1" applyFont="1" applyAlignment="1">
      <alignment horizontal="center" vertical="center" wrapText="1"/>
    </xf>
    <xf numFmtId="0" fontId="18" fillId="0" borderId="0" xfId="0" applyFont="1"/>
    <xf numFmtId="0" fontId="16" fillId="0" borderId="0" xfId="2" applyFont="1" applyAlignment="1">
      <alignment horizontal="left" vertical="center" wrapText="1"/>
    </xf>
    <xf numFmtId="2" fontId="17" fillId="0" borderId="0" xfId="2" applyNumberFormat="1" applyFont="1" applyAlignment="1">
      <alignment horizontal="center" vertical="center"/>
    </xf>
    <xf numFmtId="0" fontId="15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2" fontId="19" fillId="0" borderId="0" xfId="2" applyNumberFormat="1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9" fontId="21" fillId="0" borderId="0" xfId="0" applyNumberFormat="1" applyFont="1" applyAlignment="1">
      <alignment horizontal="left" vertical="center" wrapText="1"/>
    </xf>
    <xf numFmtId="9" fontId="22" fillId="0" borderId="0" xfId="0" applyNumberFormat="1" applyFont="1" applyAlignment="1">
      <alignment horizontal="left" vertical="center" wrapText="1"/>
    </xf>
    <xf numFmtId="9" fontId="16" fillId="0" borderId="0" xfId="2" applyNumberFormat="1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3" fillId="14" borderId="14" xfId="0" applyFont="1" applyFill="1" applyBorder="1" applyAlignment="1">
      <alignment horizontal="center" vertical="center" wrapText="1"/>
    </xf>
    <xf numFmtId="0" fontId="23" fillId="14" borderId="15" xfId="0" applyFont="1" applyFill="1" applyBorder="1" applyAlignment="1">
      <alignment horizontal="center" vertical="center" wrapText="1"/>
    </xf>
    <xf numFmtId="0" fontId="23" fillId="14" borderId="16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22" fillId="0" borderId="1" xfId="0" applyFont="1" applyBorder="1"/>
    <xf numFmtId="0" fontId="21" fillId="10" borderId="1" xfId="0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9" fontId="22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right" vertical="center" wrapText="1"/>
    </xf>
    <xf numFmtId="0" fontId="15" fillId="0" borderId="0" xfId="2" applyFont="1" applyAlignment="1">
      <alignment horizontal="center" vertical="center" wrapText="1"/>
    </xf>
    <xf numFmtId="9" fontId="15" fillId="0" borderId="0" xfId="2" applyNumberFormat="1" applyFont="1" applyAlignment="1">
      <alignment horizontal="center" vertical="center" wrapText="1"/>
    </xf>
    <xf numFmtId="2" fontId="15" fillId="0" borderId="0" xfId="2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9" fontId="14" fillId="0" borderId="0" xfId="2" applyNumberFormat="1" applyFont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20" fillId="0" borderId="0" xfId="2" applyFont="1" applyAlignment="1">
      <alignment horizontal="center" vertical="center" wrapText="1"/>
    </xf>
    <xf numFmtId="0" fontId="20" fillId="0" borderId="0" xfId="2" applyFont="1" applyAlignment="1">
      <alignment vertical="center" wrapText="1"/>
    </xf>
    <xf numFmtId="9" fontId="13" fillId="0" borderId="0" xfId="2" applyNumberFormat="1" applyFont="1" applyAlignment="1">
      <alignment horizontal="center" vertical="center" wrapText="1"/>
    </xf>
    <xf numFmtId="2" fontId="13" fillId="0" borderId="0" xfId="2" applyNumberFormat="1" applyFont="1" applyAlignment="1">
      <alignment horizontal="center" vertical="center" wrapText="1"/>
    </xf>
    <xf numFmtId="0" fontId="22" fillId="0" borderId="0" xfId="0" applyFont="1"/>
    <xf numFmtId="0" fontId="13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9" fontId="13" fillId="0" borderId="0" xfId="2" applyNumberFormat="1" applyFont="1" applyAlignment="1">
      <alignment horizontal="center" vertical="center"/>
    </xf>
    <xf numFmtId="2" fontId="13" fillId="0" borderId="0" xfId="2" applyNumberFormat="1" applyFont="1" applyAlignment="1">
      <alignment horizontal="center" vertical="center"/>
    </xf>
    <xf numFmtId="2" fontId="16" fillId="0" borderId="0" xfId="2" applyNumberFormat="1" applyFont="1" applyAlignment="1">
      <alignment horizontal="center" vertical="center" wrapText="1"/>
    </xf>
    <xf numFmtId="0" fontId="30" fillId="0" borderId="0" xfId="2" applyFont="1" applyAlignment="1">
      <alignment vertical="center" wrapText="1"/>
    </xf>
    <xf numFmtId="0" fontId="31" fillId="0" borderId="0" xfId="0" applyFont="1"/>
    <xf numFmtId="0" fontId="32" fillId="0" borderId="0" xfId="0" applyFont="1" applyAlignment="1">
      <alignment vertical="center" wrapText="1"/>
    </xf>
    <xf numFmtId="9" fontId="33" fillId="0" borderId="0" xfId="0" applyNumberFormat="1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4" fillId="15" borderId="4" xfId="0" applyFont="1" applyFill="1" applyBorder="1" applyAlignment="1">
      <alignment horizontal="center" vertical="center" wrapText="1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15" xfId="0" applyFont="1" applyFill="1" applyBorder="1" applyAlignment="1">
      <alignment horizontal="center" vertical="center" wrapText="1"/>
    </xf>
    <xf numFmtId="0" fontId="34" fillId="16" borderId="16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19" xfId="0" applyFont="1" applyFill="1" applyBorder="1" applyAlignment="1">
      <alignment horizontal="center" vertical="center" wrapText="1"/>
    </xf>
    <xf numFmtId="0" fontId="34" fillId="16" borderId="20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12" fillId="0" borderId="1" xfId="2" applyBorder="1" applyAlignment="1">
      <alignment vertical="center" wrapText="1"/>
    </xf>
    <xf numFmtId="0" fontId="15" fillId="0" borderId="1" xfId="2" applyFont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9" fillId="0" borderId="1" xfId="2" applyFont="1" applyBorder="1" applyAlignment="1">
      <alignment horizontal="center" vertical="center" wrapText="1"/>
    </xf>
    <xf numFmtId="0" fontId="19" fillId="0" borderId="1" xfId="2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9" fontId="18" fillId="0" borderId="2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" fontId="17" fillId="0" borderId="1" xfId="2" applyNumberFormat="1" applyFont="1" applyBorder="1" applyAlignment="1">
      <alignment horizontal="center" vertical="center" wrapText="1"/>
    </xf>
    <xf numFmtId="0" fontId="15" fillId="0" borderId="4" xfId="2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0" fontId="14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10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9" fontId="35" fillId="0" borderId="0" xfId="0" applyNumberFormat="1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4" fillId="14" borderId="21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4" fillId="15" borderId="22" xfId="0" applyFont="1" applyFill="1" applyBorder="1" applyAlignment="1">
      <alignment horizontal="center" vertical="center" wrapText="1"/>
    </xf>
    <xf numFmtId="0" fontId="38" fillId="17" borderId="7" xfId="0" applyFont="1" applyFill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36" fillId="1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1" fontId="3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wrapText="1"/>
    </xf>
    <xf numFmtId="0" fontId="39" fillId="0" borderId="0" xfId="2" applyFont="1" applyAlignment="1">
      <alignment horizontal="center" vertical="center"/>
    </xf>
    <xf numFmtId="0" fontId="34" fillId="15" borderId="3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7" fillId="0" borderId="1" xfId="2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left" vertical="center" wrapText="1"/>
    </xf>
    <xf numFmtId="0" fontId="34" fillId="0" borderId="4" xfId="0" applyFont="1" applyBorder="1" applyAlignment="1">
      <alignment vertical="center" wrapText="1"/>
    </xf>
    <xf numFmtId="0" fontId="35" fillId="14" borderId="21" xfId="0" applyFont="1" applyFill="1" applyBorder="1" applyAlignment="1">
      <alignment vertical="center" wrapText="1"/>
    </xf>
    <xf numFmtId="0" fontId="37" fillId="18" borderId="1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9" fontId="26" fillId="10" borderId="1" xfId="1" applyFont="1" applyFill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justify" vertical="center" wrapText="1"/>
    </xf>
    <xf numFmtId="2" fontId="36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justify" vertical="center" wrapText="1"/>
    </xf>
    <xf numFmtId="0" fontId="0" fillId="19" borderId="7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9" fontId="9" fillId="19" borderId="1" xfId="1" applyFont="1" applyFill="1" applyBorder="1" applyAlignment="1">
      <alignment horizontal="center" vertical="center" wrapText="1"/>
    </xf>
    <xf numFmtId="0" fontId="41" fillId="19" borderId="9" xfId="0" applyFont="1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23" fillId="16" borderId="21" xfId="0" applyFont="1" applyFill="1" applyBorder="1" applyAlignment="1">
      <alignment horizontal="center" vertical="center" wrapText="1"/>
    </xf>
    <xf numFmtId="0" fontId="42" fillId="15" borderId="2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43" fillId="10" borderId="22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42" fillId="20" borderId="4" xfId="0" applyFont="1" applyFill="1" applyBorder="1" applyAlignment="1">
      <alignment horizontal="center" vertical="center" wrapText="1"/>
    </xf>
    <xf numFmtId="0" fontId="23" fillId="0" borderId="4" xfId="1" applyNumberFormat="1" applyFont="1" applyBorder="1" applyAlignment="1">
      <alignment horizontal="center" vertical="center" wrapText="1"/>
    </xf>
    <xf numFmtId="0" fontId="33" fillId="0" borderId="4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42" fillId="20" borderId="1" xfId="0" applyFont="1" applyFill="1" applyBorder="1" applyAlignment="1">
      <alignment horizontal="center" vertical="center" wrapText="1"/>
    </xf>
    <xf numFmtId="0" fontId="23" fillId="0" borderId="1" xfId="1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10" borderId="27" xfId="0" applyFont="1" applyFill="1" applyBorder="1" applyAlignment="1">
      <alignment horizontal="center" vertical="center" wrapText="1"/>
    </xf>
    <xf numFmtId="0" fontId="41" fillId="10" borderId="22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left"/>
    </xf>
    <xf numFmtId="0" fontId="47" fillId="0" borderId="0" xfId="0" applyFont="1"/>
    <xf numFmtId="0" fontId="47" fillId="0" borderId="0" xfId="0" applyFont="1" applyAlignment="1">
      <alignment horizontal="center" wrapText="1"/>
    </xf>
    <xf numFmtId="0" fontId="15" fillId="0" borderId="0" xfId="0" applyFont="1" applyAlignment="1">
      <alignment vertical="center" wrapText="1"/>
    </xf>
    <xf numFmtId="0" fontId="22" fillId="0" borderId="0" xfId="3" applyAlignment="1">
      <alignment horizontal="center" vertical="center"/>
    </xf>
    <xf numFmtId="0" fontId="4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9" fontId="41" fillId="0" borderId="0" xfId="0" applyNumberFormat="1" applyFont="1" applyAlignment="1">
      <alignment horizontal="left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9" fontId="23" fillId="16" borderId="21" xfId="1" applyFont="1" applyFill="1" applyBorder="1" applyAlignment="1">
      <alignment horizontal="center" vertical="center" wrapText="1"/>
    </xf>
    <xf numFmtId="2" fontId="23" fillId="16" borderId="21" xfId="0" applyNumberFormat="1" applyFont="1" applyFill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/>
    </xf>
    <xf numFmtId="0" fontId="25" fillId="0" borderId="6" xfId="3" applyFont="1" applyBorder="1" applyAlignment="1">
      <alignment horizontal="center" vertical="center" wrapText="1"/>
    </xf>
    <xf numFmtId="0" fontId="22" fillId="0" borderId="28" xfId="3" applyBorder="1" applyAlignment="1">
      <alignment horizontal="center" vertical="center" wrapText="1"/>
    </xf>
    <xf numFmtId="0" fontId="22" fillId="0" borderId="1" xfId="3" applyBorder="1" applyAlignment="1">
      <alignment horizontal="center" vertical="center"/>
    </xf>
    <xf numFmtId="0" fontId="22" fillId="0" borderId="4" xfId="3" applyBorder="1" applyAlignment="1">
      <alignment horizontal="center" vertical="center" wrapText="1"/>
    </xf>
    <xf numFmtId="0" fontId="22" fillId="0" borderId="1" xfId="3" applyBorder="1" applyAlignment="1">
      <alignment horizontal="center" vertical="center" wrapText="1"/>
    </xf>
    <xf numFmtId="0" fontId="22" fillId="0" borderId="23" xfId="3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2" fillId="0" borderId="0" xfId="3" applyAlignment="1">
      <alignment horizontal="center" vertical="center" wrapText="1"/>
    </xf>
    <xf numFmtId="0" fontId="4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1" fontId="37" fillId="10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49" fillId="0" borderId="0" xfId="0" applyFont="1" applyAlignment="1">
      <alignment horizontal="center"/>
    </xf>
    <xf numFmtId="0" fontId="50" fillId="0" borderId="0" xfId="0" applyFont="1" applyAlignment="1">
      <alignment vertical="center" wrapText="1"/>
    </xf>
    <xf numFmtId="9" fontId="51" fillId="0" borderId="0" xfId="0" applyNumberFormat="1" applyFont="1" applyAlignment="1">
      <alignment vertical="center" wrapText="1"/>
    </xf>
    <xf numFmtId="0" fontId="51" fillId="14" borderId="21" xfId="0" applyFont="1" applyFill="1" applyBorder="1" applyAlignment="1">
      <alignment vertical="center" wrapText="1"/>
    </xf>
    <xf numFmtId="0" fontId="50" fillId="14" borderId="21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/>
    </xf>
    <xf numFmtId="0" fontId="23" fillId="15" borderId="29" xfId="0" applyFont="1" applyFill="1" applyBorder="1" applyAlignment="1">
      <alignment horizontal="center" vertical="center" wrapText="1"/>
    </xf>
    <xf numFmtId="0" fontId="23" fillId="14" borderId="21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1" xfId="0" applyFont="1" applyBorder="1"/>
    <xf numFmtId="0" fontId="22" fillId="10" borderId="1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2" fillId="2" borderId="4" xfId="0" applyFont="1" applyFill="1" applyBorder="1" applyAlignment="1">
      <alignment vertical="center" wrapText="1"/>
    </xf>
    <xf numFmtId="0" fontId="32" fillId="21" borderId="1" xfId="0" applyFont="1" applyFill="1" applyBorder="1" applyAlignment="1">
      <alignment horizontal="center" vertical="center" wrapText="1"/>
    </xf>
    <xf numFmtId="0" fontId="23" fillId="15" borderId="22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38" fillId="10" borderId="2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justify" vertical="center" wrapText="1"/>
    </xf>
    <xf numFmtId="2" fontId="2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52" fillId="0" borderId="0" xfId="0" applyFont="1"/>
    <xf numFmtId="0" fontId="3" fillId="0" borderId="0" xfId="0" applyFont="1"/>
    <xf numFmtId="0" fontId="53" fillId="0" borderId="0" xfId="0" applyFont="1" applyAlignment="1">
      <alignment vertical="center" wrapText="1"/>
    </xf>
    <xf numFmtId="9" fontId="52" fillId="0" borderId="0" xfId="0" applyNumberFormat="1" applyFont="1" applyAlignment="1">
      <alignment horizontal="left" vertical="center" wrapText="1"/>
    </xf>
    <xf numFmtId="0" fontId="53" fillId="0" borderId="0" xfId="0" applyFont="1"/>
    <xf numFmtId="0" fontId="25" fillId="0" borderId="0" xfId="0" applyFont="1" applyAlignment="1">
      <alignment vertical="center" wrapText="1"/>
    </xf>
    <xf numFmtId="0" fontId="25" fillId="0" borderId="0" xfId="0" applyFont="1"/>
    <xf numFmtId="0" fontId="22" fillId="0" borderId="33" xfId="0" applyFont="1" applyBorder="1"/>
    <xf numFmtId="0" fontId="22" fillId="0" borderId="6" xfId="0" applyFont="1" applyBorder="1"/>
    <xf numFmtId="0" fontId="21" fillId="10" borderId="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/>
    </xf>
    <xf numFmtId="0" fontId="34" fillId="14" borderId="14" xfId="0" applyFont="1" applyFill="1" applyBorder="1" applyAlignment="1">
      <alignment horizontal="center" vertical="center" wrapText="1"/>
    </xf>
    <xf numFmtId="0" fontId="34" fillId="14" borderId="15" xfId="0" applyFont="1" applyFill="1" applyBorder="1" applyAlignment="1">
      <alignment horizontal="center" vertical="center" wrapText="1"/>
    </xf>
    <xf numFmtId="0" fontId="34" fillId="14" borderId="16" xfId="0" applyFont="1" applyFill="1" applyBorder="1" applyAlignment="1">
      <alignment horizontal="center" vertical="center" wrapText="1"/>
    </xf>
    <xf numFmtId="0" fontId="37" fillId="22" borderId="28" xfId="0" applyFont="1" applyFill="1" applyBorder="1" applyAlignment="1">
      <alignment horizontal="center" vertical="center" wrapText="1"/>
    </xf>
    <xf numFmtId="0" fontId="36" fillId="10" borderId="2" xfId="0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horizontal="center" vertical="center" wrapText="1"/>
    </xf>
    <xf numFmtId="0" fontId="37" fillId="10" borderId="1" xfId="4" applyNumberFormat="1" applyFont="1" applyFill="1" applyBorder="1" applyAlignment="1">
      <alignment horizontal="center" vertical="center" wrapText="1"/>
    </xf>
    <xf numFmtId="0" fontId="55" fillId="10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vertical="center" wrapText="1"/>
    </xf>
    <xf numFmtId="0" fontId="55" fillId="10" borderId="0" xfId="0" applyFont="1" applyFill="1" applyAlignment="1">
      <alignment vertical="center" wrapText="1"/>
    </xf>
    <xf numFmtId="0" fontId="28" fillId="10" borderId="0" xfId="0" applyFont="1" applyFill="1" applyAlignment="1">
      <alignment vertical="center"/>
    </xf>
    <xf numFmtId="0" fontId="28" fillId="10" borderId="0" xfId="0" applyFont="1" applyFill="1" applyAlignment="1">
      <alignment vertical="center" wrapText="1"/>
    </xf>
    <xf numFmtId="9" fontId="55" fillId="10" borderId="0" xfId="1" applyFont="1" applyFill="1" applyBorder="1" applyAlignment="1">
      <alignment horizontal="center" vertical="center" wrapText="1"/>
    </xf>
    <xf numFmtId="2" fontId="55" fillId="10" borderId="0" xfId="0" applyNumberFormat="1" applyFont="1" applyFill="1" applyAlignment="1">
      <alignment horizontal="center" vertical="center" wrapText="1"/>
    </xf>
    <xf numFmtId="0" fontId="55" fillId="10" borderId="0" xfId="0" applyFont="1" applyFill="1" applyAlignment="1">
      <alignment vertical="center"/>
    </xf>
    <xf numFmtId="0" fontId="55" fillId="10" borderId="0" xfId="0" applyFont="1" applyFill="1" applyAlignment="1">
      <alignment horizontal="center" vertical="center"/>
    </xf>
    <xf numFmtId="9" fontId="55" fillId="10" borderId="0" xfId="1" applyFont="1" applyFill="1" applyBorder="1" applyAlignment="1">
      <alignment horizontal="center" vertical="center"/>
    </xf>
    <xf numFmtId="2" fontId="55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9" fontId="28" fillId="10" borderId="0" xfId="1" applyFont="1" applyFill="1" applyAlignment="1">
      <alignment horizontal="center" vertical="center" wrapText="1"/>
    </xf>
    <xf numFmtId="2" fontId="28" fillId="10" borderId="0" xfId="0" applyNumberFormat="1" applyFont="1" applyFill="1" applyAlignment="1">
      <alignment vertical="center" wrapText="1"/>
    </xf>
    <xf numFmtId="9" fontId="28" fillId="10" borderId="0" xfId="0" applyNumberFormat="1" applyFont="1" applyFill="1" applyAlignment="1">
      <alignment horizontal="left" vertical="center" wrapText="1"/>
    </xf>
    <xf numFmtId="0" fontId="33" fillId="10" borderId="0" xfId="0" applyFont="1" applyFill="1" applyAlignment="1">
      <alignment vertical="center" wrapText="1"/>
    </xf>
    <xf numFmtId="49" fontId="18" fillId="10" borderId="1" xfId="1" applyNumberFormat="1" applyFont="1" applyFill="1" applyBorder="1" applyAlignment="1">
      <alignment horizontal="center" vertical="center" wrapText="1"/>
    </xf>
    <xf numFmtId="9" fontId="56" fillId="10" borderId="4" xfId="1" applyFont="1" applyFill="1" applyBorder="1" applyAlignment="1">
      <alignment horizontal="center" vertical="center" wrapText="1"/>
    </xf>
    <xf numFmtId="9" fontId="18" fillId="10" borderId="4" xfId="1" applyFont="1" applyFill="1" applyBorder="1" applyAlignment="1">
      <alignment horizontal="center" vertical="center" wrapText="1"/>
    </xf>
    <xf numFmtId="2" fontId="18" fillId="10" borderId="4" xfId="0" applyNumberFormat="1" applyFont="1" applyFill="1" applyBorder="1" applyAlignment="1">
      <alignment horizontal="center" vertical="center" wrapText="1"/>
    </xf>
    <xf numFmtId="9" fontId="56" fillId="10" borderId="1" xfId="1" applyFont="1" applyFill="1" applyBorder="1" applyAlignment="1">
      <alignment horizontal="center" vertical="center" wrapText="1"/>
    </xf>
    <xf numFmtId="9" fontId="18" fillId="10" borderId="1" xfId="1" applyFont="1" applyFill="1" applyBorder="1" applyAlignment="1">
      <alignment horizontal="center" vertical="center" wrapText="1"/>
    </xf>
    <xf numFmtId="2" fontId="18" fillId="10" borderId="1" xfId="0" applyNumberFormat="1" applyFont="1" applyFill="1" applyBorder="1" applyAlignment="1">
      <alignment horizontal="center" vertical="center" wrapText="1"/>
    </xf>
    <xf numFmtId="0" fontId="37" fillId="10" borderId="0" xfId="0" applyFont="1" applyFill="1" applyAlignment="1">
      <alignment vertical="center" wrapText="1"/>
    </xf>
    <xf numFmtId="49" fontId="26" fillId="10" borderId="1" xfId="1" applyNumberFormat="1" applyFont="1" applyFill="1" applyBorder="1" applyAlignment="1">
      <alignment horizontal="center" vertical="center" wrapText="1"/>
    </xf>
    <xf numFmtId="9" fontId="37" fillId="10" borderId="0" xfId="1" applyFont="1" applyFill="1" applyAlignment="1">
      <alignment horizontal="center" vertical="center" wrapText="1"/>
    </xf>
    <xf numFmtId="2" fontId="37" fillId="10" borderId="0" xfId="0" applyNumberFormat="1" applyFont="1" applyFill="1" applyAlignment="1">
      <alignment vertical="center" wrapText="1"/>
    </xf>
    <xf numFmtId="9" fontId="14" fillId="10" borderId="0" xfId="1" applyFont="1" applyFill="1" applyAlignment="1">
      <alignment horizontal="center" vertical="center" wrapText="1"/>
    </xf>
    <xf numFmtId="0" fontId="31" fillId="10" borderId="0" xfId="0" applyFont="1" applyFill="1" applyAlignment="1">
      <alignment vertical="center" wrapText="1"/>
    </xf>
    <xf numFmtId="2" fontId="14" fillId="10" borderId="0" xfId="0" applyNumberFormat="1" applyFont="1" applyFill="1" applyAlignment="1">
      <alignment vertical="center" wrapText="1"/>
    </xf>
    <xf numFmtId="0" fontId="38" fillId="10" borderId="0" xfId="0" applyFont="1" applyFill="1" applyAlignment="1">
      <alignment vertical="center" wrapText="1"/>
    </xf>
    <xf numFmtId="0" fontId="38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left" vertical="center" wrapText="1"/>
    </xf>
    <xf numFmtId="10" fontId="14" fillId="10" borderId="0" xfId="0" applyNumberFormat="1" applyFont="1" applyFill="1" applyAlignment="1">
      <alignment horizontal="center" vertical="center"/>
    </xf>
    <xf numFmtId="0" fontId="31" fillId="10" borderId="0" xfId="0" applyFont="1" applyFill="1" applyAlignment="1">
      <alignment horizontal="left" vertical="center" wrapText="1"/>
    </xf>
    <xf numFmtId="10" fontId="31" fillId="10" borderId="0" xfId="0" applyNumberFormat="1" applyFont="1" applyFill="1" applyAlignment="1">
      <alignment horizontal="center" vertical="center"/>
    </xf>
    <xf numFmtId="0" fontId="31" fillId="10" borderId="0" xfId="0" applyFont="1" applyFill="1"/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9" fontId="26" fillId="0" borderId="0" xfId="1" applyFont="1" applyFill="1" applyBorder="1" applyAlignment="1">
      <alignment horizontal="center" vertical="center" wrapText="1"/>
    </xf>
    <xf numFmtId="2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9" fontId="26" fillId="0" borderId="0" xfId="1" applyFont="1" applyFill="1" applyBorder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vertical="center" wrapText="1"/>
    </xf>
    <xf numFmtId="9" fontId="37" fillId="0" borderId="0" xfId="1" applyFont="1" applyFill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9" fontId="37" fillId="0" borderId="0" xfId="0" applyNumberFormat="1" applyFont="1" applyAlignment="1">
      <alignment horizontal="left" vertical="center" wrapText="1"/>
    </xf>
    <xf numFmtId="0" fontId="34" fillId="16" borderId="21" xfId="0" applyFont="1" applyFill="1" applyBorder="1" applyAlignment="1">
      <alignment horizontal="center" vertical="center" wrapText="1"/>
    </xf>
    <xf numFmtId="0" fontId="37" fillId="10" borderId="1" xfId="1" applyNumberFormat="1" applyFont="1" applyFill="1" applyBorder="1" applyAlignment="1">
      <alignment horizontal="center" vertical="center" wrapText="1"/>
    </xf>
    <xf numFmtId="9" fontId="37" fillId="10" borderId="4" xfId="1" applyFont="1" applyFill="1" applyBorder="1" applyAlignment="1">
      <alignment horizontal="center" vertical="center" wrapText="1"/>
    </xf>
    <xf numFmtId="10" fontId="18" fillId="10" borderId="4" xfId="1" applyNumberFormat="1" applyFont="1" applyFill="1" applyBorder="1" applyAlignment="1">
      <alignment horizontal="center" vertical="center" wrapText="1"/>
    </xf>
    <xf numFmtId="10" fontId="19" fillId="23" borderId="4" xfId="0" applyNumberFormat="1" applyFont="1" applyFill="1" applyBorder="1" applyAlignment="1">
      <alignment horizontal="center" vertical="center" wrapText="1"/>
    </xf>
    <xf numFmtId="9" fontId="37" fillId="10" borderId="1" xfId="1" applyFont="1" applyFill="1" applyBorder="1" applyAlignment="1">
      <alignment horizontal="center" vertical="center" wrapText="1"/>
    </xf>
    <xf numFmtId="10" fontId="18" fillId="10" borderId="1" xfId="1" applyNumberFormat="1" applyFont="1" applyFill="1" applyBorder="1" applyAlignment="1">
      <alignment horizontal="center" vertical="center" wrapText="1"/>
    </xf>
    <xf numFmtId="10" fontId="19" fillId="23" borderId="1" xfId="0" applyNumberFormat="1" applyFont="1" applyFill="1" applyBorder="1" applyAlignment="1">
      <alignment horizontal="center" vertical="center" wrapText="1"/>
    </xf>
    <xf numFmtId="0" fontId="14" fillId="0" borderId="4" xfId="1" applyNumberFormat="1" applyFont="1" applyFill="1" applyBorder="1" applyAlignment="1">
      <alignment horizontal="center" vertical="center" wrapText="1"/>
    </xf>
    <xf numFmtId="9" fontId="14" fillId="0" borderId="0" xfId="1" applyFont="1" applyFill="1" applyAlignment="1">
      <alignment horizontal="center" vertical="center" wrapText="1"/>
    </xf>
    <xf numFmtId="2" fontId="14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9" fontId="20" fillId="0" borderId="0" xfId="1" applyFont="1" applyFill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9" fontId="20" fillId="0" borderId="0" xfId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9" fontId="21" fillId="0" borderId="0" xfId="1" applyFont="1" applyFill="1" applyAlignment="1">
      <alignment horizontal="center" vertical="center" wrapText="1"/>
    </xf>
    <xf numFmtId="2" fontId="21" fillId="0" borderId="0" xfId="0" applyNumberFormat="1" applyFont="1" applyAlignment="1">
      <alignment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49" fontId="21" fillId="10" borderId="7" xfId="0" applyNumberFormat="1" applyFont="1" applyFill="1" applyBorder="1" applyAlignment="1">
      <alignment horizontal="center" vertical="center" wrapText="1"/>
    </xf>
    <xf numFmtId="9" fontId="21" fillId="0" borderId="4" xfId="1" applyFont="1" applyFill="1" applyBorder="1" applyAlignment="1">
      <alignment horizontal="center" vertical="center" wrapText="1"/>
    </xf>
    <xf numFmtId="10" fontId="22" fillId="0" borderId="4" xfId="1" applyNumberFormat="1" applyFont="1" applyFill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10" borderId="7" xfId="1" applyNumberFormat="1" applyFont="1" applyFill="1" applyBorder="1" applyAlignment="1">
      <alignment horizontal="center" vertical="center" wrapText="1"/>
    </xf>
    <xf numFmtId="9" fontId="21" fillId="0" borderId="1" xfId="1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59" fillId="10" borderId="4" xfId="0" applyFont="1" applyFill="1" applyBorder="1" applyAlignment="1">
      <alignment horizontal="center" vertical="center" wrapText="1"/>
    </xf>
    <xf numFmtId="0" fontId="13" fillId="10" borderId="33" xfId="0" applyFont="1" applyFill="1" applyBorder="1" applyAlignment="1">
      <alignment horizontal="center" vertical="center"/>
    </xf>
    <xf numFmtId="49" fontId="21" fillId="10" borderId="1" xfId="1" applyNumberFormat="1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right" vertical="center" wrapText="1"/>
    </xf>
    <xf numFmtId="49" fontId="59" fillId="0" borderId="1" xfId="1" applyNumberFormat="1" applyFont="1" applyFill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center" vertical="center" wrapText="1"/>
    </xf>
    <xf numFmtId="0" fontId="23" fillId="15" borderId="15" xfId="0" applyFont="1" applyFill="1" applyBorder="1" applyAlignment="1">
      <alignment horizontal="center" vertical="center" wrapText="1"/>
    </xf>
    <xf numFmtId="0" fontId="23" fillId="15" borderId="16" xfId="0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9" fontId="23" fillId="10" borderId="1" xfId="1" applyFont="1" applyFill="1" applyBorder="1" applyAlignment="1">
      <alignment horizontal="center" vertical="center" wrapText="1"/>
    </xf>
    <xf numFmtId="2" fontId="23" fillId="10" borderId="1" xfId="0" applyNumberFormat="1" applyFont="1" applyFill="1" applyBorder="1" applyAlignment="1">
      <alignment horizontal="center" vertical="center" wrapText="1"/>
    </xf>
    <xf numFmtId="9" fontId="21" fillId="10" borderId="1" xfId="1" applyFont="1" applyFill="1" applyBorder="1" applyAlignment="1">
      <alignment horizontal="center" vertical="center" wrapText="1"/>
    </xf>
    <xf numFmtId="2" fontId="21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49" fontId="26" fillId="0" borderId="1" xfId="1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2" fontId="27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2" fontId="29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left" vertical="center"/>
    </xf>
    <xf numFmtId="9" fontId="29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2" fontId="34" fillId="10" borderId="0" xfId="0" applyNumberFormat="1" applyFont="1" applyFill="1" applyAlignment="1">
      <alignment vertical="center" wrapText="1"/>
    </xf>
    <xf numFmtId="0" fontId="34" fillId="15" borderId="0" xfId="0" applyFont="1" applyFill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9" fontId="18" fillId="0" borderId="1" xfId="1" applyFont="1" applyFill="1" applyBorder="1" applyAlignment="1">
      <alignment horizontal="center" vertical="center" wrapText="1"/>
    </xf>
    <xf numFmtId="0" fontId="18" fillId="0" borderId="1" xfId="1" applyNumberFormat="1" applyFont="1" applyFill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31" fillId="0" borderId="4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2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9" fontId="25" fillId="0" borderId="0" xfId="1" applyFont="1" applyFill="1" applyBorder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60" fillId="0" borderId="0" xfId="0" applyFont="1" applyAlignment="1">
      <alignment vertical="center"/>
    </xf>
    <xf numFmtId="9" fontId="22" fillId="0" borderId="0" xfId="1" applyFont="1" applyFill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9" fontId="22" fillId="0" borderId="0" xfId="0" applyNumberFormat="1" applyFont="1" applyAlignment="1">
      <alignment horizontal="left" vertical="center"/>
    </xf>
    <xf numFmtId="0" fontId="34" fillId="15" borderId="36" xfId="0" applyFont="1" applyFill="1" applyBorder="1" applyAlignment="1">
      <alignment horizontal="center" vertical="center" wrapText="1"/>
    </xf>
    <xf numFmtId="0" fontId="34" fillId="15" borderId="37" xfId="0" applyFont="1" applyFill="1" applyBorder="1" applyAlignment="1">
      <alignment horizontal="center" vertical="center" wrapText="1"/>
    </xf>
    <xf numFmtId="9" fontId="18" fillId="0" borderId="7" xfId="1" applyFont="1" applyFill="1" applyBorder="1" applyAlignment="1">
      <alignment horizontal="center" vertical="center" wrapText="1"/>
    </xf>
    <xf numFmtId="9" fontId="31" fillId="0" borderId="4" xfId="1" applyFont="1" applyFill="1" applyBorder="1" applyAlignment="1">
      <alignment horizontal="center" vertical="center" wrapText="1"/>
    </xf>
    <xf numFmtId="2" fontId="31" fillId="0" borderId="4" xfId="0" applyNumberFormat="1" applyFont="1" applyBorder="1" applyAlignment="1">
      <alignment horizontal="center" vertical="center" wrapText="1"/>
    </xf>
    <xf numFmtId="0" fontId="18" fillId="0" borderId="7" xfId="1" applyNumberFormat="1" applyFont="1" applyFill="1" applyBorder="1" applyAlignment="1">
      <alignment horizontal="center" vertical="center" wrapText="1"/>
    </xf>
    <xf numFmtId="9" fontId="31" fillId="0" borderId="1" xfId="1" applyFont="1" applyFill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9" fontId="31" fillId="0" borderId="0" xfId="1" applyFont="1" applyFill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vertical="center"/>
    </xf>
    <xf numFmtId="9" fontId="22" fillId="0" borderId="0" xfId="1" applyFont="1" applyFill="1" applyAlignment="1">
      <alignment horizontal="left" vertical="center"/>
    </xf>
    <xf numFmtId="165" fontId="0" fillId="0" borderId="0" xfId="1" applyNumberFormat="1" applyFont="1" applyFill="1" applyAlignment="1">
      <alignment horizontal="left" vertical="center"/>
    </xf>
    <xf numFmtId="9" fontId="0" fillId="0" borderId="0" xfId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3" fillId="10" borderId="0" xfId="0" applyNumberFormat="1" applyFont="1" applyFill="1" applyAlignment="1">
      <alignment vertical="center" wrapText="1"/>
    </xf>
    <xf numFmtId="0" fontId="61" fillId="0" borderId="0" xfId="0" applyFont="1" applyAlignment="1">
      <alignment vertical="center" wrapText="1"/>
    </xf>
    <xf numFmtId="0" fontId="23" fillId="15" borderId="36" xfId="0" applyFont="1" applyFill="1" applyBorder="1" applyAlignment="1">
      <alignment horizontal="center" vertical="center" wrapText="1"/>
    </xf>
    <xf numFmtId="2" fontId="52" fillId="0" borderId="4" xfId="0" applyNumberFormat="1" applyFont="1" applyBorder="1" applyAlignment="1">
      <alignment horizontal="center" vertical="center" wrapText="1"/>
    </xf>
    <xf numFmtId="0" fontId="52" fillId="0" borderId="4" xfId="0" applyFont="1" applyBorder="1" applyAlignment="1">
      <alignment vertical="center" wrapText="1"/>
    </xf>
    <xf numFmtId="9" fontId="37" fillId="10" borderId="7" xfId="1" applyFont="1" applyFill="1" applyBorder="1" applyAlignment="1">
      <alignment horizontal="center" vertical="center" wrapText="1"/>
    </xf>
    <xf numFmtId="0" fontId="37" fillId="10" borderId="7" xfId="1" applyNumberFormat="1" applyFont="1" applyFill="1" applyBorder="1" applyAlignment="1">
      <alignment horizontal="center" vertical="center" wrapText="1"/>
    </xf>
    <xf numFmtId="2" fontId="52" fillId="0" borderId="1" xfId="0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vertical="center" wrapText="1"/>
    </xf>
    <xf numFmtId="2" fontId="37" fillId="0" borderId="1" xfId="0" applyNumberFormat="1" applyFont="1" applyBorder="1" applyAlignment="1">
      <alignment horizontal="center" vertical="center" wrapText="1"/>
    </xf>
    <xf numFmtId="2" fontId="52" fillId="0" borderId="0" xfId="0" applyNumberFormat="1" applyFont="1" applyAlignment="1">
      <alignment horizontal="center" vertical="center" wrapText="1"/>
    </xf>
    <xf numFmtId="9" fontId="31" fillId="0" borderId="0" xfId="1" applyFont="1" applyFill="1" applyBorder="1" applyAlignment="1">
      <alignment horizontal="center" vertical="center" wrapText="1"/>
    </xf>
    <xf numFmtId="9" fontId="52" fillId="0" borderId="0" xfId="1" applyFont="1" applyFill="1" applyAlignment="1">
      <alignment horizontal="center" vertical="center" wrapText="1"/>
    </xf>
    <xf numFmtId="0" fontId="40" fillId="0" borderId="0" xfId="0" applyFont="1"/>
    <xf numFmtId="0" fontId="40" fillId="19" borderId="1" xfId="0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horizontal="center" vertical="center" wrapText="1"/>
    </xf>
    <xf numFmtId="9" fontId="62" fillId="19" borderId="1" xfId="1" applyFont="1" applyFill="1" applyBorder="1" applyAlignment="1">
      <alignment horizontal="center" vertical="center" wrapText="1"/>
    </xf>
    <xf numFmtId="0" fontId="40" fillId="19" borderId="2" xfId="0" applyFont="1" applyFill="1" applyBorder="1" applyAlignment="1">
      <alignment horizontal="center" vertical="center" wrapText="1"/>
    </xf>
    <xf numFmtId="0" fontId="62" fillId="19" borderId="2" xfId="0" applyFont="1" applyFill="1" applyBorder="1" applyAlignment="1">
      <alignment horizontal="center" vertical="center" wrapText="1"/>
    </xf>
    <xf numFmtId="9" fontId="62" fillId="19" borderId="2" xfId="1" applyFont="1" applyFill="1" applyBorder="1" applyAlignment="1">
      <alignment horizontal="center" vertical="center" wrapText="1"/>
    </xf>
    <xf numFmtId="0" fontId="63" fillId="11" borderId="1" xfId="0" applyFont="1" applyFill="1" applyBorder="1" applyAlignment="1">
      <alignment horizontal="center" vertical="center" wrapText="1"/>
    </xf>
    <xf numFmtId="0" fontId="62" fillId="11" borderId="1" xfId="0" applyFont="1" applyFill="1" applyBorder="1" applyAlignment="1">
      <alignment horizontal="center" vertical="center" wrapText="1"/>
    </xf>
    <xf numFmtId="9" fontId="62" fillId="11" borderId="1" xfId="1" applyFont="1" applyFill="1" applyBorder="1" applyAlignment="1">
      <alignment horizontal="center" vertical="center" wrapText="1"/>
    </xf>
    <xf numFmtId="2" fontId="39" fillId="1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4" fillId="14" borderId="2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3" fillId="16" borderId="21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5" fillId="0" borderId="0" xfId="3" applyFont="1" applyAlignment="1">
      <alignment horizontal="center" vertical="center"/>
    </xf>
    <xf numFmtId="0" fontId="23" fillId="16" borderId="21" xfId="3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0" fillId="14" borderId="21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14" borderId="30" xfId="0" applyFont="1" applyFill="1" applyBorder="1" applyAlignment="1">
      <alignment horizontal="center" vertical="center" wrapText="1"/>
    </xf>
    <xf numFmtId="0" fontId="23" fillId="14" borderId="31" xfId="0" applyFont="1" applyFill="1" applyBorder="1" applyAlignment="1">
      <alignment horizontal="center" vertical="center" wrapText="1"/>
    </xf>
    <xf numFmtId="0" fontId="23" fillId="14" borderId="32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38" fillId="10" borderId="22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 wrapText="1"/>
    </xf>
    <xf numFmtId="0" fontId="25" fillId="10" borderId="3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10" borderId="34" xfId="0" applyFont="1" applyFill="1" applyBorder="1" applyAlignment="1">
      <alignment horizontal="center" vertical="center" wrapText="1"/>
    </xf>
    <xf numFmtId="0" fontId="25" fillId="10" borderId="35" xfId="0" applyFont="1" applyFill="1" applyBorder="1" applyAlignment="1">
      <alignment horizontal="center" vertical="center" wrapText="1"/>
    </xf>
    <xf numFmtId="0" fontId="23" fillId="14" borderId="21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4" fillId="14" borderId="22" xfId="0" applyFont="1" applyFill="1" applyBorder="1" applyAlignment="1">
      <alignment horizontal="center" vertical="center" wrapText="1"/>
    </xf>
    <xf numFmtId="0" fontId="34" fillId="14" borderId="17" xfId="0" applyFont="1" applyFill="1" applyBorder="1" applyAlignment="1">
      <alignment horizontal="center" vertical="center" wrapText="1"/>
    </xf>
    <xf numFmtId="0" fontId="34" fillId="14" borderId="7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55" fillId="10" borderId="0" xfId="0" applyFont="1" applyFill="1" applyAlignment="1">
      <alignment horizontal="center" vertical="center" wrapText="1"/>
    </xf>
    <xf numFmtId="0" fontId="28" fillId="10" borderId="0" xfId="0" applyFont="1" applyFill="1" applyAlignment="1">
      <alignment horizontal="left" vertical="center" wrapText="1"/>
    </xf>
    <xf numFmtId="2" fontId="34" fillId="16" borderId="2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4" fillId="16" borderId="2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59" fillId="10" borderId="5" xfId="0" applyFont="1" applyFill="1" applyBorder="1" applyAlignment="1">
      <alignment horizontal="center" vertical="center" wrapText="1"/>
    </xf>
    <xf numFmtId="0" fontId="59" fillId="10" borderId="8" xfId="0" applyFont="1" applyFill="1" applyBorder="1" applyAlignment="1">
      <alignment horizontal="center" vertical="center" wrapText="1"/>
    </xf>
    <xf numFmtId="0" fontId="59" fillId="10" borderId="29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14" fillId="0" borderId="0" xfId="1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2" fontId="32" fillId="15" borderId="12" xfId="0" applyNumberFormat="1" applyFont="1" applyFill="1" applyBorder="1" applyAlignment="1">
      <alignment horizontal="center" vertical="center" wrapText="1"/>
    </xf>
    <xf numFmtId="2" fontId="32" fillId="15" borderId="13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6" fillId="0" borderId="0" xfId="2" applyFont="1" applyAlignment="1">
      <alignment horizontal="left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23" fillId="14" borderId="12" xfId="0" applyFont="1" applyFill="1" applyBorder="1" applyAlignment="1">
      <alignment horizontal="center" vertical="center" wrapText="1"/>
    </xf>
    <xf numFmtId="0" fontId="23" fillId="14" borderId="13" xfId="0" applyFont="1" applyFill="1" applyBorder="1" applyAlignment="1">
      <alignment horizontal="center" vertical="center" wrapText="1"/>
    </xf>
    <xf numFmtId="0" fontId="32" fillId="14" borderId="17" xfId="0" applyFont="1" applyFill="1" applyBorder="1" applyAlignment="1">
      <alignment horizontal="center" vertical="center" wrapText="1"/>
    </xf>
    <xf numFmtId="0" fontId="32" fillId="14" borderId="7" xfId="0" applyFont="1" applyFill="1" applyBorder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2" fontId="18" fillId="0" borderId="7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2" fontId="31" fillId="0" borderId="2" xfId="0" applyNumberFormat="1" applyFont="1" applyBorder="1" applyAlignment="1">
      <alignment horizontal="center" vertical="center" wrapText="1"/>
    </xf>
    <xf numFmtId="2" fontId="31" fillId="0" borderId="4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8" fillId="0" borderId="2" xfId="1" applyNumberFormat="1" applyFont="1" applyFill="1" applyBorder="1" applyAlignment="1">
      <alignment horizontal="center" vertical="center" wrapText="1"/>
    </xf>
    <xf numFmtId="0" fontId="18" fillId="0" borderId="4" xfId="1" applyNumberFormat="1" applyFont="1" applyFill="1" applyBorder="1" applyAlignment="1">
      <alignment horizontal="center" vertical="center" wrapText="1"/>
    </xf>
    <xf numFmtId="9" fontId="31" fillId="0" borderId="2" xfId="1" applyFont="1" applyFill="1" applyBorder="1" applyAlignment="1">
      <alignment horizontal="center" vertical="center" wrapText="1"/>
    </xf>
    <xf numFmtId="9" fontId="31" fillId="0" borderId="4" xfId="1" applyFont="1" applyFill="1" applyBorder="1" applyAlignment="1">
      <alignment horizontal="center" vertical="center" wrapText="1"/>
    </xf>
    <xf numFmtId="2" fontId="52" fillId="0" borderId="2" xfId="0" applyNumberFormat="1" applyFont="1" applyBorder="1" applyAlignment="1">
      <alignment horizontal="center" vertical="center" wrapText="1"/>
    </xf>
    <xf numFmtId="2" fontId="52" fillId="0" borderId="4" xfId="0" applyNumberFormat="1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</cellXfs>
  <cellStyles count="5">
    <cellStyle name="Normal" xfId="0" builtinId="0"/>
    <cellStyle name="Normal 3" xfId="2" xr:uid="{C80916DE-EB45-4359-A63F-41679CE7BB46}"/>
    <cellStyle name="Normal 4" xfId="4" xr:uid="{B4E3FCF7-2935-4B2A-AF67-5E0E8DD98821}"/>
    <cellStyle name="Normal 5 2" xfId="3" xr:uid="{18AAC2B9-787A-487E-9307-509C4CDC02EB}"/>
    <cellStyle name="Porcentaje" xfId="1" builtinId="5"/>
  </cellStyles>
  <dxfs count="0"/>
  <tableStyles count="0" defaultTableStyle="TableStyleMedium2" defaultPivotStyle="PivotStyleLight16"/>
  <colors>
    <mruColors>
      <color rgb="FF00FFCC"/>
      <color rgb="FF00CC66"/>
      <color rgb="FFC2F4FE"/>
      <color rgb="FFC7F7F9"/>
      <color rgb="FFCC99FF"/>
      <color rgb="FFFFFF99"/>
      <color rgb="FFFF7C8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F235-87A6-4065-98B9-1D45A6D5B793}">
  <sheetPr>
    <pageSetUpPr fitToPage="1"/>
  </sheetPr>
  <dimension ref="B2:K35"/>
  <sheetViews>
    <sheetView topLeftCell="A31" zoomScale="70" zoomScaleNormal="70" workbookViewId="0">
      <selection activeCell="F33" sqref="F33"/>
    </sheetView>
  </sheetViews>
  <sheetFormatPr baseColWidth="10" defaultColWidth="11.42578125" defaultRowHeight="15" x14ac:dyDescent="0.25"/>
  <cols>
    <col min="2" max="2" width="18" customWidth="1"/>
    <col min="3" max="3" width="21" customWidth="1"/>
    <col min="4" max="4" width="16.85546875" customWidth="1"/>
    <col min="5" max="5" width="12.7109375" customWidth="1"/>
    <col min="6" max="6" width="63" customWidth="1"/>
    <col min="7" max="7" width="40.42578125" customWidth="1"/>
    <col min="8" max="8" width="22.28515625" bestFit="1" customWidth="1"/>
  </cols>
  <sheetData>
    <row r="2" spans="2:8" ht="31.5" x14ac:dyDescent="0.5">
      <c r="B2" s="511" t="s">
        <v>0</v>
      </c>
      <c r="C2" s="511"/>
      <c r="D2" s="511"/>
      <c r="E2" s="511"/>
      <c r="F2" s="511"/>
      <c r="G2" s="511"/>
      <c r="H2" s="511"/>
    </row>
    <row r="3" spans="2:8" ht="21" x14ac:dyDescent="0.35">
      <c r="B3" s="1"/>
      <c r="C3" s="1"/>
      <c r="D3" s="1"/>
      <c r="E3" s="1"/>
      <c r="F3" s="1"/>
      <c r="G3" s="1"/>
      <c r="H3" s="1"/>
    </row>
    <row r="4" spans="2:8" ht="21" x14ac:dyDescent="0.35">
      <c r="B4" s="1"/>
      <c r="C4" s="1"/>
      <c r="D4" s="1"/>
      <c r="E4" s="1"/>
      <c r="F4" s="1"/>
      <c r="G4" s="1"/>
      <c r="H4" s="1"/>
    </row>
    <row r="5" spans="2:8" ht="21" x14ac:dyDescent="0.35">
      <c r="B5" s="1"/>
      <c r="C5" s="1"/>
      <c r="D5" s="1"/>
      <c r="E5" s="1"/>
      <c r="F5" s="1"/>
      <c r="G5" s="1"/>
      <c r="H5" s="1"/>
    </row>
    <row r="6" spans="2:8" x14ac:dyDescent="0.25">
      <c r="B6" s="2"/>
      <c r="C6" s="2"/>
      <c r="D6" s="2"/>
      <c r="E6" s="3"/>
      <c r="F6" s="2"/>
      <c r="G6" s="2"/>
      <c r="H6" s="4"/>
    </row>
    <row r="7" spans="2:8" ht="30" x14ac:dyDescent="0.25">
      <c r="B7" s="7" t="s">
        <v>1</v>
      </c>
      <c r="C7" s="7" t="s">
        <v>2</v>
      </c>
      <c r="D7" s="7" t="s">
        <v>3</v>
      </c>
      <c r="E7" s="188" t="s">
        <v>4</v>
      </c>
      <c r="F7" s="7" t="s">
        <v>5</v>
      </c>
      <c r="G7" s="7" t="s">
        <v>6</v>
      </c>
      <c r="H7" s="8" t="s">
        <v>7</v>
      </c>
    </row>
    <row r="8" spans="2:8" ht="36" customHeight="1" x14ac:dyDescent="0.25">
      <c r="B8" s="512" t="s">
        <v>8</v>
      </c>
      <c r="C8" s="515" t="s">
        <v>9</v>
      </c>
      <c r="D8" s="189">
        <v>20</v>
      </c>
      <c r="E8" s="190" t="s">
        <v>10</v>
      </c>
      <c r="F8" s="12" t="s">
        <v>11</v>
      </c>
      <c r="G8" s="12" t="s">
        <v>12</v>
      </c>
      <c r="H8" s="13" t="s">
        <v>13</v>
      </c>
    </row>
    <row r="9" spans="2:8" ht="40.5" customHeight="1" x14ac:dyDescent="0.25">
      <c r="B9" s="513"/>
      <c r="C9" s="516"/>
      <c r="D9" s="14">
        <v>20</v>
      </c>
      <c r="E9" s="14" t="s">
        <v>14</v>
      </c>
      <c r="F9" s="14" t="s">
        <v>15</v>
      </c>
      <c r="G9" s="14" t="s">
        <v>16</v>
      </c>
      <c r="H9" s="14" t="s">
        <v>13</v>
      </c>
    </row>
    <row r="10" spans="2:8" ht="40.5" customHeight="1" x14ac:dyDescent="0.25">
      <c r="B10" s="513"/>
      <c r="C10" s="516"/>
      <c r="D10" s="14">
        <v>10</v>
      </c>
      <c r="E10" s="14" t="s">
        <v>17</v>
      </c>
      <c r="F10" s="14" t="s">
        <v>18</v>
      </c>
      <c r="G10" s="14" t="s">
        <v>19</v>
      </c>
      <c r="H10" s="14" t="s">
        <v>20</v>
      </c>
    </row>
    <row r="11" spans="2:8" ht="40.5" customHeight="1" x14ac:dyDescent="0.25">
      <c r="B11" s="513"/>
      <c r="C11" s="517"/>
      <c r="D11" s="189">
        <v>50</v>
      </c>
      <c r="E11" s="190" t="s">
        <v>21</v>
      </c>
      <c r="F11" s="12" t="s">
        <v>22</v>
      </c>
      <c r="G11" s="12" t="s">
        <v>23</v>
      </c>
      <c r="H11" s="13" t="s">
        <v>13</v>
      </c>
    </row>
    <row r="12" spans="2:8" ht="40.5" customHeight="1" x14ac:dyDescent="0.25">
      <c r="B12" s="513"/>
      <c r="C12" s="518" t="s">
        <v>24</v>
      </c>
      <c r="D12" s="191">
        <v>20</v>
      </c>
      <c r="E12" s="192" t="s">
        <v>25</v>
      </c>
      <c r="F12" s="18" t="s">
        <v>26</v>
      </c>
      <c r="G12" s="18" t="s">
        <v>12</v>
      </c>
      <c r="H12" s="19" t="s">
        <v>13</v>
      </c>
    </row>
    <row r="13" spans="2:8" ht="40.5" customHeight="1" x14ac:dyDescent="0.25">
      <c r="B13" s="513"/>
      <c r="C13" s="519"/>
      <c r="D13" s="21">
        <v>20</v>
      </c>
      <c r="E13" s="21" t="s">
        <v>27</v>
      </c>
      <c r="F13" s="20" t="s">
        <v>28</v>
      </c>
      <c r="G13" s="20" t="s">
        <v>29</v>
      </c>
      <c r="H13" s="21" t="s">
        <v>13</v>
      </c>
    </row>
    <row r="14" spans="2:8" ht="40.5" customHeight="1" x14ac:dyDescent="0.25">
      <c r="B14" s="513"/>
      <c r="C14" s="519"/>
      <c r="D14" s="21">
        <v>10</v>
      </c>
      <c r="E14" s="21" t="s">
        <v>17</v>
      </c>
      <c r="F14" s="20" t="s">
        <v>18</v>
      </c>
      <c r="G14" s="21" t="s">
        <v>30</v>
      </c>
      <c r="H14" s="20" t="s">
        <v>20</v>
      </c>
    </row>
    <row r="15" spans="2:8" ht="36" customHeight="1" x14ac:dyDescent="0.25">
      <c r="B15" s="513"/>
      <c r="C15" s="520"/>
      <c r="D15" s="191">
        <v>50</v>
      </c>
      <c r="E15" s="192" t="s">
        <v>31</v>
      </c>
      <c r="F15" s="18" t="s">
        <v>32</v>
      </c>
      <c r="G15" s="18" t="s">
        <v>23</v>
      </c>
      <c r="H15" s="19" t="s">
        <v>13</v>
      </c>
    </row>
    <row r="16" spans="2:8" ht="36" customHeight="1" x14ac:dyDescent="0.25">
      <c r="B16" s="513"/>
      <c r="C16" s="521" t="s">
        <v>33</v>
      </c>
      <c r="D16" s="193">
        <v>30</v>
      </c>
      <c r="E16" s="194" t="s">
        <v>25</v>
      </c>
      <c r="F16" s="24" t="s">
        <v>26</v>
      </c>
      <c r="G16" s="24" t="s">
        <v>12</v>
      </c>
      <c r="H16" s="25" t="s">
        <v>13</v>
      </c>
    </row>
    <row r="17" spans="2:11" ht="36" customHeight="1" x14ac:dyDescent="0.25">
      <c r="B17" s="513"/>
      <c r="C17" s="522"/>
      <c r="D17" s="193">
        <v>70</v>
      </c>
      <c r="E17" s="194" t="s">
        <v>34</v>
      </c>
      <c r="F17" s="24" t="s">
        <v>35</v>
      </c>
      <c r="G17" s="24" t="s">
        <v>23</v>
      </c>
      <c r="H17" s="25" t="s">
        <v>13</v>
      </c>
    </row>
    <row r="18" spans="2:11" ht="36" customHeight="1" x14ac:dyDescent="0.25">
      <c r="B18" s="513"/>
      <c r="C18" s="523" t="s">
        <v>36</v>
      </c>
      <c r="D18" s="195">
        <v>20</v>
      </c>
      <c r="E18" s="196" t="s">
        <v>25</v>
      </c>
      <c r="F18" s="28" t="s">
        <v>26</v>
      </c>
      <c r="G18" s="28" t="s">
        <v>12</v>
      </c>
      <c r="H18" s="29" t="s">
        <v>13</v>
      </c>
    </row>
    <row r="19" spans="2:11" ht="36" customHeight="1" x14ac:dyDescent="0.25">
      <c r="B19" s="513"/>
      <c r="C19" s="524"/>
      <c r="D19" s="195">
        <v>50</v>
      </c>
      <c r="E19" s="196" t="s">
        <v>34</v>
      </c>
      <c r="F19" s="28" t="s">
        <v>35</v>
      </c>
      <c r="G19" s="28" t="s">
        <v>23</v>
      </c>
      <c r="H19" s="29" t="s">
        <v>13</v>
      </c>
    </row>
    <row r="20" spans="2:11" ht="36" customHeight="1" x14ac:dyDescent="0.25">
      <c r="B20" s="513"/>
      <c r="C20" s="524"/>
      <c r="D20" s="195">
        <v>20</v>
      </c>
      <c r="E20" s="196" t="s">
        <v>27</v>
      </c>
      <c r="F20" s="28" t="s">
        <v>28</v>
      </c>
      <c r="G20" s="28" t="s">
        <v>37</v>
      </c>
      <c r="H20" s="29" t="s">
        <v>13</v>
      </c>
    </row>
    <row r="21" spans="2:11" ht="36" customHeight="1" x14ac:dyDescent="0.25">
      <c r="B21" s="513"/>
      <c r="C21" s="525"/>
      <c r="D21" s="195">
        <v>10</v>
      </c>
      <c r="E21" s="196" t="s">
        <v>17</v>
      </c>
      <c r="F21" s="28" t="s">
        <v>18</v>
      </c>
      <c r="G21" s="28" t="s">
        <v>37</v>
      </c>
      <c r="H21" s="29" t="s">
        <v>13</v>
      </c>
    </row>
    <row r="22" spans="2:11" ht="36" customHeight="1" x14ac:dyDescent="0.25">
      <c r="B22" s="513"/>
      <c r="C22" s="526" t="s">
        <v>38</v>
      </c>
      <c r="D22" s="197">
        <v>30</v>
      </c>
      <c r="E22" s="35" t="s">
        <v>39</v>
      </c>
      <c r="F22" s="32" t="s">
        <v>40</v>
      </c>
      <c r="G22" s="32" t="s">
        <v>12</v>
      </c>
      <c r="H22" s="33" t="s">
        <v>13</v>
      </c>
    </row>
    <row r="23" spans="2:11" ht="36" customHeight="1" x14ac:dyDescent="0.25">
      <c r="B23" s="513"/>
      <c r="C23" s="527"/>
      <c r="D23" s="35">
        <v>10</v>
      </c>
      <c r="E23" s="35" t="s">
        <v>17</v>
      </c>
      <c r="F23" s="34" t="s">
        <v>41</v>
      </c>
      <c r="G23" s="35" t="s">
        <v>42</v>
      </c>
      <c r="H23" s="34" t="s">
        <v>20</v>
      </c>
    </row>
    <row r="24" spans="2:11" ht="36" customHeight="1" x14ac:dyDescent="0.25">
      <c r="B24" s="514"/>
      <c r="C24" s="527"/>
      <c r="D24" s="35">
        <v>60</v>
      </c>
      <c r="E24" s="35" t="s">
        <v>43</v>
      </c>
      <c r="F24" s="34" t="s">
        <v>44</v>
      </c>
      <c r="G24" s="35" t="s">
        <v>23</v>
      </c>
      <c r="H24" s="35" t="s">
        <v>13</v>
      </c>
    </row>
    <row r="25" spans="2:11" ht="36.75" customHeight="1" x14ac:dyDescent="0.25">
      <c r="B25" s="540" t="s">
        <v>45</v>
      </c>
      <c r="C25" s="542" t="s">
        <v>46</v>
      </c>
      <c r="D25" s="217">
        <v>20</v>
      </c>
      <c r="E25" s="218">
        <v>10</v>
      </c>
      <c r="F25" s="219" t="s">
        <v>47</v>
      </c>
      <c r="G25" s="219" t="s">
        <v>48</v>
      </c>
      <c r="H25" s="220" t="s">
        <v>13</v>
      </c>
    </row>
    <row r="26" spans="2:11" ht="41.25" customHeight="1" x14ac:dyDescent="0.25">
      <c r="B26" s="541"/>
      <c r="C26" s="542"/>
      <c r="D26" s="221">
        <v>50</v>
      </c>
      <c r="E26" s="501">
        <v>11</v>
      </c>
      <c r="F26" s="502" t="s">
        <v>49</v>
      </c>
      <c r="G26" s="502" t="s">
        <v>50</v>
      </c>
      <c r="H26" s="503" t="s">
        <v>13</v>
      </c>
    </row>
    <row r="27" spans="2:11" ht="39" customHeight="1" x14ac:dyDescent="0.25">
      <c r="B27" s="541"/>
      <c r="C27" s="542"/>
      <c r="D27" s="217">
        <v>15</v>
      </c>
      <c r="E27" s="218">
        <v>12</v>
      </c>
      <c r="F27" s="219" t="s">
        <v>51</v>
      </c>
      <c r="G27" s="219" t="s">
        <v>52</v>
      </c>
      <c r="H27" s="220" t="s">
        <v>13</v>
      </c>
    </row>
    <row r="28" spans="2:11" ht="45.75" customHeight="1" x14ac:dyDescent="0.25">
      <c r="B28" s="541"/>
      <c r="C28" s="542"/>
      <c r="D28" s="222">
        <v>15</v>
      </c>
      <c r="E28" s="504">
        <v>13</v>
      </c>
      <c r="F28" s="505" t="s">
        <v>53</v>
      </c>
      <c r="G28" s="505" t="s">
        <v>54</v>
      </c>
      <c r="H28" s="506" t="s">
        <v>13</v>
      </c>
    </row>
    <row r="29" spans="2:11" ht="64.5" customHeight="1" x14ac:dyDescent="0.25">
      <c r="B29" s="528" t="s">
        <v>55</v>
      </c>
      <c r="C29" s="531" t="s">
        <v>56</v>
      </c>
      <c r="D29" s="47">
        <v>20</v>
      </c>
      <c r="E29" s="48">
        <v>14</v>
      </c>
      <c r="F29" s="49" t="s">
        <v>57</v>
      </c>
      <c r="G29" s="49" t="s">
        <v>58</v>
      </c>
      <c r="H29" s="50" t="s">
        <v>13</v>
      </c>
      <c r="I29" s="38" t="s">
        <v>152</v>
      </c>
    </row>
    <row r="30" spans="2:11" ht="45" customHeight="1" x14ac:dyDescent="0.25">
      <c r="B30" s="529"/>
      <c r="C30" s="532"/>
      <c r="D30" s="47">
        <v>15</v>
      </c>
      <c r="E30" s="48">
        <v>15</v>
      </c>
      <c r="F30" s="49" t="s">
        <v>59</v>
      </c>
      <c r="G30" s="49" t="s">
        <v>153</v>
      </c>
      <c r="H30" s="50" t="s">
        <v>13</v>
      </c>
      <c r="I30" s="186" t="s">
        <v>151</v>
      </c>
      <c r="K30" s="500"/>
    </row>
    <row r="31" spans="2:11" ht="45" customHeight="1" x14ac:dyDescent="0.25">
      <c r="B31" s="529"/>
      <c r="C31" s="532"/>
      <c r="D31" s="47">
        <v>50</v>
      </c>
      <c r="E31" s="48">
        <v>16</v>
      </c>
      <c r="F31" s="49" t="s">
        <v>60</v>
      </c>
      <c r="G31" s="49" t="s">
        <v>23</v>
      </c>
      <c r="H31" s="50" t="s">
        <v>13</v>
      </c>
      <c r="I31" s="186" t="s">
        <v>150</v>
      </c>
    </row>
    <row r="32" spans="2:11" ht="45" customHeight="1" x14ac:dyDescent="0.25">
      <c r="B32" s="530"/>
      <c r="C32" s="533"/>
      <c r="D32" s="507">
        <v>15</v>
      </c>
      <c r="E32" s="507">
        <v>17</v>
      </c>
      <c r="F32" s="508" t="s">
        <v>61</v>
      </c>
      <c r="G32" s="508" t="s">
        <v>62</v>
      </c>
      <c r="H32" s="509" t="s">
        <v>13</v>
      </c>
      <c r="I32" s="507" t="s">
        <v>151</v>
      </c>
      <c r="K32" s="500"/>
    </row>
    <row r="33" spans="2:11" ht="45" customHeight="1" x14ac:dyDescent="0.25">
      <c r="B33" s="534" t="s">
        <v>63</v>
      </c>
      <c r="C33" s="537" t="s">
        <v>64</v>
      </c>
      <c r="D33" s="51">
        <v>20</v>
      </c>
      <c r="E33" s="51">
        <v>18</v>
      </c>
      <c r="F33" s="52" t="s">
        <v>65</v>
      </c>
      <c r="G33" s="52" t="s">
        <v>12</v>
      </c>
      <c r="H33" s="53" t="s">
        <v>13</v>
      </c>
    </row>
    <row r="34" spans="2:11" ht="66.75" customHeight="1" x14ac:dyDescent="0.25">
      <c r="B34" s="535"/>
      <c r="C34" s="538"/>
      <c r="D34" s="51">
        <v>50</v>
      </c>
      <c r="E34" s="51">
        <v>19</v>
      </c>
      <c r="F34" s="52" t="s">
        <v>66</v>
      </c>
      <c r="G34" s="52" t="s">
        <v>67</v>
      </c>
      <c r="H34" s="53" t="s">
        <v>13</v>
      </c>
    </row>
    <row r="35" spans="2:11" ht="45" customHeight="1" x14ac:dyDescent="0.25">
      <c r="B35" s="536"/>
      <c r="C35" s="539"/>
      <c r="D35" s="51">
        <v>30</v>
      </c>
      <c r="E35" s="51">
        <v>20</v>
      </c>
      <c r="F35" s="52" t="s">
        <v>68</v>
      </c>
      <c r="G35" s="52" t="s">
        <v>69</v>
      </c>
      <c r="H35" s="53" t="s">
        <v>13</v>
      </c>
      <c r="K35" s="500"/>
    </row>
  </sheetData>
  <mergeCells count="13">
    <mergeCell ref="B29:B32"/>
    <mergeCell ref="C29:C32"/>
    <mergeCell ref="B33:B35"/>
    <mergeCell ref="C33:C35"/>
    <mergeCell ref="B25:B28"/>
    <mergeCell ref="C25:C28"/>
    <mergeCell ref="B2:H2"/>
    <mergeCell ref="B8:B24"/>
    <mergeCell ref="C8:C11"/>
    <mergeCell ref="C12:C15"/>
    <mergeCell ref="C16:C17"/>
    <mergeCell ref="C18:C21"/>
    <mergeCell ref="C22:C24"/>
  </mergeCells>
  <hyperlinks>
    <hyperlink ref="E8" location="'1'!A1" display="01" xr:uid="{EB9D3EFE-94B6-4544-AAEF-662C79F6F4DB}"/>
  </hyperlinks>
  <pageMargins left="0.28000000000000003" right="0.24" top="0.75" bottom="0.75" header="0.3" footer="0.3"/>
  <pageSetup paperSize="9" scale="45" fitToHeight="0" orientation="portrait" horizontalDpi="0" verticalDpi="0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A4D8-66A5-4DEB-A3AA-59FD14EBEA65}">
  <sheetPr>
    <tabColor rgb="FFFFCCFF"/>
  </sheetPr>
  <dimension ref="A1:H32"/>
  <sheetViews>
    <sheetView zoomScale="55" zoomScaleNormal="55" workbookViewId="0">
      <selection activeCell="C9" sqref="C9"/>
    </sheetView>
  </sheetViews>
  <sheetFormatPr baseColWidth="10" defaultColWidth="11.42578125" defaultRowHeight="12" x14ac:dyDescent="0.25"/>
  <cols>
    <col min="1" max="1" width="23.42578125" style="155" customWidth="1"/>
    <col min="2" max="2" width="32.42578125" style="216" customWidth="1"/>
    <col min="3" max="3" width="60.7109375" style="216" customWidth="1"/>
    <col min="4" max="4" width="10.28515625" style="179" customWidth="1"/>
    <col min="5" max="5" width="24.5703125" style="179" customWidth="1"/>
    <col min="6" max="6" width="26" style="179" customWidth="1"/>
    <col min="7" max="7" width="23.42578125" style="179" customWidth="1"/>
    <col min="8" max="8" width="22.28515625" style="179" customWidth="1"/>
    <col min="9" max="16384" width="11.42578125" style="155"/>
  </cols>
  <sheetData>
    <row r="1" spans="1:8" ht="27" customHeight="1" x14ac:dyDescent="0.25">
      <c r="A1" s="543" t="s">
        <v>154</v>
      </c>
      <c r="B1" s="543"/>
      <c r="C1" s="543"/>
      <c r="D1" s="543"/>
      <c r="E1" s="543"/>
      <c r="F1" s="543"/>
      <c r="G1" s="543"/>
      <c r="H1" s="543"/>
    </row>
    <row r="2" spans="1:8" ht="15" customHeight="1" x14ac:dyDescent="0.25">
      <c r="A2" s="198" t="s">
        <v>76</v>
      </c>
      <c r="B2" s="199" t="s">
        <v>8</v>
      </c>
      <c r="C2" s="199"/>
      <c r="D2" s="200"/>
      <c r="E2" s="200"/>
      <c r="F2" s="200"/>
      <c r="G2" s="200"/>
      <c r="H2" s="200"/>
    </row>
    <row r="3" spans="1:8" s="161" customFormat="1" ht="15" customHeight="1" x14ac:dyDescent="0.25">
      <c r="A3" s="201" t="s">
        <v>78</v>
      </c>
      <c r="B3" s="202" t="s">
        <v>79</v>
      </c>
      <c r="C3" s="202"/>
      <c r="D3" s="203"/>
      <c r="E3" s="203"/>
      <c r="F3" s="203"/>
      <c r="G3" s="203"/>
      <c r="H3" s="203"/>
    </row>
    <row r="4" spans="1:8" ht="15" customHeight="1" x14ac:dyDescent="0.25">
      <c r="A4" s="198" t="s">
        <v>80</v>
      </c>
      <c r="B4" s="199" t="s">
        <v>155</v>
      </c>
      <c r="C4" s="199"/>
      <c r="D4" s="200"/>
      <c r="E4" s="200"/>
      <c r="F4" s="200"/>
      <c r="G4" s="200"/>
      <c r="H4" s="200"/>
    </row>
    <row r="5" spans="1:8" ht="15" customHeight="1" x14ac:dyDescent="0.25">
      <c r="A5" s="198" t="s">
        <v>82</v>
      </c>
      <c r="B5" s="199" t="s">
        <v>83</v>
      </c>
      <c r="C5" s="199"/>
      <c r="D5" s="200"/>
      <c r="E5" s="200"/>
      <c r="F5" s="200"/>
      <c r="G5" s="200"/>
      <c r="H5" s="200"/>
    </row>
    <row r="6" spans="1:8" ht="15" customHeight="1" x14ac:dyDescent="0.25">
      <c r="A6" s="198" t="s">
        <v>84</v>
      </c>
      <c r="B6" s="204">
        <v>0.2</v>
      </c>
      <c r="C6" s="204"/>
      <c r="D6" s="200"/>
      <c r="E6" s="200">
        <v>1</v>
      </c>
      <c r="F6" s="200">
        <v>2</v>
      </c>
      <c r="G6" s="200">
        <v>3</v>
      </c>
      <c r="H6" s="200">
        <v>4</v>
      </c>
    </row>
    <row r="7" spans="1:8" ht="32.25" customHeight="1" x14ac:dyDescent="0.25">
      <c r="A7" s="205"/>
      <c r="B7" s="165"/>
      <c r="C7" s="165"/>
      <c r="D7" s="206"/>
      <c r="E7" s="544" t="s">
        <v>85</v>
      </c>
      <c r="F7" s="544"/>
      <c r="G7" s="544"/>
      <c r="H7" s="544"/>
    </row>
    <row r="8" spans="1:8" ht="33.75" customHeight="1" x14ac:dyDescent="0.25">
      <c r="A8" s="168" t="s">
        <v>86</v>
      </c>
      <c r="B8" s="168" t="s">
        <v>13</v>
      </c>
      <c r="C8" s="169" t="s">
        <v>87</v>
      </c>
      <c r="D8" s="167" t="s">
        <v>88</v>
      </c>
      <c r="E8" s="167" t="s">
        <v>89</v>
      </c>
      <c r="F8" s="167" t="s">
        <v>109</v>
      </c>
      <c r="G8" s="167" t="s">
        <v>110</v>
      </c>
      <c r="H8" s="167" t="s">
        <v>111</v>
      </c>
    </row>
    <row r="9" spans="1:8" ht="64.5" customHeight="1" x14ac:dyDescent="0.25">
      <c r="A9" s="130">
        <v>1</v>
      </c>
      <c r="B9" s="187" t="s">
        <v>105</v>
      </c>
      <c r="C9" s="207" t="s">
        <v>156</v>
      </c>
      <c r="D9" s="208">
        <v>15</v>
      </c>
      <c r="E9" s="209"/>
      <c r="F9" s="209"/>
      <c r="G9" s="209"/>
      <c r="H9" s="209"/>
    </row>
    <row r="10" spans="1:8" ht="65.25" customHeight="1" x14ac:dyDescent="0.25">
      <c r="A10" s="545">
        <v>2</v>
      </c>
      <c r="B10" s="546" t="s">
        <v>95</v>
      </c>
      <c r="C10" s="207" t="s">
        <v>157</v>
      </c>
      <c r="D10" s="132">
        <v>10</v>
      </c>
      <c r="E10" s="146"/>
      <c r="F10" s="146"/>
      <c r="G10" s="146"/>
      <c r="H10" s="146"/>
    </row>
    <row r="11" spans="1:8" ht="50.25" customHeight="1" x14ac:dyDescent="0.25">
      <c r="A11" s="545"/>
      <c r="B11" s="546"/>
      <c r="C11" s="207" t="s">
        <v>158</v>
      </c>
      <c r="D11" s="132">
        <v>10</v>
      </c>
      <c r="E11" s="146"/>
      <c r="F11" s="146"/>
      <c r="G11" s="146"/>
      <c r="H11" s="146"/>
    </row>
    <row r="12" spans="1:8" s="174" customFormat="1" ht="49.5" customHeight="1" x14ac:dyDescent="0.25">
      <c r="A12" s="545">
        <v>3</v>
      </c>
      <c r="B12" s="546" t="s">
        <v>129</v>
      </c>
      <c r="C12" s="136" t="s">
        <v>159</v>
      </c>
      <c r="D12" s="132">
        <v>5</v>
      </c>
      <c r="E12" s="146"/>
      <c r="F12" s="146"/>
      <c r="G12" s="146"/>
      <c r="H12" s="146"/>
    </row>
    <row r="13" spans="1:8" s="174" customFormat="1" ht="48.75" customHeight="1" x14ac:dyDescent="0.25">
      <c r="A13" s="545"/>
      <c r="B13" s="546"/>
      <c r="C13" s="136" t="s">
        <v>160</v>
      </c>
      <c r="D13" s="132">
        <v>5</v>
      </c>
      <c r="E13" s="146"/>
      <c r="F13" s="146"/>
      <c r="G13" s="146"/>
      <c r="H13" s="146"/>
    </row>
    <row r="14" spans="1:8" ht="60" customHeight="1" x14ac:dyDescent="0.25">
      <c r="A14" s="545"/>
      <c r="B14" s="546"/>
      <c r="C14" s="136" t="s">
        <v>161</v>
      </c>
      <c r="D14" s="132">
        <v>5</v>
      </c>
      <c r="E14" s="146"/>
      <c r="F14" s="146"/>
      <c r="G14" s="146"/>
      <c r="H14" s="146"/>
    </row>
    <row r="15" spans="1:8" ht="54" customHeight="1" x14ac:dyDescent="0.25">
      <c r="A15" s="545">
        <v>4</v>
      </c>
      <c r="B15" s="546" t="s">
        <v>134</v>
      </c>
      <c r="C15" s="136" t="s">
        <v>162</v>
      </c>
      <c r="D15" s="132">
        <v>10</v>
      </c>
      <c r="E15" s="146"/>
      <c r="F15" s="146"/>
      <c r="G15" s="146"/>
      <c r="H15" s="146"/>
    </row>
    <row r="16" spans="1:8" ht="59.25" customHeight="1" x14ac:dyDescent="0.25">
      <c r="A16" s="545"/>
      <c r="B16" s="546"/>
      <c r="C16" s="210" t="s">
        <v>163</v>
      </c>
      <c r="D16" s="132">
        <v>5</v>
      </c>
      <c r="E16" s="146"/>
      <c r="F16" s="146"/>
      <c r="G16" s="146"/>
      <c r="H16" s="146"/>
    </row>
    <row r="17" spans="1:8" ht="84.75" customHeight="1" x14ac:dyDescent="0.25">
      <c r="A17" s="547">
        <v>5</v>
      </c>
      <c r="B17" s="548" t="s">
        <v>164</v>
      </c>
      <c r="C17" s="136" t="s">
        <v>165</v>
      </c>
      <c r="D17" s="132">
        <v>5</v>
      </c>
      <c r="E17" s="146"/>
      <c r="F17" s="146"/>
      <c r="G17" s="146"/>
      <c r="H17" s="146"/>
    </row>
    <row r="18" spans="1:8" ht="84" customHeight="1" x14ac:dyDescent="0.25">
      <c r="A18" s="547"/>
      <c r="B18" s="548"/>
      <c r="C18" s="136" t="s">
        <v>166</v>
      </c>
      <c r="D18" s="132">
        <v>5</v>
      </c>
      <c r="E18" s="146"/>
      <c r="F18" s="146"/>
      <c r="G18" s="146"/>
      <c r="H18" s="146"/>
    </row>
    <row r="19" spans="1:8" ht="79.5" customHeight="1" x14ac:dyDescent="0.25">
      <c r="A19" s="175">
        <v>6</v>
      </c>
      <c r="B19" s="175" t="s">
        <v>167</v>
      </c>
      <c r="C19" s="136" t="s">
        <v>168</v>
      </c>
      <c r="D19" s="132">
        <v>10</v>
      </c>
      <c r="E19" s="146"/>
      <c r="F19" s="146"/>
      <c r="G19" s="146"/>
      <c r="H19" s="146"/>
    </row>
    <row r="20" spans="1:8" ht="89.25" customHeight="1" x14ac:dyDescent="0.25">
      <c r="A20" s="130">
        <v>7</v>
      </c>
      <c r="B20" s="212" t="s">
        <v>169</v>
      </c>
      <c r="C20" s="136" t="s">
        <v>170</v>
      </c>
      <c r="D20" s="136">
        <v>5</v>
      </c>
      <c r="E20" s="146"/>
      <c r="F20" s="146"/>
      <c r="G20" s="146"/>
      <c r="H20" s="146"/>
    </row>
    <row r="21" spans="1:8" s="179" customFormat="1" ht="76.5" customHeight="1" x14ac:dyDescent="0.25">
      <c r="A21" s="545">
        <v>8</v>
      </c>
      <c r="B21" s="546" t="s">
        <v>171</v>
      </c>
      <c r="C21" s="146" t="s">
        <v>172</v>
      </c>
      <c r="D21" s="213">
        <v>5</v>
      </c>
      <c r="E21" s="137"/>
      <c r="F21" s="146"/>
      <c r="G21" s="146"/>
      <c r="H21" s="146"/>
    </row>
    <row r="22" spans="1:8" s="179" customFormat="1" ht="43.5" customHeight="1" x14ac:dyDescent="0.25">
      <c r="A22" s="545"/>
      <c r="B22" s="546"/>
      <c r="C22" s="132" t="s">
        <v>173</v>
      </c>
      <c r="D22" s="213">
        <v>5</v>
      </c>
      <c r="E22" s="137"/>
      <c r="F22" s="146"/>
      <c r="G22" s="146"/>
      <c r="H22" s="146"/>
    </row>
    <row r="23" spans="1:8" s="179" customFormat="1" ht="15.75" x14ac:dyDescent="0.25">
      <c r="A23" s="176"/>
      <c r="B23" s="214"/>
      <c r="C23" s="100" t="s">
        <v>107</v>
      </c>
      <c r="D23" s="215">
        <f>SUM(D9:D22)</f>
        <v>100</v>
      </c>
      <c r="E23" s="69"/>
      <c r="F23" s="178"/>
      <c r="G23" s="178"/>
      <c r="H23" s="178"/>
    </row>
    <row r="24" spans="1:8" s="179" customFormat="1" x14ac:dyDescent="0.2">
      <c r="A24" s="155"/>
      <c r="B24" s="216"/>
      <c r="C24" s="216"/>
      <c r="D24" s="119"/>
      <c r="E24" s="119"/>
    </row>
    <row r="25" spans="1:8" s="179" customFormat="1" x14ac:dyDescent="0.2">
      <c r="A25" s="155"/>
      <c r="B25" s="216"/>
      <c r="C25" s="216"/>
      <c r="D25" s="119"/>
      <c r="E25" s="119"/>
    </row>
    <row r="26" spans="1:8" s="179" customFormat="1" x14ac:dyDescent="0.2">
      <c r="A26" s="155"/>
      <c r="B26" s="216"/>
      <c r="C26" s="216"/>
      <c r="D26" s="119"/>
      <c r="E26" s="119"/>
    </row>
    <row r="27" spans="1:8" s="179" customFormat="1" x14ac:dyDescent="0.2">
      <c r="A27" s="155"/>
      <c r="B27" s="216"/>
      <c r="C27" s="216"/>
      <c r="D27" s="119"/>
      <c r="E27" s="119"/>
    </row>
    <row r="28" spans="1:8" s="179" customFormat="1" x14ac:dyDescent="0.2">
      <c r="A28" s="155"/>
      <c r="B28" s="216"/>
      <c r="C28" s="216"/>
      <c r="D28" s="119"/>
      <c r="E28" s="119"/>
    </row>
    <row r="29" spans="1:8" s="179" customFormat="1" x14ac:dyDescent="0.2">
      <c r="A29" s="155"/>
      <c r="B29" s="216"/>
      <c r="C29" s="216"/>
      <c r="D29" s="119"/>
      <c r="E29" s="119"/>
    </row>
    <row r="30" spans="1:8" s="179" customFormat="1" x14ac:dyDescent="0.2">
      <c r="A30" s="155"/>
      <c r="B30" s="216"/>
      <c r="C30" s="216"/>
      <c r="D30" s="119"/>
      <c r="E30" s="119"/>
    </row>
    <row r="31" spans="1:8" s="179" customFormat="1" x14ac:dyDescent="0.2">
      <c r="A31" s="155"/>
      <c r="B31" s="216"/>
      <c r="C31" s="216"/>
      <c r="D31" s="119"/>
      <c r="E31" s="119"/>
    </row>
    <row r="32" spans="1:8" s="179" customFormat="1" x14ac:dyDescent="0.2">
      <c r="A32" s="155"/>
      <c r="B32" s="216"/>
      <c r="C32" s="216"/>
      <c r="D32" s="119"/>
      <c r="E32" s="119"/>
    </row>
  </sheetData>
  <mergeCells count="12">
    <mergeCell ref="A15:A16"/>
    <mergeCell ref="B15:B16"/>
    <mergeCell ref="A17:A18"/>
    <mergeCell ref="B17:B18"/>
    <mergeCell ref="A21:A22"/>
    <mergeCell ref="B21:B22"/>
    <mergeCell ref="A1:H1"/>
    <mergeCell ref="E7:H7"/>
    <mergeCell ref="A10:A11"/>
    <mergeCell ref="B10:B11"/>
    <mergeCell ref="A12:A14"/>
    <mergeCell ref="B12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2BA4-3C85-4138-BBC4-115AF00E3520}">
  <sheetPr>
    <tabColor rgb="FFFFCCFF"/>
  </sheetPr>
  <dimension ref="A1:H937"/>
  <sheetViews>
    <sheetView zoomScale="55" zoomScaleNormal="55" workbookViewId="0">
      <selection activeCell="C11" sqref="C11"/>
    </sheetView>
  </sheetViews>
  <sheetFormatPr baseColWidth="10" defaultColWidth="14.42578125" defaultRowHeight="12" x14ac:dyDescent="0.25"/>
  <cols>
    <col min="1" max="1" width="18.28515625" style="155" customWidth="1"/>
    <col min="2" max="2" width="33" style="155" customWidth="1"/>
    <col min="3" max="3" width="83.140625" style="155" customWidth="1"/>
    <col min="4" max="4" width="16.85546875" style="155" customWidth="1"/>
    <col min="5" max="5" width="23.5703125" style="179" customWidth="1"/>
    <col min="6" max="6" width="20.42578125" style="179" customWidth="1"/>
    <col min="7" max="7" width="14.42578125" style="225"/>
    <col min="8" max="16384" width="14.42578125" style="155"/>
  </cols>
  <sheetData>
    <row r="1" spans="1:8" ht="30" customHeight="1" x14ac:dyDescent="0.25">
      <c r="A1" s="554" t="s">
        <v>174</v>
      </c>
      <c r="B1" s="554"/>
      <c r="C1" s="554"/>
      <c r="D1" s="554"/>
      <c r="E1" s="554"/>
      <c r="F1" s="554"/>
      <c r="G1" s="554"/>
      <c r="H1" s="554"/>
    </row>
    <row r="2" spans="1:8" ht="18.75" customHeight="1" x14ac:dyDescent="0.25">
      <c r="A2" s="223"/>
      <c r="B2" s="224"/>
      <c r="C2" s="112"/>
    </row>
    <row r="3" spans="1:8" s="161" customFormat="1" ht="15.75" customHeight="1" x14ac:dyDescent="0.25">
      <c r="A3" s="223"/>
      <c r="B3" s="224"/>
      <c r="C3" s="112"/>
      <c r="E3" s="226"/>
      <c r="F3" s="226"/>
      <c r="G3" s="150"/>
    </row>
    <row r="4" spans="1:8" ht="36.75" customHeight="1" x14ac:dyDescent="0.25">
      <c r="A4" s="198" t="s">
        <v>76</v>
      </c>
      <c r="B4" s="224" t="s">
        <v>175</v>
      </c>
      <c r="C4" s="112"/>
    </row>
    <row r="5" spans="1:8" ht="36.75" customHeight="1" x14ac:dyDescent="0.25">
      <c r="A5" s="201" t="s">
        <v>176</v>
      </c>
      <c r="B5" s="224"/>
      <c r="C5" s="112"/>
    </row>
    <row r="6" spans="1:8" ht="36.75" customHeight="1" x14ac:dyDescent="0.25">
      <c r="A6" s="198" t="s">
        <v>80</v>
      </c>
      <c r="B6" s="224" t="s">
        <v>177</v>
      </c>
      <c r="C6" s="112"/>
    </row>
    <row r="7" spans="1:8" ht="15.75" customHeight="1" x14ac:dyDescent="0.25">
      <c r="A7" s="555" t="s">
        <v>178</v>
      </c>
      <c r="B7" s="555"/>
      <c r="C7" s="112"/>
    </row>
    <row r="8" spans="1:8" ht="13.5" customHeight="1" x14ac:dyDescent="0.25">
      <c r="A8" s="555" t="s">
        <v>179</v>
      </c>
      <c r="B8" s="555"/>
      <c r="C8" s="227"/>
    </row>
    <row r="9" spans="1:8" ht="15" customHeight="1" x14ac:dyDescent="0.25">
      <c r="A9" s="80"/>
      <c r="B9" s="81"/>
      <c r="C9" s="81"/>
      <c r="E9" s="556" t="s">
        <v>85</v>
      </c>
      <c r="F9" s="556"/>
      <c r="G9" s="556"/>
      <c r="H9" s="556"/>
    </row>
    <row r="10" spans="1:8" ht="32.25" customHeight="1" x14ac:dyDescent="0.25">
      <c r="A10" s="83" t="s">
        <v>180</v>
      </c>
      <c r="B10" s="83" t="s">
        <v>13</v>
      </c>
      <c r="C10" s="83" t="s">
        <v>181</v>
      </c>
      <c r="D10" s="229" t="s">
        <v>182</v>
      </c>
      <c r="E10" s="228" t="s">
        <v>89</v>
      </c>
      <c r="F10" s="228" t="s">
        <v>90</v>
      </c>
      <c r="G10" s="228" t="s">
        <v>91</v>
      </c>
      <c r="H10" s="228" t="s">
        <v>92</v>
      </c>
    </row>
    <row r="11" spans="1:8" s="174" customFormat="1" ht="62.25" customHeight="1" x14ac:dyDescent="0.25">
      <c r="A11" s="557">
        <v>1</v>
      </c>
      <c r="B11" s="560" t="s">
        <v>129</v>
      </c>
      <c r="C11" s="231" t="s">
        <v>183</v>
      </c>
      <c r="D11" s="232">
        <v>10</v>
      </c>
      <c r="E11" s="233"/>
      <c r="F11" s="234"/>
      <c r="G11" s="235"/>
      <c r="H11" s="236"/>
    </row>
    <row r="12" spans="1:8" s="174" customFormat="1" ht="59.25" customHeight="1" x14ac:dyDescent="0.25">
      <c r="A12" s="558"/>
      <c r="B12" s="561"/>
      <c r="C12" s="231" t="s">
        <v>184</v>
      </c>
      <c r="D12" s="232">
        <v>10</v>
      </c>
      <c r="E12" s="237"/>
      <c r="F12" s="238"/>
      <c r="G12" s="239"/>
      <c r="H12" s="240"/>
    </row>
    <row r="13" spans="1:8" s="174" customFormat="1" ht="39.75" customHeight="1" x14ac:dyDescent="0.25">
      <c r="A13" s="559"/>
      <c r="B13" s="562"/>
      <c r="C13" s="231" t="s">
        <v>185</v>
      </c>
      <c r="D13" s="232">
        <v>10</v>
      </c>
      <c r="E13" s="237"/>
      <c r="F13" s="238"/>
      <c r="G13" s="239"/>
      <c r="H13" s="240"/>
    </row>
    <row r="14" spans="1:8" s="174" customFormat="1" ht="47.25" customHeight="1" x14ac:dyDescent="0.25">
      <c r="A14" s="549">
        <v>2</v>
      </c>
      <c r="B14" s="550" t="s">
        <v>105</v>
      </c>
      <c r="C14" s="231" t="s">
        <v>186</v>
      </c>
      <c r="D14" s="232">
        <v>10</v>
      </c>
      <c r="E14" s="237"/>
      <c r="F14" s="241"/>
      <c r="G14" s="239"/>
      <c r="H14" s="240"/>
    </row>
    <row r="15" spans="1:8" s="174" customFormat="1" ht="45" x14ac:dyDescent="0.25">
      <c r="A15" s="549"/>
      <c r="B15" s="551"/>
      <c r="C15" s="242" t="s">
        <v>187</v>
      </c>
      <c r="D15" s="232">
        <v>10</v>
      </c>
      <c r="E15" s="243"/>
      <c r="F15" s="238"/>
      <c r="G15" s="239"/>
      <c r="H15" s="240"/>
    </row>
    <row r="16" spans="1:8" s="174" customFormat="1" ht="50.25" customHeight="1" x14ac:dyDescent="0.25">
      <c r="A16" s="549"/>
      <c r="B16" s="552"/>
      <c r="C16" s="231" t="s">
        <v>188</v>
      </c>
      <c r="D16" s="232">
        <v>10</v>
      </c>
      <c r="E16" s="237"/>
      <c r="F16" s="238"/>
      <c r="G16" s="239"/>
      <c r="H16" s="240"/>
    </row>
    <row r="17" spans="1:8" s="174" customFormat="1" ht="43.5" customHeight="1" x14ac:dyDescent="0.25">
      <c r="A17" s="230">
        <v>3</v>
      </c>
      <c r="B17" s="245" t="s">
        <v>95</v>
      </c>
      <c r="C17" s="242" t="s">
        <v>189</v>
      </c>
      <c r="D17" s="232">
        <v>5</v>
      </c>
      <c r="E17" s="237"/>
      <c r="F17" s="238"/>
      <c r="G17" s="239"/>
      <c r="H17" s="240"/>
    </row>
    <row r="18" spans="1:8" ht="60" customHeight="1" x14ac:dyDescent="0.25">
      <c r="A18" s="246">
        <v>4</v>
      </c>
      <c r="B18" s="247" t="s">
        <v>167</v>
      </c>
      <c r="C18" s="248" t="s">
        <v>190</v>
      </c>
      <c r="D18" s="249">
        <v>5</v>
      </c>
      <c r="E18" s="250"/>
      <c r="F18" s="238"/>
      <c r="G18" s="251"/>
      <c r="H18" s="240"/>
    </row>
    <row r="19" spans="1:8" ht="45" customHeight="1" x14ac:dyDescent="0.25">
      <c r="A19" s="246">
        <v>5</v>
      </c>
      <c r="B19" s="252" t="s">
        <v>191</v>
      </c>
      <c r="C19" s="248" t="s">
        <v>192</v>
      </c>
      <c r="D19" s="249">
        <v>5</v>
      </c>
      <c r="E19" s="237"/>
      <c r="F19" s="238"/>
      <c r="G19" s="251"/>
      <c r="H19" s="240"/>
    </row>
    <row r="20" spans="1:8" s="174" customFormat="1" ht="57" customHeight="1" x14ac:dyDescent="0.25">
      <c r="A20" s="87">
        <v>6</v>
      </c>
      <c r="B20" s="244" t="s">
        <v>171</v>
      </c>
      <c r="C20" s="242" t="s">
        <v>193</v>
      </c>
      <c r="D20" s="232">
        <v>5</v>
      </c>
      <c r="E20" s="250"/>
      <c r="F20" s="241"/>
      <c r="G20" s="239"/>
      <c r="H20" s="240"/>
    </row>
    <row r="21" spans="1:8" ht="68.25" customHeight="1" x14ac:dyDescent="0.25">
      <c r="A21" s="246">
        <v>7</v>
      </c>
      <c r="B21" s="87" t="s">
        <v>194</v>
      </c>
      <c r="C21" s="253" t="s">
        <v>195</v>
      </c>
      <c r="D21" s="249">
        <v>10</v>
      </c>
      <c r="E21" s="237"/>
      <c r="F21" s="241"/>
      <c r="G21" s="254"/>
      <c r="H21" s="240"/>
    </row>
    <row r="22" spans="1:8" ht="51" customHeight="1" x14ac:dyDescent="0.25">
      <c r="A22" s="255">
        <v>8</v>
      </c>
      <c r="B22" s="95" t="s">
        <v>134</v>
      </c>
      <c r="C22" s="256" t="s">
        <v>196</v>
      </c>
      <c r="D22" s="249">
        <v>10</v>
      </c>
      <c r="E22" s="237"/>
      <c r="F22" s="241"/>
      <c r="G22" s="254"/>
      <c r="H22" s="240"/>
    </row>
    <row r="23" spans="1:8" ht="34.5" customHeight="1" x14ac:dyDescent="0.25">
      <c r="A23" s="2"/>
      <c r="B23" s="2"/>
      <c r="C23" s="100" t="s">
        <v>107</v>
      </c>
      <c r="D23" s="257">
        <f>SUM(D11:D22)</f>
        <v>100</v>
      </c>
    </row>
    <row r="24" spans="1:8" ht="15" x14ac:dyDescent="0.25">
      <c r="A24"/>
      <c r="B24"/>
      <c r="C24"/>
    </row>
    <row r="25" spans="1:8" ht="15" x14ac:dyDescent="0.25">
      <c r="A25"/>
      <c r="B25"/>
      <c r="C25"/>
    </row>
    <row r="26" spans="1:8" ht="15" x14ac:dyDescent="0.25">
      <c r="A26"/>
      <c r="B26"/>
      <c r="C26"/>
    </row>
    <row r="27" spans="1:8" ht="15" x14ac:dyDescent="0.25">
      <c r="A27"/>
      <c r="B27"/>
      <c r="C27"/>
    </row>
    <row r="28" spans="1:8" ht="15" x14ac:dyDescent="0.25">
      <c r="A28"/>
      <c r="B28"/>
      <c r="C28"/>
    </row>
    <row r="29" spans="1:8" ht="15" x14ac:dyDescent="0.25">
      <c r="A29"/>
      <c r="B29"/>
      <c r="C29"/>
    </row>
    <row r="30" spans="1:8" ht="15" x14ac:dyDescent="0.25">
      <c r="A30"/>
      <c r="B30"/>
      <c r="C30"/>
    </row>
    <row r="31" spans="1:8" ht="15" x14ac:dyDescent="0.25">
      <c r="A31"/>
      <c r="B31"/>
      <c r="C31"/>
    </row>
    <row r="32" spans="1:8" ht="15" x14ac:dyDescent="0.25">
      <c r="A32"/>
      <c r="B32"/>
      <c r="C32"/>
    </row>
    <row r="33" spans="1:3" ht="15" x14ac:dyDescent="0.25">
      <c r="A33"/>
      <c r="B33"/>
      <c r="C33"/>
    </row>
    <row r="34" spans="1:3" ht="15" x14ac:dyDescent="0.25">
      <c r="A34"/>
      <c r="B34"/>
      <c r="C34"/>
    </row>
    <row r="35" spans="1:3" x14ac:dyDescent="0.2">
      <c r="A35" s="553"/>
      <c r="B35" s="553"/>
      <c r="C35" s="553"/>
    </row>
    <row r="36" spans="1:3" x14ac:dyDescent="0.2">
      <c r="A36" s="259"/>
      <c r="B36" s="259"/>
      <c r="C36" s="260"/>
    </row>
    <row r="37" spans="1:3" x14ac:dyDescent="0.2">
      <c r="A37" s="553"/>
      <c r="B37" s="553"/>
      <c r="C37" s="258"/>
    </row>
    <row r="38" spans="1:3" ht="15" x14ac:dyDescent="0.25">
      <c r="A38"/>
      <c r="B38"/>
      <c r="C38"/>
    </row>
    <row r="39" spans="1:3" x14ac:dyDescent="0.25">
      <c r="A39" s="261"/>
      <c r="B39" s="261"/>
      <c r="C39" s="261"/>
    </row>
    <row r="40" spans="1:3" x14ac:dyDescent="0.25">
      <c r="A40" s="261"/>
      <c r="B40" s="261"/>
      <c r="C40" s="261"/>
    </row>
    <row r="41" spans="1:3" x14ac:dyDescent="0.25">
      <c r="A41" s="261"/>
      <c r="B41" s="261"/>
      <c r="C41" s="261"/>
    </row>
    <row r="42" spans="1:3" x14ac:dyDescent="0.25">
      <c r="A42" s="261"/>
      <c r="B42" s="261"/>
      <c r="C42" s="261"/>
    </row>
    <row r="43" spans="1:3" x14ac:dyDescent="0.25">
      <c r="A43" s="261"/>
      <c r="B43" s="261"/>
      <c r="C43" s="261"/>
    </row>
    <row r="44" spans="1:3" x14ac:dyDescent="0.25">
      <c r="A44" s="261"/>
      <c r="B44" s="261"/>
      <c r="C44" s="261"/>
    </row>
    <row r="45" spans="1:3" x14ac:dyDescent="0.25">
      <c r="A45" s="261"/>
      <c r="B45" s="261"/>
      <c r="C45" s="261"/>
    </row>
    <row r="46" spans="1:3" x14ac:dyDescent="0.25">
      <c r="A46" s="261"/>
      <c r="B46" s="261"/>
      <c r="C46" s="261"/>
    </row>
    <row r="47" spans="1:3" x14ac:dyDescent="0.25">
      <c r="A47" s="261"/>
      <c r="B47" s="261"/>
      <c r="C47" s="261"/>
    </row>
    <row r="48" spans="1:3" x14ac:dyDescent="0.25">
      <c r="A48" s="261"/>
      <c r="B48" s="261"/>
      <c r="C48" s="261"/>
    </row>
    <row r="49" spans="1:3" x14ac:dyDescent="0.25">
      <c r="A49" s="261"/>
      <c r="B49" s="261"/>
      <c r="C49" s="261"/>
    </row>
    <row r="50" spans="1:3" x14ac:dyDescent="0.25">
      <c r="A50" s="261"/>
      <c r="B50" s="261"/>
      <c r="C50" s="261"/>
    </row>
    <row r="51" spans="1:3" x14ac:dyDescent="0.25">
      <c r="A51" s="261"/>
      <c r="B51" s="261"/>
      <c r="C51" s="261"/>
    </row>
    <row r="52" spans="1:3" x14ac:dyDescent="0.25">
      <c r="A52" s="261"/>
      <c r="B52" s="261"/>
      <c r="C52" s="261"/>
    </row>
    <row r="53" spans="1:3" x14ac:dyDescent="0.25">
      <c r="A53" s="261"/>
      <c r="B53" s="261"/>
      <c r="C53" s="261"/>
    </row>
    <row r="54" spans="1:3" x14ac:dyDescent="0.25">
      <c r="A54" s="261"/>
      <c r="B54" s="261"/>
      <c r="C54" s="261"/>
    </row>
    <row r="55" spans="1:3" x14ac:dyDescent="0.25">
      <c r="A55" s="261"/>
      <c r="B55" s="261"/>
      <c r="C55" s="261"/>
    </row>
    <row r="56" spans="1:3" x14ac:dyDescent="0.25">
      <c r="A56" s="261"/>
      <c r="B56" s="261"/>
      <c r="C56" s="261"/>
    </row>
    <row r="57" spans="1:3" x14ac:dyDescent="0.25">
      <c r="A57" s="261"/>
      <c r="B57" s="261"/>
      <c r="C57" s="261"/>
    </row>
    <row r="58" spans="1:3" x14ac:dyDescent="0.25">
      <c r="A58" s="261"/>
      <c r="B58" s="261"/>
      <c r="C58" s="261"/>
    </row>
    <row r="59" spans="1:3" x14ac:dyDescent="0.25">
      <c r="A59" s="261"/>
      <c r="B59" s="261"/>
      <c r="C59" s="261"/>
    </row>
    <row r="60" spans="1:3" x14ac:dyDescent="0.25">
      <c r="A60" s="261"/>
      <c r="B60" s="261"/>
      <c r="C60" s="261"/>
    </row>
    <row r="61" spans="1:3" x14ac:dyDescent="0.25">
      <c r="A61" s="261"/>
      <c r="B61" s="261"/>
      <c r="C61" s="261"/>
    </row>
    <row r="62" spans="1:3" x14ac:dyDescent="0.25">
      <c r="A62" s="261"/>
      <c r="B62" s="261"/>
      <c r="C62" s="261"/>
    </row>
    <row r="63" spans="1:3" x14ac:dyDescent="0.25">
      <c r="A63" s="261"/>
      <c r="B63" s="261"/>
      <c r="C63" s="261"/>
    </row>
    <row r="64" spans="1:3" x14ac:dyDescent="0.25">
      <c r="A64" s="261"/>
      <c r="B64" s="261"/>
      <c r="C64" s="261"/>
    </row>
    <row r="65" spans="1:3" x14ac:dyDescent="0.25">
      <c r="A65" s="261"/>
      <c r="B65" s="261"/>
      <c r="C65" s="261"/>
    </row>
    <row r="66" spans="1:3" x14ac:dyDescent="0.25">
      <c r="A66" s="261"/>
      <c r="B66" s="261"/>
      <c r="C66" s="261"/>
    </row>
    <row r="67" spans="1:3" x14ac:dyDescent="0.25">
      <c r="A67" s="261"/>
      <c r="B67" s="261"/>
      <c r="C67" s="261"/>
    </row>
    <row r="68" spans="1:3" x14ac:dyDescent="0.25">
      <c r="A68" s="261"/>
      <c r="B68" s="261"/>
      <c r="C68" s="261"/>
    </row>
    <row r="69" spans="1:3" x14ac:dyDescent="0.25">
      <c r="A69" s="261"/>
      <c r="B69" s="261"/>
      <c r="C69" s="261"/>
    </row>
    <row r="70" spans="1:3" x14ac:dyDescent="0.25">
      <c r="A70" s="261"/>
      <c r="B70" s="261"/>
      <c r="C70" s="261"/>
    </row>
    <row r="71" spans="1:3" x14ac:dyDescent="0.25">
      <c r="A71" s="261"/>
      <c r="B71" s="261"/>
      <c r="C71" s="261"/>
    </row>
    <row r="72" spans="1:3" x14ac:dyDescent="0.25">
      <c r="A72" s="261"/>
      <c r="B72" s="261"/>
      <c r="C72" s="261"/>
    </row>
    <row r="73" spans="1:3" x14ac:dyDescent="0.25">
      <c r="A73" s="261"/>
      <c r="B73" s="261"/>
      <c r="C73" s="261"/>
    </row>
    <row r="74" spans="1:3" x14ac:dyDescent="0.25">
      <c r="A74" s="261"/>
      <c r="B74" s="261"/>
      <c r="C74" s="261"/>
    </row>
    <row r="75" spans="1:3" x14ac:dyDescent="0.25">
      <c r="A75" s="261"/>
      <c r="B75" s="261"/>
      <c r="C75" s="261"/>
    </row>
    <row r="76" spans="1:3" x14ac:dyDescent="0.25">
      <c r="A76" s="261"/>
      <c r="B76" s="261"/>
      <c r="C76" s="261"/>
    </row>
    <row r="77" spans="1:3" x14ac:dyDescent="0.25">
      <c r="A77" s="261"/>
      <c r="B77" s="261"/>
      <c r="C77" s="261"/>
    </row>
    <row r="78" spans="1:3" x14ac:dyDescent="0.25">
      <c r="A78" s="261"/>
      <c r="B78" s="261"/>
      <c r="C78" s="261"/>
    </row>
    <row r="79" spans="1:3" x14ac:dyDescent="0.25">
      <c r="A79" s="261"/>
      <c r="B79" s="261"/>
      <c r="C79" s="261"/>
    </row>
    <row r="80" spans="1:3" x14ac:dyDescent="0.25">
      <c r="A80" s="261"/>
      <c r="B80" s="261"/>
      <c r="C80" s="261"/>
    </row>
    <row r="81" spans="1:3" x14ac:dyDescent="0.25">
      <c r="A81" s="261"/>
      <c r="B81" s="261"/>
      <c r="C81" s="261"/>
    </row>
    <row r="82" spans="1:3" x14ac:dyDescent="0.25">
      <c r="A82" s="261"/>
      <c r="B82" s="261"/>
      <c r="C82" s="261"/>
    </row>
    <row r="83" spans="1:3" x14ac:dyDescent="0.25">
      <c r="A83" s="261"/>
      <c r="B83" s="261"/>
      <c r="C83" s="261"/>
    </row>
    <row r="84" spans="1:3" x14ac:dyDescent="0.25">
      <c r="A84" s="261"/>
      <c r="B84" s="261"/>
      <c r="C84" s="261"/>
    </row>
    <row r="85" spans="1:3" x14ac:dyDescent="0.25">
      <c r="A85" s="261"/>
      <c r="B85" s="261"/>
      <c r="C85" s="261"/>
    </row>
    <row r="86" spans="1:3" x14ac:dyDescent="0.25">
      <c r="A86" s="261"/>
      <c r="B86" s="261"/>
      <c r="C86" s="261"/>
    </row>
    <row r="87" spans="1:3" x14ac:dyDescent="0.25">
      <c r="A87" s="261"/>
      <c r="B87" s="261"/>
      <c r="C87" s="261"/>
    </row>
    <row r="88" spans="1:3" x14ac:dyDescent="0.25">
      <c r="A88" s="261"/>
      <c r="B88" s="261"/>
      <c r="C88" s="261"/>
    </row>
    <row r="89" spans="1:3" x14ac:dyDescent="0.25">
      <c r="A89" s="261"/>
      <c r="B89" s="261"/>
      <c r="C89" s="261"/>
    </row>
    <row r="90" spans="1:3" x14ac:dyDescent="0.25">
      <c r="A90" s="261"/>
      <c r="B90" s="261"/>
      <c r="C90" s="261"/>
    </row>
    <row r="91" spans="1:3" x14ac:dyDescent="0.25">
      <c r="A91" s="261"/>
      <c r="B91" s="261"/>
      <c r="C91" s="261"/>
    </row>
    <row r="92" spans="1:3" x14ac:dyDescent="0.25">
      <c r="A92" s="261"/>
      <c r="B92" s="261"/>
      <c r="C92" s="261"/>
    </row>
    <row r="93" spans="1:3" x14ac:dyDescent="0.25">
      <c r="A93" s="261"/>
      <c r="B93" s="261"/>
      <c r="C93" s="261"/>
    </row>
    <row r="94" spans="1:3" x14ac:dyDescent="0.25">
      <c r="A94" s="261"/>
      <c r="B94" s="261"/>
      <c r="C94" s="261"/>
    </row>
    <row r="95" spans="1:3" x14ac:dyDescent="0.25">
      <c r="A95" s="261"/>
      <c r="B95" s="261"/>
      <c r="C95" s="261"/>
    </row>
    <row r="96" spans="1:3" x14ac:dyDescent="0.25">
      <c r="A96" s="261"/>
      <c r="B96" s="261"/>
      <c r="C96" s="261"/>
    </row>
    <row r="97" spans="1:3" x14ac:dyDescent="0.25">
      <c r="A97" s="261"/>
      <c r="B97" s="261"/>
      <c r="C97" s="261"/>
    </row>
    <row r="98" spans="1:3" x14ac:dyDescent="0.25">
      <c r="A98" s="261"/>
      <c r="B98" s="261"/>
      <c r="C98" s="261"/>
    </row>
    <row r="99" spans="1:3" x14ac:dyDescent="0.25">
      <c r="A99" s="261"/>
      <c r="B99" s="261"/>
      <c r="C99" s="261"/>
    </row>
    <row r="100" spans="1:3" x14ac:dyDescent="0.25">
      <c r="A100" s="261"/>
      <c r="B100" s="261"/>
      <c r="C100" s="261"/>
    </row>
    <row r="101" spans="1:3" x14ac:dyDescent="0.25">
      <c r="A101" s="261"/>
      <c r="B101" s="261"/>
      <c r="C101" s="261"/>
    </row>
    <row r="102" spans="1:3" x14ac:dyDescent="0.25">
      <c r="A102" s="261"/>
      <c r="B102" s="261"/>
      <c r="C102" s="261"/>
    </row>
    <row r="103" spans="1:3" x14ac:dyDescent="0.25">
      <c r="A103" s="261"/>
      <c r="B103" s="261"/>
      <c r="C103" s="261"/>
    </row>
    <row r="104" spans="1:3" x14ac:dyDescent="0.25">
      <c r="A104" s="261"/>
      <c r="B104" s="261"/>
      <c r="C104" s="261"/>
    </row>
    <row r="105" spans="1:3" x14ac:dyDescent="0.25">
      <c r="A105" s="261"/>
      <c r="B105" s="261"/>
      <c r="C105" s="261"/>
    </row>
    <row r="106" spans="1:3" x14ac:dyDescent="0.25">
      <c r="A106" s="261"/>
      <c r="B106" s="261"/>
      <c r="C106" s="261"/>
    </row>
    <row r="107" spans="1:3" x14ac:dyDescent="0.25">
      <c r="A107" s="261"/>
      <c r="B107" s="261"/>
      <c r="C107" s="261"/>
    </row>
    <row r="108" spans="1:3" x14ac:dyDescent="0.25">
      <c r="A108" s="261"/>
      <c r="B108" s="261"/>
      <c r="C108" s="261"/>
    </row>
    <row r="109" spans="1:3" x14ac:dyDescent="0.25">
      <c r="A109" s="261"/>
      <c r="B109" s="261"/>
      <c r="C109" s="261"/>
    </row>
    <row r="110" spans="1:3" x14ac:dyDescent="0.25">
      <c r="A110" s="261"/>
      <c r="B110" s="261"/>
      <c r="C110" s="261"/>
    </row>
    <row r="111" spans="1:3" x14ac:dyDescent="0.25">
      <c r="A111" s="261"/>
      <c r="B111" s="261"/>
      <c r="C111" s="261"/>
    </row>
    <row r="112" spans="1:3" x14ac:dyDescent="0.25">
      <c r="A112" s="261"/>
      <c r="B112" s="261"/>
      <c r="C112" s="261"/>
    </row>
    <row r="113" spans="1:3" x14ac:dyDescent="0.25">
      <c r="A113" s="261"/>
      <c r="B113" s="261"/>
      <c r="C113" s="261"/>
    </row>
    <row r="114" spans="1:3" x14ac:dyDescent="0.25">
      <c r="A114" s="261"/>
      <c r="B114" s="261"/>
      <c r="C114" s="261"/>
    </row>
    <row r="115" spans="1:3" x14ac:dyDescent="0.25">
      <c r="A115" s="261"/>
      <c r="B115" s="261"/>
      <c r="C115" s="261"/>
    </row>
    <row r="116" spans="1:3" x14ac:dyDescent="0.25">
      <c r="A116" s="261"/>
      <c r="B116" s="261"/>
      <c r="C116" s="261"/>
    </row>
    <row r="117" spans="1:3" x14ac:dyDescent="0.25">
      <c r="A117" s="261"/>
      <c r="B117" s="261"/>
      <c r="C117" s="261"/>
    </row>
    <row r="118" spans="1:3" x14ac:dyDescent="0.25">
      <c r="A118" s="261"/>
      <c r="B118" s="261"/>
      <c r="C118" s="261"/>
    </row>
    <row r="119" spans="1:3" x14ac:dyDescent="0.25">
      <c r="A119" s="261"/>
      <c r="B119" s="261"/>
      <c r="C119" s="261"/>
    </row>
    <row r="120" spans="1:3" x14ac:dyDescent="0.25">
      <c r="A120" s="261"/>
      <c r="B120" s="261"/>
      <c r="C120" s="261"/>
    </row>
    <row r="121" spans="1:3" x14ac:dyDescent="0.25">
      <c r="A121" s="261"/>
      <c r="B121" s="261"/>
      <c r="C121" s="261"/>
    </row>
    <row r="122" spans="1:3" x14ac:dyDescent="0.25">
      <c r="A122" s="261"/>
      <c r="B122" s="261"/>
      <c r="C122" s="261"/>
    </row>
    <row r="123" spans="1:3" x14ac:dyDescent="0.25">
      <c r="A123" s="261"/>
      <c r="B123" s="261"/>
      <c r="C123" s="261"/>
    </row>
    <row r="124" spans="1:3" x14ac:dyDescent="0.25">
      <c r="A124" s="261"/>
      <c r="B124" s="261"/>
      <c r="C124" s="261"/>
    </row>
    <row r="125" spans="1:3" x14ac:dyDescent="0.25">
      <c r="A125" s="261"/>
      <c r="B125" s="261"/>
      <c r="C125" s="261"/>
    </row>
    <row r="126" spans="1:3" x14ac:dyDescent="0.25">
      <c r="A126" s="261"/>
      <c r="B126" s="261"/>
      <c r="C126" s="261"/>
    </row>
    <row r="127" spans="1:3" x14ac:dyDescent="0.25">
      <c r="A127" s="261"/>
      <c r="B127" s="261"/>
      <c r="C127" s="261"/>
    </row>
    <row r="128" spans="1:3" x14ac:dyDescent="0.25">
      <c r="A128" s="261"/>
      <c r="B128" s="261"/>
      <c r="C128" s="261"/>
    </row>
    <row r="129" spans="1:3" x14ac:dyDescent="0.25">
      <c r="A129" s="261"/>
      <c r="B129" s="261"/>
      <c r="C129" s="261"/>
    </row>
    <row r="130" spans="1:3" x14ac:dyDescent="0.25">
      <c r="A130" s="261"/>
      <c r="B130" s="261"/>
      <c r="C130" s="261"/>
    </row>
    <row r="131" spans="1:3" x14ac:dyDescent="0.25">
      <c r="A131" s="261"/>
      <c r="B131" s="261"/>
      <c r="C131" s="261"/>
    </row>
    <row r="132" spans="1:3" x14ac:dyDescent="0.25">
      <c r="A132" s="261"/>
      <c r="B132" s="261"/>
      <c r="C132" s="261"/>
    </row>
    <row r="133" spans="1:3" x14ac:dyDescent="0.25">
      <c r="A133" s="261"/>
      <c r="B133" s="261"/>
      <c r="C133" s="261"/>
    </row>
    <row r="134" spans="1:3" x14ac:dyDescent="0.25">
      <c r="A134" s="261"/>
      <c r="B134" s="261"/>
      <c r="C134" s="261"/>
    </row>
    <row r="135" spans="1:3" x14ac:dyDescent="0.25">
      <c r="A135" s="261"/>
      <c r="B135" s="261"/>
      <c r="C135" s="261"/>
    </row>
    <row r="136" spans="1:3" x14ac:dyDescent="0.25">
      <c r="A136" s="261"/>
      <c r="B136" s="261"/>
      <c r="C136" s="261"/>
    </row>
    <row r="137" spans="1:3" x14ac:dyDescent="0.25">
      <c r="A137" s="261"/>
      <c r="B137" s="261"/>
      <c r="C137" s="261"/>
    </row>
    <row r="138" spans="1:3" x14ac:dyDescent="0.25">
      <c r="A138" s="261"/>
      <c r="B138" s="261"/>
      <c r="C138" s="261"/>
    </row>
    <row r="139" spans="1:3" x14ac:dyDescent="0.25">
      <c r="A139" s="261"/>
      <c r="B139" s="261"/>
      <c r="C139" s="261"/>
    </row>
    <row r="140" spans="1:3" x14ac:dyDescent="0.25">
      <c r="A140" s="261"/>
      <c r="B140" s="261"/>
      <c r="C140" s="261"/>
    </row>
    <row r="141" spans="1:3" x14ac:dyDescent="0.25">
      <c r="A141" s="261"/>
      <c r="B141" s="261"/>
      <c r="C141" s="261"/>
    </row>
    <row r="142" spans="1:3" x14ac:dyDescent="0.25">
      <c r="A142" s="261"/>
      <c r="B142" s="261"/>
      <c r="C142" s="261"/>
    </row>
    <row r="143" spans="1:3" x14ac:dyDescent="0.25">
      <c r="A143" s="261"/>
      <c r="B143" s="261"/>
      <c r="C143" s="261"/>
    </row>
    <row r="144" spans="1:3" x14ac:dyDescent="0.25">
      <c r="A144" s="261"/>
      <c r="B144" s="261"/>
      <c r="C144" s="261"/>
    </row>
    <row r="145" spans="1:3" x14ac:dyDescent="0.25">
      <c r="A145" s="261"/>
      <c r="B145" s="261"/>
      <c r="C145" s="261"/>
    </row>
    <row r="146" spans="1:3" x14ac:dyDescent="0.25">
      <c r="A146" s="261"/>
      <c r="B146" s="261"/>
      <c r="C146" s="261"/>
    </row>
    <row r="147" spans="1:3" x14ac:dyDescent="0.25">
      <c r="A147" s="261"/>
      <c r="B147" s="261"/>
      <c r="C147" s="261"/>
    </row>
    <row r="148" spans="1:3" x14ac:dyDescent="0.25">
      <c r="A148" s="261"/>
      <c r="B148" s="261"/>
      <c r="C148" s="261"/>
    </row>
    <row r="149" spans="1:3" x14ac:dyDescent="0.25">
      <c r="A149" s="261"/>
      <c r="B149" s="261"/>
      <c r="C149" s="261"/>
    </row>
    <row r="150" spans="1:3" x14ac:dyDescent="0.25">
      <c r="A150" s="261"/>
      <c r="B150" s="261"/>
      <c r="C150" s="261"/>
    </row>
    <row r="151" spans="1:3" x14ac:dyDescent="0.25">
      <c r="A151" s="261"/>
      <c r="B151" s="261"/>
      <c r="C151" s="261"/>
    </row>
    <row r="152" spans="1:3" x14ac:dyDescent="0.25">
      <c r="A152" s="261"/>
      <c r="B152" s="261"/>
      <c r="C152" s="261"/>
    </row>
    <row r="153" spans="1:3" x14ac:dyDescent="0.25">
      <c r="A153" s="261"/>
      <c r="B153" s="261"/>
      <c r="C153" s="261"/>
    </row>
    <row r="154" spans="1:3" x14ac:dyDescent="0.25">
      <c r="A154" s="261"/>
      <c r="B154" s="261"/>
      <c r="C154" s="261"/>
    </row>
    <row r="155" spans="1:3" x14ac:dyDescent="0.25">
      <c r="A155" s="261"/>
      <c r="B155" s="261"/>
      <c r="C155" s="261"/>
    </row>
    <row r="156" spans="1:3" x14ac:dyDescent="0.25">
      <c r="A156" s="261"/>
      <c r="B156" s="261"/>
      <c r="C156" s="261"/>
    </row>
    <row r="157" spans="1:3" x14ac:dyDescent="0.25">
      <c r="A157" s="261"/>
      <c r="B157" s="261"/>
      <c r="C157" s="261"/>
    </row>
    <row r="158" spans="1:3" x14ac:dyDescent="0.25">
      <c r="A158" s="261"/>
      <c r="B158" s="261"/>
      <c r="C158" s="261"/>
    </row>
    <row r="159" spans="1:3" x14ac:dyDescent="0.25">
      <c r="A159" s="261"/>
      <c r="B159" s="261"/>
      <c r="C159" s="261"/>
    </row>
    <row r="160" spans="1:3" x14ac:dyDescent="0.25">
      <c r="A160" s="261"/>
      <c r="B160" s="261"/>
      <c r="C160" s="261"/>
    </row>
    <row r="161" spans="1:3" x14ac:dyDescent="0.25">
      <c r="A161" s="261"/>
      <c r="B161" s="261"/>
      <c r="C161" s="261"/>
    </row>
    <row r="162" spans="1:3" x14ac:dyDescent="0.25">
      <c r="A162" s="261"/>
      <c r="B162" s="261"/>
      <c r="C162" s="261"/>
    </row>
    <row r="163" spans="1:3" x14ac:dyDescent="0.25">
      <c r="A163" s="261"/>
      <c r="B163" s="261"/>
      <c r="C163" s="261"/>
    </row>
    <row r="164" spans="1:3" x14ac:dyDescent="0.25">
      <c r="A164" s="261"/>
      <c r="B164" s="261"/>
      <c r="C164" s="261"/>
    </row>
    <row r="165" spans="1:3" x14ac:dyDescent="0.25">
      <c r="A165" s="261"/>
      <c r="B165" s="261"/>
      <c r="C165" s="261"/>
    </row>
    <row r="166" spans="1:3" x14ac:dyDescent="0.25">
      <c r="A166" s="261"/>
      <c r="B166" s="261"/>
      <c r="C166" s="261"/>
    </row>
    <row r="167" spans="1:3" x14ac:dyDescent="0.25">
      <c r="A167" s="261"/>
      <c r="B167" s="261"/>
      <c r="C167" s="261"/>
    </row>
    <row r="168" spans="1:3" x14ac:dyDescent="0.25">
      <c r="A168" s="261"/>
      <c r="B168" s="261"/>
      <c r="C168" s="261"/>
    </row>
    <row r="169" spans="1:3" x14ac:dyDescent="0.25">
      <c r="A169" s="261"/>
      <c r="B169" s="261"/>
      <c r="C169" s="261"/>
    </row>
    <row r="170" spans="1:3" x14ac:dyDescent="0.25">
      <c r="A170" s="261"/>
      <c r="B170" s="261"/>
      <c r="C170" s="261"/>
    </row>
    <row r="171" spans="1:3" x14ac:dyDescent="0.25">
      <c r="A171" s="261"/>
      <c r="B171" s="261"/>
      <c r="C171" s="261"/>
    </row>
    <row r="172" spans="1:3" x14ac:dyDescent="0.25">
      <c r="A172" s="261"/>
      <c r="B172" s="261"/>
      <c r="C172" s="261"/>
    </row>
    <row r="173" spans="1:3" x14ac:dyDescent="0.25">
      <c r="A173" s="261"/>
      <c r="B173" s="261"/>
      <c r="C173" s="261"/>
    </row>
    <row r="174" spans="1:3" x14ac:dyDescent="0.25">
      <c r="A174" s="261"/>
      <c r="B174" s="261"/>
      <c r="C174" s="261"/>
    </row>
    <row r="175" spans="1:3" x14ac:dyDescent="0.25">
      <c r="A175" s="261"/>
      <c r="B175" s="261"/>
      <c r="C175" s="261"/>
    </row>
    <row r="176" spans="1:3" x14ac:dyDescent="0.25">
      <c r="A176" s="261"/>
      <c r="B176" s="261"/>
      <c r="C176" s="261"/>
    </row>
    <row r="177" spans="1:3" x14ac:dyDescent="0.25">
      <c r="A177" s="261"/>
      <c r="B177" s="261"/>
      <c r="C177" s="261"/>
    </row>
    <row r="178" spans="1:3" x14ac:dyDescent="0.25">
      <c r="A178" s="261"/>
      <c r="B178" s="261"/>
      <c r="C178" s="261"/>
    </row>
    <row r="179" spans="1:3" x14ac:dyDescent="0.25">
      <c r="A179" s="261"/>
      <c r="B179" s="261"/>
      <c r="C179" s="261"/>
    </row>
    <row r="180" spans="1:3" x14ac:dyDescent="0.25">
      <c r="A180" s="261"/>
      <c r="B180" s="261"/>
      <c r="C180" s="261"/>
    </row>
    <row r="181" spans="1:3" x14ac:dyDescent="0.25">
      <c r="A181" s="261"/>
      <c r="B181" s="261"/>
      <c r="C181" s="261"/>
    </row>
    <row r="182" spans="1:3" x14ac:dyDescent="0.25">
      <c r="A182" s="261"/>
      <c r="B182" s="261"/>
      <c r="C182" s="261"/>
    </row>
    <row r="183" spans="1:3" x14ac:dyDescent="0.25">
      <c r="A183" s="261"/>
      <c r="B183" s="261"/>
      <c r="C183" s="261"/>
    </row>
    <row r="184" spans="1:3" x14ac:dyDescent="0.25">
      <c r="A184" s="261"/>
      <c r="B184" s="261"/>
      <c r="C184" s="261"/>
    </row>
    <row r="185" spans="1:3" x14ac:dyDescent="0.25">
      <c r="A185" s="261"/>
      <c r="B185" s="261"/>
      <c r="C185" s="261"/>
    </row>
    <row r="186" spans="1:3" x14ac:dyDescent="0.25">
      <c r="A186" s="261"/>
      <c r="B186" s="261"/>
      <c r="C186" s="261"/>
    </row>
    <row r="187" spans="1:3" x14ac:dyDescent="0.25">
      <c r="A187" s="261"/>
      <c r="B187" s="261"/>
      <c r="C187" s="261"/>
    </row>
    <row r="188" spans="1:3" x14ac:dyDescent="0.25">
      <c r="A188" s="261"/>
      <c r="B188" s="261"/>
      <c r="C188" s="261"/>
    </row>
    <row r="189" spans="1:3" x14ac:dyDescent="0.25">
      <c r="A189" s="261"/>
      <c r="B189" s="261"/>
      <c r="C189" s="261"/>
    </row>
    <row r="190" spans="1:3" x14ac:dyDescent="0.25">
      <c r="A190" s="261"/>
      <c r="B190" s="261"/>
      <c r="C190" s="261"/>
    </row>
    <row r="191" spans="1:3" x14ac:dyDescent="0.25">
      <c r="A191" s="261"/>
      <c r="B191" s="261"/>
      <c r="C191" s="261"/>
    </row>
    <row r="192" spans="1:3" x14ac:dyDescent="0.25">
      <c r="A192" s="261"/>
      <c r="B192" s="261"/>
      <c r="C192" s="261"/>
    </row>
    <row r="193" spans="1:3" x14ac:dyDescent="0.25">
      <c r="A193" s="261"/>
      <c r="B193" s="261"/>
      <c r="C193" s="261"/>
    </row>
    <row r="194" spans="1:3" x14ac:dyDescent="0.25">
      <c r="A194" s="261"/>
      <c r="B194" s="261"/>
      <c r="C194" s="261"/>
    </row>
    <row r="195" spans="1:3" x14ac:dyDescent="0.25">
      <c r="A195" s="261"/>
      <c r="B195" s="261"/>
      <c r="C195" s="261"/>
    </row>
    <row r="196" spans="1:3" x14ac:dyDescent="0.25">
      <c r="A196" s="261"/>
      <c r="B196" s="261"/>
      <c r="C196" s="261"/>
    </row>
    <row r="197" spans="1:3" x14ac:dyDescent="0.25">
      <c r="A197" s="261"/>
      <c r="B197" s="261"/>
      <c r="C197" s="261"/>
    </row>
    <row r="198" spans="1:3" x14ac:dyDescent="0.25">
      <c r="A198" s="261"/>
      <c r="B198" s="261"/>
      <c r="C198" s="261"/>
    </row>
    <row r="199" spans="1:3" x14ac:dyDescent="0.25">
      <c r="A199" s="261"/>
      <c r="B199" s="261"/>
      <c r="C199" s="261"/>
    </row>
    <row r="200" spans="1:3" x14ac:dyDescent="0.25">
      <c r="A200" s="261"/>
      <c r="B200" s="261"/>
      <c r="C200" s="261"/>
    </row>
    <row r="201" spans="1:3" x14ac:dyDescent="0.25">
      <c r="A201" s="261"/>
      <c r="B201" s="261"/>
      <c r="C201" s="261"/>
    </row>
    <row r="202" spans="1:3" x14ac:dyDescent="0.25">
      <c r="A202" s="261"/>
      <c r="B202" s="261"/>
      <c r="C202" s="261"/>
    </row>
    <row r="203" spans="1:3" x14ac:dyDescent="0.25">
      <c r="A203" s="261"/>
      <c r="B203" s="261"/>
      <c r="C203" s="261"/>
    </row>
    <row r="204" spans="1:3" x14ac:dyDescent="0.25">
      <c r="A204" s="261"/>
      <c r="B204" s="261"/>
      <c r="C204" s="261"/>
    </row>
    <row r="205" spans="1:3" x14ac:dyDescent="0.25">
      <c r="A205" s="261"/>
      <c r="B205" s="261"/>
      <c r="C205" s="261"/>
    </row>
    <row r="206" spans="1:3" x14ac:dyDescent="0.25">
      <c r="A206" s="261"/>
      <c r="B206" s="261"/>
      <c r="C206" s="261"/>
    </row>
    <row r="207" spans="1:3" x14ac:dyDescent="0.25">
      <c r="A207" s="261"/>
      <c r="B207" s="261"/>
      <c r="C207" s="261"/>
    </row>
    <row r="208" spans="1:3" x14ac:dyDescent="0.25">
      <c r="A208" s="261"/>
      <c r="B208" s="261"/>
      <c r="C208" s="261"/>
    </row>
    <row r="209" spans="1:3" x14ac:dyDescent="0.25">
      <c r="A209" s="261"/>
      <c r="B209" s="261"/>
      <c r="C209" s="261"/>
    </row>
    <row r="210" spans="1:3" x14ac:dyDescent="0.25">
      <c r="A210" s="261"/>
      <c r="B210" s="261"/>
      <c r="C210" s="261"/>
    </row>
    <row r="211" spans="1:3" x14ac:dyDescent="0.25">
      <c r="A211" s="261"/>
      <c r="B211" s="261"/>
      <c r="C211" s="261"/>
    </row>
    <row r="212" spans="1:3" x14ac:dyDescent="0.25">
      <c r="A212" s="261"/>
      <c r="B212" s="261"/>
      <c r="C212" s="261"/>
    </row>
    <row r="213" spans="1:3" x14ac:dyDescent="0.25">
      <c r="A213" s="261"/>
      <c r="B213" s="261"/>
      <c r="C213" s="261"/>
    </row>
    <row r="214" spans="1:3" x14ac:dyDescent="0.25">
      <c r="A214" s="261"/>
      <c r="B214" s="261"/>
      <c r="C214" s="261"/>
    </row>
    <row r="215" spans="1:3" x14ac:dyDescent="0.25">
      <c r="A215" s="261"/>
      <c r="B215" s="261"/>
      <c r="C215" s="261"/>
    </row>
    <row r="216" spans="1:3" x14ac:dyDescent="0.25">
      <c r="A216" s="261"/>
      <c r="B216" s="261"/>
      <c r="C216" s="261"/>
    </row>
    <row r="217" spans="1:3" x14ac:dyDescent="0.25">
      <c r="A217" s="261"/>
      <c r="B217" s="261"/>
      <c r="C217" s="261"/>
    </row>
    <row r="218" spans="1:3" x14ac:dyDescent="0.25">
      <c r="A218" s="261"/>
      <c r="B218" s="261"/>
      <c r="C218" s="261"/>
    </row>
    <row r="219" spans="1:3" x14ac:dyDescent="0.25">
      <c r="A219" s="261"/>
      <c r="B219" s="261"/>
      <c r="C219" s="261"/>
    </row>
    <row r="220" spans="1:3" x14ac:dyDescent="0.25">
      <c r="A220" s="261"/>
      <c r="B220" s="261"/>
      <c r="C220" s="261"/>
    </row>
    <row r="221" spans="1:3" x14ac:dyDescent="0.25">
      <c r="A221" s="261"/>
      <c r="B221" s="261"/>
      <c r="C221" s="261"/>
    </row>
    <row r="222" spans="1:3" x14ac:dyDescent="0.25">
      <c r="A222" s="261"/>
      <c r="B222" s="261"/>
      <c r="C222" s="261"/>
    </row>
    <row r="223" spans="1:3" x14ac:dyDescent="0.25">
      <c r="A223" s="261"/>
      <c r="B223" s="261"/>
      <c r="C223" s="261"/>
    </row>
    <row r="224" spans="1:3" x14ac:dyDescent="0.25">
      <c r="A224" s="261"/>
      <c r="B224" s="261"/>
      <c r="C224" s="261"/>
    </row>
    <row r="225" spans="1:3" x14ac:dyDescent="0.25">
      <c r="A225" s="261"/>
      <c r="B225" s="261"/>
      <c r="C225" s="261"/>
    </row>
    <row r="226" spans="1:3" x14ac:dyDescent="0.25">
      <c r="A226" s="261"/>
      <c r="B226" s="261"/>
      <c r="C226" s="261"/>
    </row>
    <row r="227" spans="1:3" x14ac:dyDescent="0.25">
      <c r="A227" s="261"/>
      <c r="B227" s="261"/>
      <c r="C227" s="261"/>
    </row>
    <row r="228" spans="1:3" x14ac:dyDescent="0.25">
      <c r="A228" s="261"/>
      <c r="B228" s="261"/>
      <c r="C228" s="261"/>
    </row>
    <row r="229" spans="1:3" x14ac:dyDescent="0.25">
      <c r="A229" s="261"/>
      <c r="B229" s="261"/>
      <c r="C229" s="261"/>
    </row>
    <row r="230" spans="1:3" x14ac:dyDescent="0.25">
      <c r="A230" s="261"/>
      <c r="B230" s="261"/>
      <c r="C230" s="261"/>
    </row>
    <row r="231" spans="1:3" x14ac:dyDescent="0.25">
      <c r="A231" s="261"/>
      <c r="B231" s="261"/>
      <c r="C231" s="261"/>
    </row>
    <row r="232" spans="1:3" x14ac:dyDescent="0.25">
      <c r="A232" s="261"/>
      <c r="B232" s="261"/>
      <c r="C232" s="261"/>
    </row>
    <row r="233" spans="1:3" x14ac:dyDescent="0.25">
      <c r="A233" s="261"/>
      <c r="B233" s="261"/>
      <c r="C233" s="261"/>
    </row>
    <row r="234" spans="1:3" x14ac:dyDescent="0.25">
      <c r="A234" s="261"/>
      <c r="B234" s="261"/>
      <c r="C234" s="261"/>
    </row>
    <row r="235" spans="1:3" x14ac:dyDescent="0.25">
      <c r="A235" s="261"/>
      <c r="B235" s="261"/>
      <c r="C235" s="261"/>
    </row>
    <row r="236" spans="1:3" x14ac:dyDescent="0.25">
      <c r="A236" s="261"/>
      <c r="B236" s="261"/>
      <c r="C236" s="261"/>
    </row>
    <row r="237" spans="1:3" x14ac:dyDescent="0.25">
      <c r="A237" s="261"/>
      <c r="B237" s="261"/>
      <c r="C237" s="261"/>
    </row>
    <row r="238" spans="1:3" x14ac:dyDescent="0.25">
      <c r="A238" s="261"/>
      <c r="B238" s="261"/>
      <c r="C238" s="261"/>
    </row>
    <row r="239" spans="1:3" x14ac:dyDescent="0.25">
      <c r="A239" s="261"/>
      <c r="B239" s="261"/>
      <c r="C239" s="261"/>
    </row>
    <row r="240" spans="1:3" x14ac:dyDescent="0.25">
      <c r="A240" s="261"/>
      <c r="B240" s="261"/>
      <c r="C240" s="261"/>
    </row>
    <row r="241" spans="1:3" x14ac:dyDescent="0.25">
      <c r="A241" s="261"/>
      <c r="B241" s="261"/>
      <c r="C241" s="261"/>
    </row>
    <row r="242" spans="1:3" x14ac:dyDescent="0.25">
      <c r="A242" s="261"/>
      <c r="B242" s="261"/>
      <c r="C242" s="261"/>
    </row>
    <row r="243" spans="1:3" x14ac:dyDescent="0.25">
      <c r="A243" s="261"/>
      <c r="B243" s="261"/>
      <c r="C243" s="261"/>
    </row>
    <row r="244" spans="1:3" x14ac:dyDescent="0.25">
      <c r="A244" s="261"/>
      <c r="B244" s="261"/>
      <c r="C244" s="261"/>
    </row>
    <row r="245" spans="1:3" x14ac:dyDescent="0.25">
      <c r="A245" s="261"/>
      <c r="B245" s="261"/>
      <c r="C245" s="261"/>
    </row>
    <row r="246" spans="1:3" x14ac:dyDescent="0.25">
      <c r="A246" s="261"/>
      <c r="B246" s="261"/>
      <c r="C246" s="261"/>
    </row>
    <row r="247" spans="1:3" x14ac:dyDescent="0.25">
      <c r="A247" s="261"/>
      <c r="B247" s="261"/>
      <c r="C247" s="261"/>
    </row>
    <row r="248" spans="1:3" x14ac:dyDescent="0.25">
      <c r="A248" s="261"/>
      <c r="B248" s="261"/>
      <c r="C248" s="261"/>
    </row>
    <row r="249" spans="1:3" x14ac:dyDescent="0.25">
      <c r="A249" s="261"/>
      <c r="B249" s="261"/>
      <c r="C249" s="261"/>
    </row>
    <row r="250" spans="1:3" x14ac:dyDescent="0.25">
      <c r="A250" s="261"/>
      <c r="B250" s="261"/>
      <c r="C250" s="261"/>
    </row>
    <row r="251" spans="1:3" x14ac:dyDescent="0.25">
      <c r="A251" s="261"/>
      <c r="B251" s="261"/>
      <c r="C251" s="261"/>
    </row>
    <row r="252" spans="1:3" x14ac:dyDescent="0.25">
      <c r="A252" s="261"/>
      <c r="B252" s="261"/>
      <c r="C252" s="261"/>
    </row>
    <row r="253" spans="1:3" x14ac:dyDescent="0.25">
      <c r="A253" s="261"/>
      <c r="B253" s="261"/>
      <c r="C253" s="261"/>
    </row>
    <row r="254" spans="1:3" x14ac:dyDescent="0.25">
      <c r="A254" s="261"/>
      <c r="B254" s="261"/>
      <c r="C254" s="261"/>
    </row>
    <row r="255" spans="1:3" x14ac:dyDescent="0.25">
      <c r="A255" s="261"/>
      <c r="B255" s="261"/>
      <c r="C255" s="261"/>
    </row>
    <row r="256" spans="1:3" x14ac:dyDescent="0.25">
      <c r="A256" s="261"/>
      <c r="B256" s="261"/>
      <c r="C256" s="261"/>
    </row>
    <row r="257" spans="1:3" x14ac:dyDescent="0.25">
      <c r="A257" s="261"/>
      <c r="B257" s="261"/>
      <c r="C257" s="261"/>
    </row>
    <row r="258" spans="1:3" x14ac:dyDescent="0.25">
      <c r="A258" s="261"/>
      <c r="B258" s="261"/>
      <c r="C258" s="261"/>
    </row>
    <row r="259" spans="1:3" x14ac:dyDescent="0.25">
      <c r="A259" s="261"/>
      <c r="B259" s="261"/>
      <c r="C259" s="261"/>
    </row>
    <row r="260" spans="1:3" x14ac:dyDescent="0.25">
      <c r="A260" s="261"/>
      <c r="B260" s="261"/>
      <c r="C260" s="261"/>
    </row>
    <row r="261" spans="1:3" x14ac:dyDescent="0.25">
      <c r="A261" s="261"/>
      <c r="B261" s="261"/>
      <c r="C261" s="261"/>
    </row>
    <row r="262" spans="1:3" x14ac:dyDescent="0.25">
      <c r="A262" s="261"/>
      <c r="B262" s="261"/>
      <c r="C262" s="261"/>
    </row>
    <row r="263" spans="1:3" x14ac:dyDescent="0.25">
      <c r="A263" s="261"/>
      <c r="B263" s="261"/>
      <c r="C263" s="261"/>
    </row>
    <row r="264" spans="1:3" x14ac:dyDescent="0.25">
      <c r="A264" s="261"/>
      <c r="B264" s="261"/>
      <c r="C264" s="261"/>
    </row>
    <row r="265" spans="1:3" x14ac:dyDescent="0.25">
      <c r="A265" s="261"/>
      <c r="B265" s="261"/>
      <c r="C265" s="261"/>
    </row>
    <row r="266" spans="1:3" x14ac:dyDescent="0.25">
      <c r="A266" s="261"/>
      <c r="B266" s="261"/>
      <c r="C266" s="261"/>
    </row>
    <row r="267" spans="1:3" x14ac:dyDescent="0.25">
      <c r="A267" s="261"/>
      <c r="B267" s="261"/>
      <c r="C267" s="261"/>
    </row>
    <row r="268" spans="1:3" x14ac:dyDescent="0.25">
      <c r="A268" s="261"/>
      <c r="B268" s="261"/>
      <c r="C268" s="261"/>
    </row>
    <row r="269" spans="1:3" x14ac:dyDescent="0.25">
      <c r="A269" s="261"/>
      <c r="B269" s="261"/>
      <c r="C269" s="261"/>
    </row>
    <row r="270" spans="1:3" x14ac:dyDescent="0.25">
      <c r="A270" s="261"/>
      <c r="B270" s="261"/>
      <c r="C270" s="261"/>
    </row>
    <row r="271" spans="1:3" x14ac:dyDescent="0.25">
      <c r="A271" s="261"/>
      <c r="B271" s="261"/>
      <c r="C271" s="261"/>
    </row>
    <row r="272" spans="1:3" x14ac:dyDescent="0.25">
      <c r="A272" s="261"/>
      <c r="B272" s="261"/>
      <c r="C272" s="261"/>
    </row>
    <row r="273" spans="1:3" x14ac:dyDescent="0.25">
      <c r="A273" s="261"/>
      <c r="B273" s="261"/>
      <c r="C273" s="261"/>
    </row>
    <row r="274" spans="1:3" x14ac:dyDescent="0.25">
      <c r="A274" s="261"/>
      <c r="B274" s="261"/>
      <c r="C274" s="261"/>
    </row>
    <row r="275" spans="1:3" x14ac:dyDescent="0.25">
      <c r="A275" s="261"/>
      <c r="B275" s="261"/>
      <c r="C275" s="261"/>
    </row>
    <row r="276" spans="1:3" x14ac:dyDescent="0.25">
      <c r="A276" s="261"/>
      <c r="B276" s="261"/>
      <c r="C276" s="261"/>
    </row>
    <row r="277" spans="1:3" x14ac:dyDescent="0.25">
      <c r="A277" s="261"/>
      <c r="B277" s="261"/>
      <c r="C277" s="261"/>
    </row>
    <row r="278" spans="1:3" x14ac:dyDescent="0.25">
      <c r="A278" s="261"/>
      <c r="B278" s="261"/>
      <c r="C278" s="261"/>
    </row>
    <row r="279" spans="1:3" x14ac:dyDescent="0.25">
      <c r="A279" s="261"/>
      <c r="B279" s="261"/>
      <c r="C279" s="261"/>
    </row>
    <row r="280" spans="1:3" x14ac:dyDescent="0.25">
      <c r="A280" s="261"/>
      <c r="B280" s="261"/>
      <c r="C280" s="261"/>
    </row>
    <row r="281" spans="1:3" x14ac:dyDescent="0.25">
      <c r="A281" s="261"/>
      <c r="B281" s="261"/>
      <c r="C281" s="261"/>
    </row>
    <row r="282" spans="1:3" x14ac:dyDescent="0.25">
      <c r="A282" s="261"/>
      <c r="B282" s="261"/>
      <c r="C282" s="261"/>
    </row>
    <row r="283" spans="1:3" x14ac:dyDescent="0.25">
      <c r="A283" s="261"/>
      <c r="B283" s="261"/>
      <c r="C283" s="261"/>
    </row>
    <row r="284" spans="1:3" x14ac:dyDescent="0.25">
      <c r="A284" s="261"/>
      <c r="B284" s="261"/>
      <c r="C284" s="261"/>
    </row>
    <row r="285" spans="1:3" x14ac:dyDescent="0.25">
      <c r="A285" s="261"/>
      <c r="B285" s="261"/>
      <c r="C285" s="261"/>
    </row>
    <row r="286" spans="1:3" x14ac:dyDescent="0.25">
      <c r="A286" s="261"/>
      <c r="B286" s="261"/>
      <c r="C286" s="261"/>
    </row>
    <row r="287" spans="1:3" x14ac:dyDescent="0.25">
      <c r="A287" s="261"/>
      <c r="B287" s="261"/>
      <c r="C287" s="261"/>
    </row>
    <row r="288" spans="1:3" x14ac:dyDescent="0.25">
      <c r="A288" s="261"/>
      <c r="B288" s="261"/>
      <c r="C288" s="261"/>
    </row>
    <row r="289" spans="1:3" x14ac:dyDescent="0.25">
      <c r="A289" s="261"/>
      <c r="B289" s="261"/>
      <c r="C289" s="261"/>
    </row>
    <row r="290" spans="1:3" x14ac:dyDescent="0.25">
      <c r="A290" s="261"/>
      <c r="B290" s="261"/>
      <c r="C290" s="261"/>
    </row>
    <row r="291" spans="1:3" x14ac:dyDescent="0.25">
      <c r="A291" s="261"/>
      <c r="B291" s="261"/>
      <c r="C291" s="261"/>
    </row>
    <row r="292" spans="1:3" x14ac:dyDescent="0.25">
      <c r="A292" s="261"/>
      <c r="B292" s="261"/>
      <c r="C292" s="261"/>
    </row>
    <row r="293" spans="1:3" x14ac:dyDescent="0.25">
      <c r="A293" s="261"/>
      <c r="B293" s="261"/>
      <c r="C293" s="261"/>
    </row>
    <row r="294" spans="1:3" x14ac:dyDescent="0.25">
      <c r="A294" s="261"/>
      <c r="B294" s="261"/>
      <c r="C294" s="261"/>
    </row>
    <row r="295" spans="1:3" x14ac:dyDescent="0.25">
      <c r="A295" s="261"/>
      <c r="B295" s="261"/>
      <c r="C295" s="261"/>
    </row>
    <row r="296" spans="1:3" x14ac:dyDescent="0.25">
      <c r="A296" s="261"/>
      <c r="B296" s="261"/>
      <c r="C296" s="261"/>
    </row>
    <row r="297" spans="1:3" x14ac:dyDescent="0.25">
      <c r="A297" s="261"/>
      <c r="B297" s="261"/>
      <c r="C297" s="261"/>
    </row>
    <row r="298" spans="1:3" x14ac:dyDescent="0.25">
      <c r="A298" s="261"/>
      <c r="B298" s="261"/>
      <c r="C298" s="261"/>
    </row>
    <row r="299" spans="1:3" x14ac:dyDescent="0.25">
      <c r="A299" s="261"/>
      <c r="B299" s="261"/>
      <c r="C299" s="261"/>
    </row>
    <row r="300" spans="1:3" x14ac:dyDescent="0.25">
      <c r="A300" s="261"/>
      <c r="B300" s="261"/>
      <c r="C300" s="261"/>
    </row>
    <row r="301" spans="1:3" x14ac:dyDescent="0.25">
      <c r="A301" s="261"/>
      <c r="B301" s="261"/>
      <c r="C301" s="261"/>
    </row>
    <row r="302" spans="1:3" x14ac:dyDescent="0.25">
      <c r="A302" s="261"/>
      <c r="B302" s="261"/>
      <c r="C302" s="261"/>
    </row>
    <row r="303" spans="1:3" x14ac:dyDescent="0.25">
      <c r="A303" s="261"/>
      <c r="B303" s="261"/>
      <c r="C303" s="261"/>
    </row>
    <row r="304" spans="1:3" x14ac:dyDescent="0.25">
      <c r="A304" s="261"/>
      <c r="B304" s="261"/>
      <c r="C304" s="261"/>
    </row>
    <row r="305" spans="1:3" x14ac:dyDescent="0.25">
      <c r="A305" s="261"/>
      <c r="B305" s="261"/>
      <c r="C305" s="261"/>
    </row>
    <row r="306" spans="1:3" x14ac:dyDescent="0.25">
      <c r="A306" s="261"/>
      <c r="B306" s="261"/>
      <c r="C306" s="261"/>
    </row>
    <row r="307" spans="1:3" x14ac:dyDescent="0.25">
      <c r="A307" s="261"/>
      <c r="B307" s="261"/>
      <c r="C307" s="261"/>
    </row>
    <row r="308" spans="1:3" x14ac:dyDescent="0.25">
      <c r="A308" s="261"/>
      <c r="B308" s="261"/>
      <c r="C308" s="261"/>
    </row>
    <row r="309" spans="1:3" x14ac:dyDescent="0.25">
      <c r="A309" s="261"/>
      <c r="B309" s="261"/>
      <c r="C309" s="261"/>
    </row>
    <row r="310" spans="1:3" x14ac:dyDescent="0.25">
      <c r="A310" s="261"/>
      <c r="B310" s="261"/>
      <c r="C310" s="261"/>
    </row>
    <row r="311" spans="1:3" x14ac:dyDescent="0.25">
      <c r="A311" s="261"/>
      <c r="B311" s="261"/>
      <c r="C311" s="261"/>
    </row>
    <row r="312" spans="1:3" x14ac:dyDescent="0.25">
      <c r="A312" s="261"/>
      <c r="B312" s="261"/>
      <c r="C312" s="261"/>
    </row>
    <row r="313" spans="1:3" x14ac:dyDescent="0.25">
      <c r="A313" s="261"/>
      <c r="B313" s="261"/>
      <c r="C313" s="261"/>
    </row>
    <row r="314" spans="1:3" x14ac:dyDescent="0.25">
      <c r="A314" s="261"/>
      <c r="B314" s="261"/>
      <c r="C314" s="261"/>
    </row>
    <row r="315" spans="1:3" x14ac:dyDescent="0.25">
      <c r="A315" s="261"/>
      <c r="B315" s="261"/>
      <c r="C315" s="261"/>
    </row>
    <row r="316" spans="1:3" x14ac:dyDescent="0.25">
      <c r="A316" s="261"/>
      <c r="B316" s="261"/>
      <c r="C316" s="261"/>
    </row>
    <row r="317" spans="1:3" x14ac:dyDescent="0.25">
      <c r="A317" s="261"/>
      <c r="B317" s="261"/>
      <c r="C317" s="261"/>
    </row>
    <row r="318" spans="1:3" x14ac:dyDescent="0.25">
      <c r="A318" s="261"/>
      <c r="B318" s="261"/>
      <c r="C318" s="261"/>
    </row>
    <row r="319" spans="1:3" x14ac:dyDescent="0.25">
      <c r="A319" s="261"/>
      <c r="B319" s="261"/>
      <c r="C319" s="261"/>
    </row>
    <row r="320" spans="1:3" x14ac:dyDescent="0.25">
      <c r="A320" s="261"/>
      <c r="B320" s="261"/>
      <c r="C320" s="261"/>
    </row>
    <row r="321" spans="1:3" x14ac:dyDescent="0.25">
      <c r="A321" s="261"/>
      <c r="B321" s="261"/>
      <c r="C321" s="261"/>
    </row>
    <row r="322" spans="1:3" x14ac:dyDescent="0.25">
      <c r="A322" s="261"/>
      <c r="B322" s="261"/>
      <c r="C322" s="261"/>
    </row>
    <row r="323" spans="1:3" x14ac:dyDescent="0.25">
      <c r="A323" s="261"/>
      <c r="B323" s="261"/>
      <c r="C323" s="261"/>
    </row>
    <row r="324" spans="1:3" x14ac:dyDescent="0.25">
      <c r="A324" s="261"/>
      <c r="B324" s="261"/>
      <c r="C324" s="261"/>
    </row>
    <row r="325" spans="1:3" x14ac:dyDescent="0.25">
      <c r="A325" s="261"/>
      <c r="B325" s="261"/>
      <c r="C325" s="261"/>
    </row>
    <row r="326" spans="1:3" x14ac:dyDescent="0.25">
      <c r="A326" s="261"/>
      <c r="B326" s="261"/>
      <c r="C326" s="261"/>
    </row>
    <row r="327" spans="1:3" x14ac:dyDescent="0.25">
      <c r="A327" s="261"/>
      <c r="B327" s="261"/>
      <c r="C327" s="261"/>
    </row>
    <row r="328" spans="1:3" x14ac:dyDescent="0.25">
      <c r="A328" s="261"/>
      <c r="B328" s="261"/>
      <c r="C328" s="261"/>
    </row>
    <row r="329" spans="1:3" x14ac:dyDescent="0.25">
      <c r="A329" s="261"/>
      <c r="B329" s="261"/>
      <c r="C329" s="261"/>
    </row>
    <row r="330" spans="1:3" x14ac:dyDescent="0.25">
      <c r="A330" s="261"/>
      <c r="B330" s="261"/>
      <c r="C330" s="261"/>
    </row>
    <row r="331" spans="1:3" x14ac:dyDescent="0.25">
      <c r="A331" s="261"/>
      <c r="B331" s="261"/>
      <c r="C331" s="261"/>
    </row>
    <row r="332" spans="1:3" x14ac:dyDescent="0.25">
      <c r="A332" s="261"/>
      <c r="B332" s="261"/>
      <c r="C332" s="261"/>
    </row>
    <row r="333" spans="1:3" x14ac:dyDescent="0.25">
      <c r="A333" s="261"/>
      <c r="B333" s="261"/>
      <c r="C333" s="261"/>
    </row>
    <row r="334" spans="1:3" x14ac:dyDescent="0.25">
      <c r="A334" s="261"/>
      <c r="B334" s="261"/>
      <c r="C334" s="261"/>
    </row>
    <row r="335" spans="1:3" x14ac:dyDescent="0.25">
      <c r="A335" s="261"/>
      <c r="B335" s="261"/>
      <c r="C335" s="261"/>
    </row>
    <row r="336" spans="1:3" x14ac:dyDescent="0.25">
      <c r="A336" s="261"/>
      <c r="B336" s="261"/>
      <c r="C336" s="261"/>
    </row>
    <row r="337" spans="1:3" x14ac:dyDescent="0.25">
      <c r="A337" s="261"/>
      <c r="B337" s="261"/>
      <c r="C337" s="261"/>
    </row>
    <row r="338" spans="1:3" x14ac:dyDescent="0.25">
      <c r="A338" s="261"/>
      <c r="B338" s="261"/>
      <c r="C338" s="261"/>
    </row>
    <row r="339" spans="1:3" x14ac:dyDescent="0.25">
      <c r="A339" s="261"/>
      <c r="B339" s="261"/>
      <c r="C339" s="261"/>
    </row>
    <row r="340" spans="1:3" x14ac:dyDescent="0.25">
      <c r="A340" s="261"/>
      <c r="B340" s="261"/>
      <c r="C340" s="261"/>
    </row>
    <row r="341" spans="1:3" x14ac:dyDescent="0.25">
      <c r="A341" s="261"/>
      <c r="B341" s="261"/>
      <c r="C341" s="261"/>
    </row>
    <row r="342" spans="1:3" x14ac:dyDescent="0.25">
      <c r="A342" s="261"/>
      <c r="B342" s="261"/>
      <c r="C342" s="261"/>
    </row>
    <row r="343" spans="1:3" x14ac:dyDescent="0.25">
      <c r="A343" s="261"/>
      <c r="B343" s="261"/>
      <c r="C343" s="261"/>
    </row>
    <row r="344" spans="1:3" x14ac:dyDescent="0.25">
      <c r="A344" s="261"/>
      <c r="B344" s="261"/>
      <c r="C344" s="261"/>
    </row>
    <row r="345" spans="1:3" x14ac:dyDescent="0.25">
      <c r="A345" s="261"/>
      <c r="B345" s="261"/>
      <c r="C345" s="261"/>
    </row>
    <row r="346" spans="1:3" x14ac:dyDescent="0.25">
      <c r="A346" s="261"/>
      <c r="B346" s="261"/>
      <c r="C346" s="261"/>
    </row>
    <row r="347" spans="1:3" x14ac:dyDescent="0.25">
      <c r="A347" s="261"/>
      <c r="B347" s="261"/>
      <c r="C347" s="261"/>
    </row>
    <row r="348" spans="1:3" x14ac:dyDescent="0.25">
      <c r="A348" s="261"/>
      <c r="B348" s="261"/>
      <c r="C348" s="261"/>
    </row>
    <row r="349" spans="1:3" x14ac:dyDescent="0.25">
      <c r="A349" s="261"/>
      <c r="B349" s="261"/>
      <c r="C349" s="261"/>
    </row>
    <row r="350" spans="1:3" x14ac:dyDescent="0.25">
      <c r="A350" s="261"/>
      <c r="B350" s="261"/>
      <c r="C350" s="261"/>
    </row>
    <row r="351" spans="1:3" x14ac:dyDescent="0.25">
      <c r="A351" s="261"/>
      <c r="B351" s="261"/>
      <c r="C351" s="261"/>
    </row>
    <row r="352" spans="1:3" x14ac:dyDescent="0.25">
      <c r="A352" s="261"/>
      <c r="B352" s="261"/>
      <c r="C352" s="261"/>
    </row>
    <row r="353" spans="1:3" x14ac:dyDescent="0.25">
      <c r="A353" s="261"/>
      <c r="B353" s="261"/>
      <c r="C353" s="261"/>
    </row>
    <row r="354" spans="1:3" x14ac:dyDescent="0.25">
      <c r="A354" s="261"/>
      <c r="B354" s="261"/>
      <c r="C354" s="261"/>
    </row>
    <row r="355" spans="1:3" x14ac:dyDescent="0.25">
      <c r="A355" s="261"/>
      <c r="B355" s="261"/>
      <c r="C355" s="261"/>
    </row>
    <row r="356" spans="1:3" x14ac:dyDescent="0.25">
      <c r="A356" s="261"/>
      <c r="B356" s="261"/>
      <c r="C356" s="261"/>
    </row>
    <row r="357" spans="1:3" x14ac:dyDescent="0.25">
      <c r="A357" s="261"/>
      <c r="B357" s="261"/>
      <c r="C357" s="261"/>
    </row>
    <row r="358" spans="1:3" x14ac:dyDescent="0.25">
      <c r="A358" s="261"/>
      <c r="B358" s="261"/>
      <c r="C358" s="261"/>
    </row>
    <row r="359" spans="1:3" x14ac:dyDescent="0.25">
      <c r="A359" s="261"/>
      <c r="B359" s="261"/>
      <c r="C359" s="261"/>
    </row>
    <row r="360" spans="1:3" x14ac:dyDescent="0.25">
      <c r="A360" s="261"/>
      <c r="B360" s="261"/>
      <c r="C360" s="261"/>
    </row>
    <row r="361" spans="1:3" x14ac:dyDescent="0.25">
      <c r="A361" s="261"/>
      <c r="B361" s="261"/>
      <c r="C361" s="261"/>
    </row>
    <row r="362" spans="1:3" x14ac:dyDescent="0.25">
      <c r="A362" s="261"/>
      <c r="B362" s="261"/>
      <c r="C362" s="261"/>
    </row>
    <row r="363" spans="1:3" x14ac:dyDescent="0.25">
      <c r="A363" s="261"/>
      <c r="B363" s="261"/>
      <c r="C363" s="261"/>
    </row>
    <row r="364" spans="1:3" x14ac:dyDescent="0.25">
      <c r="A364" s="261"/>
      <c r="B364" s="261"/>
      <c r="C364" s="261"/>
    </row>
    <row r="365" spans="1:3" x14ac:dyDescent="0.25">
      <c r="A365" s="261"/>
      <c r="B365" s="261"/>
      <c r="C365" s="261"/>
    </row>
    <row r="366" spans="1:3" x14ac:dyDescent="0.25">
      <c r="A366" s="261"/>
      <c r="B366" s="261"/>
      <c r="C366" s="261"/>
    </row>
    <row r="367" spans="1:3" x14ac:dyDescent="0.25">
      <c r="A367" s="261"/>
      <c r="B367" s="261"/>
      <c r="C367" s="261"/>
    </row>
    <row r="368" spans="1:3" x14ac:dyDescent="0.25">
      <c r="A368" s="261"/>
      <c r="B368" s="261"/>
      <c r="C368" s="261"/>
    </row>
    <row r="369" spans="1:3" x14ac:dyDescent="0.25">
      <c r="A369" s="261"/>
      <c r="B369" s="261"/>
      <c r="C369" s="261"/>
    </row>
    <row r="370" spans="1:3" x14ac:dyDescent="0.25">
      <c r="A370" s="261"/>
      <c r="B370" s="261"/>
      <c r="C370" s="261"/>
    </row>
    <row r="371" spans="1:3" x14ac:dyDescent="0.25">
      <c r="A371" s="261"/>
      <c r="B371" s="261"/>
      <c r="C371" s="261"/>
    </row>
    <row r="372" spans="1:3" x14ac:dyDescent="0.25">
      <c r="A372" s="261"/>
      <c r="B372" s="261"/>
      <c r="C372" s="261"/>
    </row>
    <row r="373" spans="1:3" x14ac:dyDescent="0.25">
      <c r="A373" s="261"/>
      <c r="B373" s="261"/>
      <c r="C373" s="261"/>
    </row>
    <row r="374" spans="1:3" x14ac:dyDescent="0.25">
      <c r="A374" s="261"/>
      <c r="B374" s="261"/>
      <c r="C374" s="261"/>
    </row>
    <row r="375" spans="1:3" x14ac:dyDescent="0.25">
      <c r="A375" s="261"/>
      <c r="B375" s="261"/>
      <c r="C375" s="261"/>
    </row>
    <row r="376" spans="1:3" x14ac:dyDescent="0.25">
      <c r="A376" s="261"/>
      <c r="B376" s="261"/>
      <c r="C376" s="261"/>
    </row>
    <row r="377" spans="1:3" x14ac:dyDescent="0.25">
      <c r="A377" s="261"/>
      <c r="B377" s="261"/>
      <c r="C377" s="261"/>
    </row>
    <row r="378" spans="1:3" x14ac:dyDescent="0.25">
      <c r="A378" s="261"/>
      <c r="B378" s="261"/>
      <c r="C378" s="261"/>
    </row>
    <row r="379" spans="1:3" x14ac:dyDescent="0.25">
      <c r="A379" s="261"/>
      <c r="B379" s="261"/>
      <c r="C379" s="261"/>
    </row>
    <row r="380" spans="1:3" x14ac:dyDescent="0.25">
      <c r="A380" s="261"/>
      <c r="B380" s="261"/>
      <c r="C380" s="261"/>
    </row>
    <row r="381" spans="1:3" x14ac:dyDescent="0.25">
      <c r="A381" s="261"/>
      <c r="B381" s="261"/>
      <c r="C381" s="261"/>
    </row>
    <row r="382" spans="1:3" x14ac:dyDescent="0.25">
      <c r="A382" s="261"/>
      <c r="B382" s="261"/>
      <c r="C382" s="261"/>
    </row>
    <row r="383" spans="1:3" x14ac:dyDescent="0.25">
      <c r="A383" s="261"/>
      <c r="B383" s="261"/>
      <c r="C383" s="261"/>
    </row>
    <row r="384" spans="1:3" x14ac:dyDescent="0.25">
      <c r="A384" s="261"/>
      <c r="B384" s="261"/>
      <c r="C384" s="261"/>
    </row>
    <row r="385" spans="1:3" x14ac:dyDescent="0.25">
      <c r="A385" s="261"/>
      <c r="B385" s="261"/>
      <c r="C385" s="261"/>
    </row>
    <row r="386" spans="1:3" x14ac:dyDescent="0.25">
      <c r="A386" s="261"/>
      <c r="B386" s="261"/>
      <c r="C386" s="261"/>
    </row>
    <row r="387" spans="1:3" x14ac:dyDescent="0.25">
      <c r="A387" s="261"/>
      <c r="B387" s="261"/>
      <c r="C387" s="261"/>
    </row>
    <row r="388" spans="1:3" x14ac:dyDescent="0.25">
      <c r="A388" s="261"/>
      <c r="B388" s="261"/>
      <c r="C388" s="261"/>
    </row>
    <row r="389" spans="1:3" x14ac:dyDescent="0.25">
      <c r="A389" s="261"/>
      <c r="B389" s="261"/>
      <c r="C389" s="261"/>
    </row>
    <row r="390" spans="1:3" x14ac:dyDescent="0.25">
      <c r="A390" s="261"/>
      <c r="B390" s="261"/>
      <c r="C390" s="261"/>
    </row>
    <row r="391" spans="1:3" x14ac:dyDescent="0.25">
      <c r="A391" s="261"/>
      <c r="B391" s="261"/>
      <c r="C391" s="261"/>
    </row>
    <row r="392" spans="1:3" x14ac:dyDescent="0.25">
      <c r="A392" s="261"/>
      <c r="B392" s="261"/>
      <c r="C392" s="261"/>
    </row>
    <row r="393" spans="1:3" x14ac:dyDescent="0.25">
      <c r="A393" s="261"/>
      <c r="B393" s="261"/>
      <c r="C393" s="261"/>
    </row>
    <row r="394" spans="1:3" x14ac:dyDescent="0.25">
      <c r="A394" s="261"/>
      <c r="B394" s="261"/>
      <c r="C394" s="261"/>
    </row>
    <row r="395" spans="1:3" x14ac:dyDescent="0.25">
      <c r="A395" s="261"/>
      <c r="B395" s="261"/>
      <c r="C395" s="261"/>
    </row>
    <row r="396" spans="1:3" x14ac:dyDescent="0.25">
      <c r="A396" s="261"/>
      <c r="B396" s="261"/>
      <c r="C396" s="261"/>
    </row>
    <row r="397" spans="1:3" x14ac:dyDescent="0.25">
      <c r="A397" s="261"/>
      <c r="B397" s="261"/>
      <c r="C397" s="261"/>
    </row>
    <row r="398" spans="1:3" x14ac:dyDescent="0.25">
      <c r="A398" s="261"/>
      <c r="B398" s="261"/>
      <c r="C398" s="261"/>
    </row>
    <row r="399" spans="1:3" x14ac:dyDescent="0.25">
      <c r="A399" s="261"/>
      <c r="B399" s="261"/>
      <c r="C399" s="261"/>
    </row>
    <row r="400" spans="1:3" x14ac:dyDescent="0.25">
      <c r="A400" s="261"/>
      <c r="B400" s="261"/>
      <c r="C400" s="261"/>
    </row>
    <row r="401" spans="1:3" x14ac:dyDescent="0.25">
      <c r="A401" s="261"/>
      <c r="B401" s="261"/>
      <c r="C401" s="261"/>
    </row>
    <row r="402" spans="1:3" x14ac:dyDescent="0.25">
      <c r="A402" s="261"/>
      <c r="B402" s="261"/>
      <c r="C402" s="261"/>
    </row>
    <row r="403" spans="1:3" x14ac:dyDescent="0.25">
      <c r="A403" s="261"/>
      <c r="B403" s="261"/>
      <c r="C403" s="261"/>
    </row>
    <row r="404" spans="1:3" x14ac:dyDescent="0.25">
      <c r="A404" s="261"/>
      <c r="B404" s="261"/>
      <c r="C404" s="261"/>
    </row>
    <row r="405" spans="1:3" x14ac:dyDescent="0.25">
      <c r="A405" s="261"/>
      <c r="B405" s="261"/>
      <c r="C405" s="261"/>
    </row>
    <row r="406" spans="1:3" x14ac:dyDescent="0.25">
      <c r="A406" s="261"/>
      <c r="B406" s="261"/>
      <c r="C406" s="261"/>
    </row>
    <row r="407" spans="1:3" x14ac:dyDescent="0.25">
      <c r="A407" s="261"/>
      <c r="B407" s="261"/>
      <c r="C407" s="261"/>
    </row>
    <row r="408" spans="1:3" x14ac:dyDescent="0.25">
      <c r="A408" s="261"/>
      <c r="B408" s="261"/>
      <c r="C408" s="261"/>
    </row>
    <row r="409" spans="1:3" x14ac:dyDescent="0.25">
      <c r="A409" s="261"/>
      <c r="B409" s="261"/>
      <c r="C409" s="261"/>
    </row>
    <row r="410" spans="1:3" x14ac:dyDescent="0.25">
      <c r="A410" s="261"/>
      <c r="B410" s="261"/>
      <c r="C410" s="261"/>
    </row>
    <row r="411" spans="1:3" x14ac:dyDescent="0.25">
      <c r="A411" s="261"/>
      <c r="B411" s="261"/>
      <c r="C411" s="261"/>
    </row>
    <row r="412" spans="1:3" x14ac:dyDescent="0.25">
      <c r="A412" s="261"/>
      <c r="B412" s="261"/>
      <c r="C412" s="261"/>
    </row>
    <row r="413" spans="1:3" x14ac:dyDescent="0.25">
      <c r="A413" s="261"/>
      <c r="B413" s="261"/>
      <c r="C413" s="261"/>
    </row>
    <row r="414" spans="1:3" x14ac:dyDescent="0.25">
      <c r="A414" s="261"/>
      <c r="B414" s="261"/>
      <c r="C414" s="261"/>
    </row>
    <row r="415" spans="1:3" x14ac:dyDescent="0.25">
      <c r="A415" s="261"/>
      <c r="B415" s="261"/>
      <c r="C415" s="261"/>
    </row>
    <row r="416" spans="1:3" x14ac:dyDescent="0.25">
      <c r="A416" s="261"/>
      <c r="B416" s="261"/>
      <c r="C416" s="261"/>
    </row>
    <row r="417" spans="1:3" x14ac:dyDescent="0.25">
      <c r="A417" s="261"/>
      <c r="B417" s="261"/>
      <c r="C417" s="261"/>
    </row>
    <row r="418" spans="1:3" x14ac:dyDescent="0.25">
      <c r="A418" s="261"/>
      <c r="B418" s="261"/>
      <c r="C418" s="261"/>
    </row>
    <row r="419" spans="1:3" x14ac:dyDescent="0.25">
      <c r="A419" s="261"/>
      <c r="B419" s="261"/>
      <c r="C419" s="261"/>
    </row>
    <row r="420" spans="1:3" x14ac:dyDescent="0.25">
      <c r="A420" s="261"/>
      <c r="B420" s="261"/>
      <c r="C420" s="261"/>
    </row>
    <row r="421" spans="1:3" x14ac:dyDescent="0.25">
      <c r="A421" s="261"/>
      <c r="B421" s="261"/>
      <c r="C421" s="261"/>
    </row>
    <row r="422" spans="1:3" x14ac:dyDescent="0.25">
      <c r="A422" s="261"/>
      <c r="B422" s="261"/>
      <c r="C422" s="261"/>
    </row>
    <row r="423" spans="1:3" x14ac:dyDescent="0.25">
      <c r="A423" s="261"/>
      <c r="B423" s="261"/>
      <c r="C423" s="261"/>
    </row>
    <row r="424" spans="1:3" x14ac:dyDescent="0.25">
      <c r="A424" s="261"/>
      <c r="B424" s="261"/>
      <c r="C424" s="261"/>
    </row>
    <row r="425" spans="1:3" x14ac:dyDescent="0.25">
      <c r="A425" s="261"/>
      <c r="B425" s="261"/>
      <c r="C425" s="261"/>
    </row>
    <row r="426" spans="1:3" x14ac:dyDescent="0.25">
      <c r="A426" s="261"/>
      <c r="B426" s="261"/>
      <c r="C426" s="261"/>
    </row>
    <row r="427" spans="1:3" x14ac:dyDescent="0.25">
      <c r="A427" s="261"/>
      <c r="B427" s="261"/>
      <c r="C427" s="261"/>
    </row>
    <row r="428" spans="1:3" x14ac:dyDescent="0.25">
      <c r="A428" s="261"/>
      <c r="B428" s="261"/>
      <c r="C428" s="261"/>
    </row>
    <row r="429" spans="1:3" x14ac:dyDescent="0.25">
      <c r="A429" s="261"/>
      <c r="B429" s="261"/>
      <c r="C429" s="261"/>
    </row>
    <row r="430" spans="1:3" x14ac:dyDescent="0.25">
      <c r="A430" s="261"/>
      <c r="B430" s="261"/>
      <c r="C430" s="261"/>
    </row>
    <row r="431" spans="1:3" x14ac:dyDescent="0.25">
      <c r="A431" s="261"/>
      <c r="B431" s="261"/>
      <c r="C431" s="261"/>
    </row>
    <row r="432" spans="1:3" x14ac:dyDescent="0.25">
      <c r="A432" s="261"/>
      <c r="B432" s="261"/>
      <c r="C432" s="261"/>
    </row>
    <row r="433" spans="1:3" x14ac:dyDescent="0.25">
      <c r="A433" s="261"/>
      <c r="B433" s="261"/>
      <c r="C433" s="261"/>
    </row>
    <row r="434" spans="1:3" x14ac:dyDescent="0.25">
      <c r="A434" s="261"/>
      <c r="B434" s="261"/>
      <c r="C434" s="261"/>
    </row>
    <row r="435" spans="1:3" x14ac:dyDescent="0.25">
      <c r="A435" s="261"/>
      <c r="B435" s="261"/>
      <c r="C435" s="261"/>
    </row>
    <row r="436" spans="1:3" x14ac:dyDescent="0.25">
      <c r="A436" s="261"/>
      <c r="B436" s="261"/>
      <c r="C436" s="261"/>
    </row>
    <row r="437" spans="1:3" x14ac:dyDescent="0.25">
      <c r="A437" s="261"/>
      <c r="B437" s="261"/>
      <c r="C437" s="261"/>
    </row>
    <row r="438" spans="1:3" x14ac:dyDescent="0.25">
      <c r="A438" s="261"/>
      <c r="B438" s="261"/>
      <c r="C438" s="261"/>
    </row>
    <row r="439" spans="1:3" x14ac:dyDescent="0.25">
      <c r="A439" s="261"/>
      <c r="B439" s="261"/>
      <c r="C439" s="261"/>
    </row>
    <row r="440" spans="1:3" x14ac:dyDescent="0.25">
      <c r="A440" s="261"/>
      <c r="B440" s="261"/>
      <c r="C440" s="261"/>
    </row>
    <row r="441" spans="1:3" x14ac:dyDescent="0.25">
      <c r="A441" s="261"/>
      <c r="B441" s="261"/>
      <c r="C441" s="261"/>
    </row>
    <row r="442" spans="1:3" x14ac:dyDescent="0.25">
      <c r="A442" s="261"/>
      <c r="B442" s="261"/>
      <c r="C442" s="261"/>
    </row>
    <row r="443" spans="1:3" x14ac:dyDescent="0.25">
      <c r="A443" s="261"/>
      <c r="B443" s="261"/>
      <c r="C443" s="261"/>
    </row>
    <row r="444" spans="1:3" x14ac:dyDescent="0.25">
      <c r="A444" s="261"/>
      <c r="B444" s="261"/>
      <c r="C444" s="261"/>
    </row>
    <row r="445" spans="1:3" x14ac:dyDescent="0.25">
      <c r="A445" s="261"/>
      <c r="B445" s="261"/>
      <c r="C445" s="261"/>
    </row>
    <row r="446" spans="1:3" x14ac:dyDescent="0.25">
      <c r="A446" s="261"/>
      <c r="B446" s="261"/>
      <c r="C446" s="261"/>
    </row>
    <row r="447" spans="1:3" x14ac:dyDescent="0.25">
      <c r="A447" s="261"/>
      <c r="B447" s="261"/>
      <c r="C447" s="261"/>
    </row>
    <row r="448" spans="1:3" x14ac:dyDescent="0.25">
      <c r="A448" s="261"/>
      <c r="B448" s="261"/>
      <c r="C448" s="261"/>
    </row>
    <row r="449" spans="1:3" x14ac:dyDescent="0.25">
      <c r="A449" s="261"/>
      <c r="B449" s="261"/>
      <c r="C449" s="261"/>
    </row>
    <row r="450" spans="1:3" x14ac:dyDescent="0.25">
      <c r="A450" s="261"/>
      <c r="B450" s="261"/>
      <c r="C450" s="261"/>
    </row>
    <row r="451" spans="1:3" x14ac:dyDescent="0.25">
      <c r="A451" s="261"/>
      <c r="B451" s="261"/>
      <c r="C451" s="261"/>
    </row>
    <row r="452" spans="1:3" x14ac:dyDescent="0.25">
      <c r="A452" s="261"/>
      <c r="B452" s="261"/>
      <c r="C452" s="261"/>
    </row>
    <row r="453" spans="1:3" x14ac:dyDescent="0.25">
      <c r="A453" s="261"/>
      <c r="B453" s="261"/>
      <c r="C453" s="261"/>
    </row>
    <row r="454" spans="1:3" x14ac:dyDescent="0.25">
      <c r="A454" s="261"/>
      <c r="B454" s="261"/>
      <c r="C454" s="261"/>
    </row>
    <row r="455" spans="1:3" x14ac:dyDescent="0.25">
      <c r="A455" s="261"/>
      <c r="B455" s="261"/>
      <c r="C455" s="261"/>
    </row>
    <row r="456" spans="1:3" x14ac:dyDescent="0.25">
      <c r="A456" s="261"/>
      <c r="B456" s="261"/>
      <c r="C456" s="261"/>
    </row>
    <row r="457" spans="1:3" x14ac:dyDescent="0.25">
      <c r="A457" s="261"/>
      <c r="B457" s="261"/>
      <c r="C457" s="261"/>
    </row>
    <row r="458" spans="1:3" x14ac:dyDescent="0.25">
      <c r="A458" s="261"/>
      <c r="B458" s="261"/>
      <c r="C458" s="261"/>
    </row>
    <row r="459" spans="1:3" x14ac:dyDescent="0.25">
      <c r="A459" s="261"/>
      <c r="B459" s="261"/>
      <c r="C459" s="261"/>
    </row>
    <row r="460" spans="1:3" x14ac:dyDescent="0.25">
      <c r="A460" s="261"/>
      <c r="B460" s="261"/>
      <c r="C460" s="261"/>
    </row>
    <row r="461" spans="1:3" x14ac:dyDescent="0.25">
      <c r="A461" s="261"/>
      <c r="B461" s="261"/>
      <c r="C461" s="261"/>
    </row>
    <row r="462" spans="1:3" x14ac:dyDescent="0.25">
      <c r="A462" s="261"/>
      <c r="B462" s="261"/>
      <c r="C462" s="261"/>
    </row>
    <row r="463" spans="1:3" x14ac:dyDescent="0.25">
      <c r="A463" s="261"/>
      <c r="B463" s="261"/>
      <c r="C463" s="261"/>
    </row>
    <row r="464" spans="1:3" x14ac:dyDescent="0.25">
      <c r="A464" s="261"/>
      <c r="B464" s="261"/>
      <c r="C464" s="261"/>
    </row>
    <row r="465" spans="1:3" x14ac:dyDescent="0.25">
      <c r="A465" s="261"/>
      <c r="B465" s="261"/>
      <c r="C465" s="261"/>
    </row>
    <row r="466" spans="1:3" x14ac:dyDescent="0.25">
      <c r="A466" s="261"/>
      <c r="B466" s="261"/>
      <c r="C466" s="261"/>
    </row>
    <row r="467" spans="1:3" x14ac:dyDescent="0.25">
      <c r="A467" s="261"/>
      <c r="B467" s="261"/>
      <c r="C467" s="261"/>
    </row>
    <row r="468" spans="1:3" x14ac:dyDescent="0.25">
      <c r="A468" s="261"/>
      <c r="B468" s="261"/>
      <c r="C468" s="261"/>
    </row>
    <row r="469" spans="1:3" x14ac:dyDescent="0.25">
      <c r="A469" s="261"/>
      <c r="B469" s="261"/>
      <c r="C469" s="261"/>
    </row>
    <row r="470" spans="1:3" x14ac:dyDescent="0.25">
      <c r="A470" s="261"/>
      <c r="B470" s="261"/>
      <c r="C470" s="261"/>
    </row>
    <row r="471" spans="1:3" x14ac:dyDescent="0.25">
      <c r="A471" s="261"/>
      <c r="B471" s="261"/>
      <c r="C471" s="261"/>
    </row>
    <row r="472" spans="1:3" x14ac:dyDescent="0.25">
      <c r="A472" s="261"/>
      <c r="B472" s="261"/>
      <c r="C472" s="261"/>
    </row>
    <row r="473" spans="1:3" x14ac:dyDescent="0.25">
      <c r="A473" s="261"/>
      <c r="B473" s="261"/>
      <c r="C473" s="261"/>
    </row>
    <row r="474" spans="1:3" x14ac:dyDescent="0.25">
      <c r="A474" s="261"/>
      <c r="B474" s="261"/>
      <c r="C474" s="261"/>
    </row>
    <row r="475" spans="1:3" x14ac:dyDescent="0.25">
      <c r="A475" s="261"/>
      <c r="B475" s="261"/>
      <c r="C475" s="261"/>
    </row>
    <row r="476" spans="1:3" x14ac:dyDescent="0.25">
      <c r="A476" s="261"/>
      <c r="B476" s="261"/>
      <c r="C476" s="261"/>
    </row>
    <row r="477" spans="1:3" x14ac:dyDescent="0.25">
      <c r="A477" s="261"/>
      <c r="B477" s="261"/>
      <c r="C477" s="261"/>
    </row>
    <row r="478" spans="1:3" x14ac:dyDescent="0.25">
      <c r="A478" s="261"/>
      <c r="B478" s="261"/>
      <c r="C478" s="261"/>
    </row>
    <row r="479" spans="1:3" x14ac:dyDescent="0.25">
      <c r="A479" s="261"/>
      <c r="B479" s="261"/>
      <c r="C479" s="261"/>
    </row>
    <row r="480" spans="1:3" x14ac:dyDescent="0.25">
      <c r="A480" s="261"/>
      <c r="B480" s="261"/>
      <c r="C480" s="261"/>
    </row>
    <row r="481" spans="1:3" x14ac:dyDescent="0.25">
      <c r="A481" s="261"/>
      <c r="B481" s="261"/>
      <c r="C481" s="261"/>
    </row>
    <row r="482" spans="1:3" x14ac:dyDescent="0.25">
      <c r="A482" s="261"/>
      <c r="B482" s="261"/>
      <c r="C482" s="261"/>
    </row>
    <row r="483" spans="1:3" x14ac:dyDescent="0.25">
      <c r="A483" s="261"/>
      <c r="B483" s="261"/>
      <c r="C483" s="261"/>
    </row>
    <row r="484" spans="1:3" x14ac:dyDescent="0.25">
      <c r="A484" s="261"/>
      <c r="B484" s="261"/>
      <c r="C484" s="261"/>
    </row>
    <row r="485" spans="1:3" x14ac:dyDescent="0.25">
      <c r="A485" s="261"/>
      <c r="B485" s="261"/>
      <c r="C485" s="261"/>
    </row>
    <row r="486" spans="1:3" x14ac:dyDescent="0.25">
      <c r="A486" s="261"/>
      <c r="B486" s="261"/>
      <c r="C486" s="261"/>
    </row>
    <row r="487" spans="1:3" x14ac:dyDescent="0.25">
      <c r="A487" s="261"/>
      <c r="B487" s="261"/>
      <c r="C487" s="261"/>
    </row>
    <row r="488" spans="1:3" x14ac:dyDescent="0.25">
      <c r="A488" s="261"/>
      <c r="B488" s="261"/>
      <c r="C488" s="261"/>
    </row>
    <row r="489" spans="1:3" x14ac:dyDescent="0.25">
      <c r="A489" s="261"/>
      <c r="B489" s="261"/>
      <c r="C489" s="261"/>
    </row>
    <row r="490" spans="1:3" x14ac:dyDescent="0.25">
      <c r="A490" s="261"/>
      <c r="B490" s="261"/>
      <c r="C490" s="261"/>
    </row>
    <row r="491" spans="1:3" x14ac:dyDescent="0.25">
      <c r="A491" s="261"/>
      <c r="B491" s="261"/>
      <c r="C491" s="261"/>
    </row>
    <row r="492" spans="1:3" x14ac:dyDescent="0.25">
      <c r="A492" s="261"/>
      <c r="B492" s="261"/>
      <c r="C492" s="261"/>
    </row>
    <row r="493" spans="1:3" x14ac:dyDescent="0.25">
      <c r="A493" s="261"/>
      <c r="B493" s="261"/>
      <c r="C493" s="261"/>
    </row>
    <row r="494" spans="1:3" x14ac:dyDescent="0.25">
      <c r="A494" s="261"/>
      <c r="B494" s="261"/>
      <c r="C494" s="261"/>
    </row>
    <row r="495" spans="1:3" x14ac:dyDescent="0.25">
      <c r="A495" s="261"/>
      <c r="B495" s="261"/>
      <c r="C495" s="261"/>
    </row>
    <row r="496" spans="1:3" x14ac:dyDescent="0.25">
      <c r="A496" s="261"/>
      <c r="B496" s="261"/>
      <c r="C496" s="261"/>
    </row>
    <row r="497" spans="1:3" x14ac:dyDescent="0.25">
      <c r="A497" s="261"/>
      <c r="B497" s="261"/>
      <c r="C497" s="261"/>
    </row>
    <row r="498" spans="1:3" x14ac:dyDescent="0.25">
      <c r="A498" s="261"/>
      <c r="B498" s="261"/>
      <c r="C498" s="261"/>
    </row>
    <row r="499" spans="1:3" x14ac:dyDescent="0.25">
      <c r="A499" s="261"/>
      <c r="B499" s="261"/>
      <c r="C499" s="261"/>
    </row>
    <row r="500" spans="1:3" x14ac:dyDescent="0.25">
      <c r="A500" s="261"/>
      <c r="B500" s="261"/>
      <c r="C500" s="261"/>
    </row>
    <row r="501" spans="1:3" x14ac:dyDescent="0.25">
      <c r="A501" s="261"/>
      <c r="B501" s="261"/>
      <c r="C501" s="261"/>
    </row>
    <row r="502" spans="1:3" x14ac:dyDescent="0.25">
      <c r="A502" s="261"/>
      <c r="B502" s="261"/>
      <c r="C502" s="261"/>
    </row>
    <row r="503" spans="1:3" x14ac:dyDescent="0.25">
      <c r="A503" s="261"/>
      <c r="B503" s="261"/>
      <c r="C503" s="261"/>
    </row>
    <row r="504" spans="1:3" x14ac:dyDescent="0.25">
      <c r="A504" s="261"/>
      <c r="B504" s="261"/>
      <c r="C504" s="261"/>
    </row>
    <row r="505" spans="1:3" x14ac:dyDescent="0.25">
      <c r="A505" s="261"/>
      <c r="B505" s="261"/>
      <c r="C505" s="261"/>
    </row>
    <row r="506" spans="1:3" x14ac:dyDescent="0.25">
      <c r="A506" s="261"/>
      <c r="B506" s="261"/>
      <c r="C506" s="261"/>
    </row>
    <row r="507" spans="1:3" x14ac:dyDescent="0.25">
      <c r="A507" s="261"/>
      <c r="B507" s="261"/>
      <c r="C507" s="261"/>
    </row>
    <row r="508" spans="1:3" x14ac:dyDescent="0.25">
      <c r="A508" s="261"/>
      <c r="B508" s="261"/>
      <c r="C508" s="261"/>
    </row>
    <row r="509" spans="1:3" x14ac:dyDescent="0.25">
      <c r="A509" s="261"/>
      <c r="B509" s="261"/>
      <c r="C509" s="261"/>
    </row>
    <row r="510" spans="1:3" x14ac:dyDescent="0.25">
      <c r="A510" s="261"/>
      <c r="B510" s="261"/>
      <c r="C510" s="261"/>
    </row>
    <row r="511" spans="1:3" x14ac:dyDescent="0.25">
      <c r="A511" s="261"/>
      <c r="B511" s="261"/>
      <c r="C511" s="261"/>
    </row>
    <row r="512" spans="1:3" x14ac:dyDescent="0.25">
      <c r="A512" s="261"/>
      <c r="B512" s="261"/>
      <c r="C512" s="261"/>
    </row>
    <row r="513" spans="1:3" x14ac:dyDescent="0.25">
      <c r="A513" s="261"/>
      <c r="B513" s="261"/>
      <c r="C513" s="261"/>
    </row>
    <row r="514" spans="1:3" x14ac:dyDescent="0.25">
      <c r="A514" s="261"/>
      <c r="B514" s="261"/>
      <c r="C514" s="261"/>
    </row>
    <row r="515" spans="1:3" x14ac:dyDescent="0.25">
      <c r="A515" s="261"/>
      <c r="B515" s="261"/>
      <c r="C515" s="261"/>
    </row>
    <row r="516" spans="1:3" x14ac:dyDescent="0.25">
      <c r="A516" s="261"/>
      <c r="B516" s="261"/>
      <c r="C516" s="261"/>
    </row>
    <row r="517" spans="1:3" x14ac:dyDescent="0.25">
      <c r="A517" s="261"/>
      <c r="B517" s="261"/>
      <c r="C517" s="261"/>
    </row>
    <row r="518" spans="1:3" x14ac:dyDescent="0.25">
      <c r="A518" s="261"/>
      <c r="B518" s="261"/>
      <c r="C518" s="261"/>
    </row>
    <row r="519" spans="1:3" x14ac:dyDescent="0.25">
      <c r="A519" s="261"/>
      <c r="B519" s="261"/>
      <c r="C519" s="261"/>
    </row>
    <row r="520" spans="1:3" x14ac:dyDescent="0.25">
      <c r="A520" s="261"/>
      <c r="B520" s="261"/>
      <c r="C520" s="261"/>
    </row>
    <row r="521" spans="1:3" x14ac:dyDescent="0.25">
      <c r="A521" s="261"/>
      <c r="B521" s="261"/>
      <c r="C521" s="261"/>
    </row>
    <row r="522" spans="1:3" x14ac:dyDescent="0.25">
      <c r="A522" s="261"/>
      <c r="B522" s="261"/>
      <c r="C522" s="261"/>
    </row>
    <row r="523" spans="1:3" x14ac:dyDescent="0.25">
      <c r="A523" s="261"/>
      <c r="B523" s="261"/>
      <c r="C523" s="261"/>
    </row>
    <row r="524" spans="1:3" x14ac:dyDescent="0.25">
      <c r="A524" s="261"/>
      <c r="B524" s="261"/>
      <c r="C524" s="261"/>
    </row>
    <row r="525" spans="1:3" x14ac:dyDescent="0.25">
      <c r="A525" s="261"/>
      <c r="B525" s="261"/>
      <c r="C525" s="261"/>
    </row>
    <row r="526" spans="1:3" x14ac:dyDescent="0.25">
      <c r="A526" s="261"/>
      <c r="B526" s="261"/>
      <c r="C526" s="261"/>
    </row>
    <row r="527" spans="1:3" x14ac:dyDescent="0.25">
      <c r="A527" s="261"/>
      <c r="B527" s="261"/>
      <c r="C527" s="261"/>
    </row>
    <row r="528" spans="1:3" x14ac:dyDescent="0.25">
      <c r="A528" s="261"/>
      <c r="B528" s="261"/>
      <c r="C528" s="261"/>
    </row>
    <row r="529" spans="1:3" x14ac:dyDescent="0.25">
      <c r="A529" s="261"/>
      <c r="B529" s="261"/>
      <c r="C529" s="261"/>
    </row>
    <row r="530" spans="1:3" x14ac:dyDescent="0.25">
      <c r="A530" s="261"/>
      <c r="B530" s="261"/>
      <c r="C530" s="261"/>
    </row>
    <row r="531" spans="1:3" x14ac:dyDescent="0.25">
      <c r="A531" s="261"/>
      <c r="B531" s="261"/>
      <c r="C531" s="261"/>
    </row>
    <row r="532" spans="1:3" x14ac:dyDescent="0.25">
      <c r="A532" s="261"/>
      <c r="B532" s="261"/>
      <c r="C532" s="261"/>
    </row>
    <row r="533" spans="1:3" x14ac:dyDescent="0.25">
      <c r="A533" s="261"/>
      <c r="B533" s="261"/>
      <c r="C533" s="261"/>
    </row>
    <row r="534" spans="1:3" x14ac:dyDescent="0.25">
      <c r="A534" s="261"/>
      <c r="B534" s="261"/>
      <c r="C534" s="261"/>
    </row>
    <row r="535" spans="1:3" x14ac:dyDescent="0.25">
      <c r="A535" s="261"/>
      <c r="B535" s="261"/>
      <c r="C535" s="261"/>
    </row>
    <row r="536" spans="1:3" x14ac:dyDescent="0.25">
      <c r="A536" s="261"/>
      <c r="B536" s="261"/>
      <c r="C536" s="261"/>
    </row>
    <row r="537" spans="1:3" x14ac:dyDescent="0.25">
      <c r="A537" s="261"/>
      <c r="B537" s="261"/>
      <c r="C537" s="261"/>
    </row>
    <row r="538" spans="1:3" x14ac:dyDescent="0.25">
      <c r="A538" s="261"/>
      <c r="B538" s="261"/>
      <c r="C538" s="261"/>
    </row>
    <row r="539" spans="1:3" x14ac:dyDescent="0.25">
      <c r="A539" s="261"/>
      <c r="B539" s="261"/>
      <c r="C539" s="261"/>
    </row>
    <row r="540" spans="1:3" x14ac:dyDescent="0.25">
      <c r="A540" s="261"/>
      <c r="B540" s="261"/>
      <c r="C540" s="261"/>
    </row>
    <row r="541" spans="1:3" x14ac:dyDescent="0.25">
      <c r="A541" s="261"/>
      <c r="B541" s="261"/>
      <c r="C541" s="261"/>
    </row>
    <row r="542" spans="1:3" x14ac:dyDescent="0.25">
      <c r="A542" s="261"/>
      <c r="B542" s="261"/>
      <c r="C542" s="261"/>
    </row>
    <row r="543" spans="1:3" x14ac:dyDescent="0.25">
      <c r="A543" s="261"/>
      <c r="B543" s="261"/>
      <c r="C543" s="261"/>
    </row>
    <row r="544" spans="1:3" x14ac:dyDescent="0.25">
      <c r="A544" s="261"/>
      <c r="B544" s="261"/>
      <c r="C544" s="261"/>
    </row>
    <row r="545" spans="1:3" x14ac:dyDescent="0.25">
      <c r="A545" s="261"/>
      <c r="B545" s="261"/>
      <c r="C545" s="261"/>
    </row>
    <row r="546" spans="1:3" x14ac:dyDescent="0.25">
      <c r="A546" s="261"/>
      <c r="B546" s="261"/>
      <c r="C546" s="261"/>
    </row>
    <row r="547" spans="1:3" x14ac:dyDescent="0.25">
      <c r="A547" s="261"/>
      <c r="B547" s="261"/>
      <c r="C547" s="261"/>
    </row>
    <row r="548" spans="1:3" x14ac:dyDescent="0.25">
      <c r="A548" s="261"/>
      <c r="B548" s="261"/>
      <c r="C548" s="261"/>
    </row>
    <row r="549" spans="1:3" x14ac:dyDescent="0.25">
      <c r="A549" s="261"/>
      <c r="B549" s="261"/>
      <c r="C549" s="261"/>
    </row>
    <row r="550" spans="1:3" x14ac:dyDescent="0.25">
      <c r="A550" s="261"/>
      <c r="B550" s="261"/>
      <c r="C550" s="261"/>
    </row>
    <row r="551" spans="1:3" x14ac:dyDescent="0.25">
      <c r="A551" s="261"/>
      <c r="B551" s="261"/>
      <c r="C551" s="261"/>
    </row>
    <row r="552" spans="1:3" x14ac:dyDescent="0.25">
      <c r="A552" s="261"/>
      <c r="B552" s="261"/>
      <c r="C552" s="261"/>
    </row>
    <row r="553" spans="1:3" x14ac:dyDescent="0.25">
      <c r="A553" s="261"/>
      <c r="B553" s="261"/>
      <c r="C553" s="261"/>
    </row>
    <row r="554" spans="1:3" x14ac:dyDescent="0.25">
      <c r="A554" s="261"/>
      <c r="B554" s="261"/>
      <c r="C554" s="261"/>
    </row>
    <row r="555" spans="1:3" x14ac:dyDescent="0.25">
      <c r="A555" s="261"/>
      <c r="B555" s="261"/>
      <c r="C555" s="261"/>
    </row>
    <row r="556" spans="1:3" x14ac:dyDescent="0.25">
      <c r="A556" s="261"/>
      <c r="B556" s="261"/>
      <c r="C556" s="261"/>
    </row>
    <row r="557" spans="1:3" x14ac:dyDescent="0.25">
      <c r="A557" s="261"/>
      <c r="B557" s="261"/>
      <c r="C557" s="261"/>
    </row>
    <row r="558" spans="1:3" x14ac:dyDescent="0.25">
      <c r="A558" s="261"/>
      <c r="B558" s="261"/>
      <c r="C558" s="261"/>
    </row>
    <row r="559" spans="1:3" x14ac:dyDescent="0.25">
      <c r="A559" s="261"/>
      <c r="B559" s="261"/>
      <c r="C559" s="261"/>
    </row>
    <row r="560" spans="1:3" x14ac:dyDescent="0.25">
      <c r="A560" s="261"/>
      <c r="B560" s="261"/>
      <c r="C560" s="261"/>
    </row>
    <row r="561" spans="1:3" x14ac:dyDescent="0.25">
      <c r="A561" s="261"/>
      <c r="B561" s="261"/>
      <c r="C561" s="261"/>
    </row>
    <row r="562" spans="1:3" x14ac:dyDescent="0.25">
      <c r="A562" s="261"/>
      <c r="B562" s="261"/>
      <c r="C562" s="261"/>
    </row>
    <row r="563" spans="1:3" x14ac:dyDescent="0.25">
      <c r="A563" s="261"/>
      <c r="B563" s="261"/>
      <c r="C563" s="261"/>
    </row>
    <row r="564" spans="1:3" x14ac:dyDescent="0.25">
      <c r="A564" s="261"/>
      <c r="B564" s="261"/>
      <c r="C564" s="261"/>
    </row>
    <row r="565" spans="1:3" x14ac:dyDescent="0.25">
      <c r="A565" s="261"/>
      <c r="B565" s="261"/>
      <c r="C565" s="261"/>
    </row>
    <row r="566" spans="1:3" x14ac:dyDescent="0.25">
      <c r="A566" s="261"/>
      <c r="B566" s="261"/>
      <c r="C566" s="261"/>
    </row>
    <row r="567" spans="1:3" x14ac:dyDescent="0.25">
      <c r="A567" s="261"/>
      <c r="B567" s="261"/>
      <c r="C567" s="261"/>
    </row>
    <row r="568" spans="1:3" x14ac:dyDescent="0.25">
      <c r="A568" s="261"/>
      <c r="B568" s="261"/>
      <c r="C568" s="261"/>
    </row>
    <row r="569" spans="1:3" x14ac:dyDescent="0.25">
      <c r="A569" s="261"/>
      <c r="B569" s="261"/>
      <c r="C569" s="261"/>
    </row>
    <row r="570" spans="1:3" x14ac:dyDescent="0.25">
      <c r="A570" s="261"/>
      <c r="B570" s="261"/>
      <c r="C570" s="261"/>
    </row>
    <row r="571" spans="1:3" x14ac:dyDescent="0.25">
      <c r="A571" s="261"/>
      <c r="B571" s="261"/>
      <c r="C571" s="261"/>
    </row>
    <row r="572" spans="1:3" x14ac:dyDescent="0.25">
      <c r="A572" s="261"/>
      <c r="B572" s="261"/>
      <c r="C572" s="261"/>
    </row>
    <row r="573" spans="1:3" x14ac:dyDescent="0.25">
      <c r="A573" s="261"/>
      <c r="B573" s="261"/>
      <c r="C573" s="261"/>
    </row>
    <row r="574" spans="1:3" x14ac:dyDescent="0.25">
      <c r="A574" s="261"/>
      <c r="B574" s="261"/>
      <c r="C574" s="261"/>
    </row>
    <row r="575" spans="1:3" x14ac:dyDescent="0.25">
      <c r="A575" s="261"/>
      <c r="B575" s="261"/>
      <c r="C575" s="261"/>
    </row>
    <row r="576" spans="1:3" x14ac:dyDescent="0.25">
      <c r="A576" s="261"/>
      <c r="B576" s="261"/>
      <c r="C576" s="261"/>
    </row>
    <row r="577" spans="1:3" x14ac:dyDescent="0.25">
      <c r="A577" s="261"/>
      <c r="B577" s="261"/>
      <c r="C577" s="261"/>
    </row>
    <row r="578" spans="1:3" x14ac:dyDescent="0.25">
      <c r="A578" s="261"/>
      <c r="B578" s="261"/>
      <c r="C578" s="261"/>
    </row>
    <row r="579" spans="1:3" x14ac:dyDescent="0.25">
      <c r="A579" s="261"/>
      <c r="B579" s="261"/>
      <c r="C579" s="261"/>
    </row>
    <row r="580" spans="1:3" x14ac:dyDescent="0.25">
      <c r="A580" s="261"/>
      <c r="B580" s="261"/>
      <c r="C580" s="261"/>
    </row>
    <row r="581" spans="1:3" x14ac:dyDescent="0.25">
      <c r="A581" s="261"/>
      <c r="B581" s="261"/>
      <c r="C581" s="261"/>
    </row>
    <row r="582" spans="1:3" x14ac:dyDescent="0.25">
      <c r="A582" s="261"/>
      <c r="B582" s="261"/>
      <c r="C582" s="261"/>
    </row>
    <row r="583" spans="1:3" x14ac:dyDescent="0.25">
      <c r="A583" s="261"/>
      <c r="B583" s="261"/>
      <c r="C583" s="261"/>
    </row>
    <row r="584" spans="1:3" x14ac:dyDescent="0.25">
      <c r="A584" s="261"/>
      <c r="B584" s="261"/>
      <c r="C584" s="261"/>
    </row>
    <row r="585" spans="1:3" x14ac:dyDescent="0.25">
      <c r="A585" s="261"/>
      <c r="B585" s="261"/>
      <c r="C585" s="261"/>
    </row>
    <row r="586" spans="1:3" x14ac:dyDescent="0.25">
      <c r="A586" s="261"/>
      <c r="B586" s="261"/>
      <c r="C586" s="261"/>
    </row>
    <row r="587" spans="1:3" x14ac:dyDescent="0.25">
      <c r="A587" s="261"/>
      <c r="B587" s="261"/>
      <c r="C587" s="261"/>
    </row>
    <row r="588" spans="1:3" x14ac:dyDescent="0.25">
      <c r="A588" s="261"/>
      <c r="B588" s="261"/>
      <c r="C588" s="261"/>
    </row>
    <row r="589" spans="1:3" x14ac:dyDescent="0.25">
      <c r="A589" s="261"/>
      <c r="B589" s="261"/>
      <c r="C589" s="261"/>
    </row>
    <row r="590" spans="1:3" x14ac:dyDescent="0.25">
      <c r="A590" s="261"/>
      <c r="B590" s="261"/>
      <c r="C590" s="261"/>
    </row>
    <row r="591" spans="1:3" x14ac:dyDescent="0.25">
      <c r="A591" s="261"/>
      <c r="B591" s="261"/>
      <c r="C591" s="261"/>
    </row>
    <row r="592" spans="1:3" x14ac:dyDescent="0.25">
      <c r="A592" s="261"/>
      <c r="B592" s="261"/>
      <c r="C592" s="261"/>
    </row>
    <row r="593" spans="1:3" x14ac:dyDescent="0.25">
      <c r="A593" s="261"/>
      <c r="B593" s="261"/>
      <c r="C593" s="261"/>
    </row>
    <row r="594" spans="1:3" x14ac:dyDescent="0.25">
      <c r="A594" s="261"/>
      <c r="B594" s="261"/>
      <c r="C594" s="261"/>
    </row>
    <row r="595" spans="1:3" x14ac:dyDescent="0.25">
      <c r="A595" s="261"/>
      <c r="B595" s="261"/>
      <c r="C595" s="261"/>
    </row>
    <row r="596" spans="1:3" x14ac:dyDescent="0.25">
      <c r="A596" s="261"/>
      <c r="B596" s="261"/>
      <c r="C596" s="261"/>
    </row>
    <row r="597" spans="1:3" x14ac:dyDescent="0.25">
      <c r="A597" s="261"/>
      <c r="B597" s="261"/>
      <c r="C597" s="261"/>
    </row>
    <row r="598" spans="1:3" x14ac:dyDescent="0.25">
      <c r="A598" s="261"/>
      <c r="B598" s="261"/>
      <c r="C598" s="261"/>
    </row>
    <row r="599" spans="1:3" x14ac:dyDescent="0.25">
      <c r="A599" s="261"/>
      <c r="B599" s="261"/>
      <c r="C599" s="261"/>
    </row>
    <row r="600" spans="1:3" x14ac:dyDescent="0.25">
      <c r="A600" s="261"/>
      <c r="B600" s="261"/>
      <c r="C600" s="261"/>
    </row>
    <row r="601" spans="1:3" x14ac:dyDescent="0.25">
      <c r="A601" s="261"/>
      <c r="B601" s="261"/>
      <c r="C601" s="261"/>
    </row>
    <row r="602" spans="1:3" x14ac:dyDescent="0.25">
      <c r="A602" s="261"/>
      <c r="B602" s="261"/>
      <c r="C602" s="261"/>
    </row>
    <row r="603" spans="1:3" x14ac:dyDescent="0.25">
      <c r="A603" s="261"/>
      <c r="B603" s="261"/>
      <c r="C603" s="261"/>
    </row>
    <row r="604" spans="1:3" x14ac:dyDescent="0.25">
      <c r="A604" s="261"/>
      <c r="B604" s="261"/>
      <c r="C604" s="261"/>
    </row>
    <row r="605" spans="1:3" x14ac:dyDescent="0.25">
      <c r="A605" s="261"/>
      <c r="B605" s="261"/>
      <c r="C605" s="261"/>
    </row>
    <row r="606" spans="1:3" x14ac:dyDescent="0.25">
      <c r="A606" s="261"/>
      <c r="B606" s="261"/>
      <c r="C606" s="261"/>
    </row>
    <row r="607" spans="1:3" x14ac:dyDescent="0.25">
      <c r="A607" s="261"/>
      <c r="B607" s="261"/>
      <c r="C607" s="261"/>
    </row>
    <row r="608" spans="1:3" x14ac:dyDescent="0.25">
      <c r="A608" s="261"/>
      <c r="B608" s="261"/>
      <c r="C608" s="261"/>
    </row>
    <row r="609" spans="1:3" x14ac:dyDescent="0.25">
      <c r="A609" s="261"/>
      <c r="B609" s="261"/>
      <c r="C609" s="261"/>
    </row>
    <row r="610" spans="1:3" x14ac:dyDescent="0.25">
      <c r="A610" s="261"/>
      <c r="B610" s="261"/>
      <c r="C610" s="261"/>
    </row>
    <row r="611" spans="1:3" x14ac:dyDescent="0.25">
      <c r="A611" s="261"/>
      <c r="B611" s="261"/>
      <c r="C611" s="261"/>
    </row>
    <row r="612" spans="1:3" x14ac:dyDescent="0.25">
      <c r="A612" s="261"/>
      <c r="B612" s="261"/>
      <c r="C612" s="261"/>
    </row>
    <row r="613" spans="1:3" x14ac:dyDescent="0.25">
      <c r="A613" s="261"/>
      <c r="B613" s="261"/>
      <c r="C613" s="261"/>
    </row>
    <row r="614" spans="1:3" x14ac:dyDescent="0.25">
      <c r="A614" s="261"/>
      <c r="B614" s="261"/>
      <c r="C614" s="261"/>
    </row>
    <row r="615" spans="1:3" x14ac:dyDescent="0.25">
      <c r="A615" s="261"/>
      <c r="B615" s="261"/>
      <c r="C615" s="261"/>
    </row>
    <row r="616" spans="1:3" x14ac:dyDescent="0.25">
      <c r="A616" s="261"/>
      <c r="B616" s="261"/>
      <c r="C616" s="261"/>
    </row>
    <row r="617" spans="1:3" x14ac:dyDescent="0.25">
      <c r="A617" s="261"/>
      <c r="B617" s="261"/>
      <c r="C617" s="261"/>
    </row>
    <row r="618" spans="1:3" x14ac:dyDescent="0.25">
      <c r="A618" s="261"/>
      <c r="B618" s="261"/>
      <c r="C618" s="261"/>
    </row>
    <row r="619" spans="1:3" x14ac:dyDescent="0.25">
      <c r="A619" s="261"/>
      <c r="B619" s="261"/>
      <c r="C619" s="261"/>
    </row>
    <row r="620" spans="1:3" x14ac:dyDescent="0.25">
      <c r="A620" s="261"/>
      <c r="B620" s="261"/>
      <c r="C620" s="261"/>
    </row>
    <row r="621" spans="1:3" x14ac:dyDescent="0.25">
      <c r="A621" s="261"/>
      <c r="B621" s="261"/>
      <c r="C621" s="261"/>
    </row>
    <row r="622" spans="1:3" x14ac:dyDescent="0.25">
      <c r="A622" s="261"/>
      <c r="B622" s="261"/>
      <c r="C622" s="261"/>
    </row>
    <row r="623" spans="1:3" x14ac:dyDescent="0.25">
      <c r="A623" s="261"/>
      <c r="B623" s="261"/>
      <c r="C623" s="261"/>
    </row>
    <row r="624" spans="1:3" x14ac:dyDescent="0.25">
      <c r="A624" s="261"/>
      <c r="B624" s="261"/>
      <c r="C624" s="261"/>
    </row>
    <row r="625" spans="1:3" x14ac:dyDescent="0.25">
      <c r="A625" s="261"/>
      <c r="B625" s="261"/>
      <c r="C625" s="261"/>
    </row>
    <row r="626" spans="1:3" x14ac:dyDescent="0.25">
      <c r="A626" s="261"/>
      <c r="B626" s="261"/>
      <c r="C626" s="261"/>
    </row>
    <row r="627" spans="1:3" x14ac:dyDescent="0.25">
      <c r="A627" s="261"/>
      <c r="B627" s="261"/>
      <c r="C627" s="261"/>
    </row>
    <row r="628" spans="1:3" x14ac:dyDescent="0.25">
      <c r="A628" s="261"/>
      <c r="B628" s="261"/>
      <c r="C628" s="261"/>
    </row>
    <row r="629" spans="1:3" x14ac:dyDescent="0.25">
      <c r="A629" s="261"/>
      <c r="B629" s="261"/>
      <c r="C629" s="261"/>
    </row>
    <row r="630" spans="1:3" x14ac:dyDescent="0.25">
      <c r="A630" s="261"/>
      <c r="B630" s="261"/>
      <c r="C630" s="261"/>
    </row>
    <row r="631" spans="1:3" x14ac:dyDescent="0.25">
      <c r="A631" s="261"/>
      <c r="B631" s="261"/>
      <c r="C631" s="261"/>
    </row>
    <row r="632" spans="1:3" x14ac:dyDescent="0.25">
      <c r="A632" s="261"/>
      <c r="B632" s="261"/>
      <c r="C632" s="261"/>
    </row>
    <row r="633" spans="1:3" x14ac:dyDescent="0.25">
      <c r="A633" s="261"/>
      <c r="B633" s="261"/>
      <c r="C633" s="261"/>
    </row>
    <row r="634" spans="1:3" x14ac:dyDescent="0.25">
      <c r="A634" s="261"/>
      <c r="B634" s="261"/>
      <c r="C634" s="261"/>
    </row>
    <row r="635" spans="1:3" x14ac:dyDescent="0.25">
      <c r="A635" s="261"/>
      <c r="B635" s="261"/>
      <c r="C635" s="261"/>
    </row>
    <row r="636" spans="1:3" x14ac:dyDescent="0.25">
      <c r="A636" s="261"/>
      <c r="B636" s="261"/>
      <c r="C636" s="261"/>
    </row>
    <row r="637" spans="1:3" x14ac:dyDescent="0.25">
      <c r="A637" s="261"/>
      <c r="B637" s="261"/>
      <c r="C637" s="261"/>
    </row>
    <row r="638" spans="1:3" x14ac:dyDescent="0.25">
      <c r="A638" s="261"/>
      <c r="B638" s="261"/>
      <c r="C638" s="261"/>
    </row>
    <row r="639" spans="1:3" x14ac:dyDescent="0.25">
      <c r="A639" s="261"/>
      <c r="B639" s="261"/>
      <c r="C639" s="261"/>
    </row>
    <row r="640" spans="1:3" x14ac:dyDescent="0.25">
      <c r="A640" s="261"/>
      <c r="B640" s="261"/>
      <c r="C640" s="261"/>
    </row>
    <row r="641" spans="1:3" x14ac:dyDescent="0.25">
      <c r="A641" s="261"/>
      <c r="B641" s="261"/>
      <c r="C641" s="261"/>
    </row>
    <row r="642" spans="1:3" x14ac:dyDescent="0.25">
      <c r="A642" s="261"/>
      <c r="B642" s="261"/>
      <c r="C642" s="261"/>
    </row>
    <row r="643" spans="1:3" x14ac:dyDescent="0.25">
      <c r="A643" s="261"/>
      <c r="B643" s="261"/>
      <c r="C643" s="261"/>
    </row>
    <row r="644" spans="1:3" x14ac:dyDescent="0.25">
      <c r="A644" s="261"/>
      <c r="B644" s="261"/>
      <c r="C644" s="261"/>
    </row>
    <row r="645" spans="1:3" x14ac:dyDescent="0.25">
      <c r="A645" s="261"/>
      <c r="B645" s="261"/>
      <c r="C645" s="261"/>
    </row>
    <row r="646" spans="1:3" x14ac:dyDescent="0.25">
      <c r="A646" s="261"/>
      <c r="B646" s="261"/>
      <c r="C646" s="261"/>
    </row>
    <row r="647" spans="1:3" x14ac:dyDescent="0.25">
      <c r="A647" s="261"/>
      <c r="B647" s="261"/>
      <c r="C647" s="261"/>
    </row>
    <row r="648" spans="1:3" x14ac:dyDescent="0.25">
      <c r="A648" s="261"/>
      <c r="B648" s="261"/>
      <c r="C648" s="261"/>
    </row>
    <row r="649" spans="1:3" x14ac:dyDescent="0.25">
      <c r="A649" s="261"/>
      <c r="B649" s="261"/>
      <c r="C649" s="261"/>
    </row>
    <row r="650" spans="1:3" x14ac:dyDescent="0.25">
      <c r="A650" s="261"/>
      <c r="B650" s="261"/>
      <c r="C650" s="261"/>
    </row>
    <row r="651" spans="1:3" x14ac:dyDescent="0.25">
      <c r="A651" s="261"/>
      <c r="B651" s="261"/>
      <c r="C651" s="261"/>
    </row>
    <row r="652" spans="1:3" x14ac:dyDescent="0.25">
      <c r="A652" s="261"/>
      <c r="B652" s="261"/>
      <c r="C652" s="261"/>
    </row>
    <row r="653" spans="1:3" x14ac:dyDescent="0.25">
      <c r="A653" s="261"/>
      <c r="B653" s="261"/>
      <c r="C653" s="261"/>
    </row>
    <row r="654" spans="1:3" x14ac:dyDescent="0.25">
      <c r="A654" s="261"/>
      <c r="B654" s="261"/>
      <c r="C654" s="261"/>
    </row>
    <row r="655" spans="1:3" x14ac:dyDescent="0.25">
      <c r="A655" s="261"/>
      <c r="B655" s="261"/>
      <c r="C655" s="261"/>
    </row>
    <row r="656" spans="1:3" x14ac:dyDescent="0.25">
      <c r="A656" s="261"/>
      <c r="B656" s="261"/>
      <c r="C656" s="261"/>
    </row>
    <row r="657" spans="1:3" x14ac:dyDescent="0.25">
      <c r="A657" s="261"/>
      <c r="B657" s="261"/>
      <c r="C657" s="261"/>
    </row>
    <row r="658" spans="1:3" x14ac:dyDescent="0.25">
      <c r="A658" s="261"/>
      <c r="B658" s="261"/>
      <c r="C658" s="261"/>
    </row>
    <row r="659" spans="1:3" x14ac:dyDescent="0.25">
      <c r="A659" s="261"/>
      <c r="B659" s="261"/>
      <c r="C659" s="261"/>
    </row>
    <row r="660" spans="1:3" x14ac:dyDescent="0.25">
      <c r="A660" s="261"/>
      <c r="B660" s="261"/>
      <c r="C660" s="261"/>
    </row>
    <row r="661" spans="1:3" x14ac:dyDescent="0.25">
      <c r="A661" s="261"/>
      <c r="B661" s="261"/>
      <c r="C661" s="261"/>
    </row>
    <row r="662" spans="1:3" x14ac:dyDescent="0.25">
      <c r="A662" s="261"/>
      <c r="B662" s="261"/>
      <c r="C662" s="261"/>
    </row>
    <row r="663" spans="1:3" x14ac:dyDescent="0.25">
      <c r="A663" s="261"/>
      <c r="B663" s="261"/>
      <c r="C663" s="261"/>
    </row>
    <row r="664" spans="1:3" x14ac:dyDescent="0.25">
      <c r="A664" s="261"/>
      <c r="B664" s="261"/>
      <c r="C664" s="261"/>
    </row>
    <row r="665" spans="1:3" x14ac:dyDescent="0.25">
      <c r="A665" s="261"/>
      <c r="B665" s="261"/>
      <c r="C665" s="261"/>
    </row>
    <row r="666" spans="1:3" x14ac:dyDescent="0.25">
      <c r="A666" s="261"/>
      <c r="B666" s="261"/>
      <c r="C666" s="261"/>
    </row>
    <row r="667" spans="1:3" x14ac:dyDescent="0.25">
      <c r="A667" s="261"/>
      <c r="B667" s="261"/>
      <c r="C667" s="261"/>
    </row>
    <row r="668" spans="1:3" x14ac:dyDescent="0.25">
      <c r="A668" s="261"/>
      <c r="B668" s="261"/>
      <c r="C668" s="261"/>
    </row>
    <row r="669" spans="1:3" x14ac:dyDescent="0.25">
      <c r="A669" s="261"/>
      <c r="B669" s="261"/>
      <c r="C669" s="261"/>
    </row>
    <row r="670" spans="1:3" x14ac:dyDescent="0.25">
      <c r="A670" s="261"/>
      <c r="B670" s="261"/>
      <c r="C670" s="261"/>
    </row>
    <row r="671" spans="1:3" x14ac:dyDescent="0.25">
      <c r="A671" s="261"/>
      <c r="B671" s="261"/>
      <c r="C671" s="261"/>
    </row>
    <row r="672" spans="1:3" x14ac:dyDescent="0.25">
      <c r="A672" s="261"/>
      <c r="B672" s="261"/>
      <c r="C672" s="261"/>
    </row>
    <row r="673" spans="1:3" x14ac:dyDescent="0.25">
      <c r="A673" s="261"/>
      <c r="B673" s="261"/>
      <c r="C673" s="261"/>
    </row>
    <row r="674" spans="1:3" x14ac:dyDescent="0.25">
      <c r="A674" s="261"/>
      <c r="B674" s="261"/>
      <c r="C674" s="261"/>
    </row>
    <row r="675" spans="1:3" x14ac:dyDescent="0.25">
      <c r="A675" s="261"/>
      <c r="B675" s="261"/>
      <c r="C675" s="261"/>
    </row>
    <row r="676" spans="1:3" x14ac:dyDescent="0.25">
      <c r="A676" s="261"/>
      <c r="B676" s="261"/>
      <c r="C676" s="261"/>
    </row>
    <row r="677" spans="1:3" x14ac:dyDescent="0.25">
      <c r="A677" s="261"/>
      <c r="B677" s="261"/>
      <c r="C677" s="261"/>
    </row>
    <row r="678" spans="1:3" x14ac:dyDescent="0.25">
      <c r="A678" s="261"/>
      <c r="B678" s="261"/>
      <c r="C678" s="261"/>
    </row>
    <row r="679" spans="1:3" x14ac:dyDescent="0.25">
      <c r="A679" s="261"/>
      <c r="B679" s="261"/>
      <c r="C679" s="261"/>
    </row>
    <row r="680" spans="1:3" x14ac:dyDescent="0.25">
      <c r="A680" s="261"/>
      <c r="B680" s="261"/>
      <c r="C680" s="261"/>
    </row>
    <row r="681" spans="1:3" x14ac:dyDescent="0.25">
      <c r="A681" s="261"/>
      <c r="B681" s="261"/>
      <c r="C681" s="261"/>
    </row>
    <row r="682" spans="1:3" x14ac:dyDescent="0.25">
      <c r="A682" s="261"/>
      <c r="B682" s="261"/>
      <c r="C682" s="261"/>
    </row>
    <row r="683" spans="1:3" x14ac:dyDescent="0.25">
      <c r="A683" s="261"/>
      <c r="B683" s="261"/>
      <c r="C683" s="261"/>
    </row>
    <row r="684" spans="1:3" x14ac:dyDescent="0.25">
      <c r="A684" s="261"/>
      <c r="B684" s="261"/>
      <c r="C684" s="261"/>
    </row>
    <row r="685" spans="1:3" x14ac:dyDescent="0.25">
      <c r="A685" s="261"/>
      <c r="B685" s="261"/>
      <c r="C685" s="261"/>
    </row>
    <row r="686" spans="1:3" x14ac:dyDescent="0.25">
      <c r="A686" s="261"/>
      <c r="B686" s="261"/>
      <c r="C686" s="261"/>
    </row>
    <row r="687" spans="1:3" x14ac:dyDescent="0.25">
      <c r="A687" s="261"/>
      <c r="B687" s="261"/>
      <c r="C687" s="261"/>
    </row>
    <row r="688" spans="1:3" x14ac:dyDescent="0.25">
      <c r="A688" s="261"/>
      <c r="B688" s="261"/>
      <c r="C688" s="261"/>
    </row>
    <row r="689" spans="1:3" x14ac:dyDescent="0.25">
      <c r="A689" s="261"/>
      <c r="B689" s="261"/>
      <c r="C689" s="261"/>
    </row>
    <row r="690" spans="1:3" x14ac:dyDescent="0.25">
      <c r="A690" s="261"/>
      <c r="B690" s="261"/>
      <c r="C690" s="261"/>
    </row>
    <row r="691" spans="1:3" x14ac:dyDescent="0.25">
      <c r="A691" s="261"/>
      <c r="B691" s="261"/>
      <c r="C691" s="261"/>
    </row>
    <row r="692" spans="1:3" x14ac:dyDescent="0.25">
      <c r="A692" s="261"/>
      <c r="B692" s="261"/>
      <c r="C692" s="261"/>
    </row>
    <row r="693" spans="1:3" x14ac:dyDescent="0.25">
      <c r="A693" s="261"/>
      <c r="B693" s="261"/>
      <c r="C693" s="261"/>
    </row>
    <row r="694" spans="1:3" x14ac:dyDescent="0.25">
      <c r="A694" s="261"/>
      <c r="B694" s="261"/>
      <c r="C694" s="261"/>
    </row>
    <row r="695" spans="1:3" x14ac:dyDescent="0.25">
      <c r="A695" s="261"/>
      <c r="B695" s="261"/>
      <c r="C695" s="261"/>
    </row>
    <row r="696" spans="1:3" x14ac:dyDescent="0.25">
      <c r="A696" s="261"/>
      <c r="B696" s="261"/>
      <c r="C696" s="261"/>
    </row>
    <row r="697" spans="1:3" x14ac:dyDescent="0.25">
      <c r="A697" s="261"/>
      <c r="B697" s="261"/>
      <c r="C697" s="261"/>
    </row>
    <row r="698" spans="1:3" x14ac:dyDescent="0.25">
      <c r="A698" s="261"/>
      <c r="B698" s="261"/>
      <c r="C698" s="261"/>
    </row>
    <row r="699" spans="1:3" x14ac:dyDescent="0.25">
      <c r="A699" s="261"/>
      <c r="B699" s="261"/>
      <c r="C699" s="261"/>
    </row>
    <row r="700" spans="1:3" x14ac:dyDescent="0.25">
      <c r="A700" s="261"/>
      <c r="B700" s="261"/>
      <c r="C700" s="261"/>
    </row>
    <row r="701" spans="1:3" x14ac:dyDescent="0.25">
      <c r="A701" s="261"/>
      <c r="B701" s="261"/>
      <c r="C701" s="261"/>
    </row>
    <row r="702" spans="1:3" x14ac:dyDescent="0.25">
      <c r="A702" s="261"/>
      <c r="B702" s="261"/>
      <c r="C702" s="261"/>
    </row>
    <row r="703" spans="1:3" x14ac:dyDescent="0.25">
      <c r="A703" s="261"/>
      <c r="B703" s="261"/>
      <c r="C703" s="261"/>
    </row>
    <row r="704" spans="1:3" x14ac:dyDescent="0.25">
      <c r="A704" s="261"/>
      <c r="B704" s="261"/>
      <c r="C704" s="261"/>
    </row>
    <row r="705" spans="1:3" x14ac:dyDescent="0.25">
      <c r="A705" s="261"/>
      <c r="B705" s="261"/>
      <c r="C705" s="261"/>
    </row>
    <row r="706" spans="1:3" x14ac:dyDescent="0.25">
      <c r="A706" s="261"/>
      <c r="B706" s="261"/>
      <c r="C706" s="261"/>
    </row>
    <row r="707" spans="1:3" x14ac:dyDescent="0.25">
      <c r="A707" s="261"/>
      <c r="B707" s="261"/>
      <c r="C707" s="261"/>
    </row>
    <row r="708" spans="1:3" x14ac:dyDescent="0.25">
      <c r="A708" s="261"/>
      <c r="B708" s="261"/>
      <c r="C708" s="261"/>
    </row>
    <row r="709" spans="1:3" x14ac:dyDescent="0.25">
      <c r="A709" s="261"/>
      <c r="B709" s="261"/>
      <c r="C709" s="261"/>
    </row>
    <row r="710" spans="1:3" x14ac:dyDescent="0.25">
      <c r="A710" s="261"/>
      <c r="B710" s="261"/>
      <c r="C710" s="261"/>
    </row>
    <row r="711" spans="1:3" x14ac:dyDescent="0.25">
      <c r="A711" s="261"/>
      <c r="B711" s="261"/>
      <c r="C711" s="261"/>
    </row>
    <row r="712" spans="1:3" x14ac:dyDescent="0.25">
      <c r="A712" s="261"/>
      <c r="B712" s="261"/>
      <c r="C712" s="261"/>
    </row>
    <row r="713" spans="1:3" x14ac:dyDescent="0.25">
      <c r="A713" s="261"/>
      <c r="B713" s="261"/>
      <c r="C713" s="261"/>
    </row>
    <row r="714" spans="1:3" x14ac:dyDescent="0.25">
      <c r="A714" s="261"/>
      <c r="B714" s="261"/>
      <c r="C714" s="261"/>
    </row>
    <row r="715" spans="1:3" x14ac:dyDescent="0.25">
      <c r="A715" s="261"/>
      <c r="B715" s="261"/>
      <c r="C715" s="261"/>
    </row>
    <row r="716" spans="1:3" x14ac:dyDescent="0.25">
      <c r="A716" s="261"/>
      <c r="B716" s="261"/>
      <c r="C716" s="261"/>
    </row>
    <row r="717" spans="1:3" x14ac:dyDescent="0.25">
      <c r="A717" s="261"/>
      <c r="B717" s="261"/>
      <c r="C717" s="261"/>
    </row>
    <row r="718" spans="1:3" x14ac:dyDescent="0.25">
      <c r="A718" s="261"/>
      <c r="B718" s="261"/>
      <c r="C718" s="261"/>
    </row>
    <row r="719" spans="1:3" x14ac:dyDescent="0.25">
      <c r="A719" s="261"/>
      <c r="B719" s="261"/>
      <c r="C719" s="261"/>
    </row>
    <row r="720" spans="1:3" x14ac:dyDescent="0.25">
      <c r="A720" s="261"/>
      <c r="B720" s="261"/>
      <c r="C720" s="261"/>
    </row>
    <row r="721" spans="1:3" x14ac:dyDescent="0.25">
      <c r="A721" s="261"/>
      <c r="B721" s="261"/>
      <c r="C721" s="261"/>
    </row>
    <row r="722" spans="1:3" x14ac:dyDescent="0.25">
      <c r="A722" s="261"/>
      <c r="B722" s="261"/>
      <c r="C722" s="261"/>
    </row>
    <row r="723" spans="1:3" x14ac:dyDescent="0.25">
      <c r="A723" s="261"/>
      <c r="B723" s="261"/>
      <c r="C723" s="261"/>
    </row>
    <row r="724" spans="1:3" x14ac:dyDescent="0.25">
      <c r="A724" s="261"/>
      <c r="B724" s="261"/>
      <c r="C724" s="261"/>
    </row>
    <row r="725" spans="1:3" x14ac:dyDescent="0.25">
      <c r="A725" s="261"/>
      <c r="B725" s="261"/>
      <c r="C725" s="261"/>
    </row>
    <row r="726" spans="1:3" x14ac:dyDescent="0.25">
      <c r="A726" s="261"/>
      <c r="B726" s="261"/>
      <c r="C726" s="261"/>
    </row>
    <row r="727" spans="1:3" x14ac:dyDescent="0.25">
      <c r="A727" s="261"/>
      <c r="B727" s="261"/>
      <c r="C727" s="261"/>
    </row>
    <row r="728" spans="1:3" x14ac:dyDescent="0.25">
      <c r="A728" s="261"/>
      <c r="B728" s="261"/>
      <c r="C728" s="261"/>
    </row>
    <row r="729" spans="1:3" x14ac:dyDescent="0.25">
      <c r="A729" s="261"/>
      <c r="B729" s="261"/>
      <c r="C729" s="261"/>
    </row>
    <row r="730" spans="1:3" x14ac:dyDescent="0.25">
      <c r="A730" s="261"/>
      <c r="B730" s="261"/>
      <c r="C730" s="261"/>
    </row>
    <row r="731" spans="1:3" x14ac:dyDescent="0.25">
      <c r="A731" s="261"/>
      <c r="B731" s="261"/>
      <c r="C731" s="261"/>
    </row>
    <row r="732" spans="1:3" x14ac:dyDescent="0.25">
      <c r="A732" s="261"/>
      <c r="B732" s="261"/>
      <c r="C732" s="261"/>
    </row>
    <row r="733" spans="1:3" x14ac:dyDescent="0.25">
      <c r="A733" s="261"/>
      <c r="B733" s="261"/>
      <c r="C733" s="261"/>
    </row>
    <row r="734" spans="1:3" x14ac:dyDescent="0.25">
      <c r="A734" s="261"/>
      <c r="B734" s="261"/>
      <c r="C734" s="261"/>
    </row>
    <row r="735" spans="1:3" x14ac:dyDescent="0.25">
      <c r="A735" s="261"/>
      <c r="B735" s="261"/>
      <c r="C735" s="261"/>
    </row>
    <row r="736" spans="1:3" x14ac:dyDescent="0.25">
      <c r="A736" s="261"/>
      <c r="B736" s="261"/>
      <c r="C736" s="261"/>
    </row>
    <row r="737" spans="1:3" x14ac:dyDescent="0.25">
      <c r="A737" s="261"/>
      <c r="B737" s="261"/>
      <c r="C737" s="261"/>
    </row>
    <row r="738" spans="1:3" x14ac:dyDescent="0.25">
      <c r="A738" s="261"/>
      <c r="B738" s="261"/>
      <c r="C738" s="261"/>
    </row>
    <row r="739" spans="1:3" x14ac:dyDescent="0.25">
      <c r="A739" s="261"/>
      <c r="B739" s="261"/>
      <c r="C739" s="261"/>
    </row>
    <row r="740" spans="1:3" x14ac:dyDescent="0.25">
      <c r="A740" s="261"/>
      <c r="B740" s="261"/>
      <c r="C740" s="261"/>
    </row>
    <row r="741" spans="1:3" x14ac:dyDescent="0.25">
      <c r="A741" s="261"/>
      <c r="B741" s="261"/>
      <c r="C741" s="261"/>
    </row>
    <row r="742" spans="1:3" x14ac:dyDescent="0.25">
      <c r="A742" s="261"/>
      <c r="B742" s="261"/>
      <c r="C742" s="261"/>
    </row>
    <row r="743" spans="1:3" x14ac:dyDescent="0.25">
      <c r="A743" s="261"/>
      <c r="B743" s="261"/>
      <c r="C743" s="261"/>
    </row>
    <row r="744" spans="1:3" x14ac:dyDescent="0.25">
      <c r="A744" s="261"/>
      <c r="B744" s="261"/>
      <c r="C744" s="261"/>
    </row>
    <row r="745" spans="1:3" x14ac:dyDescent="0.25">
      <c r="A745" s="261"/>
      <c r="B745" s="261"/>
      <c r="C745" s="261"/>
    </row>
    <row r="746" spans="1:3" x14ac:dyDescent="0.25">
      <c r="A746" s="261"/>
      <c r="B746" s="261"/>
      <c r="C746" s="261"/>
    </row>
    <row r="747" spans="1:3" x14ac:dyDescent="0.25">
      <c r="A747" s="261"/>
      <c r="B747" s="261"/>
      <c r="C747" s="261"/>
    </row>
    <row r="748" spans="1:3" x14ac:dyDescent="0.25">
      <c r="A748" s="261"/>
      <c r="B748" s="261"/>
      <c r="C748" s="261"/>
    </row>
    <row r="749" spans="1:3" x14ac:dyDescent="0.25">
      <c r="A749" s="261"/>
      <c r="B749" s="261"/>
      <c r="C749" s="261"/>
    </row>
    <row r="750" spans="1:3" x14ac:dyDescent="0.25">
      <c r="A750" s="261"/>
      <c r="B750" s="261"/>
      <c r="C750" s="261"/>
    </row>
    <row r="751" spans="1:3" x14ac:dyDescent="0.25">
      <c r="A751" s="261"/>
      <c r="B751" s="261"/>
      <c r="C751" s="261"/>
    </row>
    <row r="752" spans="1:3" x14ac:dyDescent="0.25">
      <c r="A752" s="261"/>
      <c r="B752" s="261"/>
      <c r="C752" s="261"/>
    </row>
    <row r="753" spans="1:3" x14ac:dyDescent="0.25">
      <c r="A753" s="261"/>
      <c r="B753" s="261"/>
      <c r="C753" s="261"/>
    </row>
    <row r="754" spans="1:3" x14ac:dyDescent="0.25">
      <c r="A754" s="261"/>
      <c r="B754" s="261"/>
      <c r="C754" s="261"/>
    </row>
    <row r="755" spans="1:3" x14ac:dyDescent="0.25">
      <c r="A755" s="261"/>
      <c r="B755" s="261"/>
      <c r="C755" s="261"/>
    </row>
    <row r="756" spans="1:3" x14ac:dyDescent="0.25">
      <c r="A756" s="261"/>
      <c r="B756" s="261"/>
      <c r="C756" s="261"/>
    </row>
    <row r="757" spans="1:3" x14ac:dyDescent="0.25">
      <c r="A757" s="261"/>
      <c r="B757" s="261"/>
      <c r="C757" s="261"/>
    </row>
    <row r="758" spans="1:3" x14ac:dyDescent="0.25">
      <c r="A758" s="261"/>
      <c r="B758" s="261"/>
      <c r="C758" s="261"/>
    </row>
    <row r="759" spans="1:3" x14ac:dyDescent="0.25">
      <c r="A759" s="261"/>
      <c r="B759" s="261"/>
      <c r="C759" s="261"/>
    </row>
    <row r="760" spans="1:3" x14ac:dyDescent="0.25">
      <c r="A760" s="261"/>
      <c r="B760" s="261"/>
      <c r="C760" s="261"/>
    </row>
    <row r="761" spans="1:3" x14ac:dyDescent="0.25">
      <c r="A761" s="261"/>
      <c r="B761" s="261"/>
      <c r="C761" s="261"/>
    </row>
    <row r="762" spans="1:3" x14ac:dyDescent="0.25">
      <c r="A762" s="261"/>
      <c r="B762" s="261"/>
      <c r="C762" s="261"/>
    </row>
    <row r="763" spans="1:3" x14ac:dyDescent="0.25">
      <c r="A763" s="261"/>
      <c r="B763" s="261"/>
      <c r="C763" s="261"/>
    </row>
    <row r="764" spans="1:3" x14ac:dyDescent="0.25">
      <c r="A764" s="261"/>
      <c r="B764" s="261"/>
      <c r="C764" s="261"/>
    </row>
    <row r="765" spans="1:3" x14ac:dyDescent="0.25">
      <c r="A765" s="261"/>
      <c r="B765" s="261"/>
      <c r="C765" s="261"/>
    </row>
    <row r="766" spans="1:3" x14ac:dyDescent="0.25">
      <c r="A766" s="261"/>
      <c r="B766" s="261"/>
      <c r="C766" s="261"/>
    </row>
    <row r="767" spans="1:3" x14ac:dyDescent="0.25">
      <c r="A767" s="261"/>
      <c r="B767" s="261"/>
      <c r="C767" s="261"/>
    </row>
    <row r="768" spans="1:3" x14ac:dyDescent="0.25">
      <c r="A768" s="261"/>
      <c r="B768" s="261"/>
      <c r="C768" s="261"/>
    </row>
    <row r="769" spans="1:3" x14ac:dyDescent="0.25">
      <c r="A769" s="261"/>
      <c r="B769" s="261"/>
      <c r="C769" s="261"/>
    </row>
    <row r="770" spans="1:3" x14ac:dyDescent="0.25">
      <c r="A770" s="261"/>
      <c r="B770" s="261"/>
      <c r="C770" s="261"/>
    </row>
    <row r="771" spans="1:3" x14ac:dyDescent="0.25">
      <c r="A771" s="261"/>
      <c r="B771" s="261"/>
      <c r="C771" s="261"/>
    </row>
    <row r="772" spans="1:3" x14ac:dyDescent="0.25">
      <c r="A772" s="261"/>
      <c r="B772" s="261"/>
      <c r="C772" s="261"/>
    </row>
    <row r="773" spans="1:3" x14ac:dyDescent="0.25">
      <c r="A773" s="261"/>
      <c r="B773" s="261"/>
      <c r="C773" s="261"/>
    </row>
    <row r="774" spans="1:3" x14ac:dyDescent="0.25">
      <c r="A774" s="261"/>
      <c r="B774" s="261"/>
      <c r="C774" s="261"/>
    </row>
    <row r="775" spans="1:3" x14ac:dyDescent="0.25">
      <c r="A775" s="261"/>
      <c r="B775" s="261"/>
      <c r="C775" s="261"/>
    </row>
    <row r="776" spans="1:3" x14ac:dyDescent="0.25">
      <c r="A776" s="261"/>
      <c r="B776" s="261"/>
      <c r="C776" s="261"/>
    </row>
    <row r="777" spans="1:3" x14ac:dyDescent="0.25">
      <c r="A777" s="261"/>
      <c r="B777" s="261"/>
      <c r="C777" s="261"/>
    </row>
    <row r="778" spans="1:3" x14ac:dyDescent="0.25">
      <c r="A778" s="261"/>
      <c r="B778" s="261"/>
      <c r="C778" s="261"/>
    </row>
    <row r="779" spans="1:3" x14ac:dyDescent="0.25">
      <c r="A779" s="261"/>
      <c r="B779" s="261"/>
      <c r="C779" s="261"/>
    </row>
    <row r="780" spans="1:3" x14ac:dyDescent="0.25">
      <c r="A780" s="261"/>
      <c r="B780" s="261"/>
      <c r="C780" s="261"/>
    </row>
    <row r="781" spans="1:3" x14ac:dyDescent="0.25">
      <c r="A781" s="261"/>
      <c r="B781" s="261"/>
      <c r="C781" s="261"/>
    </row>
    <row r="782" spans="1:3" x14ac:dyDescent="0.25">
      <c r="A782" s="261"/>
      <c r="B782" s="261"/>
      <c r="C782" s="261"/>
    </row>
    <row r="783" spans="1:3" x14ac:dyDescent="0.25">
      <c r="A783" s="261"/>
      <c r="B783" s="261"/>
      <c r="C783" s="261"/>
    </row>
    <row r="784" spans="1:3" x14ac:dyDescent="0.25">
      <c r="A784" s="261"/>
      <c r="B784" s="261"/>
      <c r="C784" s="261"/>
    </row>
    <row r="785" spans="1:3" x14ac:dyDescent="0.25">
      <c r="A785" s="261"/>
      <c r="B785" s="261"/>
      <c r="C785" s="261"/>
    </row>
    <row r="786" spans="1:3" x14ac:dyDescent="0.25">
      <c r="A786" s="261"/>
      <c r="B786" s="261"/>
      <c r="C786" s="261"/>
    </row>
    <row r="787" spans="1:3" x14ac:dyDescent="0.25">
      <c r="A787" s="261"/>
      <c r="B787" s="261"/>
      <c r="C787" s="261"/>
    </row>
    <row r="788" spans="1:3" x14ac:dyDescent="0.25">
      <c r="A788" s="261"/>
      <c r="B788" s="261"/>
      <c r="C788" s="261"/>
    </row>
    <row r="789" spans="1:3" x14ac:dyDescent="0.25">
      <c r="A789" s="261"/>
      <c r="B789" s="261"/>
      <c r="C789" s="261"/>
    </row>
    <row r="790" spans="1:3" x14ac:dyDescent="0.25">
      <c r="A790" s="261"/>
      <c r="B790" s="261"/>
      <c r="C790" s="261"/>
    </row>
    <row r="791" spans="1:3" x14ac:dyDescent="0.25">
      <c r="A791" s="261"/>
      <c r="B791" s="261"/>
      <c r="C791" s="261"/>
    </row>
    <row r="792" spans="1:3" x14ac:dyDescent="0.25">
      <c r="A792" s="261"/>
      <c r="B792" s="261"/>
      <c r="C792" s="261"/>
    </row>
    <row r="793" spans="1:3" x14ac:dyDescent="0.25">
      <c r="A793" s="261"/>
      <c r="B793" s="261"/>
      <c r="C793" s="261"/>
    </row>
    <row r="794" spans="1:3" x14ac:dyDescent="0.25">
      <c r="A794" s="261"/>
      <c r="B794" s="261"/>
      <c r="C794" s="261"/>
    </row>
    <row r="795" spans="1:3" x14ac:dyDescent="0.25">
      <c r="A795" s="261"/>
      <c r="B795" s="261"/>
      <c r="C795" s="261"/>
    </row>
    <row r="796" spans="1:3" x14ac:dyDescent="0.25">
      <c r="A796" s="261"/>
      <c r="B796" s="261"/>
      <c r="C796" s="261"/>
    </row>
    <row r="797" spans="1:3" x14ac:dyDescent="0.25">
      <c r="A797" s="261"/>
      <c r="B797" s="261"/>
      <c r="C797" s="261"/>
    </row>
    <row r="798" spans="1:3" x14ac:dyDescent="0.25">
      <c r="A798" s="261"/>
      <c r="B798" s="261"/>
      <c r="C798" s="261"/>
    </row>
    <row r="799" spans="1:3" x14ac:dyDescent="0.25">
      <c r="A799" s="261"/>
      <c r="B799" s="261"/>
      <c r="C799" s="261"/>
    </row>
    <row r="800" spans="1:3" x14ac:dyDescent="0.25">
      <c r="A800" s="261"/>
      <c r="B800" s="261"/>
      <c r="C800" s="261"/>
    </row>
    <row r="801" spans="1:3" x14ac:dyDescent="0.25">
      <c r="A801" s="261"/>
      <c r="B801" s="261"/>
      <c r="C801" s="261"/>
    </row>
    <row r="802" spans="1:3" x14ac:dyDescent="0.25">
      <c r="A802" s="261"/>
      <c r="B802" s="261"/>
      <c r="C802" s="261"/>
    </row>
    <row r="803" spans="1:3" x14ac:dyDescent="0.25">
      <c r="A803" s="261"/>
      <c r="B803" s="261"/>
      <c r="C803" s="261"/>
    </row>
    <row r="804" spans="1:3" x14ac:dyDescent="0.25">
      <c r="A804" s="261"/>
      <c r="B804" s="261"/>
      <c r="C804" s="261"/>
    </row>
    <row r="805" spans="1:3" x14ac:dyDescent="0.25">
      <c r="A805" s="261"/>
      <c r="B805" s="261"/>
      <c r="C805" s="261"/>
    </row>
    <row r="806" spans="1:3" x14ac:dyDescent="0.25">
      <c r="A806" s="261"/>
      <c r="B806" s="261"/>
      <c r="C806" s="261"/>
    </row>
    <row r="807" spans="1:3" x14ac:dyDescent="0.25">
      <c r="A807" s="261"/>
      <c r="B807" s="261"/>
      <c r="C807" s="261"/>
    </row>
    <row r="808" spans="1:3" x14ac:dyDescent="0.25">
      <c r="A808" s="261"/>
      <c r="B808" s="261"/>
      <c r="C808" s="261"/>
    </row>
    <row r="809" spans="1:3" x14ac:dyDescent="0.25">
      <c r="A809" s="261"/>
      <c r="B809" s="261"/>
      <c r="C809" s="261"/>
    </row>
    <row r="810" spans="1:3" x14ac:dyDescent="0.25">
      <c r="A810" s="261"/>
      <c r="B810" s="261"/>
      <c r="C810" s="261"/>
    </row>
    <row r="811" spans="1:3" x14ac:dyDescent="0.25">
      <c r="A811" s="261"/>
      <c r="B811" s="261"/>
      <c r="C811" s="261"/>
    </row>
    <row r="812" spans="1:3" x14ac:dyDescent="0.25">
      <c r="A812" s="261"/>
      <c r="B812" s="261"/>
      <c r="C812" s="261"/>
    </row>
    <row r="813" spans="1:3" x14ac:dyDescent="0.25">
      <c r="A813" s="261"/>
      <c r="B813" s="261"/>
      <c r="C813" s="261"/>
    </row>
    <row r="814" spans="1:3" x14ac:dyDescent="0.25">
      <c r="A814" s="261"/>
      <c r="B814" s="261"/>
      <c r="C814" s="261"/>
    </row>
    <row r="815" spans="1:3" x14ac:dyDescent="0.25">
      <c r="A815" s="261"/>
      <c r="B815" s="261"/>
      <c r="C815" s="261"/>
    </row>
    <row r="816" spans="1:3" x14ac:dyDescent="0.25">
      <c r="A816" s="261"/>
      <c r="B816" s="261"/>
      <c r="C816" s="261"/>
    </row>
    <row r="817" spans="1:3" x14ac:dyDescent="0.25">
      <c r="A817" s="261"/>
      <c r="B817" s="261"/>
      <c r="C817" s="261"/>
    </row>
    <row r="818" spans="1:3" x14ac:dyDescent="0.25">
      <c r="A818" s="261"/>
      <c r="B818" s="261"/>
      <c r="C818" s="261"/>
    </row>
    <row r="819" spans="1:3" x14ac:dyDescent="0.25">
      <c r="A819" s="261"/>
      <c r="B819" s="261"/>
      <c r="C819" s="261"/>
    </row>
    <row r="820" spans="1:3" x14ac:dyDescent="0.25">
      <c r="A820" s="261"/>
      <c r="B820" s="261"/>
      <c r="C820" s="261"/>
    </row>
    <row r="821" spans="1:3" x14ac:dyDescent="0.25">
      <c r="A821" s="261"/>
      <c r="B821" s="261"/>
      <c r="C821" s="261"/>
    </row>
    <row r="822" spans="1:3" x14ac:dyDescent="0.25">
      <c r="A822" s="261"/>
      <c r="B822" s="261"/>
      <c r="C822" s="261"/>
    </row>
    <row r="823" spans="1:3" x14ac:dyDescent="0.25">
      <c r="A823" s="261"/>
      <c r="B823" s="261"/>
      <c r="C823" s="261"/>
    </row>
    <row r="824" spans="1:3" x14ac:dyDescent="0.25">
      <c r="A824" s="261"/>
      <c r="B824" s="261"/>
      <c r="C824" s="261"/>
    </row>
    <row r="825" spans="1:3" x14ac:dyDescent="0.25">
      <c r="A825" s="261"/>
      <c r="B825" s="261"/>
      <c r="C825" s="261"/>
    </row>
    <row r="826" spans="1:3" x14ac:dyDescent="0.25">
      <c r="A826" s="261"/>
      <c r="B826" s="261"/>
      <c r="C826" s="261"/>
    </row>
    <row r="827" spans="1:3" x14ac:dyDescent="0.25">
      <c r="A827" s="261"/>
      <c r="B827" s="261"/>
      <c r="C827" s="261"/>
    </row>
    <row r="828" spans="1:3" x14ac:dyDescent="0.25">
      <c r="A828" s="261"/>
      <c r="B828" s="261"/>
      <c r="C828" s="261"/>
    </row>
    <row r="829" spans="1:3" x14ac:dyDescent="0.25">
      <c r="A829" s="261"/>
      <c r="B829" s="261"/>
      <c r="C829" s="261"/>
    </row>
    <row r="830" spans="1:3" x14ac:dyDescent="0.25">
      <c r="A830" s="261"/>
      <c r="B830" s="261"/>
      <c r="C830" s="261"/>
    </row>
    <row r="831" spans="1:3" x14ac:dyDescent="0.25">
      <c r="A831" s="261"/>
      <c r="B831" s="261"/>
      <c r="C831" s="261"/>
    </row>
    <row r="832" spans="1:3" x14ac:dyDescent="0.25">
      <c r="A832" s="261"/>
      <c r="B832" s="261"/>
      <c r="C832" s="261"/>
    </row>
    <row r="833" spans="1:3" x14ac:dyDescent="0.25">
      <c r="A833" s="261"/>
      <c r="B833" s="261"/>
      <c r="C833" s="261"/>
    </row>
    <row r="834" spans="1:3" x14ac:dyDescent="0.25">
      <c r="A834" s="261"/>
      <c r="B834" s="261"/>
      <c r="C834" s="261"/>
    </row>
    <row r="835" spans="1:3" x14ac:dyDescent="0.25">
      <c r="A835" s="261"/>
      <c r="B835" s="261"/>
      <c r="C835" s="261"/>
    </row>
    <row r="836" spans="1:3" x14ac:dyDescent="0.25">
      <c r="A836" s="261"/>
      <c r="B836" s="261"/>
      <c r="C836" s="261"/>
    </row>
    <row r="837" spans="1:3" x14ac:dyDescent="0.25">
      <c r="A837" s="261"/>
      <c r="B837" s="261"/>
      <c r="C837" s="261"/>
    </row>
    <row r="838" spans="1:3" x14ac:dyDescent="0.25">
      <c r="A838" s="261"/>
      <c r="B838" s="261"/>
      <c r="C838" s="261"/>
    </row>
    <row r="839" spans="1:3" x14ac:dyDescent="0.25">
      <c r="A839" s="261"/>
      <c r="B839" s="261"/>
      <c r="C839" s="261"/>
    </row>
    <row r="840" spans="1:3" x14ac:dyDescent="0.25">
      <c r="A840" s="261"/>
      <c r="B840" s="261"/>
      <c r="C840" s="261"/>
    </row>
    <row r="841" spans="1:3" x14ac:dyDescent="0.25">
      <c r="A841" s="261"/>
      <c r="B841" s="261"/>
      <c r="C841" s="261"/>
    </row>
    <row r="842" spans="1:3" x14ac:dyDescent="0.25">
      <c r="A842" s="261"/>
      <c r="B842" s="261"/>
      <c r="C842" s="261"/>
    </row>
    <row r="843" spans="1:3" x14ac:dyDescent="0.25">
      <c r="A843" s="261"/>
      <c r="B843" s="261"/>
      <c r="C843" s="261"/>
    </row>
    <row r="844" spans="1:3" x14ac:dyDescent="0.25">
      <c r="A844" s="261"/>
      <c r="B844" s="261"/>
      <c r="C844" s="261"/>
    </row>
    <row r="845" spans="1:3" x14ac:dyDescent="0.25">
      <c r="A845" s="261"/>
      <c r="B845" s="261"/>
      <c r="C845" s="261"/>
    </row>
    <row r="846" spans="1:3" x14ac:dyDescent="0.25">
      <c r="A846" s="261"/>
      <c r="B846" s="261"/>
      <c r="C846" s="261"/>
    </row>
    <row r="847" spans="1:3" x14ac:dyDescent="0.25">
      <c r="A847" s="261"/>
      <c r="B847" s="261"/>
      <c r="C847" s="261"/>
    </row>
    <row r="848" spans="1:3" x14ac:dyDescent="0.25">
      <c r="A848" s="261"/>
      <c r="B848" s="261"/>
      <c r="C848" s="261"/>
    </row>
    <row r="849" spans="1:3" x14ac:dyDescent="0.25">
      <c r="A849" s="261"/>
      <c r="B849" s="261"/>
      <c r="C849" s="261"/>
    </row>
    <row r="850" spans="1:3" x14ac:dyDescent="0.25">
      <c r="A850" s="261"/>
      <c r="B850" s="261"/>
      <c r="C850" s="261"/>
    </row>
    <row r="851" spans="1:3" x14ac:dyDescent="0.25">
      <c r="A851" s="261"/>
      <c r="B851" s="261"/>
      <c r="C851" s="261"/>
    </row>
    <row r="852" spans="1:3" x14ac:dyDescent="0.25">
      <c r="A852" s="261"/>
      <c r="B852" s="261"/>
      <c r="C852" s="261"/>
    </row>
    <row r="853" spans="1:3" x14ac:dyDescent="0.25">
      <c r="A853" s="261"/>
      <c r="B853" s="261"/>
      <c r="C853" s="261"/>
    </row>
    <row r="854" spans="1:3" x14ac:dyDescent="0.25">
      <c r="A854" s="261"/>
      <c r="B854" s="261"/>
      <c r="C854" s="261"/>
    </row>
    <row r="855" spans="1:3" x14ac:dyDescent="0.25">
      <c r="A855" s="261"/>
      <c r="B855" s="261"/>
      <c r="C855" s="261"/>
    </row>
    <row r="856" spans="1:3" x14ac:dyDescent="0.25">
      <c r="A856" s="261"/>
      <c r="B856" s="261"/>
      <c r="C856" s="261"/>
    </row>
    <row r="857" spans="1:3" x14ac:dyDescent="0.25">
      <c r="A857" s="261"/>
      <c r="B857" s="261"/>
      <c r="C857" s="261"/>
    </row>
    <row r="858" spans="1:3" x14ac:dyDescent="0.25">
      <c r="A858" s="261"/>
      <c r="B858" s="261"/>
      <c r="C858" s="261"/>
    </row>
    <row r="859" spans="1:3" x14ac:dyDescent="0.25">
      <c r="A859" s="261"/>
      <c r="B859" s="261"/>
      <c r="C859" s="261"/>
    </row>
    <row r="860" spans="1:3" x14ac:dyDescent="0.25">
      <c r="A860" s="261"/>
      <c r="B860" s="261"/>
      <c r="C860" s="261"/>
    </row>
    <row r="861" spans="1:3" x14ac:dyDescent="0.25">
      <c r="A861" s="261"/>
      <c r="B861" s="261"/>
      <c r="C861" s="261"/>
    </row>
    <row r="862" spans="1:3" x14ac:dyDescent="0.25">
      <c r="A862" s="261"/>
      <c r="B862" s="261"/>
      <c r="C862" s="261"/>
    </row>
    <row r="863" spans="1:3" x14ac:dyDescent="0.25">
      <c r="A863" s="261"/>
      <c r="B863" s="261"/>
      <c r="C863" s="261"/>
    </row>
    <row r="864" spans="1:3" x14ac:dyDescent="0.25">
      <c r="A864" s="261"/>
      <c r="B864" s="261"/>
      <c r="C864" s="261"/>
    </row>
    <row r="865" spans="1:3" x14ac:dyDescent="0.25">
      <c r="A865" s="261"/>
      <c r="B865" s="261"/>
      <c r="C865" s="261"/>
    </row>
    <row r="866" spans="1:3" x14ac:dyDescent="0.25">
      <c r="A866" s="261"/>
      <c r="B866" s="261"/>
      <c r="C866" s="261"/>
    </row>
    <row r="867" spans="1:3" x14ac:dyDescent="0.25">
      <c r="A867" s="261"/>
      <c r="B867" s="261"/>
      <c r="C867" s="261"/>
    </row>
    <row r="868" spans="1:3" x14ac:dyDescent="0.25">
      <c r="A868" s="261"/>
      <c r="B868" s="261"/>
      <c r="C868" s="261"/>
    </row>
    <row r="869" spans="1:3" x14ac:dyDescent="0.25">
      <c r="A869" s="261"/>
      <c r="B869" s="261"/>
      <c r="C869" s="261"/>
    </row>
    <row r="870" spans="1:3" x14ac:dyDescent="0.25">
      <c r="A870" s="261"/>
      <c r="B870" s="261"/>
      <c r="C870" s="261"/>
    </row>
    <row r="871" spans="1:3" x14ac:dyDescent="0.25">
      <c r="A871" s="261"/>
      <c r="B871" s="261"/>
      <c r="C871" s="261"/>
    </row>
    <row r="872" spans="1:3" x14ac:dyDescent="0.25">
      <c r="A872" s="261"/>
      <c r="B872" s="261"/>
      <c r="C872" s="261"/>
    </row>
    <row r="873" spans="1:3" x14ac:dyDescent="0.25">
      <c r="A873" s="261"/>
      <c r="B873" s="261"/>
      <c r="C873" s="261"/>
    </row>
    <row r="874" spans="1:3" x14ac:dyDescent="0.25">
      <c r="A874" s="261"/>
      <c r="B874" s="261"/>
      <c r="C874" s="261"/>
    </row>
    <row r="875" spans="1:3" x14ac:dyDescent="0.25">
      <c r="A875" s="261"/>
      <c r="B875" s="261"/>
      <c r="C875" s="261"/>
    </row>
    <row r="876" spans="1:3" x14ac:dyDescent="0.25">
      <c r="A876" s="261"/>
      <c r="B876" s="261"/>
      <c r="C876" s="261"/>
    </row>
    <row r="877" spans="1:3" x14ac:dyDescent="0.25">
      <c r="A877" s="261"/>
      <c r="B877" s="261"/>
      <c r="C877" s="261"/>
    </row>
    <row r="878" spans="1:3" x14ac:dyDescent="0.25">
      <c r="A878" s="261"/>
      <c r="B878" s="261"/>
      <c r="C878" s="261"/>
    </row>
    <row r="879" spans="1:3" x14ac:dyDescent="0.25">
      <c r="A879" s="261"/>
      <c r="B879" s="261"/>
      <c r="C879" s="261"/>
    </row>
    <row r="880" spans="1:3" x14ac:dyDescent="0.25">
      <c r="A880" s="261"/>
      <c r="B880" s="261"/>
      <c r="C880" s="261"/>
    </row>
    <row r="881" spans="1:3" x14ac:dyDescent="0.25">
      <c r="A881" s="261"/>
      <c r="B881" s="261"/>
      <c r="C881" s="261"/>
    </row>
    <row r="882" spans="1:3" x14ac:dyDescent="0.25">
      <c r="A882" s="261"/>
      <c r="B882" s="261"/>
      <c r="C882" s="261"/>
    </row>
    <row r="883" spans="1:3" x14ac:dyDescent="0.25">
      <c r="A883" s="261"/>
      <c r="B883" s="261"/>
      <c r="C883" s="261"/>
    </row>
    <row r="884" spans="1:3" x14ac:dyDescent="0.25">
      <c r="A884" s="261"/>
      <c r="B884" s="261"/>
      <c r="C884" s="261"/>
    </row>
    <row r="885" spans="1:3" x14ac:dyDescent="0.25">
      <c r="A885" s="261"/>
      <c r="B885" s="261"/>
      <c r="C885" s="261"/>
    </row>
    <row r="886" spans="1:3" x14ac:dyDescent="0.25">
      <c r="A886" s="261"/>
      <c r="B886" s="261"/>
      <c r="C886" s="261"/>
    </row>
    <row r="887" spans="1:3" x14ac:dyDescent="0.25">
      <c r="A887" s="261"/>
      <c r="B887" s="261"/>
      <c r="C887" s="261"/>
    </row>
    <row r="888" spans="1:3" x14ac:dyDescent="0.25">
      <c r="A888" s="261"/>
      <c r="B888" s="261"/>
      <c r="C888" s="261"/>
    </row>
    <row r="889" spans="1:3" x14ac:dyDescent="0.25">
      <c r="A889" s="261"/>
      <c r="B889" s="261"/>
      <c r="C889" s="261"/>
    </row>
    <row r="890" spans="1:3" x14ac:dyDescent="0.25">
      <c r="A890" s="261"/>
      <c r="B890" s="261"/>
      <c r="C890" s="261"/>
    </row>
    <row r="891" spans="1:3" x14ac:dyDescent="0.25">
      <c r="A891" s="261"/>
      <c r="B891" s="261"/>
      <c r="C891" s="261"/>
    </row>
    <row r="892" spans="1:3" x14ac:dyDescent="0.25">
      <c r="A892" s="261"/>
      <c r="B892" s="261"/>
      <c r="C892" s="261"/>
    </row>
    <row r="893" spans="1:3" x14ac:dyDescent="0.25">
      <c r="A893" s="261"/>
      <c r="B893" s="261"/>
      <c r="C893" s="261"/>
    </row>
    <row r="894" spans="1:3" x14ac:dyDescent="0.25">
      <c r="A894" s="261"/>
      <c r="B894" s="261"/>
      <c r="C894" s="261"/>
    </row>
    <row r="895" spans="1:3" x14ac:dyDescent="0.25">
      <c r="A895" s="261"/>
      <c r="B895" s="261"/>
      <c r="C895" s="261"/>
    </row>
    <row r="896" spans="1:3" x14ac:dyDescent="0.25">
      <c r="A896" s="261"/>
      <c r="B896" s="261"/>
      <c r="C896" s="261"/>
    </row>
    <row r="897" spans="1:3" x14ac:dyDescent="0.25">
      <c r="A897" s="261"/>
      <c r="B897" s="261"/>
      <c r="C897" s="261"/>
    </row>
    <row r="898" spans="1:3" x14ac:dyDescent="0.25">
      <c r="A898" s="261"/>
      <c r="B898" s="261"/>
      <c r="C898" s="261"/>
    </row>
    <row r="899" spans="1:3" x14ac:dyDescent="0.25">
      <c r="A899" s="261"/>
      <c r="B899" s="261"/>
      <c r="C899" s="261"/>
    </row>
    <row r="900" spans="1:3" x14ac:dyDescent="0.25">
      <c r="A900" s="261"/>
      <c r="B900" s="261"/>
      <c r="C900" s="261"/>
    </row>
    <row r="901" spans="1:3" x14ac:dyDescent="0.25">
      <c r="A901" s="261"/>
      <c r="B901" s="261"/>
      <c r="C901" s="261"/>
    </row>
    <row r="902" spans="1:3" x14ac:dyDescent="0.25">
      <c r="A902" s="261"/>
      <c r="B902" s="261"/>
      <c r="C902" s="261"/>
    </row>
    <row r="903" spans="1:3" x14ac:dyDescent="0.25">
      <c r="A903" s="261"/>
      <c r="B903" s="261"/>
      <c r="C903" s="261"/>
    </row>
    <row r="904" spans="1:3" x14ac:dyDescent="0.25">
      <c r="A904" s="261"/>
      <c r="B904" s="261"/>
      <c r="C904" s="261"/>
    </row>
    <row r="905" spans="1:3" x14ac:dyDescent="0.25">
      <c r="A905" s="261"/>
      <c r="B905" s="261"/>
      <c r="C905" s="261"/>
    </row>
    <row r="906" spans="1:3" x14ac:dyDescent="0.25">
      <c r="A906" s="261"/>
      <c r="B906" s="261"/>
      <c r="C906" s="261"/>
    </row>
    <row r="907" spans="1:3" x14ac:dyDescent="0.25">
      <c r="A907" s="261"/>
      <c r="B907" s="261"/>
      <c r="C907" s="261"/>
    </row>
    <row r="908" spans="1:3" x14ac:dyDescent="0.25">
      <c r="A908" s="261"/>
      <c r="B908" s="261"/>
      <c r="C908" s="261"/>
    </row>
    <row r="909" spans="1:3" x14ac:dyDescent="0.25">
      <c r="A909" s="261"/>
      <c r="B909" s="261"/>
      <c r="C909" s="261"/>
    </row>
    <row r="910" spans="1:3" x14ac:dyDescent="0.25">
      <c r="A910" s="261"/>
      <c r="B910" s="261"/>
      <c r="C910" s="261"/>
    </row>
    <row r="911" spans="1:3" x14ac:dyDescent="0.25">
      <c r="A911" s="261"/>
      <c r="B911" s="261"/>
      <c r="C911" s="261"/>
    </row>
    <row r="912" spans="1:3" x14ac:dyDescent="0.25">
      <c r="A912" s="261"/>
      <c r="B912" s="261"/>
      <c r="C912" s="261"/>
    </row>
    <row r="913" spans="1:3" x14ac:dyDescent="0.25">
      <c r="A913" s="261"/>
      <c r="B913" s="261"/>
      <c r="C913" s="261"/>
    </row>
    <row r="914" spans="1:3" x14ac:dyDescent="0.25">
      <c r="A914" s="261"/>
      <c r="B914" s="261"/>
      <c r="C914" s="261"/>
    </row>
    <row r="915" spans="1:3" x14ac:dyDescent="0.25">
      <c r="A915" s="261"/>
      <c r="B915" s="261"/>
      <c r="C915" s="261"/>
    </row>
    <row r="916" spans="1:3" x14ac:dyDescent="0.25">
      <c r="A916" s="261"/>
      <c r="B916" s="261"/>
      <c r="C916" s="261"/>
    </row>
    <row r="917" spans="1:3" x14ac:dyDescent="0.25">
      <c r="A917" s="261"/>
      <c r="B917" s="261"/>
      <c r="C917" s="261"/>
    </row>
    <row r="918" spans="1:3" x14ac:dyDescent="0.25">
      <c r="A918" s="261"/>
      <c r="B918" s="261"/>
      <c r="C918" s="261"/>
    </row>
    <row r="919" spans="1:3" x14ac:dyDescent="0.25">
      <c r="A919" s="261"/>
      <c r="B919" s="261"/>
      <c r="C919" s="261"/>
    </row>
    <row r="920" spans="1:3" x14ac:dyDescent="0.25">
      <c r="A920" s="261"/>
      <c r="B920" s="261"/>
      <c r="C920" s="261"/>
    </row>
    <row r="921" spans="1:3" x14ac:dyDescent="0.25">
      <c r="A921" s="261"/>
      <c r="B921" s="261"/>
      <c r="C921" s="261"/>
    </row>
    <row r="922" spans="1:3" x14ac:dyDescent="0.25">
      <c r="A922" s="261"/>
      <c r="B922" s="261"/>
      <c r="C922" s="261"/>
    </row>
    <row r="923" spans="1:3" x14ac:dyDescent="0.25">
      <c r="A923" s="261"/>
      <c r="B923" s="261"/>
      <c r="C923" s="261"/>
    </row>
    <row r="924" spans="1:3" x14ac:dyDescent="0.25">
      <c r="A924" s="261"/>
      <c r="B924" s="261"/>
      <c r="C924" s="261"/>
    </row>
    <row r="925" spans="1:3" x14ac:dyDescent="0.25">
      <c r="A925" s="261"/>
      <c r="B925" s="261"/>
      <c r="C925" s="261"/>
    </row>
    <row r="926" spans="1:3" x14ac:dyDescent="0.25">
      <c r="A926" s="261"/>
      <c r="B926" s="261"/>
      <c r="C926" s="261"/>
    </row>
    <row r="927" spans="1:3" x14ac:dyDescent="0.25">
      <c r="A927" s="261"/>
      <c r="B927" s="261"/>
      <c r="C927" s="261"/>
    </row>
    <row r="928" spans="1:3" x14ac:dyDescent="0.25">
      <c r="A928" s="261"/>
      <c r="B928" s="261"/>
      <c r="C928" s="261"/>
    </row>
    <row r="929" spans="1:3" x14ac:dyDescent="0.25">
      <c r="A929" s="261"/>
      <c r="B929" s="261"/>
      <c r="C929" s="261"/>
    </row>
    <row r="930" spans="1:3" x14ac:dyDescent="0.25">
      <c r="A930" s="261"/>
      <c r="B930" s="261"/>
      <c r="C930" s="261"/>
    </row>
    <row r="931" spans="1:3" x14ac:dyDescent="0.25">
      <c r="A931" s="261"/>
      <c r="B931" s="261"/>
      <c r="C931" s="261"/>
    </row>
    <row r="932" spans="1:3" x14ac:dyDescent="0.25">
      <c r="A932" s="261"/>
      <c r="B932" s="261"/>
      <c r="C932" s="261"/>
    </row>
    <row r="933" spans="1:3" x14ac:dyDescent="0.25">
      <c r="A933" s="261"/>
      <c r="B933" s="261"/>
      <c r="C933" s="261"/>
    </row>
    <row r="934" spans="1:3" x14ac:dyDescent="0.25">
      <c r="A934" s="261"/>
      <c r="B934" s="261"/>
      <c r="C934" s="261"/>
    </row>
    <row r="935" spans="1:3" x14ac:dyDescent="0.25">
      <c r="A935" s="261"/>
      <c r="B935" s="261"/>
      <c r="C935" s="261"/>
    </row>
    <row r="936" spans="1:3" x14ac:dyDescent="0.25">
      <c r="A936" s="261"/>
      <c r="B936" s="261"/>
      <c r="C936" s="261"/>
    </row>
    <row r="937" spans="1:3" x14ac:dyDescent="0.25">
      <c r="A937" s="261"/>
      <c r="B937" s="261"/>
      <c r="C937" s="261"/>
    </row>
  </sheetData>
  <mergeCells count="10">
    <mergeCell ref="A14:A16"/>
    <mergeCell ref="B14:B16"/>
    <mergeCell ref="A35:C35"/>
    <mergeCell ref="A37:B37"/>
    <mergeCell ref="A1:H1"/>
    <mergeCell ref="A7:B7"/>
    <mergeCell ref="A8:B8"/>
    <mergeCell ref="E9:H9"/>
    <mergeCell ref="A11:A13"/>
    <mergeCell ref="B11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357D-2776-4034-B470-F6621C30632F}">
  <sheetPr>
    <tabColor rgb="FFFFCCFF"/>
  </sheetPr>
  <dimension ref="A1:J13"/>
  <sheetViews>
    <sheetView zoomScale="70" zoomScaleNormal="70" workbookViewId="0">
      <selection activeCell="D11" sqref="D11"/>
    </sheetView>
  </sheetViews>
  <sheetFormatPr baseColWidth="10" defaultColWidth="12.42578125" defaultRowHeight="15.75" x14ac:dyDescent="0.25"/>
  <cols>
    <col min="1" max="1" width="21.42578125" style="262" bestFit="1" customWidth="1"/>
    <col min="2" max="2" width="32.5703125" style="262" customWidth="1"/>
    <col min="3" max="3" width="36.42578125" style="281" customWidth="1"/>
    <col min="4" max="4" width="29.28515625" style="281" customWidth="1"/>
    <col min="5" max="5" width="29.42578125" style="262" customWidth="1"/>
    <col min="6" max="6" width="27.42578125" style="262" customWidth="1"/>
    <col min="7" max="7" width="26.5703125" style="262" customWidth="1"/>
    <col min="8" max="8" width="27.85546875" style="262" customWidth="1"/>
    <col min="9" max="16384" width="12.42578125" style="262"/>
  </cols>
  <sheetData>
    <row r="1" spans="1:10" x14ac:dyDescent="0.25">
      <c r="A1" s="563" t="s">
        <v>197</v>
      </c>
      <c r="B1" s="563"/>
      <c r="C1" s="563"/>
      <c r="D1" s="563"/>
      <c r="E1" s="563"/>
      <c r="F1" s="563"/>
      <c r="G1" s="563"/>
      <c r="H1" s="563"/>
    </row>
    <row r="3" spans="1:10" x14ac:dyDescent="0.25">
      <c r="A3" s="263" t="s">
        <v>78</v>
      </c>
      <c r="B3" s="264" t="s">
        <v>198</v>
      </c>
      <c r="C3" s="265"/>
      <c r="D3" s="265"/>
      <c r="I3" s="262">
        <v>1</v>
      </c>
      <c r="J3" s="262">
        <v>25</v>
      </c>
    </row>
    <row r="4" spans="1:10" x14ac:dyDescent="0.25">
      <c r="A4" s="266" t="s">
        <v>80</v>
      </c>
      <c r="B4" s="267" t="s">
        <v>199</v>
      </c>
      <c r="C4" s="267"/>
      <c r="D4" s="267"/>
      <c r="I4" s="262">
        <v>2</v>
      </c>
      <c r="J4" s="262">
        <v>50</v>
      </c>
    </row>
    <row r="5" spans="1:10" x14ac:dyDescent="0.25">
      <c r="A5" s="266" t="s">
        <v>82</v>
      </c>
      <c r="B5" s="267" t="s">
        <v>200</v>
      </c>
      <c r="C5" s="267"/>
      <c r="D5" s="267"/>
      <c r="E5" s="262">
        <v>4</v>
      </c>
      <c r="F5" s="262">
        <v>3</v>
      </c>
      <c r="G5" s="262">
        <v>2</v>
      </c>
      <c r="H5" s="262">
        <v>1</v>
      </c>
      <c r="I5" s="262">
        <v>3</v>
      </c>
      <c r="J5" s="262">
        <v>75</v>
      </c>
    </row>
    <row r="6" spans="1:10" ht="14.25" customHeight="1" x14ac:dyDescent="0.25">
      <c r="A6" s="266"/>
      <c r="B6" s="268"/>
      <c r="C6" s="267"/>
      <c r="D6" s="267"/>
      <c r="E6" s="564" t="s">
        <v>201</v>
      </c>
      <c r="F6" s="564"/>
      <c r="G6" s="564"/>
      <c r="H6" s="564"/>
      <c r="I6" s="262">
        <v>4</v>
      </c>
      <c r="J6" s="262">
        <v>100</v>
      </c>
    </row>
    <row r="7" spans="1:10" ht="31.5" x14ac:dyDescent="0.25">
      <c r="A7" s="269" t="s">
        <v>86</v>
      </c>
      <c r="B7" s="269" t="s">
        <v>13</v>
      </c>
      <c r="C7" s="269" t="s">
        <v>202</v>
      </c>
      <c r="D7" s="270" t="s">
        <v>182</v>
      </c>
      <c r="E7" s="271" t="s">
        <v>203</v>
      </c>
      <c r="F7" s="271" t="s">
        <v>204</v>
      </c>
      <c r="G7" s="272" t="s">
        <v>205</v>
      </c>
      <c r="H7" s="272" t="s">
        <v>206</v>
      </c>
    </row>
    <row r="8" spans="1:10" ht="78.75" x14ac:dyDescent="0.25">
      <c r="A8" s="273">
        <v>1</v>
      </c>
      <c r="B8" s="274" t="s">
        <v>134</v>
      </c>
      <c r="C8" s="275" t="s">
        <v>207</v>
      </c>
      <c r="D8" s="276">
        <v>20</v>
      </c>
      <c r="E8" s="277" t="s">
        <v>208</v>
      </c>
      <c r="F8" s="277" t="s">
        <v>209</v>
      </c>
      <c r="G8" s="277" t="s">
        <v>210</v>
      </c>
      <c r="H8" s="277" t="s">
        <v>211</v>
      </c>
    </row>
    <row r="9" spans="1:10" ht="78.75" x14ac:dyDescent="0.25">
      <c r="A9" s="273">
        <v>2</v>
      </c>
      <c r="B9" s="274" t="s">
        <v>212</v>
      </c>
      <c r="C9" s="275" t="s">
        <v>213</v>
      </c>
      <c r="D9" s="276">
        <v>20</v>
      </c>
      <c r="E9" s="278" t="s">
        <v>214</v>
      </c>
      <c r="F9" s="278" t="s">
        <v>215</v>
      </c>
      <c r="G9" s="278" t="s">
        <v>216</v>
      </c>
      <c r="H9" s="278" t="s">
        <v>217</v>
      </c>
    </row>
    <row r="10" spans="1:10" ht="63" x14ac:dyDescent="0.25">
      <c r="A10" s="273">
        <v>3</v>
      </c>
      <c r="B10" s="274" t="s">
        <v>218</v>
      </c>
      <c r="C10" s="275" t="s">
        <v>219</v>
      </c>
      <c r="D10" s="276">
        <v>20</v>
      </c>
      <c r="E10" s="278" t="s">
        <v>220</v>
      </c>
      <c r="F10" s="278" t="s">
        <v>221</v>
      </c>
      <c r="G10" s="278" t="s">
        <v>222</v>
      </c>
      <c r="H10" s="278" t="s">
        <v>223</v>
      </c>
    </row>
    <row r="11" spans="1:10" ht="78.75" x14ac:dyDescent="0.25">
      <c r="A11" s="273">
        <v>4</v>
      </c>
      <c r="B11" s="274" t="s">
        <v>95</v>
      </c>
      <c r="C11" s="275" t="s">
        <v>224</v>
      </c>
      <c r="D11" s="276">
        <v>20</v>
      </c>
      <c r="E11" s="278" t="s">
        <v>225</v>
      </c>
      <c r="F11" s="278" t="s">
        <v>226</v>
      </c>
      <c r="G11" s="278" t="s">
        <v>227</v>
      </c>
      <c r="H11" s="278" t="s">
        <v>228</v>
      </c>
    </row>
    <row r="12" spans="1:10" ht="94.5" x14ac:dyDescent="0.25">
      <c r="A12" s="273">
        <v>5</v>
      </c>
      <c r="B12" s="274" t="s">
        <v>95</v>
      </c>
      <c r="C12" s="279" t="s">
        <v>229</v>
      </c>
      <c r="D12" s="276">
        <v>20</v>
      </c>
      <c r="E12" s="278" t="s">
        <v>230</v>
      </c>
      <c r="F12" s="278" t="s">
        <v>231</v>
      </c>
      <c r="G12" s="278" t="s">
        <v>231</v>
      </c>
      <c r="H12" s="278" t="s">
        <v>232</v>
      </c>
    </row>
    <row r="13" spans="1:10" x14ac:dyDescent="0.25">
      <c r="C13" s="100" t="s">
        <v>107</v>
      </c>
      <c r="D13" s="280">
        <f>SUM(D8:D12)</f>
        <v>100</v>
      </c>
    </row>
  </sheetData>
  <mergeCells count="2">
    <mergeCell ref="A1:H1"/>
    <mergeCell ref="E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E9D5-260D-4D89-8B7E-2049A630910D}">
  <sheetPr>
    <tabColor rgb="FFFFCCFF"/>
  </sheetPr>
  <dimension ref="A1:I35"/>
  <sheetViews>
    <sheetView topLeftCell="A8" zoomScale="70" zoomScaleNormal="70" workbookViewId="0">
      <selection activeCell="C24" sqref="C9:C24"/>
    </sheetView>
  </sheetViews>
  <sheetFormatPr baseColWidth="10" defaultColWidth="11.42578125" defaultRowHeight="12" x14ac:dyDescent="0.25"/>
  <cols>
    <col min="1" max="1" width="20.42578125" style="155" customWidth="1"/>
    <col min="2" max="2" width="31.42578125" style="155" customWidth="1"/>
    <col min="3" max="3" width="72.5703125" style="155" customWidth="1"/>
    <col min="4" max="4" width="15.42578125" style="179" customWidth="1"/>
    <col min="5" max="5" width="16.140625" style="179" bestFit="1" customWidth="1"/>
    <col min="6" max="6" width="20.7109375" style="179" bestFit="1" customWidth="1"/>
    <col min="7" max="7" width="19.28515625" style="179" customWidth="1"/>
    <col min="8" max="8" width="16.7109375" style="179" bestFit="1" customWidth="1"/>
    <col min="9" max="9" width="17.140625" style="155" hidden="1" customWidth="1"/>
    <col min="10" max="16384" width="11.42578125" style="155"/>
  </cols>
  <sheetData>
    <row r="1" spans="1:9" ht="15" customHeight="1" x14ac:dyDescent="0.25">
      <c r="A1" s="565" t="s">
        <v>233</v>
      </c>
      <c r="B1" s="565"/>
      <c r="C1" s="565"/>
      <c r="D1" s="565"/>
      <c r="E1" s="565"/>
      <c r="F1" s="565"/>
      <c r="G1" s="565"/>
      <c r="H1" s="565"/>
    </row>
    <row r="2" spans="1:9" ht="15" customHeight="1" x14ac:dyDescent="0.25">
      <c r="A2" s="156" t="s">
        <v>76</v>
      </c>
      <c r="B2" s="282" t="s">
        <v>234</v>
      </c>
      <c r="C2" s="2"/>
      <c r="D2" s="157"/>
      <c r="E2" s="157"/>
      <c r="F2" s="157"/>
      <c r="G2" s="157"/>
      <c r="H2" s="157"/>
    </row>
    <row r="3" spans="1:9" s="161" customFormat="1" ht="15" customHeight="1" x14ac:dyDescent="0.25">
      <c r="A3" s="158" t="s">
        <v>78</v>
      </c>
      <c r="B3" s="159" t="s">
        <v>121</v>
      </c>
      <c r="C3" s="283"/>
      <c r="D3" s="160"/>
      <c r="E3" s="160"/>
      <c r="F3" s="160"/>
      <c r="G3" s="160"/>
      <c r="H3" s="160"/>
    </row>
    <row r="4" spans="1:9" ht="15" customHeight="1" x14ac:dyDescent="0.25">
      <c r="A4" s="156" t="s">
        <v>80</v>
      </c>
      <c r="B4" s="162" t="s">
        <v>122</v>
      </c>
      <c r="C4" s="2"/>
      <c r="D4" s="157"/>
      <c r="E4" s="157"/>
      <c r="F4" s="157"/>
      <c r="G4" s="157"/>
      <c r="H4" s="157"/>
    </row>
    <row r="5" spans="1:9" ht="15" customHeight="1" x14ac:dyDescent="0.25">
      <c r="A5" s="156" t="s">
        <v>82</v>
      </c>
      <c r="B5" s="162" t="s">
        <v>123</v>
      </c>
      <c r="C5" s="2"/>
      <c r="D5" s="157"/>
      <c r="E5" s="157"/>
      <c r="F5" s="157"/>
      <c r="G5" s="157"/>
      <c r="H5" s="157"/>
    </row>
    <row r="6" spans="1:9" ht="15" customHeight="1" x14ac:dyDescent="0.25">
      <c r="A6" s="156" t="s">
        <v>84</v>
      </c>
      <c r="B6" s="163">
        <v>0.5</v>
      </c>
      <c r="C6" s="2"/>
      <c r="D6" s="157"/>
      <c r="E6" s="157"/>
      <c r="F6" s="157"/>
      <c r="G6" s="157"/>
      <c r="H6" s="157"/>
    </row>
    <row r="7" spans="1:9" ht="24.75" customHeight="1" x14ac:dyDescent="0.25">
      <c r="A7" s="164"/>
      <c r="B7" s="165"/>
      <c r="C7" s="165"/>
      <c r="D7" s="166"/>
      <c r="E7" s="544" t="s">
        <v>85</v>
      </c>
      <c r="F7" s="544"/>
      <c r="G7" s="544"/>
      <c r="H7" s="544"/>
    </row>
    <row r="8" spans="1:9" ht="33" customHeight="1" x14ac:dyDescent="0.25">
      <c r="A8" s="168" t="s">
        <v>86</v>
      </c>
      <c r="B8" s="168" t="s">
        <v>13</v>
      </c>
      <c r="C8" s="168" t="s">
        <v>87</v>
      </c>
      <c r="D8" s="169" t="s">
        <v>88</v>
      </c>
      <c r="E8" s="167" t="s">
        <v>89</v>
      </c>
      <c r="F8" s="167" t="s">
        <v>109</v>
      </c>
      <c r="G8" s="167" t="s">
        <v>110</v>
      </c>
      <c r="H8" s="167" t="s">
        <v>111</v>
      </c>
      <c r="I8" s="170" t="s">
        <v>124</v>
      </c>
    </row>
    <row r="9" spans="1:9" ht="64.5" customHeight="1" x14ac:dyDescent="0.25">
      <c r="A9" s="545">
        <v>1</v>
      </c>
      <c r="B9" s="546" t="s">
        <v>105</v>
      </c>
      <c r="C9" s="136" t="s">
        <v>235</v>
      </c>
      <c r="D9" s="171">
        <v>10</v>
      </c>
      <c r="E9" s="209"/>
      <c r="F9" s="209"/>
      <c r="G9" s="209"/>
      <c r="H9" s="209"/>
      <c r="I9" s="172"/>
    </row>
    <row r="10" spans="1:9" ht="65.25" customHeight="1" x14ac:dyDescent="0.25">
      <c r="A10" s="545"/>
      <c r="B10" s="546"/>
      <c r="C10" s="132" t="s">
        <v>236</v>
      </c>
      <c r="D10" s="171">
        <v>10</v>
      </c>
      <c r="E10" s="146"/>
      <c r="F10" s="146"/>
      <c r="G10" s="146"/>
      <c r="H10" s="146"/>
      <c r="I10" s="172"/>
    </row>
    <row r="11" spans="1:9" ht="65.25" customHeight="1" x14ac:dyDescent="0.25">
      <c r="A11" s="545">
        <v>2</v>
      </c>
      <c r="B11" s="546" t="s">
        <v>95</v>
      </c>
      <c r="C11" s="136" t="s">
        <v>237</v>
      </c>
      <c r="D11" s="171">
        <v>5</v>
      </c>
      <c r="E11" s="146"/>
      <c r="F11" s="146"/>
      <c r="G11" s="146"/>
      <c r="H11" s="146"/>
      <c r="I11" s="172"/>
    </row>
    <row r="12" spans="1:9" ht="50.25" customHeight="1" x14ac:dyDescent="0.25">
      <c r="A12" s="545"/>
      <c r="B12" s="546"/>
      <c r="C12" s="132" t="s">
        <v>238</v>
      </c>
      <c r="D12" s="171">
        <v>5</v>
      </c>
      <c r="E12" s="146"/>
      <c r="F12" s="146"/>
      <c r="G12" s="146"/>
      <c r="H12" s="146"/>
      <c r="I12" s="172"/>
    </row>
    <row r="13" spans="1:9" ht="71.25" customHeight="1" x14ac:dyDescent="0.25">
      <c r="A13" s="545"/>
      <c r="B13" s="546"/>
      <c r="C13" s="132" t="s">
        <v>239</v>
      </c>
      <c r="D13" s="171">
        <v>5</v>
      </c>
      <c r="E13" s="146"/>
      <c r="F13" s="146"/>
      <c r="G13" s="146"/>
      <c r="H13" s="146"/>
      <c r="I13" s="172"/>
    </row>
    <row r="14" spans="1:9" s="174" customFormat="1" ht="78.75" customHeight="1" x14ac:dyDescent="0.25">
      <c r="A14" s="545">
        <v>3</v>
      </c>
      <c r="B14" s="566" t="s">
        <v>129</v>
      </c>
      <c r="C14" s="132" t="s">
        <v>240</v>
      </c>
      <c r="D14" s="171">
        <v>5</v>
      </c>
      <c r="E14" s="146"/>
      <c r="F14" s="146"/>
      <c r="G14" s="146"/>
      <c r="H14" s="146"/>
      <c r="I14" s="173" t="s">
        <v>131</v>
      </c>
    </row>
    <row r="15" spans="1:9" s="174" customFormat="1" ht="39.75" customHeight="1" x14ac:dyDescent="0.25">
      <c r="A15" s="545"/>
      <c r="B15" s="566"/>
      <c r="C15" s="132" t="s">
        <v>241</v>
      </c>
      <c r="D15" s="171">
        <v>10</v>
      </c>
      <c r="E15" s="146"/>
      <c r="F15" s="146"/>
      <c r="G15" s="146"/>
      <c r="H15" s="146"/>
      <c r="I15" s="173" t="s">
        <v>131</v>
      </c>
    </row>
    <row r="16" spans="1:9" ht="51" customHeight="1" x14ac:dyDescent="0.25">
      <c r="A16" s="545"/>
      <c r="B16" s="566"/>
      <c r="C16" s="132" t="s">
        <v>242</v>
      </c>
      <c r="D16" s="171">
        <v>5</v>
      </c>
      <c r="E16" s="146"/>
      <c r="F16" s="146"/>
      <c r="G16" s="146"/>
      <c r="H16" s="146"/>
      <c r="I16" s="173" t="s">
        <v>131</v>
      </c>
    </row>
    <row r="17" spans="1:9" ht="78.75" customHeight="1" x14ac:dyDescent="0.25">
      <c r="A17" s="545">
        <v>4</v>
      </c>
      <c r="B17" s="546" t="s">
        <v>134</v>
      </c>
      <c r="C17" s="136" t="s">
        <v>243</v>
      </c>
      <c r="D17" s="171">
        <v>5</v>
      </c>
      <c r="E17" s="146"/>
      <c r="F17" s="146"/>
      <c r="G17" s="146"/>
      <c r="H17" s="146"/>
      <c r="I17" s="172" t="s">
        <v>136</v>
      </c>
    </row>
    <row r="18" spans="1:9" ht="55.5" customHeight="1" x14ac:dyDescent="0.25">
      <c r="A18" s="545"/>
      <c r="B18" s="546"/>
      <c r="C18" s="132" t="s">
        <v>244</v>
      </c>
      <c r="D18" s="171">
        <v>5</v>
      </c>
      <c r="E18" s="146"/>
      <c r="F18" s="146"/>
      <c r="G18" s="146"/>
      <c r="H18" s="146"/>
      <c r="I18" s="172"/>
    </row>
    <row r="19" spans="1:9" ht="63" x14ac:dyDescent="0.25">
      <c r="A19" s="547">
        <v>5</v>
      </c>
      <c r="B19" s="548" t="s">
        <v>218</v>
      </c>
      <c r="C19" s="136" t="s">
        <v>245</v>
      </c>
      <c r="D19" s="171">
        <v>10</v>
      </c>
      <c r="E19" s="146"/>
      <c r="F19" s="146"/>
      <c r="G19" s="146"/>
      <c r="H19" s="146"/>
      <c r="I19" s="172"/>
    </row>
    <row r="20" spans="1:9" ht="84" customHeight="1" x14ac:dyDescent="0.25">
      <c r="A20" s="547"/>
      <c r="B20" s="548"/>
      <c r="C20" s="136" t="s">
        <v>246</v>
      </c>
      <c r="D20" s="284">
        <v>5</v>
      </c>
      <c r="E20" s="146"/>
      <c r="F20" s="146"/>
      <c r="G20" s="146"/>
      <c r="H20" s="146"/>
      <c r="I20" s="172"/>
    </row>
    <row r="21" spans="1:9" ht="64.5" customHeight="1" x14ac:dyDescent="0.25">
      <c r="A21" s="547">
        <v>6</v>
      </c>
      <c r="B21" s="546" t="s">
        <v>167</v>
      </c>
      <c r="C21" s="132" t="s">
        <v>247</v>
      </c>
      <c r="D21" s="213">
        <v>5</v>
      </c>
      <c r="E21" s="146"/>
      <c r="F21" s="146"/>
      <c r="G21" s="146"/>
      <c r="H21" s="146"/>
      <c r="I21" s="172" t="s">
        <v>136</v>
      </c>
    </row>
    <row r="22" spans="1:9" ht="63" x14ac:dyDescent="0.25">
      <c r="A22" s="547"/>
      <c r="B22" s="546"/>
      <c r="C22" s="136" t="s">
        <v>248</v>
      </c>
      <c r="D22" s="213">
        <v>5</v>
      </c>
      <c r="E22" s="146"/>
      <c r="F22" s="146"/>
      <c r="G22" s="146"/>
      <c r="H22" s="146"/>
      <c r="I22" s="172" t="s">
        <v>136</v>
      </c>
    </row>
    <row r="23" spans="1:9" ht="63.75" customHeight="1" x14ac:dyDescent="0.25">
      <c r="A23" s="545">
        <v>7</v>
      </c>
      <c r="B23" s="546" t="s">
        <v>171</v>
      </c>
      <c r="C23" s="146" t="s">
        <v>249</v>
      </c>
      <c r="D23" s="285">
        <v>5</v>
      </c>
      <c r="E23" s="146"/>
      <c r="F23" s="146"/>
      <c r="G23" s="146"/>
      <c r="H23" s="146"/>
    </row>
    <row r="24" spans="1:9" s="179" customFormat="1" ht="31.5" x14ac:dyDescent="0.25">
      <c r="A24" s="545"/>
      <c r="B24" s="546"/>
      <c r="C24" s="132" t="s">
        <v>250</v>
      </c>
      <c r="D24" s="213">
        <v>5</v>
      </c>
      <c r="E24" s="137"/>
      <c r="F24" s="146"/>
      <c r="G24" s="146"/>
      <c r="H24" s="146"/>
      <c r="I24" s="155"/>
    </row>
    <row r="25" spans="1:9" s="179" customFormat="1" ht="27" customHeight="1" x14ac:dyDescent="0.25">
      <c r="A25" s="176"/>
      <c r="B25" s="176"/>
      <c r="C25" s="100" t="s">
        <v>107</v>
      </c>
      <c r="D25" s="286">
        <f>SUM(D9:D24)</f>
        <v>100</v>
      </c>
      <c r="E25" s="69"/>
      <c r="F25" s="178"/>
      <c r="G25" s="178"/>
      <c r="H25" s="178"/>
      <c r="I25" s="155"/>
    </row>
    <row r="26" spans="1:9" s="179" customFormat="1" x14ac:dyDescent="0.2">
      <c r="A26" s="155"/>
      <c r="B26" s="155"/>
      <c r="C26" s="153"/>
      <c r="D26" s="154"/>
      <c r="E26" s="119"/>
      <c r="I26" s="155"/>
    </row>
    <row r="27" spans="1:9" s="179" customFormat="1" x14ac:dyDescent="0.2">
      <c r="A27" s="155"/>
      <c r="B27" s="155"/>
      <c r="C27" s="180"/>
      <c r="D27" s="119"/>
      <c r="E27" s="119"/>
      <c r="I27" s="155"/>
    </row>
    <row r="28" spans="1:9" s="179" customFormat="1" x14ac:dyDescent="0.2">
      <c r="A28" s="155"/>
      <c r="B28" s="155"/>
      <c r="C28" s="180"/>
      <c r="D28" s="119"/>
      <c r="E28" s="119"/>
      <c r="I28" s="155"/>
    </row>
    <row r="29" spans="1:9" s="179" customFormat="1" x14ac:dyDescent="0.2">
      <c r="A29" s="155"/>
      <c r="B29" s="155"/>
      <c r="C29" s="180"/>
      <c r="D29" s="119"/>
      <c r="E29" s="119"/>
      <c r="I29" s="155"/>
    </row>
    <row r="30" spans="1:9" s="179" customFormat="1" x14ac:dyDescent="0.2">
      <c r="A30" s="155"/>
      <c r="B30" s="155"/>
      <c r="C30" s="180"/>
      <c r="D30" s="119"/>
      <c r="E30" s="119"/>
      <c r="I30" s="155"/>
    </row>
    <row r="31" spans="1:9" s="179" customFormat="1" x14ac:dyDescent="0.2">
      <c r="A31" s="155"/>
      <c r="B31" s="155"/>
      <c r="C31" s="180"/>
      <c r="D31" s="119"/>
      <c r="E31" s="119"/>
      <c r="I31" s="155"/>
    </row>
    <row r="32" spans="1:9" s="179" customFormat="1" x14ac:dyDescent="0.2">
      <c r="A32" s="155"/>
      <c r="B32" s="155"/>
      <c r="C32" s="180"/>
      <c r="D32" s="119"/>
      <c r="E32" s="119"/>
      <c r="I32" s="155"/>
    </row>
    <row r="33" spans="1:9" s="179" customFormat="1" x14ac:dyDescent="0.2">
      <c r="A33" s="155"/>
      <c r="B33" s="155"/>
      <c r="C33" s="180"/>
      <c r="D33" s="119"/>
      <c r="E33" s="119"/>
      <c r="I33" s="155"/>
    </row>
    <row r="34" spans="1:9" s="179" customFormat="1" x14ac:dyDescent="0.2">
      <c r="A34" s="155"/>
      <c r="B34" s="155"/>
      <c r="C34" s="180"/>
      <c r="D34" s="119"/>
      <c r="E34" s="119"/>
      <c r="I34" s="155"/>
    </row>
    <row r="35" spans="1:9" s="179" customFormat="1" x14ac:dyDescent="0.2">
      <c r="A35" s="155"/>
      <c r="B35" s="155"/>
      <c r="C35" s="180"/>
      <c r="D35" s="119"/>
      <c r="E35" s="119"/>
      <c r="I35" s="155"/>
    </row>
  </sheetData>
  <mergeCells count="16">
    <mergeCell ref="A21:A22"/>
    <mergeCell ref="B21:B22"/>
    <mergeCell ref="A23:A24"/>
    <mergeCell ref="B23:B24"/>
    <mergeCell ref="A14:A16"/>
    <mergeCell ref="B14:B16"/>
    <mergeCell ref="A17:A18"/>
    <mergeCell ref="B17:B18"/>
    <mergeCell ref="A19:A20"/>
    <mergeCell ref="B19:B20"/>
    <mergeCell ref="A1:H1"/>
    <mergeCell ref="E7:H7"/>
    <mergeCell ref="A9:A10"/>
    <mergeCell ref="B9:B10"/>
    <mergeCell ref="A11:A13"/>
    <mergeCell ref="B11:B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B472-1316-453B-90D2-648DDD790662}">
  <sheetPr>
    <tabColor rgb="FFFF7C80"/>
  </sheetPr>
  <dimension ref="A1:H24"/>
  <sheetViews>
    <sheetView topLeftCell="A3" zoomScale="70" zoomScaleNormal="70" workbookViewId="0">
      <selection activeCell="K15" sqref="K15"/>
    </sheetView>
  </sheetViews>
  <sheetFormatPr baseColWidth="10" defaultColWidth="11.42578125" defaultRowHeight="12" x14ac:dyDescent="0.2"/>
  <cols>
    <col min="1" max="1" width="19.7109375" style="119" bestFit="1" customWidth="1"/>
    <col min="2" max="2" width="27.140625" style="119" customWidth="1"/>
    <col min="3" max="3" width="68.42578125" style="119" customWidth="1"/>
    <col min="4" max="4" width="10.28515625" style="119" customWidth="1"/>
    <col min="5" max="5" width="15.85546875" style="119" customWidth="1"/>
    <col min="6" max="6" width="14.42578125" style="119" customWidth="1"/>
    <col min="7" max="7" width="10.7109375" style="119" customWidth="1"/>
    <col min="8" max="8" width="17.7109375" style="119" customWidth="1"/>
    <col min="9" max="16384" width="11.42578125" style="119"/>
  </cols>
  <sheetData>
    <row r="1" spans="1:8" ht="15" customHeight="1" x14ac:dyDescent="0.25">
      <c r="A1"/>
      <c r="B1" s="569" t="s">
        <v>251</v>
      </c>
      <c r="C1" s="569"/>
      <c r="D1" s="569"/>
      <c r="E1" s="569"/>
      <c r="F1" s="569"/>
      <c r="G1" s="569"/>
    </row>
    <row r="2" spans="1:8" ht="15" customHeight="1" x14ac:dyDescent="0.25">
      <c r="A2"/>
      <c r="B2"/>
      <c r="C2" s="287"/>
      <c r="D2"/>
      <c r="E2"/>
      <c r="F2"/>
      <c r="G2"/>
    </row>
    <row r="3" spans="1:8" ht="15" customHeight="1" x14ac:dyDescent="0.25">
      <c r="A3"/>
      <c r="B3"/>
      <c r="C3" s="287"/>
      <c r="D3"/>
      <c r="E3"/>
      <c r="F3"/>
      <c r="G3"/>
    </row>
    <row r="4" spans="1:8" ht="15" customHeight="1" x14ac:dyDescent="0.25">
      <c r="A4" s="156" t="s">
        <v>76</v>
      </c>
      <c r="B4" s="162" t="s">
        <v>8</v>
      </c>
      <c r="C4"/>
      <c r="D4"/>
      <c r="E4"/>
      <c r="F4"/>
      <c r="G4"/>
    </row>
    <row r="5" spans="1:8" ht="15" customHeight="1" x14ac:dyDescent="0.25">
      <c r="A5" s="158" t="s">
        <v>78</v>
      </c>
      <c r="B5" s="159" t="s">
        <v>79</v>
      </c>
      <c r="C5"/>
      <c r="D5"/>
      <c r="E5"/>
      <c r="F5"/>
      <c r="G5"/>
    </row>
    <row r="6" spans="1:8" ht="15" x14ac:dyDescent="0.25">
      <c r="A6" s="156" t="s">
        <v>80</v>
      </c>
      <c r="B6" s="162" t="s">
        <v>155</v>
      </c>
      <c r="C6"/>
      <c r="D6"/>
      <c r="E6"/>
      <c r="F6"/>
      <c r="G6"/>
    </row>
    <row r="7" spans="1:8" ht="15" x14ac:dyDescent="0.25">
      <c r="A7" s="156" t="s">
        <v>82</v>
      </c>
      <c r="B7" s="162" t="s">
        <v>123</v>
      </c>
      <c r="C7"/>
      <c r="D7"/>
      <c r="E7"/>
      <c r="F7"/>
      <c r="G7"/>
    </row>
    <row r="8" spans="1:8" ht="15" x14ac:dyDescent="0.25">
      <c r="A8" s="156" t="s">
        <v>84</v>
      </c>
      <c r="B8" s="163" t="s">
        <v>252</v>
      </c>
      <c r="C8"/>
      <c r="D8"/>
      <c r="E8"/>
      <c r="F8"/>
      <c r="G8"/>
    </row>
    <row r="9" spans="1:8" ht="12.75" x14ac:dyDescent="0.2">
      <c r="A9" s="288"/>
      <c r="B9" s="288"/>
      <c r="C9" s="289"/>
      <c r="D9" s="288"/>
      <c r="E9" s="288"/>
      <c r="F9" s="288"/>
      <c r="G9" s="288"/>
      <c r="H9" s="288"/>
    </row>
    <row r="10" spans="1:8" ht="12.75" x14ac:dyDescent="0.2">
      <c r="A10" s="288"/>
      <c r="B10" s="290"/>
      <c r="C10" s="291"/>
      <c r="D10" s="292"/>
      <c r="E10" s="570" t="s">
        <v>85</v>
      </c>
      <c r="F10" s="570"/>
      <c r="G10" s="570"/>
      <c r="H10" s="570"/>
    </row>
    <row r="11" spans="1:8" ht="25.5" customHeight="1" x14ac:dyDescent="0.25">
      <c r="A11" s="294" t="s">
        <v>86</v>
      </c>
      <c r="B11" s="295" t="s">
        <v>13</v>
      </c>
      <c r="C11" s="296" t="s">
        <v>87</v>
      </c>
      <c r="D11" s="297" t="s">
        <v>88</v>
      </c>
      <c r="E11" s="293" t="s">
        <v>89</v>
      </c>
      <c r="F11" s="293" t="s">
        <v>253</v>
      </c>
      <c r="G11" s="293" t="s">
        <v>254</v>
      </c>
      <c r="H11" s="293" t="s">
        <v>255</v>
      </c>
    </row>
    <row r="12" spans="1:8" ht="63" x14ac:dyDescent="0.2">
      <c r="A12" s="567">
        <v>1</v>
      </c>
      <c r="B12" s="568" t="s">
        <v>105</v>
      </c>
      <c r="C12" s="299" t="s">
        <v>256</v>
      </c>
      <c r="D12" s="300">
        <v>15</v>
      </c>
      <c r="E12" s="301"/>
      <c r="F12" s="301"/>
      <c r="G12" s="301"/>
      <c r="H12" s="301"/>
    </row>
    <row r="13" spans="1:8" ht="31.5" x14ac:dyDescent="0.2">
      <c r="A13" s="567"/>
      <c r="B13" s="568"/>
      <c r="C13" s="99" t="s">
        <v>257</v>
      </c>
      <c r="D13" s="99">
        <v>10</v>
      </c>
      <c r="E13" s="302"/>
      <c r="F13" s="302"/>
      <c r="G13" s="302"/>
      <c r="H13" s="302"/>
    </row>
    <row r="14" spans="1:8" ht="31.5" x14ac:dyDescent="0.2">
      <c r="A14" s="567">
        <v>2</v>
      </c>
      <c r="B14" s="568" t="s">
        <v>95</v>
      </c>
      <c r="C14" s="299" t="s">
        <v>258</v>
      </c>
      <c r="D14" s="99">
        <v>10</v>
      </c>
      <c r="E14" s="302"/>
      <c r="F14" s="302"/>
      <c r="G14" s="302"/>
      <c r="H14" s="302"/>
    </row>
    <row r="15" spans="1:8" ht="47.25" x14ac:dyDescent="0.2">
      <c r="A15" s="567"/>
      <c r="B15" s="568"/>
      <c r="C15" s="207" t="s">
        <v>259</v>
      </c>
      <c r="D15" s="99">
        <v>10</v>
      </c>
      <c r="E15" s="302"/>
      <c r="F15" s="302"/>
      <c r="G15" s="302"/>
      <c r="H15" s="302"/>
    </row>
    <row r="16" spans="1:8" ht="31.5" x14ac:dyDescent="0.2">
      <c r="A16" s="567"/>
      <c r="B16" s="568"/>
      <c r="C16" s="99" t="s">
        <v>260</v>
      </c>
      <c r="D16" s="99">
        <v>5</v>
      </c>
      <c r="E16" s="302"/>
      <c r="F16" s="302"/>
      <c r="G16" s="302"/>
      <c r="H16" s="302"/>
    </row>
    <row r="17" spans="1:8" ht="31.5" x14ac:dyDescent="0.2">
      <c r="A17" s="567"/>
      <c r="B17" s="568"/>
      <c r="C17" s="99" t="s">
        <v>261</v>
      </c>
      <c r="D17" s="99">
        <v>5</v>
      </c>
      <c r="E17" s="302"/>
      <c r="F17" s="302"/>
      <c r="G17" s="302"/>
      <c r="H17" s="302"/>
    </row>
    <row r="18" spans="1:8" ht="31.5" x14ac:dyDescent="0.2">
      <c r="A18" s="567">
        <v>3</v>
      </c>
      <c r="B18" s="568" t="s">
        <v>262</v>
      </c>
      <c r="C18" s="99" t="s">
        <v>263</v>
      </c>
      <c r="D18" s="99">
        <v>5</v>
      </c>
      <c r="E18" s="302"/>
      <c r="F18" s="302"/>
      <c r="G18" s="302"/>
      <c r="H18" s="302"/>
    </row>
    <row r="19" spans="1:8" ht="31.5" x14ac:dyDescent="0.2">
      <c r="A19" s="567"/>
      <c r="B19" s="568"/>
      <c r="C19" s="99" t="s">
        <v>264</v>
      </c>
      <c r="D19" s="99">
        <v>10</v>
      </c>
      <c r="E19" s="302"/>
      <c r="F19" s="302"/>
      <c r="G19" s="302"/>
      <c r="H19" s="302"/>
    </row>
    <row r="20" spans="1:8" ht="31.5" x14ac:dyDescent="0.2">
      <c r="A20" s="567"/>
      <c r="B20" s="568"/>
      <c r="C20" s="99" t="s">
        <v>265</v>
      </c>
      <c r="D20" s="99">
        <v>5</v>
      </c>
      <c r="E20" s="302"/>
      <c r="F20" s="302"/>
      <c r="G20" s="302"/>
      <c r="H20" s="302"/>
    </row>
    <row r="21" spans="1:8" ht="47.25" x14ac:dyDescent="0.2">
      <c r="A21" s="567">
        <v>4</v>
      </c>
      <c r="B21" s="568" t="s">
        <v>134</v>
      </c>
      <c r="C21" s="303" t="s">
        <v>266</v>
      </c>
      <c r="D21" s="303">
        <v>10</v>
      </c>
      <c r="E21" s="302"/>
      <c r="F21" s="302"/>
      <c r="G21" s="302"/>
      <c r="H21" s="302"/>
    </row>
    <row r="22" spans="1:8" ht="47.25" x14ac:dyDescent="0.2">
      <c r="A22" s="567"/>
      <c r="B22" s="568"/>
      <c r="C22" s="303" t="s">
        <v>267</v>
      </c>
      <c r="D22" s="303">
        <v>5</v>
      </c>
      <c r="E22" s="302"/>
      <c r="F22" s="302"/>
      <c r="G22" s="302"/>
      <c r="H22" s="302"/>
    </row>
    <row r="23" spans="1:8" ht="63" x14ac:dyDescent="0.2">
      <c r="A23" s="298">
        <v>5</v>
      </c>
      <c r="B23" s="304" t="s">
        <v>167</v>
      </c>
      <c r="C23" s="303" t="s">
        <v>268</v>
      </c>
      <c r="D23" s="303">
        <v>10</v>
      </c>
      <c r="E23" s="302"/>
      <c r="F23" s="302"/>
      <c r="G23" s="302"/>
      <c r="H23" s="302"/>
    </row>
    <row r="24" spans="1:8" ht="15.75" x14ac:dyDescent="0.2">
      <c r="A24" s="288"/>
      <c r="B24" s="288"/>
      <c r="C24" s="100" t="s">
        <v>107</v>
      </c>
      <c r="D24" s="305">
        <f>SUM(D12:D23)</f>
        <v>100</v>
      </c>
      <c r="E24" s="288"/>
      <c r="F24" s="288"/>
      <c r="G24" s="288"/>
      <c r="H24" s="288"/>
    </row>
  </sheetData>
  <mergeCells count="10">
    <mergeCell ref="A18:A20"/>
    <mergeCell ref="B18:B20"/>
    <mergeCell ref="A21:A22"/>
    <mergeCell ref="B21:B22"/>
    <mergeCell ref="B1:G1"/>
    <mergeCell ref="E10:H10"/>
    <mergeCell ref="A12:A13"/>
    <mergeCell ref="B12:B13"/>
    <mergeCell ref="A14:A17"/>
    <mergeCell ref="B14:B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AC05-9AEC-4BD4-AE41-A0535ED88E44}">
  <sheetPr>
    <tabColor rgb="FFFF7C80"/>
  </sheetPr>
  <dimension ref="A1:I33"/>
  <sheetViews>
    <sheetView topLeftCell="B1" zoomScale="55" zoomScaleNormal="55" workbookViewId="0">
      <selection activeCell="D9" sqref="D9:D22"/>
    </sheetView>
  </sheetViews>
  <sheetFormatPr baseColWidth="10" defaultColWidth="11.42578125" defaultRowHeight="12" x14ac:dyDescent="0.25"/>
  <cols>
    <col min="1" max="1" width="23.42578125" style="155" hidden="1" customWidth="1"/>
    <col min="2" max="2" width="17.85546875" style="155" customWidth="1"/>
    <col min="3" max="3" width="33.28515625" style="216" customWidth="1"/>
    <col min="4" max="4" width="69.28515625" style="155" customWidth="1"/>
    <col min="5" max="5" width="8" style="179" customWidth="1"/>
    <col min="6" max="6" width="15" style="179" customWidth="1"/>
    <col min="7" max="8" width="13.140625" style="179" customWidth="1"/>
    <col min="9" max="9" width="16" style="179" customWidth="1"/>
    <col min="10" max="16384" width="11.42578125" style="155"/>
  </cols>
  <sheetData>
    <row r="1" spans="1:9" ht="15" customHeight="1" x14ac:dyDescent="0.25">
      <c r="A1" s="576" t="s">
        <v>269</v>
      </c>
      <c r="B1" s="576"/>
      <c r="C1" s="576"/>
      <c r="D1" s="576"/>
      <c r="E1" s="576"/>
      <c r="F1" s="576"/>
      <c r="G1" s="576"/>
      <c r="H1" s="576"/>
      <c r="I1" s="576"/>
    </row>
    <row r="2" spans="1:9" ht="15" customHeight="1" x14ac:dyDescent="0.25">
      <c r="A2" s="156" t="s">
        <v>76</v>
      </c>
      <c r="B2" s="156" t="s">
        <v>76</v>
      </c>
      <c r="C2" s="2" t="s">
        <v>8</v>
      </c>
      <c r="D2" s="2"/>
      <c r="E2" s="157"/>
      <c r="F2" s="157"/>
      <c r="G2" s="157"/>
      <c r="H2" s="157"/>
      <c r="I2" s="157"/>
    </row>
    <row r="3" spans="1:9" s="161" customFormat="1" ht="15" customHeight="1" x14ac:dyDescent="0.25">
      <c r="A3" s="158" t="s">
        <v>78</v>
      </c>
      <c r="B3" s="158" t="s">
        <v>78</v>
      </c>
      <c r="C3" s="283" t="s">
        <v>270</v>
      </c>
      <c r="D3" s="283"/>
      <c r="E3" s="160"/>
      <c r="F3" s="160"/>
      <c r="G3" s="160"/>
      <c r="H3" s="160"/>
      <c r="I3" s="160"/>
    </row>
    <row r="4" spans="1:9" ht="15" customHeight="1" x14ac:dyDescent="0.25">
      <c r="A4" s="156" t="s">
        <v>80</v>
      </c>
      <c r="B4" s="156" t="s">
        <v>80</v>
      </c>
      <c r="C4" s="2" t="s">
        <v>271</v>
      </c>
      <c r="D4" s="2"/>
      <c r="E4" s="157"/>
      <c r="F4" s="157"/>
      <c r="G4" s="157"/>
      <c r="H4" s="157"/>
      <c r="I4" s="157"/>
    </row>
    <row r="5" spans="1:9" ht="15" customHeight="1" x14ac:dyDescent="0.25">
      <c r="A5" s="156" t="s">
        <v>82</v>
      </c>
      <c r="B5" s="156" t="s">
        <v>82</v>
      </c>
      <c r="C5" s="2" t="s">
        <v>83</v>
      </c>
      <c r="D5" s="2"/>
      <c r="E5" s="157"/>
      <c r="F5" s="157"/>
      <c r="G5" s="157"/>
      <c r="H5" s="157"/>
      <c r="I5" s="157"/>
    </row>
    <row r="6" spans="1:9" ht="15" customHeight="1" x14ac:dyDescent="0.25">
      <c r="A6" s="156" t="s">
        <v>84</v>
      </c>
      <c r="B6" s="156" t="s">
        <v>84</v>
      </c>
      <c r="C6" s="163">
        <v>0.5</v>
      </c>
      <c r="D6" s="2"/>
      <c r="E6" s="157"/>
      <c r="F6" s="157"/>
      <c r="G6" s="157"/>
      <c r="H6" s="157"/>
      <c r="I6" s="157"/>
    </row>
    <row r="7" spans="1:9" ht="15.75" x14ac:dyDescent="0.25">
      <c r="A7" s="307"/>
      <c r="B7" s="80"/>
      <c r="C7" s="80"/>
      <c r="D7" s="81"/>
      <c r="E7" s="577" t="s">
        <v>85</v>
      </c>
      <c r="F7" s="578"/>
      <c r="G7" s="578"/>
      <c r="H7" s="578"/>
      <c r="I7" s="579"/>
    </row>
    <row r="8" spans="1:9" ht="62.25" customHeight="1" x14ac:dyDescent="0.25">
      <c r="A8" s="308" t="s">
        <v>86</v>
      </c>
      <c r="B8" s="83" t="s">
        <v>86</v>
      </c>
      <c r="C8" s="83" t="s">
        <v>13</v>
      </c>
      <c r="D8" s="309" t="s">
        <v>87</v>
      </c>
      <c r="E8" s="297" t="s">
        <v>88</v>
      </c>
      <c r="F8" s="297" t="s">
        <v>89</v>
      </c>
      <c r="G8" s="297" t="s">
        <v>90</v>
      </c>
      <c r="H8" s="297" t="s">
        <v>91</v>
      </c>
      <c r="I8" s="297" t="s">
        <v>92</v>
      </c>
    </row>
    <row r="9" spans="1:9" ht="64.5" customHeight="1" x14ac:dyDescent="0.25">
      <c r="A9" s="571">
        <v>1</v>
      </c>
      <c r="B9" s="572">
        <v>1</v>
      </c>
      <c r="C9" s="580" t="s">
        <v>105</v>
      </c>
      <c r="D9" s="92" t="s">
        <v>272</v>
      </c>
      <c r="E9" s="300">
        <v>10</v>
      </c>
      <c r="F9" s="300"/>
      <c r="G9" s="300"/>
      <c r="H9" s="300"/>
      <c r="I9" s="300"/>
    </row>
    <row r="10" spans="1:9" ht="60.75" customHeight="1" x14ac:dyDescent="0.25">
      <c r="A10" s="571"/>
      <c r="B10" s="572"/>
      <c r="C10" s="580"/>
      <c r="D10" s="92" t="s">
        <v>273</v>
      </c>
      <c r="E10" s="99">
        <v>10</v>
      </c>
      <c r="F10" s="99"/>
      <c r="G10" s="99"/>
      <c r="H10" s="99"/>
      <c r="I10" s="99"/>
    </row>
    <row r="11" spans="1:9" ht="65.25" customHeight="1" x14ac:dyDescent="0.25">
      <c r="A11" s="571">
        <v>2</v>
      </c>
      <c r="B11" s="572">
        <v>2</v>
      </c>
      <c r="C11" s="573" t="s">
        <v>95</v>
      </c>
      <c r="D11" s="92" t="s">
        <v>274</v>
      </c>
      <c r="E11" s="99">
        <v>10</v>
      </c>
      <c r="F11" s="99"/>
      <c r="G11" s="99"/>
      <c r="H11" s="99"/>
      <c r="I11" s="99"/>
    </row>
    <row r="12" spans="1:9" ht="50.25" customHeight="1" x14ac:dyDescent="0.25">
      <c r="A12" s="571"/>
      <c r="B12" s="572"/>
      <c r="C12" s="574"/>
      <c r="D12" s="92" t="s">
        <v>238</v>
      </c>
      <c r="E12" s="99">
        <v>10</v>
      </c>
      <c r="F12" s="99"/>
      <c r="G12" s="99"/>
      <c r="H12" s="99"/>
      <c r="I12" s="99"/>
    </row>
    <row r="13" spans="1:9" ht="64.5" customHeight="1" x14ac:dyDescent="0.25">
      <c r="A13" s="571"/>
      <c r="B13" s="572"/>
      <c r="C13" s="574"/>
      <c r="D13" s="92" t="s">
        <v>239</v>
      </c>
      <c r="E13" s="99">
        <v>5</v>
      </c>
      <c r="F13" s="99"/>
      <c r="G13" s="99"/>
      <c r="H13" s="99"/>
      <c r="I13" s="99"/>
    </row>
    <row r="14" spans="1:9" s="174" customFormat="1" ht="81.75" customHeight="1" x14ac:dyDescent="0.25">
      <c r="A14" s="571">
        <v>3</v>
      </c>
      <c r="B14" s="572"/>
      <c r="C14" s="575"/>
      <c r="D14" s="92" t="s">
        <v>275</v>
      </c>
      <c r="E14" s="99">
        <v>5</v>
      </c>
      <c r="F14" s="99"/>
      <c r="G14" s="99"/>
      <c r="H14" s="99"/>
      <c r="I14" s="99"/>
    </row>
    <row r="15" spans="1:9" s="174" customFormat="1" ht="51.75" customHeight="1" x14ac:dyDescent="0.25">
      <c r="A15" s="571"/>
      <c r="B15" s="572">
        <v>3</v>
      </c>
      <c r="C15" s="573" t="s">
        <v>129</v>
      </c>
      <c r="D15" s="92" t="s">
        <v>130</v>
      </c>
      <c r="E15" s="99">
        <v>5</v>
      </c>
      <c r="F15" s="99"/>
      <c r="G15" s="99"/>
      <c r="H15" s="99"/>
      <c r="I15" s="99"/>
    </row>
    <row r="16" spans="1:9" ht="51" customHeight="1" x14ac:dyDescent="0.25">
      <c r="A16" s="571"/>
      <c r="B16" s="572"/>
      <c r="C16" s="574"/>
      <c r="D16" s="92" t="s">
        <v>241</v>
      </c>
      <c r="E16" s="99">
        <v>10</v>
      </c>
      <c r="F16" s="99"/>
      <c r="G16" s="99"/>
      <c r="H16" s="99"/>
      <c r="I16" s="99"/>
    </row>
    <row r="17" spans="1:9" ht="66" customHeight="1" x14ac:dyDescent="0.25">
      <c r="A17" s="310">
        <v>4</v>
      </c>
      <c r="B17" s="572"/>
      <c r="C17" s="574"/>
      <c r="D17" s="312" t="s">
        <v>276</v>
      </c>
      <c r="E17" s="99">
        <v>5</v>
      </c>
      <c r="F17" s="99"/>
      <c r="G17" s="99"/>
      <c r="H17" s="99"/>
      <c r="I17" s="99"/>
    </row>
    <row r="18" spans="1:9" ht="47.25" customHeight="1" x14ac:dyDescent="0.25">
      <c r="A18" s="581">
        <v>5</v>
      </c>
      <c r="B18" s="582">
        <v>4</v>
      </c>
      <c r="C18" s="583" t="s">
        <v>134</v>
      </c>
      <c r="D18" s="92" t="s">
        <v>277</v>
      </c>
      <c r="E18" s="303">
        <v>5</v>
      </c>
      <c r="F18" s="99"/>
      <c r="G18" s="99"/>
      <c r="H18" s="99"/>
      <c r="I18" s="99"/>
    </row>
    <row r="19" spans="1:9" ht="84" customHeight="1" x14ac:dyDescent="0.25">
      <c r="A19" s="581"/>
      <c r="B19" s="582"/>
      <c r="C19" s="584"/>
      <c r="D19" s="92" t="s">
        <v>278</v>
      </c>
      <c r="E19" s="303">
        <v>10</v>
      </c>
      <c r="F19" s="99"/>
      <c r="G19" s="99"/>
      <c r="H19" s="99"/>
      <c r="I19" s="99"/>
    </row>
    <row r="20" spans="1:9" ht="46.5" customHeight="1" x14ac:dyDescent="0.25">
      <c r="A20" s="313">
        <v>6</v>
      </c>
      <c r="B20" s="582"/>
      <c r="C20" s="584"/>
      <c r="D20" s="314" t="s">
        <v>244</v>
      </c>
      <c r="E20" s="99">
        <v>5</v>
      </c>
      <c r="F20" s="99"/>
      <c r="G20" s="99"/>
      <c r="H20" s="99"/>
      <c r="I20" s="99"/>
    </row>
    <row r="21" spans="1:9" ht="55.5" customHeight="1" x14ac:dyDescent="0.25">
      <c r="B21" s="572">
        <v>5</v>
      </c>
      <c r="C21" s="585" t="s">
        <v>167</v>
      </c>
      <c r="D21" s="92" t="s">
        <v>279</v>
      </c>
      <c r="E21" s="99">
        <v>5</v>
      </c>
      <c r="F21" s="99"/>
      <c r="G21" s="99"/>
      <c r="H21" s="99"/>
      <c r="I21" s="99"/>
    </row>
    <row r="22" spans="1:9" s="179" customFormat="1" ht="69" customHeight="1" x14ac:dyDescent="0.25">
      <c r="A22" s="155"/>
      <c r="B22" s="572"/>
      <c r="C22" s="585"/>
      <c r="D22" s="316" t="s">
        <v>280</v>
      </c>
      <c r="E22" s="317">
        <v>5</v>
      </c>
      <c r="F22" s="91"/>
      <c r="G22" s="99"/>
      <c r="H22" s="99"/>
      <c r="I22" s="99"/>
    </row>
    <row r="23" spans="1:9" s="179" customFormat="1" ht="15.75" x14ac:dyDescent="0.25">
      <c r="A23" s="155"/>
      <c r="B23" s="318"/>
      <c r="C23" s="319"/>
      <c r="D23" s="100" t="s">
        <v>107</v>
      </c>
      <c r="E23" s="320">
        <f>SUM(E9:E22)</f>
        <v>100</v>
      </c>
      <c r="F23" s="112"/>
      <c r="G23" s="321"/>
      <c r="H23" s="321"/>
      <c r="I23" s="321"/>
    </row>
    <row r="24" spans="1:9" s="179" customFormat="1" x14ac:dyDescent="0.2">
      <c r="A24" s="155"/>
      <c r="B24" s="155"/>
      <c r="C24" s="216"/>
      <c r="D24" s="153"/>
      <c r="E24" s="154"/>
      <c r="F24" s="119"/>
    </row>
    <row r="25" spans="1:9" s="179" customFormat="1" x14ac:dyDescent="0.2">
      <c r="A25" s="155"/>
      <c r="B25" s="155"/>
      <c r="C25" s="216"/>
      <c r="D25" s="180"/>
      <c r="E25" s="119"/>
      <c r="F25" s="119"/>
    </row>
    <row r="26" spans="1:9" s="179" customFormat="1" x14ac:dyDescent="0.2">
      <c r="A26" s="155"/>
      <c r="B26" s="155"/>
      <c r="C26" s="216"/>
      <c r="D26" s="180"/>
      <c r="E26" s="119"/>
      <c r="F26" s="119"/>
    </row>
    <row r="27" spans="1:9" s="179" customFormat="1" x14ac:dyDescent="0.2">
      <c r="A27" s="155"/>
      <c r="B27" s="155"/>
      <c r="C27" s="216"/>
      <c r="D27" s="180"/>
      <c r="E27" s="119"/>
      <c r="F27" s="119"/>
    </row>
    <row r="28" spans="1:9" s="179" customFormat="1" x14ac:dyDescent="0.2">
      <c r="A28" s="155"/>
      <c r="B28" s="155"/>
      <c r="C28" s="216"/>
      <c r="D28" s="180"/>
      <c r="E28" s="119"/>
      <c r="F28" s="119"/>
    </row>
    <row r="29" spans="1:9" s="179" customFormat="1" x14ac:dyDescent="0.2">
      <c r="A29" s="155"/>
      <c r="B29" s="155"/>
      <c r="C29" s="216"/>
      <c r="D29" s="180"/>
      <c r="E29" s="119"/>
      <c r="F29" s="119"/>
    </row>
    <row r="30" spans="1:9" s="179" customFormat="1" x14ac:dyDescent="0.2">
      <c r="A30" s="155"/>
      <c r="B30" s="155"/>
      <c r="C30" s="216"/>
      <c r="D30" s="180"/>
      <c r="E30" s="119"/>
      <c r="F30" s="119"/>
    </row>
    <row r="31" spans="1:9" s="179" customFormat="1" x14ac:dyDescent="0.2">
      <c r="A31" s="155"/>
      <c r="B31" s="155"/>
      <c r="C31" s="216"/>
      <c r="D31" s="180"/>
      <c r="E31" s="119"/>
      <c r="F31" s="119"/>
    </row>
    <row r="32" spans="1:9" s="179" customFormat="1" x14ac:dyDescent="0.2">
      <c r="A32" s="155"/>
      <c r="B32" s="155"/>
      <c r="C32" s="216"/>
      <c r="D32" s="180"/>
      <c r="E32" s="119"/>
      <c r="F32" s="119"/>
    </row>
    <row r="33" spans="1:6" s="179" customFormat="1" x14ac:dyDescent="0.2">
      <c r="A33" s="155"/>
      <c r="B33" s="155"/>
      <c r="C33" s="216"/>
      <c r="D33" s="180"/>
      <c r="E33" s="119"/>
      <c r="F33" s="119"/>
    </row>
  </sheetData>
  <mergeCells count="16">
    <mergeCell ref="A18:A19"/>
    <mergeCell ref="B18:B20"/>
    <mergeCell ref="C18:C20"/>
    <mergeCell ref="B21:B22"/>
    <mergeCell ref="C21:C22"/>
    <mergeCell ref="A1:I1"/>
    <mergeCell ref="E7:I7"/>
    <mergeCell ref="A9:A10"/>
    <mergeCell ref="B9:B10"/>
    <mergeCell ref="C9:C10"/>
    <mergeCell ref="A11:A13"/>
    <mergeCell ref="B11:B14"/>
    <mergeCell ref="C11:C14"/>
    <mergeCell ref="A14:A16"/>
    <mergeCell ref="B15:B17"/>
    <mergeCell ref="C15:C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490E-F0F5-486D-B7B0-C3E40384FE52}">
  <sheetPr>
    <tabColor rgb="FFFFFF99"/>
  </sheetPr>
  <dimension ref="A1:H23"/>
  <sheetViews>
    <sheetView topLeftCell="A5" zoomScale="55" zoomScaleNormal="55" workbookViewId="0">
      <selection activeCell="C12" sqref="C12:C22"/>
    </sheetView>
  </sheetViews>
  <sheetFormatPr baseColWidth="10" defaultColWidth="11.42578125" defaultRowHeight="12" x14ac:dyDescent="0.2"/>
  <cols>
    <col min="1" max="1" width="20.140625" style="322" customWidth="1"/>
    <col min="2" max="2" width="31.28515625" style="322" customWidth="1"/>
    <col min="3" max="3" width="77.28515625" style="322" customWidth="1"/>
    <col min="4" max="4" width="11.28515625" style="322" customWidth="1"/>
    <col min="5" max="5" width="21.42578125" style="322" customWidth="1"/>
    <col min="6" max="6" width="22.7109375" style="322" customWidth="1"/>
    <col min="7" max="7" width="13.140625" style="322" customWidth="1"/>
    <col min="8" max="8" width="21.42578125" style="322" customWidth="1"/>
    <col min="9" max="16384" width="11.42578125" style="322"/>
  </cols>
  <sheetData>
    <row r="1" spans="1:8" ht="15" customHeight="1" x14ac:dyDescent="0.25">
      <c r="A1"/>
      <c r="B1" s="569" t="s">
        <v>281</v>
      </c>
      <c r="C1" s="569"/>
      <c r="D1" s="569"/>
      <c r="E1" s="569"/>
      <c r="F1" s="569"/>
      <c r="G1" s="569"/>
    </row>
    <row r="2" spans="1:8" ht="15" customHeight="1" x14ac:dyDescent="0.25">
      <c r="A2"/>
      <c r="B2"/>
      <c r="C2"/>
      <c r="D2"/>
      <c r="E2"/>
      <c r="F2"/>
      <c r="G2"/>
    </row>
    <row r="3" spans="1:8" ht="15" customHeight="1" x14ac:dyDescent="0.25">
      <c r="A3" s="156" t="s">
        <v>76</v>
      </c>
      <c r="B3" s="162" t="s">
        <v>8</v>
      </c>
      <c r="C3"/>
      <c r="D3"/>
      <c r="E3"/>
      <c r="F3"/>
      <c r="G3"/>
    </row>
    <row r="4" spans="1:8" ht="15" customHeight="1" x14ac:dyDescent="0.25">
      <c r="A4" s="158" t="s">
        <v>78</v>
      </c>
      <c r="B4" s="159" t="s">
        <v>121</v>
      </c>
      <c r="C4"/>
      <c r="D4"/>
      <c r="E4"/>
      <c r="F4"/>
      <c r="G4"/>
    </row>
    <row r="5" spans="1:8" ht="15" x14ac:dyDescent="0.25">
      <c r="A5" s="156" t="s">
        <v>80</v>
      </c>
      <c r="B5" s="162" t="s">
        <v>122</v>
      </c>
      <c r="C5"/>
      <c r="D5"/>
      <c r="E5"/>
      <c r="F5"/>
      <c r="G5"/>
    </row>
    <row r="6" spans="1:8" ht="15" x14ac:dyDescent="0.25">
      <c r="A6" s="156" t="s">
        <v>82</v>
      </c>
      <c r="B6" s="162" t="s">
        <v>123</v>
      </c>
      <c r="C6"/>
      <c r="D6"/>
      <c r="E6"/>
      <c r="F6"/>
      <c r="G6"/>
    </row>
    <row r="7" spans="1:8" ht="15" x14ac:dyDescent="0.25">
      <c r="A7" s="156" t="s">
        <v>84</v>
      </c>
      <c r="B7" s="163">
        <v>0.7</v>
      </c>
      <c r="C7" s="323"/>
      <c r="D7" s="323"/>
      <c r="E7"/>
      <c r="F7"/>
      <c r="G7"/>
    </row>
    <row r="8" spans="1:8" x14ac:dyDescent="0.2">
      <c r="A8" s="324"/>
      <c r="B8" s="325"/>
      <c r="C8" s="326"/>
      <c r="D8" s="326"/>
    </row>
    <row r="9" spans="1:8" ht="15.75" x14ac:dyDescent="0.25">
      <c r="A9" s="327"/>
      <c r="B9" s="78"/>
      <c r="C9" s="328"/>
      <c r="D9" s="328"/>
      <c r="E9" s="112"/>
      <c r="F9" s="112"/>
      <c r="G9" s="112"/>
      <c r="H9" s="112"/>
    </row>
    <row r="10" spans="1:8" ht="15.75" x14ac:dyDescent="0.2">
      <c r="A10" s="80"/>
      <c r="B10" s="81"/>
      <c r="C10" s="81"/>
      <c r="D10" s="82"/>
      <c r="E10" s="594" t="s">
        <v>85</v>
      </c>
      <c r="F10" s="594"/>
      <c r="G10" s="594"/>
      <c r="H10" s="594"/>
    </row>
    <row r="11" spans="1:8" ht="15.75" x14ac:dyDescent="0.2">
      <c r="A11" s="83" t="s">
        <v>86</v>
      </c>
      <c r="B11" s="83" t="s">
        <v>13</v>
      </c>
      <c r="C11" s="83" t="s">
        <v>87</v>
      </c>
      <c r="D11" s="309" t="s">
        <v>88</v>
      </c>
      <c r="E11" s="167" t="s">
        <v>89</v>
      </c>
      <c r="F11" s="167" t="s">
        <v>109</v>
      </c>
      <c r="G11" s="167" t="s">
        <v>110</v>
      </c>
      <c r="H11" s="167" t="s">
        <v>111</v>
      </c>
    </row>
    <row r="12" spans="1:8" ht="47.25" x14ac:dyDescent="0.25">
      <c r="A12" s="586">
        <v>1</v>
      </c>
      <c r="B12" s="583" t="s">
        <v>105</v>
      </c>
      <c r="C12" s="92" t="s">
        <v>282</v>
      </c>
      <c r="D12" s="99">
        <v>15</v>
      </c>
      <c r="E12" s="329"/>
      <c r="F12" s="329"/>
      <c r="G12" s="329"/>
      <c r="H12" s="329"/>
    </row>
    <row r="13" spans="1:8" ht="31.5" x14ac:dyDescent="0.25">
      <c r="A13" s="588"/>
      <c r="B13" s="590"/>
      <c r="C13" s="92" t="s">
        <v>283</v>
      </c>
      <c r="D13" s="99">
        <v>10</v>
      </c>
      <c r="E13" s="330"/>
      <c r="F13" s="330"/>
      <c r="G13" s="330"/>
      <c r="H13" s="330"/>
    </row>
    <row r="14" spans="1:8" ht="31.5" x14ac:dyDescent="0.25">
      <c r="A14" s="586">
        <v>2</v>
      </c>
      <c r="B14" s="583" t="s">
        <v>95</v>
      </c>
      <c r="C14" s="92" t="s">
        <v>284</v>
      </c>
      <c r="D14" s="99">
        <v>10</v>
      </c>
      <c r="E14" s="330"/>
      <c r="F14" s="330"/>
      <c r="G14" s="330"/>
      <c r="H14" s="330"/>
    </row>
    <row r="15" spans="1:8" ht="31.5" x14ac:dyDescent="0.25">
      <c r="A15" s="587"/>
      <c r="B15" s="595"/>
      <c r="C15" s="92" t="s">
        <v>285</v>
      </c>
      <c r="D15" s="99">
        <v>15</v>
      </c>
      <c r="E15" s="330"/>
      <c r="F15" s="330"/>
      <c r="G15" s="330"/>
      <c r="H15" s="330"/>
    </row>
    <row r="16" spans="1:8" ht="31.5" x14ac:dyDescent="0.25">
      <c r="A16" s="587"/>
      <c r="B16" s="595"/>
      <c r="C16" s="92" t="s">
        <v>239</v>
      </c>
      <c r="D16" s="99">
        <v>5</v>
      </c>
      <c r="E16" s="330"/>
      <c r="F16" s="330"/>
      <c r="G16" s="330"/>
      <c r="H16" s="330"/>
    </row>
    <row r="17" spans="1:8" ht="31.5" x14ac:dyDescent="0.25">
      <c r="A17" s="588"/>
      <c r="B17" s="596"/>
      <c r="C17" s="92" t="s">
        <v>286</v>
      </c>
      <c r="D17" s="99">
        <v>5</v>
      </c>
      <c r="E17" s="330"/>
      <c r="F17" s="330"/>
      <c r="G17" s="330"/>
      <c r="H17" s="330"/>
    </row>
    <row r="18" spans="1:8" ht="31.5" x14ac:dyDescent="0.25">
      <c r="A18" s="586">
        <v>3</v>
      </c>
      <c r="B18" s="583" t="s">
        <v>262</v>
      </c>
      <c r="C18" s="92" t="s">
        <v>287</v>
      </c>
      <c r="D18" s="99">
        <v>5</v>
      </c>
      <c r="E18" s="330"/>
      <c r="F18" s="330"/>
      <c r="G18" s="330"/>
      <c r="H18" s="330"/>
    </row>
    <row r="19" spans="1:8" ht="15.75" x14ac:dyDescent="0.25">
      <c r="A19" s="587"/>
      <c r="B19" s="589"/>
      <c r="C19" s="92" t="s">
        <v>288</v>
      </c>
      <c r="D19" s="99">
        <v>10</v>
      </c>
      <c r="E19" s="330"/>
      <c r="F19" s="330"/>
      <c r="G19" s="330"/>
      <c r="H19" s="330"/>
    </row>
    <row r="20" spans="1:8" ht="31.5" x14ac:dyDescent="0.25">
      <c r="A20" s="588"/>
      <c r="B20" s="590"/>
      <c r="C20" s="92" t="s">
        <v>289</v>
      </c>
      <c r="D20" s="99">
        <v>5</v>
      </c>
      <c r="E20" s="330"/>
      <c r="F20" s="330"/>
      <c r="G20" s="330"/>
      <c r="H20" s="330"/>
    </row>
    <row r="21" spans="1:8" ht="47.25" x14ac:dyDescent="0.25">
      <c r="A21" s="591">
        <v>4</v>
      </c>
      <c r="B21" s="592" t="s">
        <v>134</v>
      </c>
      <c r="C21" s="92" t="s">
        <v>290</v>
      </c>
      <c r="D21" s="303">
        <v>10</v>
      </c>
      <c r="E21" s="330"/>
      <c r="F21" s="330"/>
      <c r="G21" s="330"/>
      <c r="H21" s="330"/>
    </row>
    <row r="22" spans="1:8" ht="47.25" x14ac:dyDescent="0.25">
      <c r="A22" s="591"/>
      <c r="B22" s="593"/>
      <c r="C22" s="92" t="s">
        <v>291</v>
      </c>
      <c r="D22" s="303">
        <v>10</v>
      </c>
      <c r="E22" s="330"/>
      <c r="F22" s="330"/>
      <c r="G22" s="330"/>
      <c r="H22" s="330"/>
    </row>
    <row r="23" spans="1:8" ht="15.75" x14ac:dyDescent="0.25">
      <c r="A23" s="112"/>
      <c r="B23" s="112"/>
      <c r="C23" s="100" t="s">
        <v>107</v>
      </c>
      <c r="D23" s="315">
        <f>SUM(D12:D22)</f>
        <v>100</v>
      </c>
      <c r="E23" s="112"/>
      <c r="F23" s="112"/>
      <c r="G23" s="112"/>
      <c r="H23" s="112"/>
    </row>
  </sheetData>
  <mergeCells count="10">
    <mergeCell ref="A18:A20"/>
    <mergeCell ref="B18:B20"/>
    <mergeCell ref="A21:A22"/>
    <mergeCell ref="B21:B22"/>
    <mergeCell ref="B1:G1"/>
    <mergeCell ref="E10:H10"/>
    <mergeCell ref="A12:A13"/>
    <mergeCell ref="B12:B13"/>
    <mergeCell ref="A14:A17"/>
    <mergeCell ref="B14:B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6AB9-4BEF-4610-AAA5-9429CCFD435C}">
  <sheetPr>
    <tabColor rgb="FFCC99FF"/>
  </sheetPr>
  <dimension ref="A1:H32"/>
  <sheetViews>
    <sheetView topLeftCell="A18" workbookViewId="0">
      <selection activeCell="C19" sqref="C19"/>
    </sheetView>
  </sheetViews>
  <sheetFormatPr baseColWidth="10" defaultColWidth="11.42578125" defaultRowHeight="12" x14ac:dyDescent="0.25"/>
  <cols>
    <col min="1" max="1" width="23.42578125" style="155" customWidth="1"/>
    <col min="2" max="2" width="39.140625" style="216" customWidth="1"/>
    <col min="3" max="3" width="62.28515625" style="216" customWidth="1"/>
    <col min="4" max="4" width="11.140625" style="179" customWidth="1"/>
    <col min="5" max="5" width="29.5703125" style="179" customWidth="1"/>
    <col min="6" max="6" width="29" style="179" customWidth="1"/>
    <col min="7" max="7" width="16" style="179" customWidth="1"/>
    <col min="8" max="8" width="31.5703125" style="179" customWidth="1"/>
    <col min="9" max="16384" width="11.42578125" style="155"/>
  </cols>
  <sheetData>
    <row r="1" spans="1:8" ht="15" customHeight="1" x14ac:dyDescent="0.25">
      <c r="A1" s="597" t="s">
        <v>292</v>
      </c>
      <c r="B1" s="597"/>
      <c r="C1" s="597"/>
      <c r="D1" s="597"/>
      <c r="E1" s="597"/>
      <c r="F1" s="597"/>
      <c r="G1" s="597"/>
      <c r="H1" s="597"/>
    </row>
    <row r="2" spans="1:8" ht="15" customHeight="1" x14ac:dyDescent="0.25">
      <c r="A2" s="198" t="s">
        <v>76</v>
      </c>
      <c r="B2" s="199" t="s">
        <v>293</v>
      </c>
      <c r="C2" s="199"/>
      <c r="D2" s="200"/>
      <c r="E2" s="200"/>
      <c r="F2" s="200"/>
      <c r="G2" s="200"/>
      <c r="H2" s="200"/>
    </row>
    <row r="3" spans="1:8" s="161" customFormat="1" ht="15" customHeight="1" x14ac:dyDescent="0.25">
      <c r="A3" s="201" t="s">
        <v>78</v>
      </c>
      <c r="B3" s="202" t="s">
        <v>79</v>
      </c>
      <c r="C3" s="202"/>
      <c r="D3" s="203"/>
      <c r="E3" s="203"/>
      <c r="F3" s="203"/>
      <c r="G3" s="203"/>
      <c r="H3" s="203"/>
    </row>
    <row r="4" spans="1:8" ht="15" customHeight="1" x14ac:dyDescent="0.25">
      <c r="A4" s="198" t="s">
        <v>80</v>
      </c>
      <c r="B4" s="199" t="s">
        <v>155</v>
      </c>
      <c r="C4" s="199"/>
      <c r="D4" s="200"/>
      <c r="E4" s="200"/>
      <c r="F4" s="200"/>
      <c r="G4" s="200"/>
      <c r="H4" s="200"/>
    </row>
    <row r="5" spans="1:8" ht="15" customHeight="1" x14ac:dyDescent="0.25">
      <c r="A5" s="198" t="s">
        <v>82</v>
      </c>
      <c r="B5" s="199" t="s">
        <v>83</v>
      </c>
      <c r="C5" s="199"/>
      <c r="D5" s="200"/>
      <c r="E5" s="200"/>
      <c r="F5" s="200"/>
      <c r="G5" s="200"/>
      <c r="H5" s="200"/>
    </row>
    <row r="6" spans="1:8" ht="15" customHeight="1" x14ac:dyDescent="0.25">
      <c r="A6" s="198" t="s">
        <v>84</v>
      </c>
      <c r="B6" s="204">
        <v>0.2</v>
      </c>
      <c r="C6" s="204"/>
      <c r="D6" s="200"/>
      <c r="E6" s="200"/>
      <c r="F6" s="200"/>
      <c r="G6" s="200"/>
      <c r="H6" s="200"/>
    </row>
    <row r="7" spans="1:8" ht="28.5" customHeight="1" x14ac:dyDescent="0.25">
      <c r="A7" s="164"/>
      <c r="B7" s="165"/>
      <c r="C7" s="165"/>
      <c r="D7" s="166"/>
      <c r="E7" s="544" t="s">
        <v>85</v>
      </c>
      <c r="F7" s="544"/>
      <c r="G7" s="544"/>
      <c r="H7" s="544"/>
    </row>
    <row r="8" spans="1:8" ht="25.5" customHeight="1" x14ac:dyDescent="0.25">
      <c r="A8" s="168" t="s">
        <v>86</v>
      </c>
      <c r="B8" s="168" t="s">
        <v>13</v>
      </c>
      <c r="C8" s="168" t="s">
        <v>87</v>
      </c>
      <c r="D8" s="169" t="s">
        <v>88</v>
      </c>
      <c r="E8" s="167" t="s">
        <v>89</v>
      </c>
      <c r="F8" s="167" t="s">
        <v>109</v>
      </c>
      <c r="G8" s="167" t="s">
        <v>110</v>
      </c>
      <c r="H8" s="167" t="s">
        <v>111</v>
      </c>
    </row>
    <row r="9" spans="1:8" ht="64.5" customHeight="1" x14ac:dyDescent="0.25">
      <c r="A9" s="598">
        <v>1</v>
      </c>
      <c r="B9" s="600" t="s">
        <v>105</v>
      </c>
      <c r="C9" s="136" t="s">
        <v>156</v>
      </c>
      <c r="D9" s="132">
        <v>15</v>
      </c>
      <c r="E9" s="209"/>
      <c r="F9" s="209"/>
      <c r="G9" s="209"/>
      <c r="H9" s="209"/>
    </row>
    <row r="10" spans="1:8" ht="64.5" customHeight="1" x14ac:dyDescent="0.25">
      <c r="A10" s="599"/>
      <c r="B10" s="601"/>
      <c r="C10" s="136" t="s">
        <v>294</v>
      </c>
      <c r="D10" s="132">
        <v>10</v>
      </c>
      <c r="E10" s="146"/>
      <c r="F10" s="146"/>
      <c r="G10" s="146"/>
      <c r="H10" s="146"/>
    </row>
    <row r="11" spans="1:8" ht="64.5" customHeight="1" x14ac:dyDescent="0.25">
      <c r="A11" s="598">
        <v>2</v>
      </c>
      <c r="B11" s="600" t="s">
        <v>95</v>
      </c>
      <c r="C11" s="136" t="s">
        <v>295</v>
      </c>
      <c r="D11" s="132">
        <v>5</v>
      </c>
      <c r="E11" s="146"/>
      <c r="F11" s="146"/>
      <c r="G11" s="146"/>
      <c r="H11" s="146"/>
    </row>
    <row r="12" spans="1:8" ht="65.25" customHeight="1" x14ac:dyDescent="0.25">
      <c r="A12" s="599"/>
      <c r="B12" s="601"/>
      <c r="C12" s="136" t="s">
        <v>157</v>
      </c>
      <c r="D12" s="132">
        <v>10</v>
      </c>
      <c r="E12" s="146"/>
      <c r="F12" s="146"/>
      <c r="G12" s="146"/>
      <c r="H12" s="146"/>
    </row>
    <row r="13" spans="1:8" s="174" customFormat="1" ht="49.5" customHeight="1" x14ac:dyDescent="0.25">
      <c r="A13" s="545">
        <v>3</v>
      </c>
      <c r="B13" s="546" t="s">
        <v>129</v>
      </c>
      <c r="C13" s="136" t="s">
        <v>159</v>
      </c>
      <c r="D13" s="132">
        <v>5</v>
      </c>
      <c r="E13" s="146"/>
      <c r="F13" s="146"/>
      <c r="G13" s="146"/>
      <c r="H13" s="146"/>
    </row>
    <row r="14" spans="1:8" s="174" customFormat="1" ht="51" customHeight="1" x14ac:dyDescent="0.25">
      <c r="A14" s="545"/>
      <c r="B14" s="546"/>
      <c r="C14" s="136" t="s">
        <v>160</v>
      </c>
      <c r="D14" s="132">
        <v>5</v>
      </c>
      <c r="E14" s="146"/>
      <c r="F14" s="146"/>
      <c r="G14" s="146"/>
      <c r="H14" s="146"/>
    </row>
    <row r="15" spans="1:8" ht="51" customHeight="1" x14ac:dyDescent="0.25">
      <c r="A15" s="545"/>
      <c r="B15" s="546"/>
      <c r="C15" s="136" t="s">
        <v>296</v>
      </c>
      <c r="D15" s="132">
        <v>5</v>
      </c>
      <c r="E15" s="146"/>
      <c r="F15" s="146"/>
      <c r="G15" s="146"/>
      <c r="H15" s="146"/>
    </row>
    <row r="16" spans="1:8" ht="57.75" customHeight="1" x14ac:dyDescent="0.25">
      <c r="A16" s="545">
        <v>4</v>
      </c>
      <c r="B16" s="546" t="s">
        <v>134</v>
      </c>
      <c r="C16" s="136" t="s">
        <v>162</v>
      </c>
      <c r="D16" s="132">
        <v>10</v>
      </c>
      <c r="E16" s="146"/>
      <c r="F16" s="146"/>
      <c r="G16" s="146"/>
      <c r="H16" s="146"/>
    </row>
    <row r="17" spans="1:8" ht="59.25" customHeight="1" x14ac:dyDescent="0.25">
      <c r="A17" s="545"/>
      <c r="B17" s="546"/>
      <c r="C17" s="210" t="s">
        <v>163</v>
      </c>
      <c r="D17" s="132">
        <v>5</v>
      </c>
      <c r="E17" s="146"/>
      <c r="F17" s="146"/>
      <c r="G17" s="146"/>
      <c r="H17" s="146"/>
    </row>
    <row r="18" spans="1:8" ht="84.75" customHeight="1" x14ac:dyDescent="0.25">
      <c r="A18" s="175">
        <v>5</v>
      </c>
      <c r="B18" s="211" t="s">
        <v>164</v>
      </c>
      <c r="C18" s="136" t="s">
        <v>165</v>
      </c>
      <c r="D18" s="132">
        <v>5</v>
      </c>
      <c r="E18" s="146"/>
      <c r="F18" s="146"/>
      <c r="G18" s="146"/>
      <c r="H18" s="146"/>
    </row>
    <row r="19" spans="1:8" ht="79.5" customHeight="1" x14ac:dyDescent="0.25">
      <c r="A19" s="175">
        <v>6</v>
      </c>
      <c r="B19" s="175" t="s">
        <v>167</v>
      </c>
      <c r="C19" s="136" t="s">
        <v>168</v>
      </c>
      <c r="D19" s="132">
        <v>10</v>
      </c>
      <c r="E19" s="146"/>
      <c r="F19" s="146"/>
      <c r="G19" s="146"/>
      <c r="H19" s="146"/>
    </row>
    <row r="20" spans="1:8" ht="89.25" customHeight="1" x14ac:dyDescent="0.25">
      <c r="A20" s="130">
        <v>7</v>
      </c>
      <c r="B20" s="212" t="s">
        <v>169</v>
      </c>
      <c r="C20" s="136" t="s">
        <v>297</v>
      </c>
      <c r="D20" s="136">
        <v>5</v>
      </c>
      <c r="E20" s="146"/>
      <c r="F20" s="146"/>
      <c r="G20" s="146"/>
      <c r="H20" s="146"/>
    </row>
    <row r="21" spans="1:8" s="179" customFormat="1" ht="68.25" customHeight="1" x14ac:dyDescent="0.25">
      <c r="A21" s="545">
        <v>8</v>
      </c>
      <c r="B21" s="546" t="s">
        <v>171</v>
      </c>
      <c r="C21" s="146" t="s">
        <v>298</v>
      </c>
      <c r="D21" s="213">
        <v>5</v>
      </c>
      <c r="E21" s="137"/>
      <c r="F21" s="146"/>
      <c r="G21" s="146"/>
      <c r="H21" s="146"/>
    </row>
    <row r="22" spans="1:8" s="179" customFormat="1" ht="43.5" customHeight="1" x14ac:dyDescent="0.25">
      <c r="A22" s="545"/>
      <c r="B22" s="546"/>
      <c r="C22" s="132" t="s">
        <v>299</v>
      </c>
      <c r="D22" s="213">
        <v>5</v>
      </c>
      <c r="E22" s="137"/>
      <c r="F22" s="146"/>
      <c r="G22" s="146"/>
      <c r="H22" s="146"/>
    </row>
    <row r="23" spans="1:8" s="179" customFormat="1" ht="15.75" x14ac:dyDescent="0.25">
      <c r="A23" s="176"/>
      <c r="B23" s="214"/>
      <c r="C23" s="100" t="s">
        <v>107</v>
      </c>
      <c r="D23" s="333">
        <f>SUM(D9:D22)</f>
        <v>100</v>
      </c>
      <c r="E23" s="69"/>
      <c r="F23" s="178"/>
      <c r="G23" s="178"/>
      <c r="H23" s="178"/>
    </row>
    <row r="24" spans="1:8" s="179" customFormat="1" x14ac:dyDescent="0.2">
      <c r="A24" s="155"/>
      <c r="B24" s="216"/>
      <c r="C24" s="216"/>
      <c r="D24" s="119"/>
      <c r="E24" s="119"/>
    </row>
    <row r="25" spans="1:8" s="179" customFormat="1" x14ac:dyDescent="0.2">
      <c r="A25" s="155"/>
      <c r="B25" s="216"/>
      <c r="C25" s="216"/>
      <c r="D25" s="119"/>
      <c r="E25" s="119"/>
    </row>
    <row r="26" spans="1:8" s="179" customFormat="1" x14ac:dyDescent="0.2">
      <c r="A26" s="155"/>
      <c r="B26" s="216"/>
      <c r="C26" s="216"/>
      <c r="D26" s="119"/>
      <c r="E26" s="119"/>
    </row>
    <row r="27" spans="1:8" s="179" customFormat="1" x14ac:dyDescent="0.2">
      <c r="A27" s="155"/>
      <c r="B27" s="216"/>
      <c r="C27" s="216"/>
      <c r="D27" s="119"/>
      <c r="E27" s="119"/>
    </row>
    <row r="28" spans="1:8" s="179" customFormat="1" x14ac:dyDescent="0.2">
      <c r="A28" s="155"/>
      <c r="B28" s="216"/>
      <c r="C28" s="216"/>
      <c r="D28" s="119"/>
      <c r="E28" s="119"/>
    </row>
    <row r="29" spans="1:8" s="179" customFormat="1" x14ac:dyDescent="0.2">
      <c r="A29" s="155"/>
      <c r="B29" s="216"/>
      <c r="C29" s="216"/>
      <c r="D29" s="119"/>
      <c r="E29" s="119"/>
    </row>
    <row r="30" spans="1:8" s="179" customFormat="1" x14ac:dyDescent="0.2">
      <c r="A30" s="155"/>
      <c r="B30" s="216"/>
      <c r="C30" s="216"/>
      <c r="D30" s="119"/>
      <c r="E30" s="119"/>
    </row>
    <row r="31" spans="1:8" s="179" customFormat="1" x14ac:dyDescent="0.2">
      <c r="A31" s="155"/>
      <c r="B31" s="216"/>
      <c r="C31" s="216"/>
      <c r="D31" s="119"/>
      <c r="E31" s="119"/>
    </row>
    <row r="32" spans="1:8" s="179" customFormat="1" x14ac:dyDescent="0.2">
      <c r="A32" s="155"/>
      <c r="B32" s="216"/>
      <c r="C32" s="216"/>
      <c r="D32" s="119"/>
      <c r="E32" s="119"/>
    </row>
  </sheetData>
  <mergeCells count="12">
    <mergeCell ref="A13:A15"/>
    <mergeCell ref="B13:B15"/>
    <mergeCell ref="A16:A17"/>
    <mergeCell ref="B16:B17"/>
    <mergeCell ref="A21:A22"/>
    <mergeCell ref="B21:B22"/>
    <mergeCell ref="A1:H1"/>
    <mergeCell ref="E7:H7"/>
    <mergeCell ref="A9:A10"/>
    <mergeCell ref="B9:B10"/>
    <mergeCell ref="A11:A12"/>
    <mergeCell ref="B11:B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CF55-239E-4554-A82E-5C6A0BF784B5}">
  <sheetPr>
    <tabColor rgb="FFCC99FF"/>
  </sheetPr>
  <dimension ref="A1:H33"/>
  <sheetViews>
    <sheetView workbookViewId="0">
      <selection sqref="A1:XFD1048576"/>
    </sheetView>
  </sheetViews>
  <sheetFormatPr baseColWidth="10" defaultColWidth="11.42578125" defaultRowHeight="12" x14ac:dyDescent="0.25"/>
  <cols>
    <col min="1" max="1" width="23.42578125" style="155" customWidth="1"/>
    <col min="2" max="2" width="33.140625" style="155" customWidth="1"/>
    <col min="3" max="3" width="72.5703125" style="155" customWidth="1"/>
    <col min="4" max="4" width="26.42578125" style="179" customWidth="1"/>
    <col min="5" max="7" width="17.85546875" style="179" customWidth="1"/>
    <col min="8" max="8" width="19.7109375" style="179" customWidth="1"/>
    <col min="9" max="16384" width="11.42578125" style="155"/>
  </cols>
  <sheetData>
    <row r="1" spans="1:8" ht="15" customHeight="1" x14ac:dyDescent="0.25">
      <c r="A1" s="597" t="s">
        <v>300</v>
      </c>
      <c r="B1" s="597"/>
      <c r="C1" s="597"/>
      <c r="D1" s="597"/>
      <c r="E1" s="597"/>
      <c r="F1" s="597"/>
      <c r="G1" s="597"/>
      <c r="H1" s="597"/>
    </row>
    <row r="2" spans="1:8" ht="15" customHeight="1" x14ac:dyDescent="0.25">
      <c r="A2" s="198" t="s">
        <v>76</v>
      </c>
      <c r="B2" s="602" t="s">
        <v>293</v>
      </c>
      <c r="C2" s="602"/>
      <c r="D2" s="200"/>
      <c r="E2" s="200"/>
      <c r="F2" s="200"/>
      <c r="G2" s="200"/>
      <c r="H2" s="200"/>
    </row>
    <row r="3" spans="1:8" s="161" customFormat="1" ht="15" customHeight="1" x14ac:dyDescent="0.25">
      <c r="A3" s="201" t="s">
        <v>78</v>
      </c>
      <c r="B3" s="202" t="s">
        <v>121</v>
      </c>
      <c r="C3" s="202"/>
      <c r="D3" s="203"/>
      <c r="E3" s="203"/>
      <c r="F3" s="203"/>
      <c r="G3" s="203"/>
      <c r="H3" s="203"/>
    </row>
    <row r="4" spans="1:8" ht="15" customHeight="1" x14ac:dyDescent="0.25">
      <c r="A4" s="198" t="s">
        <v>80</v>
      </c>
      <c r="B4" s="199" t="s">
        <v>301</v>
      </c>
      <c r="C4" s="199"/>
      <c r="D4" s="200"/>
      <c r="E4" s="200"/>
      <c r="F4" s="200"/>
      <c r="G4" s="200"/>
      <c r="H4" s="200"/>
    </row>
    <row r="5" spans="1:8" ht="15" customHeight="1" x14ac:dyDescent="0.25">
      <c r="A5" s="198" t="s">
        <v>82</v>
      </c>
      <c r="B5" s="199" t="s">
        <v>200</v>
      </c>
      <c r="C5" s="199"/>
      <c r="D5" s="200"/>
      <c r="E5" s="200"/>
      <c r="F5" s="200"/>
      <c r="G5" s="200"/>
      <c r="H5" s="200"/>
    </row>
    <row r="6" spans="1:8" ht="15" customHeight="1" x14ac:dyDescent="0.25">
      <c r="A6" s="198" t="s">
        <v>84</v>
      </c>
      <c r="B6" s="204">
        <v>0.5</v>
      </c>
      <c r="C6" s="204"/>
      <c r="D6" s="200"/>
      <c r="E6" s="200"/>
      <c r="F6" s="200"/>
      <c r="G6" s="200"/>
      <c r="H6" s="200"/>
    </row>
    <row r="7" spans="1:8" ht="24.75" customHeight="1" x14ac:dyDescent="0.25">
      <c r="A7" s="164"/>
      <c r="B7" s="165"/>
      <c r="C7" s="165"/>
      <c r="D7" s="166"/>
      <c r="E7" s="603" t="s">
        <v>85</v>
      </c>
      <c r="F7" s="604"/>
      <c r="G7" s="604"/>
      <c r="H7" s="605"/>
    </row>
    <row r="8" spans="1:8" ht="33" customHeight="1" x14ac:dyDescent="0.25">
      <c r="A8" s="168" t="s">
        <v>86</v>
      </c>
      <c r="B8" s="168" t="s">
        <v>13</v>
      </c>
      <c r="C8" s="168" t="s">
        <v>87</v>
      </c>
      <c r="D8" s="168" t="s">
        <v>88</v>
      </c>
      <c r="E8" s="334" t="s">
        <v>89</v>
      </c>
      <c r="F8" s="335" t="s">
        <v>109</v>
      </c>
      <c r="G8" s="335" t="s">
        <v>110</v>
      </c>
      <c r="H8" s="336" t="s">
        <v>111</v>
      </c>
    </row>
    <row r="9" spans="1:8" ht="64.5" customHeight="1" x14ac:dyDescent="0.25">
      <c r="A9" s="598">
        <v>1</v>
      </c>
      <c r="B9" s="600" t="s">
        <v>105</v>
      </c>
      <c r="C9" s="136" t="s">
        <v>235</v>
      </c>
      <c r="D9" s="171">
        <v>10</v>
      </c>
      <c r="E9" s="146"/>
      <c r="F9" s="146"/>
      <c r="G9" s="146"/>
      <c r="H9" s="146"/>
    </row>
    <row r="10" spans="1:8" ht="64.5" customHeight="1" x14ac:dyDescent="0.25">
      <c r="A10" s="606"/>
      <c r="B10" s="607"/>
      <c r="C10" s="136" t="s">
        <v>302</v>
      </c>
      <c r="D10" s="171">
        <v>10</v>
      </c>
      <c r="E10" s="146"/>
      <c r="F10" s="146"/>
      <c r="G10" s="146"/>
      <c r="H10" s="146"/>
    </row>
    <row r="11" spans="1:8" ht="65.25" customHeight="1" x14ac:dyDescent="0.25">
      <c r="A11" s="599"/>
      <c r="B11" s="601"/>
      <c r="C11" s="136" t="s">
        <v>236</v>
      </c>
      <c r="D11" s="171">
        <v>10</v>
      </c>
      <c r="E11" s="146"/>
      <c r="F11" s="146"/>
      <c r="G11" s="146"/>
      <c r="H11" s="146"/>
    </row>
    <row r="12" spans="1:8" ht="65.25" customHeight="1" x14ac:dyDescent="0.25">
      <c r="A12" s="598">
        <v>2</v>
      </c>
      <c r="B12" s="600" t="s">
        <v>95</v>
      </c>
      <c r="C12" s="136" t="s">
        <v>237</v>
      </c>
      <c r="D12" s="171">
        <v>10</v>
      </c>
      <c r="E12" s="146"/>
      <c r="F12" s="146"/>
      <c r="G12" s="146"/>
      <c r="H12" s="146"/>
    </row>
    <row r="13" spans="1:8" ht="71.25" customHeight="1" x14ac:dyDescent="0.25">
      <c r="A13" s="599"/>
      <c r="B13" s="601"/>
      <c r="C13" s="136" t="s">
        <v>239</v>
      </c>
      <c r="D13" s="171">
        <v>5</v>
      </c>
      <c r="E13" s="146"/>
      <c r="F13" s="146"/>
      <c r="G13" s="146"/>
      <c r="H13" s="146"/>
    </row>
    <row r="14" spans="1:8" s="174" customFormat="1" ht="78.75" customHeight="1" x14ac:dyDescent="0.25">
      <c r="A14" s="598">
        <v>3</v>
      </c>
      <c r="B14" s="600" t="s">
        <v>129</v>
      </c>
      <c r="C14" s="136" t="s">
        <v>240</v>
      </c>
      <c r="D14" s="171">
        <v>5</v>
      </c>
      <c r="E14" s="146"/>
      <c r="F14" s="146"/>
      <c r="G14" s="146"/>
      <c r="H14" s="146"/>
    </row>
    <row r="15" spans="1:8" s="174" customFormat="1" ht="44.25" customHeight="1" x14ac:dyDescent="0.25">
      <c r="A15" s="606"/>
      <c r="B15" s="607"/>
      <c r="C15" s="136" t="s">
        <v>241</v>
      </c>
      <c r="D15" s="171">
        <v>10</v>
      </c>
      <c r="E15" s="146"/>
      <c r="F15" s="146"/>
      <c r="G15" s="146"/>
      <c r="H15" s="146"/>
    </row>
    <row r="16" spans="1:8" ht="51" customHeight="1" x14ac:dyDescent="0.25">
      <c r="A16" s="599"/>
      <c r="B16" s="601"/>
      <c r="C16" s="337" t="s">
        <v>242</v>
      </c>
      <c r="D16" s="171">
        <v>5</v>
      </c>
      <c r="E16" s="146"/>
      <c r="F16" s="146"/>
      <c r="G16" s="146"/>
      <c r="H16" s="146"/>
    </row>
    <row r="17" spans="1:8" ht="78.75" customHeight="1" x14ac:dyDescent="0.25">
      <c r="A17" s="598">
        <v>4</v>
      </c>
      <c r="B17" s="600" t="s">
        <v>134</v>
      </c>
      <c r="C17" s="136" t="s">
        <v>243</v>
      </c>
      <c r="D17" s="171">
        <v>5</v>
      </c>
      <c r="E17" s="146"/>
      <c r="F17" s="146"/>
      <c r="G17" s="146"/>
      <c r="H17" s="146"/>
    </row>
    <row r="18" spans="1:8" ht="48" customHeight="1" x14ac:dyDescent="0.25">
      <c r="A18" s="599"/>
      <c r="B18" s="601"/>
      <c r="C18" s="136" t="s">
        <v>244</v>
      </c>
      <c r="D18" s="171">
        <v>5</v>
      </c>
      <c r="E18" s="146"/>
      <c r="F18" s="146"/>
      <c r="G18" s="146"/>
      <c r="H18" s="146"/>
    </row>
    <row r="19" spans="1:8" ht="63" x14ac:dyDescent="0.25">
      <c r="A19" s="338">
        <v>5</v>
      </c>
      <c r="B19" s="339" t="s">
        <v>218</v>
      </c>
      <c r="C19" s="136" t="s">
        <v>245</v>
      </c>
      <c r="D19" s="171">
        <v>10</v>
      </c>
      <c r="E19" s="146"/>
      <c r="F19" s="146"/>
      <c r="G19" s="146"/>
      <c r="H19" s="146"/>
    </row>
    <row r="20" spans="1:8" ht="47.25" x14ac:dyDescent="0.25">
      <c r="A20" s="338">
        <v>6</v>
      </c>
      <c r="B20" s="339" t="s">
        <v>167</v>
      </c>
      <c r="C20" s="340" t="s">
        <v>303</v>
      </c>
      <c r="D20" s="213">
        <v>5</v>
      </c>
      <c r="E20" s="146"/>
      <c r="F20" s="146"/>
      <c r="G20" s="146"/>
      <c r="H20" s="146"/>
    </row>
    <row r="21" spans="1:8" ht="63.75" customHeight="1" x14ac:dyDescent="0.25">
      <c r="A21" s="545">
        <v>7</v>
      </c>
      <c r="B21" s="546" t="s">
        <v>171</v>
      </c>
      <c r="C21" s="146" t="s">
        <v>304</v>
      </c>
      <c r="D21" s="285">
        <v>5</v>
      </c>
      <c r="E21" s="146"/>
      <c r="F21" s="146"/>
      <c r="G21" s="146"/>
      <c r="H21" s="146"/>
    </row>
    <row r="22" spans="1:8" s="179" customFormat="1" ht="60.75" customHeight="1" x14ac:dyDescent="0.25">
      <c r="A22" s="545"/>
      <c r="B22" s="546"/>
      <c r="C22" s="341" t="s">
        <v>305</v>
      </c>
      <c r="D22" s="213">
        <v>5</v>
      </c>
      <c r="E22" s="137"/>
      <c r="F22" s="146"/>
      <c r="G22" s="146"/>
      <c r="H22" s="146"/>
    </row>
    <row r="23" spans="1:8" s="179" customFormat="1" ht="27" customHeight="1" x14ac:dyDescent="0.25">
      <c r="A23" s="176"/>
      <c r="B23" s="176"/>
      <c r="C23" s="100" t="s">
        <v>107</v>
      </c>
      <c r="D23" s="286">
        <f>SUM(D9:D22)</f>
        <v>100</v>
      </c>
      <c r="E23" s="69"/>
      <c r="F23" s="178"/>
      <c r="G23" s="178"/>
      <c r="H23" s="178"/>
    </row>
    <row r="24" spans="1:8" s="179" customFormat="1" x14ac:dyDescent="0.2">
      <c r="A24" s="155"/>
      <c r="B24" s="155"/>
      <c r="C24" s="153"/>
      <c r="D24" s="154"/>
      <c r="E24" s="119"/>
    </row>
    <row r="25" spans="1:8" s="179" customFormat="1" x14ac:dyDescent="0.2">
      <c r="A25" s="155"/>
      <c r="B25" s="155"/>
      <c r="C25" s="180"/>
      <c r="D25" s="119"/>
      <c r="E25" s="119"/>
    </row>
    <row r="26" spans="1:8" s="179" customFormat="1" x14ac:dyDescent="0.2">
      <c r="A26" s="155"/>
      <c r="B26" s="155"/>
      <c r="C26" s="180"/>
      <c r="D26" s="119"/>
      <c r="E26" s="119"/>
    </row>
    <row r="27" spans="1:8" s="179" customFormat="1" x14ac:dyDescent="0.2">
      <c r="A27" s="155"/>
      <c r="B27" s="155"/>
      <c r="C27" s="180"/>
      <c r="D27" s="119"/>
      <c r="E27" s="119"/>
    </row>
    <row r="28" spans="1:8" s="179" customFormat="1" x14ac:dyDescent="0.2">
      <c r="A28" s="155"/>
      <c r="B28" s="155"/>
      <c r="C28" s="180"/>
      <c r="D28" s="119"/>
      <c r="E28" s="119"/>
    </row>
    <row r="29" spans="1:8" s="179" customFormat="1" x14ac:dyDescent="0.2">
      <c r="A29" s="155"/>
      <c r="B29" s="155"/>
      <c r="C29" s="180"/>
      <c r="D29" s="119"/>
      <c r="E29" s="119"/>
    </row>
    <row r="30" spans="1:8" s="179" customFormat="1" x14ac:dyDescent="0.2">
      <c r="A30" s="155"/>
      <c r="B30" s="155"/>
      <c r="C30" s="180"/>
      <c r="D30" s="119"/>
      <c r="E30" s="119"/>
    </row>
    <row r="31" spans="1:8" s="179" customFormat="1" x14ac:dyDescent="0.2">
      <c r="A31" s="155"/>
      <c r="B31" s="155"/>
      <c r="C31" s="180"/>
      <c r="D31" s="119"/>
      <c r="E31" s="119"/>
    </row>
    <row r="32" spans="1:8" s="179" customFormat="1" x14ac:dyDescent="0.2">
      <c r="A32" s="155"/>
      <c r="B32" s="155"/>
      <c r="C32" s="180"/>
      <c r="D32" s="119"/>
      <c r="E32" s="119"/>
    </row>
    <row r="33" spans="1:5" s="179" customFormat="1" x14ac:dyDescent="0.2">
      <c r="A33" s="155"/>
      <c r="B33" s="155"/>
      <c r="C33" s="180"/>
      <c r="D33" s="119"/>
      <c r="E33" s="119"/>
    </row>
  </sheetData>
  <mergeCells count="13">
    <mergeCell ref="A14:A16"/>
    <mergeCell ref="B14:B16"/>
    <mergeCell ref="A17:A18"/>
    <mergeCell ref="B17:B18"/>
    <mergeCell ref="A21:A22"/>
    <mergeCell ref="B21:B22"/>
    <mergeCell ref="A12:A13"/>
    <mergeCell ref="B12:B13"/>
    <mergeCell ref="A1:H1"/>
    <mergeCell ref="B2:C2"/>
    <mergeCell ref="E7:H7"/>
    <mergeCell ref="A9:A11"/>
    <mergeCell ref="B9:B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48D1-7319-4327-9F2A-53843C2C3670}">
  <sheetPr>
    <tabColor rgb="FFC2F4FE"/>
  </sheetPr>
  <dimension ref="A1:H25"/>
  <sheetViews>
    <sheetView zoomScale="85" zoomScaleNormal="85" workbookViewId="0">
      <selection activeCell="E12" sqref="E12"/>
    </sheetView>
  </sheetViews>
  <sheetFormatPr baseColWidth="10" defaultColWidth="10.85546875" defaultRowHeight="12" x14ac:dyDescent="0.25"/>
  <cols>
    <col min="1" max="1" width="25.42578125" style="343" customWidth="1"/>
    <col min="2" max="2" width="18.28515625" style="343" customWidth="1"/>
    <col min="3" max="3" width="46.85546875" style="343" customWidth="1"/>
    <col min="4" max="4" width="12.7109375" style="343" customWidth="1"/>
    <col min="5" max="5" width="27.85546875" style="343" customWidth="1"/>
    <col min="6" max="6" width="21.42578125" style="369" customWidth="1"/>
    <col min="7" max="7" width="25" style="371" customWidth="1"/>
    <col min="8" max="8" width="20.28515625" style="371" customWidth="1"/>
    <col min="9" max="10" width="11.42578125" style="343" customWidth="1"/>
    <col min="11" max="16384" width="10.85546875" style="343"/>
  </cols>
  <sheetData>
    <row r="1" spans="1:8" ht="15" customHeight="1" x14ac:dyDescent="0.25">
      <c r="A1" s="608" t="s">
        <v>306</v>
      </c>
      <c r="B1" s="608"/>
      <c r="C1" s="608"/>
      <c r="D1" s="608"/>
      <c r="E1" s="608"/>
      <c r="F1" s="608"/>
      <c r="G1" s="608"/>
      <c r="H1" s="608"/>
    </row>
    <row r="2" spans="1:8" ht="15" customHeight="1" x14ac:dyDescent="0.25">
      <c r="A2" s="344" t="s">
        <v>76</v>
      </c>
      <c r="B2" s="345" t="s">
        <v>307</v>
      </c>
      <c r="C2" s="346"/>
      <c r="D2" s="342"/>
      <c r="E2" s="342"/>
      <c r="F2" s="347"/>
      <c r="G2" s="348"/>
      <c r="H2" s="348"/>
    </row>
    <row r="3" spans="1:8" s="353" customFormat="1" ht="15" customHeight="1" x14ac:dyDescent="0.25">
      <c r="A3" s="349" t="s">
        <v>78</v>
      </c>
      <c r="B3" s="345" t="s">
        <v>79</v>
      </c>
      <c r="C3" s="345"/>
      <c r="D3" s="350"/>
      <c r="E3" s="350"/>
      <c r="F3" s="351"/>
      <c r="G3" s="352"/>
      <c r="H3" s="352"/>
    </row>
    <row r="4" spans="1:8" ht="15" x14ac:dyDescent="0.25">
      <c r="A4" s="344" t="s">
        <v>80</v>
      </c>
      <c r="B4" s="609" t="s">
        <v>308</v>
      </c>
      <c r="C4" s="609"/>
      <c r="D4" s="346"/>
      <c r="E4" s="346"/>
      <c r="F4" s="354"/>
      <c r="G4" s="355"/>
      <c r="H4" s="355"/>
    </row>
    <row r="5" spans="1:8" ht="15" x14ac:dyDescent="0.25">
      <c r="A5" s="344" t="s">
        <v>82</v>
      </c>
      <c r="B5" s="346" t="s">
        <v>83</v>
      </c>
      <c r="C5" s="346"/>
      <c r="D5" s="346"/>
      <c r="E5" s="346"/>
      <c r="F5" s="354"/>
      <c r="G5" s="355"/>
      <c r="H5" s="355"/>
    </row>
    <row r="6" spans="1:8" ht="15" x14ac:dyDescent="0.25">
      <c r="A6" s="344" t="s">
        <v>84</v>
      </c>
      <c r="B6" s="356">
        <v>0.2</v>
      </c>
      <c r="C6" s="356"/>
      <c r="D6" s="346"/>
      <c r="E6" s="346"/>
      <c r="F6" s="354"/>
      <c r="G6" s="355"/>
      <c r="H6" s="355"/>
    </row>
    <row r="7" spans="1:8" ht="15.75" x14ac:dyDescent="0.25">
      <c r="A7" s="164"/>
      <c r="B7" s="164"/>
      <c r="C7" s="164"/>
      <c r="D7" s="164"/>
      <c r="E7" s="610" t="s">
        <v>85</v>
      </c>
      <c r="F7" s="610"/>
      <c r="G7" s="610"/>
      <c r="H7" s="610"/>
    </row>
    <row r="8" spans="1:8" s="357" customFormat="1" ht="15.75" x14ac:dyDescent="0.25">
      <c r="A8" s="168" t="s">
        <v>180</v>
      </c>
      <c r="B8" s="168" t="s">
        <v>13</v>
      </c>
      <c r="C8" s="168" t="s">
        <v>181</v>
      </c>
      <c r="D8" s="169" t="s">
        <v>3</v>
      </c>
      <c r="E8" s="228" t="s">
        <v>309</v>
      </c>
      <c r="F8" s="228" t="s">
        <v>310</v>
      </c>
      <c r="G8" s="228" t="s">
        <v>311</v>
      </c>
      <c r="H8" s="228" t="s">
        <v>92</v>
      </c>
    </row>
    <row r="9" spans="1:8" ht="47.25" x14ac:dyDescent="0.25">
      <c r="A9" s="187">
        <v>1</v>
      </c>
      <c r="B9" s="211" t="s">
        <v>312</v>
      </c>
      <c r="C9" s="136" t="s">
        <v>313</v>
      </c>
      <c r="D9" s="358" t="s">
        <v>314</v>
      </c>
      <c r="E9" s="359"/>
      <c r="F9" s="360"/>
      <c r="G9" s="360"/>
      <c r="H9" s="361"/>
    </row>
    <row r="10" spans="1:8" ht="47.25" x14ac:dyDescent="0.25">
      <c r="A10" s="600">
        <v>2</v>
      </c>
      <c r="B10" s="546" t="s">
        <v>315</v>
      </c>
      <c r="C10" s="136" t="s">
        <v>316</v>
      </c>
      <c r="D10" s="358" t="s">
        <v>314</v>
      </c>
      <c r="E10" s="362"/>
      <c r="F10" s="363"/>
      <c r="G10" s="363"/>
      <c r="H10" s="364"/>
    </row>
    <row r="11" spans="1:8" ht="63" x14ac:dyDescent="0.25">
      <c r="A11" s="601"/>
      <c r="B11" s="546"/>
      <c r="C11" s="136" t="s">
        <v>317</v>
      </c>
      <c r="D11" s="358" t="s">
        <v>314</v>
      </c>
      <c r="E11" s="362"/>
      <c r="F11" s="363"/>
      <c r="G11" s="363"/>
      <c r="H11" s="363"/>
    </row>
    <row r="12" spans="1:8" ht="47.25" x14ac:dyDescent="0.25">
      <c r="A12" s="187">
        <v>3</v>
      </c>
      <c r="B12" s="175" t="s">
        <v>318</v>
      </c>
      <c r="C12" s="136" t="s">
        <v>319</v>
      </c>
      <c r="D12" s="358" t="s">
        <v>314</v>
      </c>
      <c r="E12" s="362"/>
      <c r="F12" s="363"/>
      <c r="G12" s="363"/>
      <c r="H12" s="363"/>
    </row>
    <row r="13" spans="1:8" ht="15.75" x14ac:dyDescent="0.25">
      <c r="A13" s="365"/>
      <c r="B13" s="365"/>
      <c r="C13" s="100" t="s">
        <v>107</v>
      </c>
      <c r="D13" s="366" t="s">
        <v>320</v>
      </c>
      <c r="E13" s="367"/>
      <c r="F13" s="367"/>
      <c r="G13" s="368"/>
      <c r="H13" s="368"/>
    </row>
    <row r="14" spans="1:8" x14ac:dyDescent="0.25">
      <c r="G14" s="370"/>
    </row>
    <row r="19" spans="3:4" x14ac:dyDescent="0.25">
      <c r="C19" s="372"/>
      <c r="D19" s="373"/>
    </row>
    <row r="20" spans="3:4" x14ac:dyDescent="0.25">
      <c r="C20" s="374"/>
      <c r="D20" s="375"/>
    </row>
    <row r="21" spans="3:4" x14ac:dyDescent="0.25">
      <c r="C21" s="374"/>
      <c r="D21" s="375"/>
    </row>
    <row r="22" spans="3:4" x14ac:dyDescent="0.25">
      <c r="C22" s="374"/>
      <c r="D22" s="375"/>
    </row>
    <row r="23" spans="3:4" x14ac:dyDescent="0.25">
      <c r="C23" s="374"/>
      <c r="D23" s="375"/>
    </row>
    <row r="24" spans="3:4" x14ac:dyDescent="0.25">
      <c r="C24" s="376"/>
      <c r="D24" s="377"/>
    </row>
    <row r="25" spans="3:4" x14ac:dyDescent="0.2">
      <c r="C25" s="378"/>
      <c r="D25" s="378"/>
    </row>
  </sheetData>
  <mergeCells count="5">
    <mergeCell ref="A1:H1"/>
    <mergeCell ref="B4:C4"/>
    <mergeCell ref="E7:H7"/>
    <mergeCell ref="A10:A11"/>
    <mergeCell ref="B10:B1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CBCA-A46C-4E8A-9114-3567526625DD}">
  <sheetPr>
    <tabColor rgb="FFC2F4FE"/>
  </sheetPr>
  <dimension ref="A1:H18"/>
  <sheetViews>
    <sheetView zoomScale="70" zoomScaleNormal="70" workbookViewId="0">
      <selection activeCell="C6" sqref="C6"/>
    </sheetView>
  </sheetViews>
  <sheetFormatPr baseColWidth="10" defaultColWidth="10.85546875" defaultRowHeight="12" x14ac:dyDescent="0.25"/>
  <cols>
    <col min="1" max="1" width="23.42578125" style="174" customWidth="1"/>
    <col min="2" max="2" width="25.28515625" style="174" customWidth="1"/>
    <col min="3" max="3" width="51.42578125" style="174" customWidth="1"/>
    <col min="4" max="4" width="10.85546875" style="174" bestFit="1"/>
    <col min="5" max="5" width="28.7109375" style="174" customWidth="1"/>
    <col min="6" max="6" width="24.140625" style="403" customWidth="1"/>
    <col min="7" max="7" width="20.140625" style="404" customWidth="1"/>
    <col min="8" max="8" width="15.42578125" style="404" customWidth="1"/>
    <col min="9" max="16384" width="10.85546875" style="174"/>
  </cols>
  <sheetData>
    <row r="1" spans="1:8" ht="15.75" x14ac:dyDescent="0.25">
      <c r="A1" s="611" t="s">
        <v>321</v>
      </c>
      <c r="B1" s="611"/>
      <c r="C1" s="611"/>
      <c r="D1" s="611"/>
      <c r="E1" s="611"/>
      <c r="F1" s="611"/>
      <c r="G1" s="611"/>
      <c r="H1" s="611"/>
    </row>
    <row r="2" spans="1:8" ht="15.75" x14ac:dyDescent="0.25">
      <c r="A2" s="379"/>
      <c r="B2" s="379"/>
      <c r="C2" s="379"/>
      <c r="D2" s="379"/>
      <c r="E2" s="379"/>
      <c r="F2" s="379"/>
      <c r="G2" s="379"/>
      <c r="H2" s="379"/>
    </row>
    <row r="3" spans="1:8" ht="15.75" x14ac:dyDescent="0.25">
      <c r="A3" s="379"/>
      <c r="B3" s="379"/>
      <c r="C3" s="379"/>
      <c r="D3" s="379"/>
      <c r="E3" s="379"/>
      <c r="F3" s="379"/>
      <c r="G3" s="379"/>
      <c r="H3" s="379"/>
    </row>
    <row r="4" spans="1:8" ht="15.75" x14ac:dyDescent="0.25">
      <c r="A4" s="380" t="s">
        <v>76</v>
      </c>
      <c r="B4" s="381" t="s">
        <v>307</v>
      </c>
      <c r="C4" s="380"/>
      <c r="D4" s="379"/>
      <c r="E4" s="379"/>
      <c r="F4" s="382"/>
      <c r="G4" s="383"/>
      <c r="H4" s="383"/>
    </row>
    <row r="5" spans="1:8" s="388" customFormat="1" ht="15.75" x14ac:dyDescent="0.25">
      <c r="A5" s="384" t="s">
        <v>78</v>
      </c>
      <c r="B5" s="381" t="s">
        <v>322</v>
      </c>
      <c r="C5" s="384"/>
      <c r="D5" s="385"/>
      <c r="E5" s="385"/>
      <c r="F5" s="386"/>
      <c r="G5" s="387"/>
      <c r="H5" s="387"/>
    </row>
    <row r="6" spans="1:8" ht="15.75" x14ac:dyDescent="0.25">
      <c r="A6" s="380" t="s">
        <v>80</v>
      </c>
      <c r="B6" s="389" t="s">
        <v>323</v>
      </c>
      <c r="C6" s="380"/>
      <c r="D6" s="390"/>
      <c r="E6" s="390"/>
      <c r="F6" s="391"/>
      <c r="G6" s="392"/>
      <c r="H6" s="392"/>
    </row>
    <row r="7" spans="1:8" ht="15.75" x14ac:dyDescent="0.25">
      <c r="A7" s="380" t="s">
        <v>82</v>
      </c>
      <c r="B7" s="390" t="s">
        <v>83</v>
      </c>
      <c r="C7" s="380"/>
      <c r="D7" s="390"/>
      <c r="E7" s="390"/>
      <c r="F7" s="391"/>
      <c r="G7" s="392"/>
      <c r="H7" s="392"/>
    </row>
    <row r="8" spans="1:8" ht="15.75" x14ac:dyDescent="0.25">
      <c r="A8" s="380" t="s">
        <v>84</v>
      </c>
      <c r="B8" s="393">
        <v>0.5</v>
      </c>
      <c r="C8" s="380"/>
      <c r="D8" s="390"/>
      <c r="E8" s="390"/>
      <c r="F8" s="391"/>
      <c r="G8" s="392"/>
      <c r="H8" s="392"/>
    </row>
    <row r="9" spans="1:8" ht="15.75" x14ac:dyDescent="0.25">
      <c r="A9" s="164"/>
      <c r="B9" s="165"/>
      <c r="C9" s="165"/>
      <c r="D9" s="166"/>
      <c r="E9" s="612" t="s">
        <v>85</v>
      </c>
      <c r="F9" s="612"/>
      <c r="G9" s="612"/>
      <c r="H9" s="612"/>
    </row>
    <row r="10" spans="1:8" s="122" customFormat="1" ht="15.75" x14ac:dyDescent="0.25">
      <c r="A10" s="168" t="s">
        <v>86</v>
      </c>
      <c r="B10" s="168" t="s">
        <v>13</v>
      </c>
      <c r="C10" s="168" t="s">
        <v>87</v>
      </c>
      <c r="D10" s="169" t="s">
        <v>88</v>
      </c>
      <c r="E10" s="228" t="s">
        <v>309</v>
      </c>
      <c r="F10" s="228" t="s">
        <v>310</v>
      </c>
      <c r="G10" s="228" t="s">
        <v>311</v>
      </c>
      <c r="H10" s="228" t="s">
        <v>92</v>
      </c>
    </row>
    <row r="11" spans="1:8" ht="51" customHeight="1" x14ac:dyDescent="0.25">
      <c r="A11" s="600">
        <v>1</v>
      </c>
      <c r="B11" s="613" t="s">
        <v>324</v>
      </c>
      <c r="C11" s="136" t="s">
        <v>325</v>
      </c>
      <c r="D11" s="395">
        <v>10</v>
      </c>
      <c r="E11" s="396"/>
      <c r="F11" s="396"/>
      <c r="G11" s="397"/>
      <c r="H11" s="398"/>
    </row>
    <row r="12" spans="1:8" ht="47.25" x14ac:dyDescent="0.25">
      <c r="A12" s="601"/>
      <c r="B12" s="613"/>
      <c r="C12" s="136" t="s">
        <v>326</v>
      </c>
      <c r="D12" s="395">
        <v>10</v>
      </c>
      <c r="E12" s="399"/>
      <c r="F12" s="399"/>
      <c r="G12" s="400"/>
      <c r="H12" s="401"/>
    </row>
    <row r="13" spans="1:8" ht="47.25" x14ac:dyDescent="0.25">
      <c r="A13" s="600">
        <v>2</v>
      </c>
      <c r="B13" s="614" t="s">
        <v>327</v>
      </c>
      <c r="C13" s="136" t="s">
        <v>328</v>
      </c>
      <c r="D13" s="395">
        <v>30</v>
      </c>
      <c r="E13" s="399"/>
      <c r="F13" s="399"/>
      <c r="G13" s="400"/>
      <c r="H13" s="401"/>
    </row>
    <row r="14" spans="1:8" ht="31.5" x14ac:dyDescent="0.25">
      <c r="A14" s="601"/>
      <c r="B14" s="614"/>
      <c r="C14" s="136" t="s">
        <v>329</v>
      </c>
      <c r="D14" s="395">
        <v>30</v>
      </c>
      <c r="E14" s="399"/>
      <c r="F14" s="399"/>
      <c r="G14" s="400"/>
      <c r="H14" s="401"/>
    </row>
    <row r="15" spans="1:8" ht="44.25" customHeight="1" x14ac:dyDescent="0.25">
      <c r="A15" s="187">
        <v>3</v>
      </c>
      <c r="B15" s="187" t="s">
        <v>312</v>
      </c>
      <c r="C15" s="136" t="s">
        <v>330</v>
      </c>
      <c r="D15" s="136">
        <v>20</v>
      </c>
      <c r="E15" s="399"/>
      <c r="F15" s="399"/>
      <c r="G15" s="400"/>
      <c r="H15" s="401"/>
    </row>
    <row r="16" spans="1:8" ht="15.75" x14ac:dyDescent="0.25">
      <c r="C16" s="100" t="s">
        <v>107</v>
      </c>
      <c r="D16" s="402">
        <f>SUM(D11:D15)</f>
        <v>100</v>
      </c>
      <c r="E16" s="403"/>
    </row>
    <row r="17" spans="7:7" x14ac:dyDescent="0.25">
      <c r="G17" s="155"/>
    </row>
    <row r="18" spans="7:7" x14ac:dyDescent="0.25">
      <c r="G18" s="155"/>
    </row>
  </sheetData>
  <mergeCells count="6">
    <mergeCell ref="A1:H1"/>
    <mergeCell ref="E9:H9"/>
    <mergeCell ref="A11:A12"/>
    <mergeCell ref="B11:B12"/>
    <mergeCell ref="A13:A14"/>
    <mergeCell ref="B13:B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7C92-5E3C-4F7F-9187-44371E596AB9}">
  <sheetPr>
    <tabColor rgb="FFC2F4FE"/>
  </sheetPr>
  <dimension ref="A1:I24"/>
  <sheetViews>
    <sheetView tabSelected="1" topLeftCell="A3" zoomScale="70" zoomScaleNormal="70" workbookViewId="0">
      <selection activeCell="I11" sqref="I11"/>
    </sheetView>
  </sheetViews>
  <sheetFormatPr baseColWidth="10" defaultColWidth="10.85546875" defaultRowHeight="12" x14ac:dyDescent="0.25"/>
  <cols>
    <col min="1" max="1" width="15" style="174" customWidth="1"/>
    <col min="2" max="2" width="25.85546875" style="174" customWidth="1"/>
    <col min="3" max="3" width="53.28515625" style="174" customWidth="1"/>
    <col min="4" max="4" width="13.5703125" style="174" customWidth="1"/>
    <col min="5" max="5" width="24.140625" style="174" customWidth="1"/>
    <col min="6" max="6" width="23.28515625" style="403" customWidth="1"/>
    <col min="7" max="7" width="23" style="404" customWidth="1"/>
    <col min="8" max="8" width="21.140625" style="404" customWidth="1"/>
    <col min="9" max="10" width="11.42578125" style="174" customWidth="1"/>
    <col min="11" max="16384" width="10.85546875" style="174"/>
  </cols>
  <sheetData>
    <row r="1" spans="1:9" ht="15.75" x14ac:dyDescent="0.25">
      <c r="A1" s="615" t="s">
        <v>331</v>
      </c>
      <c r="B1" s="615"/>
      <c r="C1" s="615"/>
      <c r="D1" s="615"/>
      <c r="E1" s="615"/>
      <c r="F1" s="615"/>
      <c r="G1" s="615"/>
      <c r="H1" s="615"/>
    </row>
    <row r="2" spans="1:9" ht="15.75" x14ac:dyDescent="0.25">
      <c r="A2" s="76" t="s">
        <v>76</v>
      </c>
      <c r="B2" s="406" t="s">
        <v>307</v>
      </c>
      <c r="C2" s="407"/>
      <c r="D2" s="405"/>
      <c r="E2" s="405"/>
      <c r="F2" s="408"/>
      <c r="G2" s="409"/>
      <c r="H2" s="409"/>
    </row>
    <row r="3" spans="1:9" s="388" customFormat="1" ht="15.75" x14ac:dyDescent="0.25">
      <c r="A3" s="410" t="s">
        <v>78</v>
      </c>
      <c r="B3" s="406" t="s">
        <v>332</v>
      </c>
      <c r="C3" s="406"/>
      <c r="D3" s="411"/>
      <c r="E3" s="411"/>
      <c r="F3" s="412"/>
      <c r="G3" s="320"/>
      <c r="H3" s="320"/>
    </row>
    <row r="4" spans="1:9" ht="15.75" x14ac:dyDescent="0.25">
      <c r="A4" s="76" t="s">
        <v>80</v>
      </c>
      <c r="B4" s="413" t="s">
        <v>333</v>
      </c>
      <c r="C4" s="407"/>
      <c r="D4" s="407"/>
      <c r="E4" s="407"/>
      <c r="F4" s="414"/>
      <c r="G4" s="415"/>
      <c r="H4" s="415"/>
    </row>
    <row r="5" spans="1:9" ht="15.75" x14ac:dyDescent="0.25">
      <c r="A5" s="76" t="s">
        <v>82</v>
      </c>
      <c r="B5" s="407" t="s">
        <v>83</v>
      </c>
      <c r="C5" s="407"/>
      <c r="D5" s="407"/>
      <c r="E5" s="407"/>
      <c r="F5" s="414"/>
      <c r="G5" s="415"/>
      <c r="H5" s="415"/>
    </row>
    <row r="6" spans="1:9" ht="15.75" x14ac:dyDescent="0.25">
      <c r="A6" s="76" t="s">
        <v>84</v>
      </c>
      <c r="B6" s="77">
        <v>0.15</v>
      </c>
      <c r="C6" s="77"/>
      <c r="D6" s="407"/>
      <c r="E6" s="407"/>
      <c r="F6" s="414"/>
      <c r="G6" s="415"/>
      <c r="H6" s="415"/>
    </row>
    <row r="7" spans="1:9" ht="15.75" x14ac:dyDescent="0.25">
      <c r="A7" s="120"/>
      <c r="B7" s="81"/>
      <c r="C7" s="81"/>
      <c r="D7" s="82"/>
      <c r="E7" s="556" t="s">
        <v>85</v>
      </c>
      <c r="F7" s="556"/>
      <c r="G7" s="556"/>
      <c r="H7" s="556"/>
    </row>
    <row r="8" spans="1:9" s="122" customFormat="1" ht="15.75" x14ac:dyDescent="0.25">
      <c r="A8" s="416" t="s">
        <v>86</v>
      </c>
      <c r="B8" s="269" t="s">
        <v>13</v>
      </c>
      <c r="C8" s="269" t="s">
        <v>87</v>
      </c>
      <c r="D8" s="309" t="s">
        <v>88</v>
      </c>
      <c r="E8" s="228" t="s">
        <v>309</v>
      </c>
      <c r="F8" s="228" t="s">
        <v>310</v>
      </c>
      <c r="G8" s="228" t="s">
        <v>311</v>
      </c>
      <c r="H8" s="228" t="s">
        <v>92</v>
      </c>
    </row>
    <row r="9" spans="1:9" ht="47.25" x14ac:dyDescent="0.25">
      <c r="A9" s="616">
        <v>1</v>
      </c>
      <c r="B9" s="619" t="s">
        <v>334</v>
      </c>
      <c r="C9" s="417" t="s">
        <v>335</v>
      </c>
      <c r="D9" s="418" t="s">
        <v>336</v>
      </c>
      <c r="E9" s="419"/>
      <c r="F9" s="420"/>
      <c r="G9" s="420"/>
      <c r="H9" s="421"/>
      <c r="I9" s="174">
        <v>100</v>
      </c>
    </row>
    <row r="10" spans="1:9" ht="47.25" x14ac:dyDescent="0.25">
      <c r="A10" s="617"/>
      <c r="B10" s="619"/>
      <c r="C10" s="417" t="s">
        <v>337</v>
      </c>
      <c r="D10" s="422" t="s">
        <v>338</v>
      </c>
      <c r="E10" s="423"/>
      <c r="F10" s="423"/>
      <c r="G10" s="423"/>
      <c r="H10" s="423"/>
      <c r="I10" s="174">
        <v>50</v>
      </c>
    </row>
    <row r="11" spans="1:9" ht="47.25" x14ac:dyDescent="0.25">
      <c r="A11" s="618"/>
      <c r="B11" s="619"/>
      <c r="C11" s="424" t="s">
        <v>339</v>
      </c>
      <c r="D11" s="422" t="s">
        <v>338</v>
      </c>
      <c r="E11" s="423"/>
      <c r="F11" s="423"/>
      <c r="G11" s="423"/>
      <c r="H11" s="423"/>
      <c r="I11" s="174">
        <v>100</v>
      </c>
    </row>
    <row r="12" spans="1:9" ht="31.5" x14ac:dyDescent="0.25">
      <c r="A12" s="425">
        <v>2</v>
      </c>
      <c r="B12" s="426" t="s">
        <v>312</v>
      </c>
      <c r="C12" s="331" t="s">
        <v>330</v>
      </c>
      <c r="D12" s="427" t="s">
        <v>336</v>
      </c>
      <c r="E12" s="423"/>
      <c r="F12" s="423"/>
      <c r="G12" s="423"/>
      <c r="H12" s="423"/>
      <c r="I12" s="174">
        <v>100</v>
      </c>
    </row>
    <row r="13" spans="1:9" x14ac:dyDescent="0.25">
      <c r="C13" s="428" t="s">
        <v>340</v>
      </c>
      <c r="D13" s="429" t="s">
        <v>320</v>
      </c>
      <c r="E13" s="403"/>
      <c r="I13" s="174">
        <f>+AVERAGE(I9:I12)</f>
        <v>87.5</v>
      </c>
    </row>
    <row r="14" spans="1:9" x14ac:dyDescent="0.25">
      <c r="I14" s="174">
        <f>+I13*0.15</f>
        <v>13.125</v>
      </c>
    </row>
    <row r="18" spans="3:4" x14ac:dyDescent="0.25">
      <c r="C18" s="149"/>
      <c r="D18" s="150"/>
    </row>
    <row r="19" spans="3:4" x14ac:dyDescent="0.25">
      <c r="C19" s="151"/>
      <c r="D19" s="152"/>
    </row>
    <row r="20" spans="3:4" x14ac:dyDescent="0.25">
      <c r="C20" s="151"/>
      <c r="D20" s="152"/>
    </row>
    <row r="21" spans="3:4" x14ac:dyDescent="0.25">
      <c r="C21" s="151"/>
      <c r="D21" s="152"/>
    </row>
    <row r="22" spans="3:4" x14ac:dyDescent="0.25">
      <c r="C22" s="151"/>
      <c r="D22" s="152"/>
    </row>
    <row r="23" spans="3:4" x14ac:dyDescent="0.25">
      <c r="C23" s="153"/>
      <c r="D23" s="154"/>
    </row>
    <row r="24" spans="3:4" x14ac:dyDescent="0.2">
      <c r="C24" s="119"/>
      <c r="D24" s="119"/>
    </row>
  </sheetData>
  <mergeCells count="4">
    <mergeCell ref="A1:H1"/>
    <mergeCell ref="E7:H7"/>
    <mergeCell ref="A9:A11"/>
    <mergeCell ref="B9:B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015C-2C27-4844-B223-B71AE684AC75}">
  <sheetPr>
    <tabColor rgb="FFC2F4FE"/>
    <pageSetUpPr fitToPage="1"/>
  </sheetPr>
  <dimension ref="A1:I28"/>
  <sheetViews>
    <sheetView zoomScale="70" zoomScaleNormal="70" workbookViewId="0">
      <selection activeCell="F14" sqref="F14"/>
    </sheetView>
  </sheetViews>
  <sheetFormatPr baseColWidth="10" defaultColWidth="10.85546875" defaultRowHeight="12" x14ac:dyDescent="0.25"/>
  <cols>
    <col min="1" max="1" width="17.28515625" style="174" customWidth="1"/>
    <col min="2" max="2" width="23.85546875" style="174" customWidth="1"/>
    <col min="3" max="3" width="44" style="174" customWidth="1"/>
    <col min="4" max="4" width="8.42578125" style="174" customWidth="1"/>
    <col min="5" max="5" width="28.7109375" style="174" customWidth="1"/>
    <col min="6" max="6" width="27.5703125" style="403" customWidth="1"/>
    <col min="7" max="7" width="24.7109375" style="404" customWidth="1"/>
    <col min="8" max="8" width="19.42578125" style="404" customWidth="1"/>
    <col min="9" max="10" width="11.42578125" style="174" customWidth="1"/>
    <col min="11" max="16384" width="10.85546875" style="174"/>
  </cols>
  <sheetData>
    <row r="1" spans="1:8" ht="15.75" x14ac:dyDescent="0.25">
      <c r="A1" s="615" t="s">
        <v>341</v>
      </c>
      <c r="B1" s="615"/>
      <c r="C1" s="615"/>
      <c r="D1" s="615"/>
      <c r="E1" s="615"/>
      <c r="F1" s="615"/>
      <c r="G1" s="615"/>
      <c r="H1" s="615"/>
    </row>
    <row r="2" spans="1:8" ht="15.75" x14ac:dyDescent="0.25">
      <c r="A2" s="405"/>
      <c r="B2" s="405"/>
      <c r="C2" s="405"/>
      <c r="D2" s="405"/>
      <c r="E2" s="405"/>
      <c r="F2" s="405"/>
      <c r="G2" s="405"/>
      <c r="H2" s="405"/>
    </row>
    <row r="3" spans="1:8" ht="15.75" x14ac:dyDescent="0.25">
      <c r="A3" s="405"/>
      <c r="B3" s="405"/>
      <c r="C3" s="405"/>
      <c r="D3" s="405"/>
      <c r="E3" s="405"/>
      <c r="F3" s="405"/>
      <c r="G3" s="405"/>
      <c r="H3" s="405"/>
    </row>
    <row r="4" spans="1:8" ht="15.75" x14ac:dyDescent="0.25">
      <c r="A4" s="76" t="s">
        <v>76</v>
      </c>
      <c r="B4" s="407" t="s">
        <v>307</v>
      </c>
      <c r="C4" s="407"/>
      <c r="D4" s="405"/>
      <c r="E4" s="405"/>
      <c r="F4" s="408"/>
      <c r="G4" s="409"/>
      <c r="H4" s="409"/>
    </row>
    <row r="5" spans="1:8" s="388" customFormat="1" ht="15.75" x14ac:dyDescent="0.25">
      <c r="A5" s="410" t="s">
        <v>78</v>
      </c>
      <c r="B5" s="406" t="s">
        <v>322</v>
      </c>
      <c r="C5" s="406"/>
      <c r="D5" s="411"/>
      <c r="E5" s="411"/>
      <c r="F5" s="412"/>
      <c r="G5" s="320"/>
      <c r="H5" s="320"/>
    </row>
    <row r="6" spans="1:8" ht="15.75" x14ac:dyDescent="0.25">
      <c r="A6" s="76" t="s">
        <v>80</v>
      </c>
      <c r="B6" s="622" t="s">
        <v>342</v>
      </c>
      <c r="C6" s="622"/>
      <c r="D6" s="407"/>
      <c r="E6" s="407"/>
      <c r="F6" s="414"/>
      <c r="G6" s="415"/>
      <c r="H6" s="415"/>
    </row>
    <row r="7" spans="1:8" ht="15.75" x14ac:dyDescent="0.25">
      <c r="A7" s="76" t="s">
        <v>82</v>
      </c>
      <c r="B7" s="407" t="s">
        <v>83</v>
      </c>
      <c r="C7" s="407"/>
      <c r="D7" s="407"/>
      <c r="E7" s="407"/>
      <c r="F7" s="414"/>
      <c r="G7" s="415"/>
      <c r="H7" s="415"/>
    </row>
    <row r="8" spans="1:8" ht="15.75" x14ac:dyDescent="0.25">
      <c r="A8" s="76" t="s">
        <v>84</v>
      </c>
      <c r="B8" s="78">
        <v>0.15</v>
      </c>
      <c r="C8" s="77"/>
      <c r="D8" s="407"/>
      <c r="E8" s="407"/>
      <c r="F8" s="414"/>
      <c r="G8" s="415"/>
      <c r="H8" s="415"/>
    </row>
    <row r="9" spans="1:8" x14ac:dyDescent="0.25">
      <c r="A9" s="120"/>
      <c r="B9" s="120"/>
      <c r="C9" s="120"/>
      <c r="D9" s="120"/>
      <c r="E9" s="623" t="s">
        <v>85</v>
      </c>
      <c r="F9" s="623"/>
      <c r="G9" s="623"/>
      <c r="H9" s="624"/>
    </row>
    <row r="10" spans="1:8" s="122" customFormat="1" ht="15.75" x14ac:dyDescent="0.25">
      <c r="A10" s="269" t="s">
        <v>343</v>
      </c>
      <c r="B10" s="269" t="s">
        <v>13</v>
      </c>
      <c r="C10" s="83" t="s">
        <v>344</v>
      </c>
      <c r="D10" s="83" t="s">
        <v>3</v>
      </c>
      <c r="E10" s="430" t="s">
        <v>309</v>
      </c>
      <c r="F10" s="431" t="s">
        <v>310</v>
      </c>
      <c r="G10" s="431" t="s">
        <v>311</v>
      </c>
      <c r="H10" s="432" t="s">
        <v>92</v>
      </c>
    </row>
    <row r="11" spans="1:8" s="122" customFormat="1" ht="63" x14ac:dyDescent="0.25">
      <c r="A11" s="573">
        <v>1</v>
      </c>
      <c r="B11" s="625" t="s">
        <v>334</v>
      </c>
      <c r="C11" s="92" t="s">
        <v>345</v>
      </c>
      <c r="D11" s="433" t="s">
        <v>336</v>
      </c>
      <c r="E11" s="434"/>
      <c r="F11" s="435"/>
      <c r="G11" s="436"/>
      <c r="H11" s="510"/>
    </row>
    <row r="12" spans="1:8" ht="47.25" x14ac:dyDescent="0.25">
      <c r="A12" s="574"/>
      <c r="B12" s="626"/>
      <c r="C12" s="92" t="s">
        <v>337</v>
      </c>
      <c r="D12" s="427" t="s">
        <v>338</v>
      </c>
      <c r="E12" s="437"/>
      <c r="F12" s="437"/>
      <c r="G12" s="438"/>
      <c r="H12" s="438"/>
    </row>
    <row r="13" spans="1:8" ht="47.25" x14ac:dyDescent="0.25">
      <c r="A13" s="575"/>
      <c r="B13" s="627"/>
      <c r="C13" s="92" t="s">
        <v>339</v>
      </c>
      <c r="D13" s="427" t="s">
        <v>338</v>
      </c>
      <c r="E13" s="437"/>
      <c r="F13" s="437"/>
      <c r="G13" s="438"/>
      <c r="H13" s="438"/>
    </row>
    <row r="14" spans="1:8" ht="63" x14ac:dyDescent="0.25">
      <c r="A14" s="311">
        <v>2</v>
      </c>
      <c r="B14" s="439" t="s">
        <v>312</v>
      </c>
      <c r="C14" s="92" t="s">
        <v>346</v>
      </c>
      <c r="D14" s="427" t="s">
        <v>336</v>
      </c>
      <c r="E14" s="437"/>
      <c r="F14" s="437"/>
      <c r="G14" s="438"/>
      <c r="H14" s="438"/>
    </row>
    <row r="15" spans="1:8" ht="15.75" x14ac:dyDescent="0.25">
      <c r="C15" s="100" t="s">
        <v>107</v>
      </c>
      <c r="D15" s="440" t="s">
        <v>320</v>
      </c>
      <c r="E15" s="403"/>
    </row>
    <row r="16" spans="1:8" x14ac:dyDescent="0.25">
      <c r="D16" s="155"/>
      <c r="E16" s="155"/>
      <c r="F16" s="155"/>
      <c r="G16" s="155"/>
    </row>
    <row r="17" spans="1:9" x14ac:dyDescent="0.25">
      <c r="G17" s="155"/>
    </row>
    <row r="18" spans="1:9" x14ac:dyDescent="0.25">
      <c r="G18" s="155"/>
    </row>
    <row r="19" spans="1:9" x14ac:dyDescent="0.25">
      <c r="C19" s="149"/>
      <c r="D19" s="150"/>
      <c r="G19" s="155"/>
    </row>
    <row r="20" spans="1:9" s="404" customFormat="1" x14ac:dyDescent="0.25">
      <c r="A20" s="174"/>
      <c r="B20" s="174"/>
      <c r="C20" s="151"/>
      <c r="D20" s="152"/>
      <c r="E20" s="174"/>
      <c r="F20" s="403"/>
      <c r="G20" s="155"/>
      <c r="I20" s="174"/>
    </row>
    <row r="21" spans="1:9" s="404" customFormat="1" x14ac:dyDescent="0.25">
      <c r="A21" s="174"/>
      <c r="B21" s="620"/>
      <c r="C21" s="620"/>
      <c r="D21" s="152"/>
      <c r="E21" s="174"/>
      <c r="F21" s="621"/>
      <c r="G21" s="621"/>
      <c r="I21" s="174"/>
    </row>
    <row r="22" spans="1:9" s="404" customFormat="1" x14ac:dyDescent="0.25">
      <c r="A22" s="174"/>
      <c r="B22" s="620"/>
      <c r="C22" s="620"/>
      <c r="D22" s="154"/>
      <c r="E22" s="174"/>
      <c r="F22" s="621"/>
      <c r="G22" s="621"/>
      <c r="I22" s="174"/>
    </row>
    <row r="23" spans="1:9" s="404" customFormat="1" ht="22.5" customHeight="1" x14ac:dyDescent="0.2">
      <c r="A23" s="174"/>
      <c r="B23" s="620"/>
      <c r="C23" s="620"/>
      <c r="D23" s="119"/>
      <c r="E23" s="174"/>
      <c r="F23" s="621"/>
      <c r="G23" s="621"/>
      <c r="I23" s="174"/>
    </row>
    <row r="24" spans="1:9" s="404" customFormat="1" x14ac:dyDescent="0.2">
      <c r="A24" s="174"/>
      <c r="B24" s="174"/>
      <c r="C24" s="119"/>
      <c r="D24" s="119"/>
      <c r="E24" s="174"/>
      <c r="F24" s="621"/>
      <c r="G24" s="621"/>
      <c r="I24" s="174"/>
    </row>
    <row r="25" spans="1:9" x14ac:dyDescent="0.25">
      <c r="B25" s="620" t="s">
        <v>375</v>
      </c>
      <c r="C25" s="620"/>
      <c r="F25" s="621"/>
      <c r="G25" s="621"/>
    </row>
    <row r="26" spans="1:9" x14ac:dyDescent="0.25">
      <c r="B26" s="620"/>
      <c r="C26" s="620"/>
      <c r="F26" s="621"/>
      <c r="G26" s="621"/>
    </row>
    <row r="27" spans="1:9" x14ac:dyDescent="0.25">
      <c r="B27" s="620"/>
      <c r="C27" s="620"/>
      <c r="F27" s="621"/>
      <c r="G27" s="621"/>
    </row>
    <row r="28" spans="1:9" x14ac:dyDescent="0.25">
      <c r="B28" s="620"/>
      <c r="C28" s="620"/>
      <c r="F28" s="621"/>
      <c r="G28" s="621"/>
    </row>
  </sheetData>
  <mergeCells count="9">
    <mergeCell ref="B25:C28"/>
    <mergeCell ref="F24:G28"/>
    <mergeCell ref="B21:C23"/>
    <mergeCell ref="F21:G23"/>
    <mergeCell ref="A1:H1"/>
    <mergeCell ref="B6:C6"/>
    <mergeCell ref="E9:H9"/>
    <mergeCell ref="A11:A13"/>
    <mergeCell ref="B11:B13"/>
  </mergeCells>
  <pageMargins left="0.36" right="0.34" top="0.75" bottom="0.75" header="0.3" footer="0.3"/>
  <pageSetup paperSize="9" scale="73" fitToHeight="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F9D1-413E-43A7-8EA6-1E84897BA44B}">
  <sheetPr codeName="Hoja1">
    <tabColor theme="4" tint="0.59999389629810485"/>
    <pageSetUpPr fitToPage="1"/>
  </sheetPr>
  <dimension ref="B2:I42"/>
  <sheetViews>
    <sheetView topLeftCell="A30" zoomScale="66" zoomScaleNormal="66" workbookViewId="0">
      <selection activeCell="E43" sqref="E43"/>
    </sheetView>
  </sheetViews>
  <sheetFormatPr baseColWidth="10" defaultColWidth="11.42578125" defaultRowHeight="15" x14ac:dyDescent="0.25"/>
  <cols>
    <col min="2" max="2" width="18" customWidth="1"/>
    <col min="3" max="3" width="21" customWidth="1"/>
    <col min="4" max="4" width="16.85546875" customWidth="1"/>
    <col min="5" max="5" width="12.7109375" customWidth="1"/>
    <col min="6" max="6" width="63" customWidth="1"/>
    <col min="7" max="7" width="40.42578125" customWidth="1"/>
    <col min="8" max="8" width="22.28515625" bestFit="1" customWidth="1"/>
  </cols>
  <sheetData>
    <row r="2" spans="2:8" ht="31.5" x14ac:dyDescent="0.5">
      <c r="B2" s="511" t="s">
        <v>0</v>
      </c>
      <c r="C2" s="511"/>
      <c r="D2" s="511"/>
      <c r="E2" s="511"/>
      <c r="F2" s="511"/>
      <c r="G2" s="511"/>
      <c r="H2" s="511"/>
    </row>
    <row r="3" spans="2:8" ht="21" x14ac:dyDescent="0.35">
      <c r="B3" s="1"/>
      <c r="C3" s="1"/>
      <c r="D3" s="1"/>
      <c r="E3" s="1"/>
      <c r="F3" s="1"/>
      <c r="G3" s="1"/>
      <c r="H3" s="1"/>
    </row>
    <row r="4" spans="2:8" ht="21" x14ac:dyDescent="0.35">
      <c r="B4" s="1"/>
      <c r="C4" s="1"/>
      <c r="D4" s="1"/>
      <c r="E4" s="1"/>
      <c r="F4" s="1"/>
      <c r="G4" s="1"/>
      <c r="H4" s="1"/>
    </row>
    <row r="5" spans="2:8" ht="21" x14ac:dyDescent="0.35">
      <c r="B5" s="1"/>
      <c r="C5" s="1"/>
      <c r="D5" s="1"/>
      <c r="E5" s="1"/>
      <c r="F5" s="1"/>
      <c r="G5" s="1"/>
      <c r="H5" s="1"/>
    </row>
    <row r="6" spans="2:8" x14ac:dyDescent="0.25">
      <c r="B6" s="2"/>
      <c r="C6" s="2"/>
      <c r="D6" s="2"/>
      <c r="E6" s="3"/>
      <c r="F6" s="2"/>
      <c r="G6" s="2"/>
      <c r="H6" s="4"/>
    </row>
    <row r="7" spans="2:8" ht="56.25" x14ac:dyDescent="0.25">
      <c r="B7" s="5" t="s">
        <v>1</v>
      </c>
      <c r="C7" s="5" t="s">
        <v>2</v>
      </c>
      <c r="D7" s="5" t="s">
        <v>3</v>
      </c>
      <c r="E7" s="6" t="s">
        <v>4</v>
      </c>
      <c r="F7" s="7" t="s">
        <v>5</v>
      </c>
      <c r="G7" s="7" t="s">
        <v>6</v>
      </c>
      <c r="H7" s="8" t="s">
        <v>7</v>
      </c>
    </row>
    <row r="8" spans="2:8" ht="48" hidden="1" customHeight="1" x14ac:dyDescent="0.25">
      <c r="B8" s="633" t="s">
        <v>8</v>
      </c>
      <c r="C8" s="636" t="s">
        <v>9</v>
      </c>
      <c r="D8" s="10">
        <v>20</v>
      </c>
      <c r="E8" s="11" t="s">
        <v>10</v>
      </c>
      <c r="F8" s="12" t="s">
        <v>11</v>
      </c>
      <c r="G8" s="12" t="s">
        <v>12</v>
      </c>
      <c r="H8" s="13" t="s">
        <v>13</v>
      </c>
    </row>
    <row r="9" spans="2:8" ht="28.5" hidden="1" customHeight="1" x14ac:dyDescent="0.25">
      <c r="B9" s="634"/>
      <c r="C9" s="637"/>
      <c r="D9" s="9">
        <v>20</v>
      </c>
      <c r="E9" s="9" t="s">
        <v>14</v>
      </c>
      <c r="F9" s="14" t="s">
        <v>15</v>
      </c>
      <c r="G9" s="14" t="s">
        <v>16</v>
      </c>
      <c r="H9" s="14" t="s">
        <v>13</v>
      </c>
    </row>
    <row r="10" spans="2:8" ht="30" hidden="1" x14ac:dyDescent="0.25">
      <c r="B10" s="634"/>
      <c r="C10" s="637"/>
      <c r="D10" s="9">
        <v>10</v>
      </c>
      <c r="E10" s="9" t="s">
        <v>17</v>
      </c>
      <c r="F10" s="14" t="s">
        <v>18</v>
      </c>
      <c r="G10" s="14" t="s">
        <v>19</v>
      </c>
      <c r="H10" s="14" t="s">
        <v>20</v>
      </c>
    </row>
    <row r="11" spans="2:8" ht="32.25" hidden="1" customHeight="1" x14ac:dyDescent="0.25">
      <c r="B11" s="634"/>
      <c r="C11" s="638"/>
      <c r="D11" s="10">
        <v>50</v>
      </c>
      <c r="E11" s="11" t="s">
        <v>21</v>
      </c>
      <c r="F11" s="12" t="s">
        <v>22</v>
      </c>
      <c r="G11" s="12" t="s">
        <v>23</v>
      </c>
      <c r="H11" s="13" t="s">
        <v>13</v>
      </c>
    </row>
    <row r="12" spans="2:8" ht="38.25" hidden="1" customHeight="1" x14ac:dyDescent="0.25">
      <c r="B12" s="634"/>
      <c r="C12" s="639" t="s">
        <v>24</v>
      </c>
      <c r="D12" s="16">
        <v>20</v>
      </c>
      <c r="E12" s="17" t="s">
        <v>25</v>
      </c>
      <c r="F12" s="18" t="s">
        <v>26</v>
      </c>
      <c r="G12" s="18" t="s">
        <v>12</v>
      </c>
      <c r="H12" s="19" t="s">
        <v>13</v>
      </c>
    </row>
    <row r="13" spans="2:8" ht="34.5" hidden="1" customHeight="1" x14ac:dyDescent="0.25">
      <c r="B13" s="634"/>
      <c r="C13" s="640"/>
      <c r="D13" s="15">
        <v>20</v>
      </c>
      <c r="E13" s="15" t="s">
        <v>27</v>
      </c>
      <c r="F13" s="20" t="s">
        <v>28</v>
      </c>
      <c r="G13" s="20" t="s">
        <v>29</v>
      </c>
      <c r="H13" s="21" t="s">
        <v>13</v>
      </c>
    </row>
    <row r="14" spans="2:8" ht="30" hidden="1" x14ac:dyDescent="0.25">
      <c r="B14" s="634"/>
      <c r="C14" s="640"/>
      <c r="D14" s="15">
        <v>10</v>
      </c>
      <c r="E14" s="15" t="s">
        <v>17</v>
      </c>
      <c r="F14" s="20" t="s">
        <v>18</v>
      </c>
      <c r="G14" s="21" t="s">
        <v>30</v>
      </c>
      <c r="H14" s="20" t="s">
        <v>20</v>
      </c>
    </row>
    <row r="15" spans="2:8" ht="54" hidden="1" customHeight="1" x14ac:dyDescent="0.25">
      <c r="B15" s="634"/>
      <c r="C15" s="641"/>
      <c r="D15" s="16">
        <v>50</v>
      </c>
      <c r="E15" s="17" t="s">
        <v>31</v>
      </c>
      <c r="F15" s="18" t="s">
        <v>32</v>
      </c>
      <c r="G15" s="18" t="s">
        <v>23</v>
      </c>
      <c r="H15" s="19" t="s">
        <v>13</v>
      </c>
    </row>
    <row r="16" spans="2:8" ht="45" hidden="1" customHeight="1" x14ac:dyDescent="0.25">
      <c r="B16" s="634"/>
      <c r="C16" s="642" t="s">
        <v>33</v>
      </c>
      <c r="D16" s="22">
        <v>30</v>
      </c>
      <c r="E16" s="23" t="s">
        <v>25</v>
      </c>
      <c r="F16" s="24" t="s">
        <v>26</v>
      </c>
      <c r="G16" s="24" t="s">
        <v>12</v>
      </c>
      <c r="H16" s="25" t="s">
        <v>13</v>
      </c>
    </row>
    <row r="17" spans="2:9" ht="39" hidden="1" customHeight="1" x14ac:dyDescent="0.25">
      <c r="B17" s="634"/>
      <c r="C17" s="643"/>
      <c r="D17" s="22">
        <v>70</v>
      </c>
      <c r="E17" s="23" t="s">
        <v>34</v>
      </c>
      <c r="F17" s="24" t="s">
        <v>35</v>
      </c>
      <c r="G17" s="24" t="s">
        <v>23</v>
      </c>
      <c r="H17" s="25" t="s">
        <v>13</v>
      </c>
    </row>
    <row r="18" spans="2:9" ht="38.25" hidden="1" customHeight="1" x14ac:dyDescent="0.25">
      <c r="B18" s="634"/>
      <c r="C18" s="644" t="s">
        <v>36</v>
      </c>
      <c r="D18" s="26">
        <v>20</v>
      </c>
      <c r="E18" s="27" t="s">
        <v>25</v>
      </c>
      <c r="F18" s="28" t="s">
        <v>26</v>
      </c>
      <c r="G18" s="28" t="s">
        <v>12</v>
      </c>
      <c r="H18" s="29" t="s">
        <v>13</v>
      </c>
    </row>
    <row r="19" spans="2:9" ht="34.5" hidden="1" customHeight="1" x14ac:dyDescent="0.25">
      <c r="B19" s="634"/>
      <c r="C19" s="645"/>
      <c r="D19" s="26">
        <v>50</v>
      </c>
      <c r="E19" s="27" t="s">
        <v>34</v>
      </c>
      <c r="F19" s="28" t="s">
        <v>35</v>
      </c>
      <c r="G19" s="28" t="s">
        <v>23</v>
      </c>
      <c r="H19" s="29" t="s">
        <v>13</v>
      </c>
    </row>
    <row r="20" spans="2:9" ht="25.5" hidden="1" x14ac:dyDescent="0.25">
      <c r="B20" s="634"/>
      <c r="C20" s="645"/>
      <c r="D20" s="26">
        <v>20</v>
      </c>
      <c r="E20" s="27" t="s">
        <v>27</v>
      </c>
      <c r="F20" s="28" t="s">
        <v>28</v>
      </c>
      <c r="G20" s="28" t="s">
        <v>37</v>
      </c>
      <c r="H20" s="29" t="s">
        <v>13</v>
      </c>
    </row>
    <row r="21" spans="2:9" ht="32.25" hidden="1" customHeight="1" x14ac:dyDescent="0.25">
      <c r="B21" s="634"/>
      <c r="C21" s="646"/>
      <c r="D21" s="26">
        <v>10</v>
      </c>
      <c r="E21" s="27" t="s">
        <v>17</v>
      </c>
      <c r="F21" s="28" t="s">
        <v>18</v>
      </c>
      <c r="G21" s="28" t="s">
        <v>37</v>
      </c>
      <c r="H21" s="29" t="s">
        <v>13</v>
      </c>
    </row>
    <row r="22" spans="2:9" ht="38.25" hidden="1" customHeight="1" x14ac:dyDescent="0.25">
      <c r="B22" s="634"/>
      <c r="C22" s="647" t="s">
        <v>38</v>
      </c>
      <c r="D22" s="30">
        <v>30</v>
      </c>
      <c r="E22" s="31" t="s">
        <v>39</v>
      </c>
      <c r="F22" s="32" t="s">
        <v>40</v>
      </c>
      <c r="G22" s="32" t="s">
        <v>12</v>
      </c>
      <c r="H22" s="33" t="s">
        <v>13</v>
      </c>
    </row>
    <row r="23" spans="2:9" ht="39" hidden="1" customHeight="1" x14ac:dyDescent="0.25">
      <c r="B23" s="634"/>
      <c r="C23" s="648"/>
      <c r="D23" s="31">
        <v>10</v>
      </c>
      <c r="E23" s="31" t="s">
        <v>17</v>
      </c>
      <c r="F23" s="34" t="s">
        <v>41</v>
      </c>
      <c r="G23" s="35" t="s">
        <v>42</v>
      </c>
      <c r="H23" s="34" t="s">
        <v>20</v>
      </c>
    </row>
    <row r="24" spans="2:9" ht="36" hidden="1" customHeight="1" x14ac:dyDescent="0.25">
      <c r="B24" s="635"/>
      <c r="C24" s="648"/>
      <c r="D24" s="31">
        <v>60</v>
      </c>
      <c r="E24" s="31" t="s">
        <v>43</v>
      </c>
      <c r="F24" s="34" t="s">
        <v>44</v>
      </c>
      <c r="G24" s="35" t="s">
        <v>23</v>
      </c>
      <c r="H24" s="35" t="s">
        <v>13</v>
      </c>
    </row>
    <row r="25" spans="2:9" ht="36" hidden="1" customHeight="1" x14ac:dyDescent="0.25">
      <c r="B25" s="630" t="s">
        <v>45</v>
      </c>
      <c r="C25" s="632" t="s">
        <v>46</v>
      </c>
      <c r="D25" s="36">
        <v>20</v>
      </c>
      <c r="E25" s="37">
        <v>10</v>
      </c>
      <c r="F25" s="38" t="s">
        <v>47</v>
      </c>
      <c r="G25" s="38" t="s">
        <v>48</v>
      </c>
      <c r="H25" s="39" t="s">
        <v>13</v>
      </c>
    </row>
    <row r="26" spans="2:9" ht="38.25" hidden="1" customHeight="1" x14ac:dyDescent="0.25">
      <c r="B26" s="631"/>
      <c r="C26" s="632"/>
      <c r="D26" s="40">
        <v>50</v>
      </c>
      <c r="E26" s="37">
        <v>11</v>
      </c>
      <c r="F26" s="41" t="s">
        <v>49</v>
      </c>
      <c r="G26" s="38" t="s">
        <v>50</v>
      </c>
      <c r="H26" s="39" t="s">
        <v>13</v>
      </c>
    </row>
    <row r="27" spans="2:9" ht="40.5" hidden="1" customHeight="1" x14ac:dyDescent="0.25">
      <c r="B27" s="631"/>
      <c r="C27" s="632"/>
      <c r="D27" s="36">
        <v>15</v>
      </c>
      <c r="E27" s="37">
        <v>12</v>
      </c>
      <c r="F27" s="38" t="s">
        <v>51</v>
      </c>
      <c r="G27" s="38" t="s">
        <v>52</v>
      </c>
      <c r="H27" s="39" t="s">
        <v>13</v>
      </c>
    </row>
    <row r="28" spans="2:9" ht="45" hidden="1" customHeight="1" x14ac:dyDescent="0.25">
      <c r="B28" s="631"/>
      <c r="C28" s="632"/>
      <c r="D28" s="42">
        <v>15</v>
      </c>
      <c r="E28" s="43">
        <v>13</v>
      </c>
      <c r="F28" s="44" t="s">
        <v>53</v>
      </c>
      <c r="G28" s="45" t="s">
        <v>54</v>
      </c>
      <c r="H28" s="46" t="s">
        <v>13</v>
      </c>
    </row>
    <row r="29" spans="2:9" ht="59.25" customHeight="1" x14ac:dyDescent="0.25">
      <c r="B29" s="528" t="s">
        <v>55</v>
      </c>
      <c r="C29" s="531" t="s">
        <v>56</v>
      </c>
      <c r="D29" s="47">
        <v>20</v>
      </c>
      <c r="E29" s="48">
        <v>14</v>
      </c>
      <c r="F29" s="49" t="s">
        <v>57</v>
      </c>
      <c r="G29" s="49" t="s">
        <v>58</v>
      </c>
      <c r="H29" s="50" t="s">
        <v>13</v>
      </c>
      <c r="I29" s="38" t="s">
        <v>152</v>
      </c>
    </row>
    <row r="30" spans="2:9" ht="45.75" customHeight="1" x14ac:dyDescent="0.25">
      <c r="B30" s="529"/>
      <c r="C30" s="532"/>
      <c r="D30" s="47">
        <v>15</v>
      </c>
      <c r="E30" s="48">
        <v>15</v>
      </c>
      <c r="F30" s="49" t="s">
        <v>59</v>
      </c>
      <c r="G30" s="49" t="s">
        <v>153</v>
      </c>
      <c r="H30" s="50" t="s">
        <v>13</v>
      </c>
      <c r="I30" s="186" t="s">
        <v>151</v>
      </c>
    </row>
    <row r="31" spans="2:9" ht="45.75" customHeight="1" x14ac:dyDescent="0.25">
      <c r="B31" s="529"/>
      <c r="C31" s="532"/>
      <c r="D31" s="47">
        <v>50</v>
      </c>
      <c r="E31" s="48">
        <v>16</v>
      </c>
      <c r="F31" s="49" t="s">
        <v>60</v>
      </c>
      <c r="G31" s="49" t="s">
        <v>23</v>
      </c>
      <c r="H31" s="50" t="s">
        <v>13</v>
      </c>
      <c r="I31" s="186" t="s">
        <v>150</v>
      </c>
    </row>
    <row r="32" spans="2:9" ht="45.75" customHeight="1" x14ac:dyDescent="0.25">
      <c r="B32" s="530"/>
      <c r="C32" s="533"/>
      <c r="D32" s="47">
        <v>15</v>
      </c>
      <c r="E32" s="48">
        <v>17</v>
      </c>
      <c r="F32" s="49" t="s">
        <v>61</v>
      </c>
      <c r="G32" s="49" t="s">
        <v>62</v>
      </c>
      <c r="H32" s="50" t="s">
        <v>13</v>
      </c>
      <c r="I32" s="186" t="s">
        <v>151</v>
      </c>
    </row>
    <row r="33" spans="2:8" ht="40.5" customHeight="1" x14ac:dyDescent="0.25">
      <c r="B33" s="534" t="s">
        <v>63</v>
      </c>
      <c r="C33" s="537" t="s">
        <v>64</v>
      </c>
      <c r="D33" s="51">
        <v>20</v>
      </c>
      <c r="E33" s="51">
        <v>18</v>
      </c>
      <c r="F33" s="52" t="s">
        <v>65</v>
      </c>
      <c r="G33" s="52" t="s">
        <v>12</v>
      </c>
      <c r="H33" s="53" t="s">
        <v>13</v>
      </c>
    </row>
    <row r="34" spans="2:8" ht="69" customHeight="1" x14ac:dyDescent="0.25">
      <c r="B34" s="535"/>
      <c r="C34" s="538"/>
      <c r="D34" s="51">
        <v>50</v>
      </c>
      <c r="E34" s="51">
        <v>19</v>
      </c>
      <c r="F34" s="52" t="s">
        <v>66</v>
      </c>
      <c r="G34" s="52" t="s">
        <v>67</v>
      </c>
      <c r="H34" s="53" t="s">
        <v>13</v>
      </c>
    </row>
    <row r="35" spans="2:8" ht="39" customHeight="1" x14ac:dyDescent="0.25">
      <c r="B35" s="536"/>
      <c r="C35" s="539"/>
      <c r="D35" s="51">
        <v>30</v>
      </c>
      <c r="E35" s="51">
        <v>20</v>
      </c>
      <c r="F35" s="52" t="s">
        <v>68</v>
      </c>
      <c r="G35" s="52" t="s">
        <v>69</v>
      </c>
      <c r="H35" s="53" t="s">
        <v>13</v>
      </c>
    </row>
    <row r="36" spans="2:8" ht="50.25" hidden="1" customHeight="1" x14ac:dyDescent="0.25">
      <c r="B36" s="54"/>
      <c r="C36" s="628" t="s">
        <v>70</v>
      </c>
      <c r="D36" s="55">
        <v>25</v>
      </c>
      <c r="E36" s="56">
        <v>19</v>
      </c>
      <c r="F36" s="56" t="s">
        <v>65</v>
      </c>
      <c r="G36" s="56" t="s">
        <v>12</v>
      </c>
      <c r="H36" s="53" t="s">
        <v>13</v>
      </c>
    </row>
    <row r="37" spans="2:8" ht="75.75" hidden="1" customHeight="1" x14ac:dyDescent="0.25">
      <c r="B37" s="54"/>
      <c r="C37" s="629"/>
      <c r="D37" s="57">
        <v>25</v>
      </c>
      <c r="E37" s="52">
        <v>20</v>
      </c>
      <c r="F37" s="52" t="s">
        <v>66</v>
      </c>
      <c r="G37" s="52" t="s">
        <v>67</v>
      </c>
      <c r="H37" s="53" t="s">
        <v>13</v>
      </c>
    </row>
    <row r="38" spans="2:8" ht="50.25" hidden="1" customHeight="1" x14ac:dyDescent="0.25">
      <c r="B38" s="58"/>
      <c r="C38" s="629"/>
      <c r="D38" s="57">
        <v>50</v>
      </c>
      <c r="E38" s="52">
        <v>21</v>
      </c>
      <c r="F38" s="52" t="s">
        <v>68</v>
      </c>
      <c r="G38" s="52" t="s">
        <v>69</v>
      </c>
      <c r="H38" s="53" t="s">
        <v>13</v>
      </c>
    </row>
    <row r="40" spans="2:8" ht="24" hidden="1" customHeight="1" x14ac:dyDescent="0.25">
      <c r="B40" s="59" t="s">
        <v>8</v>
      </c>
      <c r="C40" s="59" t="s">
        <v>71</v>
      </c>
      <c r="D40" s="60" t="s">
        <v>72</v>
      </c>
      <c r="E40" s="61">
        <v>22</v>
      </c>
      <c r="F40" s="61" t="s">
        <v>73</v>
      </c>
      <c r="G40" s="61" t="s">
        <v>23</v>
      </c>
      <c r="H40" s="62" t="s">
        <v>13</v>
      </c>
    </row>
    <row r="42" spans="2:8" x14ac:dyDescent="0.25">
      <c r="B42" t="s">
        <v>74</v>
      </c>
    </row>
  </sheetData>
  <mergeCells count="14">
    <mergeCell ref="B2:H2"/>
    <mergeCell ref="B8:B24"/>
    <mergeCell ref="C8:C11"/>
    <mergeCell ref="C12:C15"/>
    <mergeCell ref="C16:C17"/>
    <mergeCell ref="C18:C21"/>
    <mergeCell ref="C22:C24"/>
    <mergeCell ref="C36:C38"/>
    <mergeCell ref="B25:B28"/>
    <mergeCell ref="C25:C28"/>
    <mergeCell ref="B29:B32"/>
    <mergeCell ref="C29:C32"/>
    <mergeCell ref="B33:B35"/>
    <mergeCell ref="C33:C35"/>
  </mergeCells>
  <hyperlinks>
    <hyperlink ref="E8" location="'1'!A1" display="01" xr:uid="{C7194CA5-C9D2-4940-8D3A-7A8E466DBE5A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6BBD-643F-40F6-A825-9B5725F96199}">
  <sheetPr codeName="Hoja2">
    <tabColor rgb="FFD7F88F"/>
    <pageSetUpPr fitToPage="1"/>
  </sheetPr>
  <dimension ref="A1:J27"/>
  <sheetViews>
    <sheetView zoomScale="70" zoomScaleNormal="70" workbookViewId="0">
      <selection activeCell="C15" sqref="C15"/>
    </sheetView>
  </sheetViews>
  <sheetFormatPr baseColWidth="10" defaultColWidth="14.42578125" defaultRowHeight="12" x14ac:dyDescent="0.25"/>
  <cols>
    <col min="1" max="1" width="23.42578125" style="66" customWidth="1"/>
    <col min="2" max="2" width="24.42578125" style="66" customWidth="1"/>
    <col min="3" max="3" width="57" style="66" customWidth="1"/>
    <col min="4" max="4" width="8.7109375" style="66" customWidth="1"/>
    <col min="5" max="8" width="16.85546875" style="66" customWidth="1"/>
    <col min="9" max="13" width="11.42578125" style="66" customWidth="1"/>
    <col min="14" max="16384" width="14.42578125" style="66"/>
  </cols>
  <sheetData>
    <row r="1" spans="1:10" ht="15" customHeight="1" x14ac:dyDescent="0.25">
      <c r="A1" s="63"/>
      <c r="B1" s="649" t="s">
        <v>75</v>
      </c>
      <c r="C1" s="649"/>
      <c r="D1" s="649"/>
      <c r="E1" s="649"/>
      <c r="F1" s="649"/>
      <c r="G1" s="649"/>
      <c r="H1" s="649"/>
      <c r="I1" s="65"/>
      <c r="J1" s="65"/>
    </row>
    <row r="2" spans="1:10" ht="15" customHeight="1" x14ac:dyDescent="0.25">
      <c r="A2" s="63"/>
      <c r="B2" s="67"/>
      <c r="C2" s="64"/>
      <c r="D2" s="64"/>
      <c r="E2" s="68"/>
      <c r="F2" s="69"/>
      <c r="G2" s="69"/>
      <c r="H2" s="69"/>
    </row>
    <row r="3" spans="1:10" s="72" customFormat="1" ht="15" customHeight="1" x14ac:dyDescent="0.25">
      <c r="A3" s="63" t="s">
        <v>76</v>
      </c>
      <c r="B3" s="650" t="s">
        <v>77</v>
      </c>
      <c r="C3" s="650"/>
      <c r="D3" s="64"/>
      <c r="E3" s="71"/>
      <c r="F3" s="69"/>
      <c r="G3" s="69"/>
      <c r="H3" s="69"/>
    </row>
    <row r="4" spans="1:10" ht="15" customHeight="1" x14ac:dyDescent="0.25">
      <c r="A4" s="63" t="s">
        <v>78</v>
      </c>
      <c r="B4" s="67" t="s">
        <v>79</v>
      </c>
      <c r="C4" s="73"/>
      <c r="D4" s="73"/>
      <c r="E4" s="74"/>
      <c r="F4" s="69"/>
      <c r="G4" s="69"/>
      <c r="H4" s="69"/>
    </row>
    <row r="5" spans="1:10" ht="15" customHeight="1" x14ac:dyDescent="0.25">
      <c r="A5" s="63" t="s">
        <v>80</v>
      </c>
      <c r="B5" s="70" t="s">
        <v>81</v>
      </c>
      <c r="C5" s="67"/>
      <c r="D5" s="75"/>
      <c r="E5" s="74"/>
      <c r="F5" s="69"/>
      <c r="G5" s="69"/>
      <c r="H5" s="69"/>
    </row>
    <row r="6" spans="1:10" ht="15" customHeight="1" x14ac:dyDescent="0.25">
      <c r="A6" s="63" t="s">
        <v>82</v>
      </c>
      <c r="B6" s="67" t="s">
        <v>83</v>
      </c>
      <c r="C6" s="67"/>
      <c r="D6" s="75"/>
      <c r="E6" s="74"/>
      <c r="F6" s="69"/>
      <c r="G6" s="69"/>
      <c r="H6" s="69"/>
    </row>
    <row r="7" spans="1:10" ht="15" customHeight="1" x14ac:dyDescent="0.25">
      <c r="A7" s="76" t="s">
        <v>84</v>
      </c>
      <c r="B7" s="77">
        <v>0.2</v>
      </c>
      <c r="C7" s="78"/>
      <c r="D7" s="79"/>
      <c r="E7" s="74"/>
      <c r="F7" s="69"/>
      <c r="G7" s="69"/>
      <c r="H7" s="69"/>
    </row>
    <row r="8" spans="1:10" ht="20.100000000000001" customHeight="1" x14ac:dyDescent="0.25">
      <c r="A8" s="80"/>
      <c r="B8" s="81"/>
      <c r="C8" s="81"/>
      <c r="D8" s="82"/>
      <c r="E8" s="651" t="s">
        <v>85</v>
      </c>
      <c r="F8" s="652"/>
      <c r="G8" s="652"/>
      <c r="H8" s="653"/>
    </row>
    <row r="9" spans="1:10" ht="20.100000000000001" customHeight="1" x14ac:dyDescent="0.25">
      <c r="A9" s="83" t="s">
        <v>86</v>
      </c>
      <c r="B9" s="83" t="s">
        <v>13</v>
      </c>
      <c r="C9" s="83" t="s">
        <v>87</v>
      </c>
      <c r="D9" s="83" t="s">
        <v>88</v>
      </c>
      <c r="E9" s="84" t="s">
        <v>89</v>
      </c>
      <c r="F9" s="85" t="s">
        <v>90</v>
      </c>
      <c r="G9" s="85" t="s">
        <v>91</v>
      </c>
      <c r="H9" s="86" t="s">
        <v>92</v>
      </c>
    </row>
    <row r="10" spans="1:10" ht="86.25" customHeight="1" x14ac:dyDescent="0.25">
      <c r="A10" s="87">
        <v>1</v>
      </c>
      <c r="B10" s="88" t="s">
        <v>93</v>
      </c>
      <c r="C10" s="89" t="s">
        <v>94</v>
      </c>
      <c r="D10" s="89">
        <v>20</v>
      </c>
      <c r="E10" s="90"/>
      <c r="F10" s="90"/>
      <c r="G10" s="90"/>
      <c r="H10" s="91"/>
      <c r="J10" s="66">
        <f ca="1">J10</f>
        <v>0</v>
      </c>
    </row>
    <row r="11" spans="1:10" ht="50.25" customHeight="1" x14ac:dyDescent="0.25">
      <c r="A11" s="572">
        <v>2</v>
      </c>
      <c r="B11" s="586" t="s">
        <v>95</v>
      </c>
      <c r="C11" s="92" t="s">
        <v>96</v>
      </c>
      <c r="D11" s="92">
        <v>15</v>
      </c>
      <c r="E11" s="90"/>
      <c r="F11" s="91"/>
      <c r="G11" s="91"/>
      <c r="H11" s="91"/>
    </row>
    <row r="12" spans="1:10" ht="63" customHeight="1" x14ac:dyDescent="0.25">
      <c r="A12" s="572"/>
      <c r="B12" s="587"/>
      <c r="C12" s="93" t="s">
        <v>97</v>
      </c>
      <c r="D12" s="93">
        <v>15</v>
      </c>
      <c r="E12" s="90"/>
      <c r="F12" s="91"/>
      <c r="G12" s="91"/>
      <c r="H12" s="91"/>
    </row>
    <row r="13" spans="1:10" ht="63" x14ac:dyDescent="0.25">
      <c r="A13" s="572"/>
      <c r="B13" s="588"/>
      <c r="C13" s="89" t="s">
        <v>98</v>
      </c>
      <c r="D13" s="89">
        <v>10</v>
      </c>
      <c r="E13" s="91"/>
      <c r="F13" s="91"/>
      <c r="G13" s="91"/>
      <c r="H13" s="91"/>
    </row>
    <row r="14" spans="1:10" ht="46.5" customHeight="1" x14ac:dyDescent="0.25">
      <c r="A14" s="87">
        <v>3</v>
      </c>
      <c r="B14" s="94" t="s">
        <v>99</v>
      </c>
      <c r="C14" s="89" t="s">
        <v>100</v>
      </c>
      <c r="D14" s="89">
        <v>10</v>
      </c>
      <c r="E14" s="91"/>
      <c r="F14" s="91"/>
      <c r="G14" s="91"/>
      <c r="H14" s="91"/>
    </row>
    <row r="15" spans="1:10" ht="59.25" customHeight="1" x14ac:dyDescent="0.25">
      <c r="A15" s="87">
        <v>4</v>
      </c>
      <c r="B15" s="96" t="s">
        <v>101</v>
      </c>
      <c r="C15" s="89" t="s">
        <v>102</v>
      </c>
      <c r="D15" s="89">
        <v>10</v>
      </c>
      <c r="E15" s="89"/>
      <c r="F15" s="91"/>
      <c r="G15" s="91"/>
      <c r="H15" s="91"/>
    </row>
    <row r="16" spans="1:10" ht="47.25" x14ac:dyDescent="0.25">
      <c r="A16" s="87">
        <v>5</v>
      </c>
      <c r="B16" s="96" t="s">
        <v>103</v>
      </c>
      <c r="C16" s="89" t="s">
        <v>104</v>
      </c>
      <c r="D16" s="93">
        <v>10</v>
      </c>
      <c r="E16" s="89"/>
      <c r="F16" s="91"/>
      <c r="G16" s="91"/>
      <c r="H16" s="91"/>
    </row>
    <row r="17" spans="1:8" ht="84.75" customHeight="1" x14ac:dyDescent="0.25">
      <c r="A17" s="87">
        <v>6</v>
      </c>
      <c r="B17" s="87" t="s">
        <v>105</v>
      </c>
      <c r="C17" s="97" t="s">
        <v>106</v>
      </c>
      <c r="D17" s="98">
        <v>10</v>
      </c>
      <c r="E17" s="91"/>
      <c r="F17" s="91"/>
      <c r="G17" s="91"/>
      <c r="H17" s="91"/>
    </row>
    <row r="18" spans="1:8" ht="15.75" x14ac:dyDescent="0.25">
      <c r="A18" s="99"/>
      <c r="B18" s="99"/>
      <c r="C18" s="100" t="s">
        <v>107</v>
      </c>
      <c r="D18" s="95">
        <v>100</v>
      </c>
      <c r="E18" s="91"/>
      <c r="F18" s="91"/>
      <c r="G18" s="91"/>
      <c r="H18" s="91"/>
    </row>
    <row r="19" spans="1:8" x14ac:dyDescent="0.25">
      <c r="C19" s="101"/>
      <c r="D19" s="102"/>
      <c r="E19" s="103"/>
    </row>
    <row r="20" spans="1:8" ht="15" x14ac:dyDescent="0.25">
      <c r="C20" s="104"/>
      <c r="D20" s="105"/>
      <c r="E20" s="103"/>
    </row>
    <row r="21" spans="1:8" ht="15" x14ac:dyDescent="0.25">
      <c r="C21" s="106"/>
      <c r="D21" s="102"/>
      <c r="E21" s="103"/>
    </row>
    <row r="22" spans="1:8" ht="15" x14ac:dyDescent="0.25">
      <c r="C22" s="106"/>
    </row>
    <row r="23" spans="1:8" ht="15" x14ac:dyDescent="0.25">
      <c r="C23" s="106"/>
    </row>
    <row r="24" spans="1:8" ht="15" x14ac:dyDescent="0.25">
      <c r="C24" s="106"/>
    </row>
    <row r="25" spans="1:8" ht="15" x14ac:dyDescent="0.25">
      <c r="C25" s="106"/>
    </row>
    <row r="26" spans="1:8" ht="15" x14ac:dyDescent="0.25">
      <c r="C26" s="106"/>
    </row>
    <row r="27" spans="1:8" ht="15" x14ac:dyDescent="0.25">
      <c r="C27" s="107"/>
    </row>
  </sheetData>
  <mergeCells count="5">
    <mergeCell ref="B1:H1"/>
    <mergeCell ref="B3:C3"/>
    <mergeCell ref="E8:H8"/>
    <mergeCell ref="A11:A13"/>
    <mergeCell ref="B11:B13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20C5-3DCC-485A-A129-0B987F4A4985}">
  <sheetPr codeName="Hoja3">
    <tabColor rgb="FFD7F88F"/>
    <pageSetUpPr fitToPage="1"/>
  </sheetPr>
  <dimension ref="A1:L29"/>
  <sheetViews>
    <sheetView zoomScale="69" zoomScaleNormal="69" workbookViewId="0">
      <selection activeCell="C16" sqref="C16"/>
    </sheetView>
  </sheetViews>
  <sheetFormatPr baseColWidth="10" defaultColWidth="14.42578125" defaultRowHeight="12" x14ac:dyDescent="0.25"/>
  <cols>
    <col min="1" max="1" width="17.5703125" style="66" customWidth="1"/>
    <col min="2" max="2" width="35.140625" style="66" customWidth="1"/>
    <col min="3" max="3" width="68" style="66" customWidth="1"/>
    <col min="4" max="4" width="7.7109375" style="66" bestFit="1" customWidth="1"/>
    <col min="5" max="6" width="22.28515625" style="66" hidden="1" customWidth="1"/>
    <col min="7" max="7" width="21.140625" style="66" hidden="1" customWidth="1"/>
    <col min="8" max="8" width="22.28515625" style="66" hidden="1" customWidth="1"/>
    <col min="9" max="9" width="19.85546875" style="66" customWidth="1"/>
    <col min="10" max="10" width="15.140625" style="66" customWidth="1"/>
    <col min="11" max="11" width="11.42578125" style="66" customWidth="1"/>
    <col min="12" max="12" width="15.42578125" style="66" bestFit="1" customWidth="1"/>
    <col min="13" max="14" width="11.42578125" style="66" customWidth="1"/>
    <col min="15" max="16384" width="14.42578125" style="66"/>
  </cols>
  <sheetData>
    <row r="1" spans="1:12" ht="15" customHeight="1" x14ac:dyDescent="0.25">
      <c r="A1" s="656" t="s">
        <v>108</v>
      </c>
      <c r="B1" s="656"/>
      <c r="C1" s="656"/>
      <c r="D1" s="656"/>
      <c r="E1" s="656"/>
      <c r="F1" s="656"/>
      <c r="G1" s="656"/>
      <c r="H1" s="656"/>
      <c r="I1" s="109"/>
      <c r="J1" s="109"/>
      <c r="K1" s="109"/>
    </row>
    <row r="2" spans="1:12" ht="15" customHeight="1" x14ac:dyDescent="0.25">
      <c r="A2" s="108"/>
      <c r="B2" s="108"/>
      <c r="C2" s="108"/>
      <c r="D2" s="108"/>
      <c r="E2" s="108"/>
      <c r="F2" s="108"/>
      <c r="G2" s="108"/>
      <c r="H2" s="108"/>
      <c r="I2" s="109"/>
      <c r="J2" s="109"/>
      <c r="K2" s="109"/>
    </row>
    <row r="3" spans="1:12" ht="15" customHeight="1" x14ac:dyDescent="0.25">
      <c r="A3" s="108"/>
      <c r="B3" s="108"/>
      <c r="C3" s="108"/>
      <c r="D3" s="108"/>
      <c r="E3" s="108"/>
      <c r="F3" s="108"/>
      <c r="G3" s="108"/>
      <c r="H3" s="108"/>
      <c r="I3" s="109"/>
      <c r="J3" s="109"/>
      <c r="K3" s="109"/>
    </row>
    <row r="4" spans="1:12" ht="15" customHeight="1" x14ac:dyDescent="0.25">
      <c r="A4" s="108"/>
      <c r="B4" s="108"/>
      <c r="C4" s="108"/>
      <c r="D4" s="108"/>
      <c r="E4" s="108"/>
      <c r="F4" s="108"/>
      <c r="G4" s="108"/>
      <c r="H4" s="108"/>
      <c r="I4" s="109"/>
      <c r="J4" s="109"/>
      <c r="K4" s="109"/>
    </row>
    <row r="5" spans="1:12" ht="15" customHeight="1" x14ac:dyDescent="0.25">
      <c r="A5" s="63" t="s">
        <v>76</v>
      </c>
      <c r="B5" s="650" t="s">
        <v>77</v>
      </c>
      <c r="C5" s="650"/>
      <c r="D5" s="64"/>
      <c r="E5" s="110"/>
      <c r="F5" s="111"/>
      <c r="G5" s="112"/>
      <c r="H5" s="112"/>
      <c r="I5" s="67"/>
      <c r="J5" s="67"/>
      <c r="K5" s="67"/>
    </row>
    <row r="6" spans="1:12" s="72" customFormat="1" ht="15" customHeight="1" x14ac:dyDescent="0.25">
      <c r="A6" s="113" t="s">
        <v>78</v>
      </c>
      <c r="B6" s="114" t="s">
        <v>147</v>
      </c>
      <c r="C6" s="73"/>
      <c r="D6" s="73"/>
      <c r="E6" s="115"/>
      <c r="F6" s="116"/>
      <c r="G6" s="112"/>
      <c r="H6" s="112"/>
      <c r="I6" s="114"/>
      <c r="J6" s="114"/>
      <c r="K6" s="114"/>
    </row>
    <row r="7" spans="1:12" ht="15" customHeight="1" x14ac:dyDescent="0.25">
      <c r="A7" s="63" t="s">
        <v>80</v>
      </c>
      <c r="B7" s="650" t="s">
        <v>148</v>
      </c>
      <c r="C7" s="650"/>
      <c r="D7" s="75"/>
      <c r="E7" s="79"/>
      <c r="F7" s="117"/>
      <c r="G7" s="112"/>
      <c r="H7" s="112"/>
      <c r="I7" s="67"/>
      <c r="J7" s="67"/>
      <c r="K7" s="67"/>
    </row>
    <row r="8" spans="1:12" ht="15" customHeight="1" x14ac:dyDescent="0.25">
      <c r="A8" s="63" t="s">
        <v>82</v>
      </c>
      <c r="B8" s="67" t="s">
        <v>83</v>
      </c>
      <c r="C8" s="67"/>
      <c r="D8" s="75"/>
      <c r="E8" s="79"/>
      <c r="F8" s="117"/>
      <c r="G8" s="112"/>
      <c r="H8" s="112"/>
      <c r="I8" s="67"/>
      <c r="J8" s="67"/>
      <c r="K8" s="67"/>
    </row>
    <row r="9" spans="1:12" ht="15" customHeight="1" x14ac:dyDescent="0.25">
      <c r="A9" s="76" t="s">
        <v>84</v>
      </c>
      <c r="B9" s="77">
        <v>0.15</v>
      </c>
      <c r="C9" s="67"/>
      <c r="D9" s="75"/>
      <c r="E9" s="79"/>
      <c r="F9" s="117"/>
      <c r="G9" s="112"/>
      <c r="H9" s="112"/>
      <c r="I9" s="67"/>
      <c r="J9" s="67"/>
      <c r="K9" s="67"/>
    </row>
    <row r="10" spans="1:12" ht="15" customHeight="1" x14ac:dyDescent="0.2">
      <c r="A10" s="118"/>
      <c r="D10" s="101"/>
      <c r="E10" s="102"/>
      <c r="F10" s="103"/>
      <c r="G10" s="119"/>
      <c r="H10" s="119"/>
    </row>
    <row r="11" spans="1:12" ht="25.5" customHeight="1" x14ac:dyDescent="0.25">
      <c r="A11" s="120"/>
      <c r="B11" s="121"/>
      <c r="C11" s="121"/>
      <c r="D11" s="122"/>
      <c r="E11" s="654" t="s">
        <v>85</v>
      </c>
      <c r="F11" s="654"/>
      <c r="G11" s="654"/>
      <c r="H11" s="655"/>
      <c r="I11" s="654" t="s">
        <v>85</v>
      </c>
      <c r="J11" s="654"/>
      <c r="K11" s="654"/>
      <c r="L11" s="655"/>
    </row>
    <row r="12" spans="1:12" ht="24" customHeight="1" x14ac:dyDescent="0.25">
      <c r="A12" s="123" t="s">
        <v>86</v>
      </c>
      <c r="B12" s="123" t="s">
        <v>13</v>
      </c>
      <c r="C12" s="123" t="s">
        <v>87</v>
      </c>
      <c r="D12" s="123" t="s">
        <v>88</v>
      </c>
      <c r="E12" s="124" t="s">
        <v>89</v>
      </c>
      <c r="F12" s="125" t="s">
        <v>109</v>
      </c>
      <c r="G12" s="125" t="s">
        <v>110</v>
      </c>
      <c r="H12" s="126" t="s">
        <v>111</v>
      </c>
      <c r="I12" s="127" t="s">
        <v>89</v>
      </c>
      <c r="J12" s="128" t="s">
        <v>109</v>
      </c>
      <c r="K12" s="128" t="s">
        <v>110</v>
      </c>
      <c r="L12" s="129" t="s">
        <v>111</v>
      </c>
    </row>
    <row r="13" spans="1:12" ht="86.25" customHeight="1" x14ac:dyDescent="0.25">
      <c r="A13" s="130">
        <v>1</v>
      </c>
      <c r="B13" s="131" t="s">
        <v>93</v>
      </c>
      <c r="C13" s="132" t="s">
        <v>112</v>
      </c>
      <c r="D13" s="132">
        <v>15</v>
      </c>
      <c r="E13" s="132"/>
      <c r="F13" s="133"/>
      <c r="G13" s="133"/>
      <c r="H13" s="133"/>
      <c r="I13" s="134"/>
      <c r="J13" s="135"/>
      <c r="K13" s="135"/>
      <c r="L13" s="135"/>
    </row>
    <row r="14" spans="1:12" ht="50.25" customHeight="1" x14ac:dyDescent="0.25">
      <c r="A14" s="545">
        <v>2</v>
      </c>
      <c r="B14" s="598" t="s">
        <v>95</v>
      </c>
      <c r="C14" s="136" t="s">
        <v>113</v>
      </c>
      <c r="D14" s="136">
        <v>15</v>
      </c>
      <c r="E14" s="136"/>
      <c r="F14" s="133"/>
      <c r="G14" s="137"/>
      <c r="H14" s="137"/>
      <c r="I14" s="134"/>
      <c r="J14" s="135"/>
      <c r="K14" s="135"/>
      <c r="L14" s="135"/>
    </row>
    <row r="15" spans="1:12" ht="66" customHeight="1" x14ac:dyDescent="0.25">
      <c r="A15" s="545"/>
      <c r="B15" s="606"/>
      <c r="C15" s="138" t="s">
        <v>114</v>
      </c>
      <c r="D15" s="138">
        <v>15</v>
      </c>
      <c r="E15" s="139"/>
      <c r="F15" s="133"/>
      <c r="G15" s="137"/>
      <c r="H15" s="137"/>
      <c r="I15" s="134"/>
      <c r="J15" s="135"/>
      <c r="K15" s="135"/>
      <c r="L15" s="135"/>
    </row>
    <row r="16" spans="1:12" ht="76.5" customHeight="1" x14ac:dyDescent="0.25">
      <c r="A16" s="545"/>
      <c r="B16" s="599"/>
      <c r="C16" s="132" t="s">
        <v>115</v>
      </c>
      <c r="D16" s="132">
        <v>15</v>
      </c>
      <c r="E16" s="132"/>
      <c r="F16" s="137"/>
      <c r="G16" s="137"/>
      <c r="H16" s="137"/>
      <c r="I16" s="134"/>
      <c r="J16" s="135"/>
      <c r="K16" s="135"/>
      <c r="L16" s="135"/>
    </row>
    <row r="17" spans="1:12" ht="63" x14ac:dyDescent="0.25">
      <c r="A17" s="130">
        <v>3</v>
      </c>
      <c r="B17" s="140" t="s">
        <v>99</v>
      </c>
      <c r="C17" s="132" t="s">
        <v>116</v>
      </c>
      <c r="D17" s="132">
        <v>10</v>
      </c>
      <c r="E17" s="132"/>
      <c r="F17" s="137"/>
      <c r="G17" s="137"/>
      <c r="H17" s="137"/>
      <c r="I17" s="134"/>
      <c r="J17" s="135"/>
      <c r="K17" s="135"/>
      <c r="L17" s="135"/>
    </row>
    <row r="18" spans="1:12" ht="59.25" customHeight="1" x14ac:dyDescent="0.25">
      <c r="A18" s="130">
        <v>4</v>
      </c>
      <c r="B18" s="141" t="s">
        <v>101</v>
      </c>
      <c r="C18" s="132" t="s">
        <v>117</v>
      </c>
      <c r="D18" s="132">
        <v>10</v>
      </c>
      <c r="E18" s="132"/>
      <c r="F18" s="132"/>
      <c r="G18" s="137"/>
      <c r="H18" s="137"/>
      <c r="I18" s="134"/>
      <c r="J18" s="135"/>
      <c r="K18" s="135"/>
      <c r="L18" s="135"/>
    </row>
    <row r="19" spans="1:12" ht="47.25" x14ac:dyDescent="0.25">
      <c r="A19" s="130">
        <v>5</v>
      </c>
      <c r="B19" s="141" t="s">
        <v>103</v>
      </c>
      <c r="C19" s="138" t="s">
        <v>118</v>
      </c>
      <c r="D19" s="138">
        <v>10</v>
      </c>
      <c r="E19" s="139"/>
      <c r="F19" s="132"/>
      <c r="G19" s="137"/>
      <c r="H19" s="137"/>
      <c r="I19" s="134"/>
      <c r="J19" s="135"/>
      <c r="K19" s="135"/>
      <c r="L19" s="135"/>
    </row>
    <row r="20" spans="1:12" ht="84.75" customHeight="1" x14ac:dyDescent="0.25">
      <c r="A20" s="130">
        <v>6</v>
      </c>
      <c r="B20" s="130" t="s">
        <v>105</v>
      </c>
      <c r="C20" s="142" t="s">
        <v>119</v>
      </c>
      <c r="D20" s="143">
        <v>10</v>
      </c>
      <c r="E20" s="144"/>
      <c r="F20" s="137"/>
      <c r="G20" s="137"/>
      <c r="H20" s="137"/>
      <c r="I20" s="134"/>
      <c r="J20" s="135"/>
      <c r="K20" s="135"/>
      <c r="L20" s="135"/>
    </row>
    <row r="21" spans="1:12" ht="15.75" x14ac:dyDescent="0.25">
      <c r="A21" s="145"/>
      <c r="B21" s="146"/>
      <c r="C21" s="100" t="s">
        <v>107</v>
      </c>
      <c r="D21" s="147">
        <f>SUM(D13:D20)</f>
        <v>100</v>
      </c>
      <c r="E21" s="137"/>
      <c r="F21" s="137"/>
      <c r="G21" s="137"/>
      <c r="H21" s="137"/>
      <c r="I21" s="148"/>
    </row>
    <row r="22" spans="1:12" x14ac:dyDescent="0.25">
      <c r="D22" s="101"/>
      <c r="E22" s="102"/>
      <c r="F22" s="103"/>
    </row>
    <row r="23" spans="1:12" x14ac:dyDescent="0.25">
      <c r="C23" s="149"/>
      <c r="D23" s="150"/>
      <c r="E23" s="105"/>
      <c r="F23" s="103"/>
    </row>
    <row r="24" spans="1:12" x14ac:dyDescent="0.25">
      <c r="C24" s="151"/>
      <c r="D24" s="152"/>
    </row>
    <row r="25" spans="1:12" x14ac:dyDescent="0.25">
      <c r="C25" s="151"/>
      <c r="D25" s="152"/>
    </row>
    <row r="26" spans="1:12" x14ac:dyDescent="0.25">
      <c r="C26" s="151"/>
      <c r="D26" s="152"/>
    </row>
    <row r="27" spans="1:12" x14ac:dyDescent="0.25">
      <c r="C27" s="151"/>
      <c r="D27" s="152"/>
    </row>
    <row r="28" spans="1:12" x14ac:dyDescent="0.25">
      <c r="C28" s="151"/>
      <c r="D28" s="152"/>
    </row>
    <row r="29" spans="1:12" x14ac:dyDescent="0.25">
      <c r="C29" s="153"/>
      <c r="D29" s="154"/>
    </row>
  </sheetData>
  <mergeCells count="7">
    <mergeCell ref="I11:L11"/>
    <mergeCell ref="A14:A16"/>
    <mergeCell ref="B14:B16"/>
    <mergeCell ref="A1:H1"/>
    <mergeCell ref="B5:C5"/>
    <mergeCell ref="B7:C7"/>
    <mergeCell ref="E11:H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D095-5CCC-449B-8AD9-F5543FD1F68A}">
  <sheetPr codeName="Hoja4">
    <tabColor rgb="FFD7F88F"/>
    <pageSetUpPr fitToPage="1"/>
  </sheetPr>
  <dimension ref="A1:I29"/>
  <sheetViews>
    <sheetView zoomScale="70" zoomScaleNormal="70" workbookViewId="0">
      <selection activeCell="C18" sqref="C18"/>
    </sheetView>
  </sheetViews>
  <sheetFormatPr baseColWidth="10" defaultColWidth="11.42578125" defaultRowHeight="12" x14ac:dyDescent="0.25"/>
  <cols>
    <col min="1" max="1" width="20.42578125" style="155" customWidth="1"/>
    <col min="2" max="2" width="31.42578125" style="155" customWidth="1"/>
    <col min="3" max="3" width="72.5703125" style="155" customWidth="1"/>
    <col min="4" max="4" width="15.42578125" style="179" customWidth="1"/>
    <col min="5" max="5" width="16.140625" style="179" bestFit="1" customWidth="1"/>
    <col min="6" max="6" width="20.7109375" style="179" bestFit="1" customWidth="1"/>
    <col min="7" max="7" width="19.28515625" style="179" customWidth="1"/>
    <col min="8" max="8" width="16.7109375" style="179" bestFit="1" customWidth="1"/>
    <col min="9" max="9" width="17.140625" style="155" hidden="1" customWidth="1"/>
    <col min="10" max="16384" width="11.42578125" style="155"/>
  </cols>
  <sheetData>
    <row r="1" spans="1:9" ht="15" customHeight="1" x14ac:dyDescent="0.25">
      <c r="A1" s="565" t="s">
        <v>120</v>
      </c>
      <c r="B1" s="565"/>
      <c r="C1" s="565"/>
      <c r="D1" s="565"/>
      <c r="E1" s="565"/>
      <c r="F1" s="565"/>
      <c r="G1" s="565"/>
      <c r="H1" s="565"/>
    </row>
    <row r="2" spans="1:9" ht="15" customHeight="1" x14ac:dyDescent="0.25">
      <c r="A2" s="156" t="s">
        <v>76</v>
      </c>
      <c r="B2" s="650" t="s">
        <v>77</v>
      </c>
      <c r="C2" s="650"/>
      <c r="D2" s="157"/>
      <c r="E2" s="157"/>
      <c r="F2" s="157"/>
      <c r="G2" s="157"/>
      <c r="H2" s="157"/>
    </row>
    <row r="3" spans="1:9" s="161" customFormat="1" ht="15" customHeight="1" x14ac:dyDescent="0.25">
      <c r="A3" s="158" t="s">
        <v>78</v>
      </c>
      <c r="B3" s="159" t="s">
        <v>121</v>
      </c>
      <c r="C3" s="159"/>
      <c r="D3" s="160"/>
      <c r="E3" s="160"/>
      <c r="F3" s="160"/>
      <c r="G3" s="160"/>
      <c r="H3" s="160"/>
    </row>
    <row r="4" spans="1:9" ht="15" customHeight="1" x14ac:dyDescent="0.25">
      <c r="A4" s="156" t="s">
        <v>80</v>
      </c>
      <c r="B4" s="162" t="s">
        <v>122</v>
      </c>
      <c r="C4" s="162"/>
      <c r="D4" s="157"/>
      <c r="E4" s="157"/>
      <c r="F4" s="157"/>
      <c r="G4" s="157"/>
      <c r="H4" s="157"/>
    </row>
    <row r="5" spans="1:9" ht="15" customHeight="1" x14ac:dyDescent="0.25">
      <c r="A5" s="156" t="s">
        <v>82</v>
      </c>
      <c r="B5" s="162" t="s">
        <v>123</v>
      </c>
      <c r="C5" s="162"/>
      <c r="D5" s="157"/>
      <c r="E5" s="157"/>
      <c r="F5" s="157"/>
      <c r="G5" s="157"/>
      <c r="H5" s="157"/>
    </row>
    <row r="6" spans="1:9" ht="15" customHeight="1" x14ac:dyDescent="0.25">
      <c r="A6" s="156" t="s">
        <v>84</v>
      </c>
      <c r="B6" s="163">
        <v>0.5</v>
      </c>
      <c r="C6" s="163"/>
      <c r="D6" s="157"/>
      <c r="E6" s="157"/>
      <c r="F6" s="157"/>
      <c r="G6" s="157"/>
      <c r="H6" s="157"/>
    </row>
    <row r="7" spans="1:9" ht="24.75" customHeight="1" x14ac:dyDescent="0.25">
      <c r="A7" s="164"/>
      <c r="B7" s="165"/>
      <c r="C7" s="165"/>
      <c r="D7" s="166"/>
      <c r="E7" s="544" t="s">
        <v>85</v>
      </c>
      <c r="F7" s="544"/>
      <c r="G7" s="544"/>
      <c r="H7" s="544"/>
    </row>
    <row r="8" spans="1:9" ht="33" customHeight="1" x14ac:dyDescent="0.25">
      <c r="A8" s="168" t="s">
        <v>86</v>
      </c>
      <c r="B8" s="168" t="s">
        <v>13</v>
      </c>
      <c r="C8" s="168" t="s">
        <v>87</v>
      </c>
      <c r="D8" s="169" t="s">
        <v>88</v>
      </c>
      <c r="E8" s="167" t="s">
        <v>89</v>
      </c>
      <c r="F8" s="167" t="s">
        <v>109</v>
      </c>
      <c r="G8" s="167" t="s">
        <v>110</v>
      </c>
      <c r="H8" s="167" t="s">
        <v>111</v>
      </c>
      <c r="I8" s="170" t="s">
        <v>124</v>
      </c>
    </row>
    <row r="9" spans="1:9" ht="65.25" customHeight="1" x14ac:dyDescent="0.25">
      <c r="A9" s="598">
        <v>1</v>
      </c>
      <c r="B9" s="600" t="s">
        <v>105</v>
      </c>
      <c r="C9" s="136" t="s">
        <v>125</v>
      </c>
      <c r="D9" s="171">
        <v>10</v>
      </c>
      <c r="E9" s="146"/>
      <c r="F9" s="146"/>
      <c r="G9" s="146"/>
      <c r="H9" s="146"/>
      <c r="I9" s="172"/>
    </row>
    <row r="10" spans="1:9" ht="65.25" customHeight="1" x14ac:dyDescent="0.25">
      <c r="A10" s="599"/>
      <c r="B10" s="601"/>
      <c r="C10" s="136" t="s">
        <v>126</v>
      </c>
      <c r="D10" s="171">
        <v>10</v>
      </c>
      <c r="E10" s="146"/>
      <c r="F10" s="146"/>
      <c r="G10" s="146"/>
      <c r="H10" s="146"/>
      <c r="I10" s="172"/>
    </row>
    <row r="11" spans="1:9" ht="65.25" customHeight="1" x14ac:dyDescent="0.25">
      <c r="A11" s="545">
        <v>2</v>
      </c>
      <c r="B11" s="546" t="s">
        <v>95</v>
      </c>
      <c r="C11" s="136" t="s">
        <v>127</v>
      </c>
      <c r="D11" s="171">
        <v>10</v>
      </c>
      <c r="E11" s="146"/>
      <c r="F11" s="146"/>
      <c r="G11" s="146"/>
      <c r="H11" s="146"/>
      <c r="I11" s="172"/>
    </row>
    <row r="12" spans="1:9" ht="65.25" customHeight="1" x14ac:dyDescent="0.25">
      <c r="A12" s="545"/>
      <c r="B12" s="546"/>
      <c r="C12" s="136" t="s">
        <v>128</v>
      </c>
      <c r="D12" s="171">
        <v>10</v>
      </c>
      <c r="E12" s="146"/>
      <c r="F12" s="146"/>
      <c r="G12" s="146"/>
      <c r="H12" s="146"/>
      <c r="I12" s="172"/>
    </row>
    <row r="13" spans="1:9" s="174" customFormat="1" ht="78.75" customHeight="1" x14ac:dyDescent="0.25">
      <c r="A13" s="545">
        <v>3</v>
      </c>
      <c r="B13" s="566" t="s">
        <v>129</v>
      </c>
      <c r="C13" s="136" t="s">
        <v>130</v>
      </c>
      <c r="D13" s="171">
        <v>10</v>
      </c>
      <c r="E13" s="146"/>
      <c r="F13" s="146"/>
      <c r="G13" s="146"/>
      <c r="H13" s="146"/>
      <c r="I13" s="173" t="s">
        <v>131</v>
      </c>
    </row>
    <row r="14" spans="1:9" s="174" customFormat="1" ht="39.75" customHeight="1" x14ac:dyDescent="0.25">
      <c r="A14" s="545"/>
      <c r="B14" s="566"/>
      <c r="C14" s="136" t="s">
        <v>132</v>
      </c>
      <c r="D14" s="171">
        <v>10</v>
      </c>
      <c r="E14" s="146"/>
      <c r="F14" s="146"/>
      <c r="G14" s="146"/>
      <c r="H14" s="146"/>
      <c r="I14" s="173" t="s">
        <v>131</v>
      </c>
    </row>
    <row r="15" spans="1:9" ht="51" customHeight="1" x14ac:dyDescent="0.25">
      <c r="A15" s="545"/>
      <c r="B15" s="566"/>
      <c r="C15" s="136" t="s">
        <v>133</v>
      </c>
      <c r="D15" s="171">
        <v>10</v>
      </c>
      <c r="E15" s="146"/>
      <c r="F15" s="146"/>
      <c r="G15" s="146"/>
      <c r="H15" s="146"/>
      <c r="I15" s="173" t="s">
        <v>131</v>
      </c>
    </row>
    <row r="16" spans="1:9" ht="78.75" customHeight="1" x14ac:dyDescent="0.25">
      <c r="A16" s="545">
        <v>4</v>
      </c>
      <c r="B16" s="546" t="s">
        <v>134</v>
      </c>
      <c r="C16" s="136" t="s">
        <v>135</v>
      </c>
      <c r="D16" s="171">
        <v>10</v>
      </c>
      <c r="E16" s="146"/>
      <c r="F16" s="146"/>
      <c r="G16" s="146"/>
      <c r="H16" s="146"/>
      <c r="I16" s="172" t="s">
        <v>136</v>
      </c>
    </row>
    <row r="17" spans="1:9" ht="55.5" customHeight="1" x14ac:dyDescent="0.25">
      <c r="A17" s="545"/>
      <c r="B17" s="546"/>
      <c r="C17" s="136" t="s">
        <v>137</v>
      </c>
      <c r="D17" s="171">
        <v>10</v>
      </c>
      <c r="E17" s="146"/>
      <c r="F17" s="146"/>
      <c r="G17" s="146"/>
      <c r="H17" s="146"/>
      <c r="I17" s="172"/>
    </row>
    <row r="18" spans="1:9" ht="41.25" customHeight="1" x14ac:dyDescent="0.25">
      <c r="A18" s="175">
        <v>5</v>
      </c>
      <c r="B18" s="141" t="s">
        <v>101</v>
      </c>
      <c r="C18" s="136" t="s">
        <v>138</v>
      </c>
      <c r="D18" s="171">
        <v>10</v>
      </c>
      <c r="E18" s="146"/>
      <c r="F18" s="146"/>
      <c r="G18" s="146"/>
      <c r="H18" s="146"/>
      <c r="I18" s="172"/>
    </row>
    <row r="19" spans="1:9" s="179" customFormat="1" ht="27" customHeight="1" x14ac:dyDescent="0.25">
      <c r="A19" s="176"/>
      <c r="B19" s="176"/>
      <c r="C19" s="100" t="s">
        <v>107</v>
      </c>
      <c r="D19" s="177">
        <v>100</v>
      </c>
      <c r="E19" s="69"/>
      <c r="F19" s="178"/>
      <c r="G19" s="178"/>
      <c r="H19" s="178"/>
      <c r="I19" s="155"/>
    </row>
    <row r="20" spans="1:9" s="179" customFormat="1" x14ac:dyDescent="0.2">
      <c r="A20" s="155"/>
      <c r="B20" s="155"/>
      <c r="C20" s="153"/>
      <c r="D20" s="154"/>
      <c r="E20" s="119"/>
      <c r="I20" s="155"/>
    </row>
    <row r="21" spans="1:9" s="179" customFormat="1" x14ac:dyDescent="0.2">
      <c r="A21" s="155"/>
      <c r="B21" s="155"/>
      <c r="C21" s="180"/>
      <c r="D21" s="119"/>
      <c r="E21" s="119"/>
      <c r="I21" s="155"/>
    </row>
    <row r="22" spans="1:9" s="179" customFormat="1" x14ac:dyDescent="0.2">
      <c r="A22" s="155"/>
      <c r="B22" s="155"/>
      <c r="C22" s="180"/>
      <c r="D22" s="119"/>
      <c r="E22" s="119"/>
      <c r="I22" s="155"/>
    </row>
    <row r="23" spans="1:9" s="179" customFormat="1" x14ac:dyDescent="0.2">
      <c r="A23" s="155"/>
      <c r="B23" s="155"/>
      <c r="C23" s="180"/>
      <c r="D23" s="119"/>
      <c r="E23" s="119"/>
      <c r="I23" s="155"/>
    </row>
    <row r="24" spans="1:9" s="179" customFormat="1" x14ac:dyDescent="0.2">
      <c r="A24" s="155"/>
      <c r="B24" s="155"/>
      <c r="C24" s="180"/>
      <c r="D24" s="119"/>
      <c r="E24" s="119"/>
      <c r="I24" s="155"/>
    </row>
    <row r="25" spans="1:9" s="179" customFormat="1" x14ac:dyDescent="0.2">
      <c r="A25" s="155"/>
      <c r="B25" s="155"/>
      <c r="C25" s="180"/>
      <c r="D25" s="119"/>
      <c r="E25" s="119"/>
      <c r="I25" s="155"/>
    </row>
    <row r="26" spans="1:9" s="179" customFormat="1" x14ac:dyDescent="0.2">
      <c r="A26" s="155"/>
      <c r="B26" s="155"/>
      <c r="C26" s="180"/>
      <c r="D26" s="119"/>
      <c r="E26" s="119"/>
      <c r="I26" s="155"/>
    </row>
    <row r="27" spans="1:9" s="179" customFormat="1" x14ac:dyDescent="0.2">
      <c r="A27" s="155"/>
      <c r="B27" s="155"/>
      <c r="C27" s="180"/>
      <c r="D27" s="119"/>
      <c r="E27" s="119"/>
      <c r="I27" s="155"/>
    </row>
    <row r="28" spans="1:9" s="179" customFormat="1" x14ac:dyDescent="0.2">
      <c r="A28" s="155"/>
      <c r="B28" s="155"/>
      <c r="C28" s="180"/>
      <c r="D28" s="119"/>
      <c r="E28" s="119"/>
      <c r="I28" s="155"/>
    </row>
    <row r="29" spans="1:9" s="179" customFormat="1" x14ac:dyDescent="0.2">
      <c r="A29" s="155"/>
      <c r="B29" s="155"/>
      <c r="C29" s="180"/>
      <c r="D29" s="119"/>
      <c r="E29" s="119"/>
      <c r="I29" s="155"/>
    </row>
  </sheetData>
  <mergeCells count="11">
    <mergeCell ref="A1:H1"/>
    <mergeCell ref="E7:H7"/>
    <mergeCell ref="A9:A10"/>
    <mergeCell ref="B9:B10"/>
    <mergeCell ref="A11:A12"/>
    <mergeCell ref="B11:B12"/>
    <mergeCell ref="A13:A15"/>
    <mergeCell ref="B13:B15"/>
    <mergeCell ref="A16:A17"/>
    <mergeCell ref="B16:B17"/>
    <mergeCell ref="B2:C2"/>
  </mergeCells>
  <printOptions horizontalCentered="1"/>
  <pageMargins left="0.70866141732283472" right="0.70866141732283472" top="0.74803149606299213" bottom="0.74803149606299213" header="0.31496062992125984" footer="0.31496062992125984"/>
  <pageSetup scale="5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55C3-EC72-4706-9589-1E8FA3BC3986}">
  <sheetPr codeName="Hoja5">
    <tabColor rgb="FFD7F88F"/>
    <pageSetUpPr fitToPage="1"/>
  </sheetPr>
  <dimension ref="A1:K28"/>
  <sheetViews>
    <sheetView zoomScale="70" zoomScaleNormal="70" workbookViewId="0">
      <pane xSplit="1" ySplit="11" topLeftCell="B12" activePane="bottomRight" state="frozen"/>
      <selection pane="topRight" activeCell="E24" sqref="E24"/>
      <selection pane="bottomLeft" activeCell="E24" sqref="E24"/>
      <selection pane="bottomRight" activeCell="B9" sqref="B9"/>
    </sheetView>
  </sheetViews>
  <sheetFormatPr baseColWidth="10" defaultColWidth="14.42578125" defaultRowHeight="12" x14ac:dyDescent="0.25"/>
  <cols>
    <col min="1" max="1" width="23.42578125" style="66" customWidth="1"/>
    <col min="2" max="2" width="42.7109375" style="66" customWidth="1"/>
    <col min="3" max="3" width="77.5703125" style="66" customWidth="1"/>
    <col min="4" max="4" width="12.42578125" style="66" customWidth="1"/>
    <col min="5" max="6" width="22.28515625" style="66" customWidth="1"/>
    <col min="7" max="7" width="21.140625" style="66" customWidth="1"/>
    <col min="8" max="8" width="22.28515625" style="66" customWidth="1"/>
    <col min="9" max="14" width="11.42578125" style="66" customWidth="1"/>
    <col min="15" max="16384" width="14.42578125" style="66"/>
  </cols>
  <sheetData>
    <row r="1" spans="1:11" ht="41.25" customHeight="1" x14ac:dyDescent="0.25">
      <c r="A1" s="656" t="s">
        <v>139</v>
      </c>
      <c r="B1" s="656"/>
      <c r="C1" s="656"/>
      <c r="D1" s="656"/>
      <c r="E1" s="656"/>
      <c r="F1" s="656"/>
      <c r="G1" s="656"/>
      <c r="H1" s="656"/>
      <c r="I1" s="109"/>
      <c r="J1" s="109"/>
      <c r="K1" s="109"/>
    </row>
    <row r="2" spans="1:11" ht="15" customHeight="1" x14ac:dyDescent="0.25">
      <c r="A2" s="108"/>
      <c r="B2" s="108"/>
      <c r="C2" s="108"/>
      <c r="D2" s="108"/>
      <c r="E2" s="108"/>
      <c r="F2" s="108"/>
      <c r="G2" s="108"/>
      <c r="H2" s="108"/>
      <c r="I2" s="109"/>
      <c r="J2" s="109"/>
      <c r="K2" s="109"/>
    </row>
    <row r="3" spans="1:11" ht="15" customHeight="1" x14ac:dyDescent="0.25">
      <c r="A3" s="108"/>
      <c r="B3" s="108"/>
      <c r="C3" s="108"/>
      <c r="D3" s="108"/>
      <c r="E3" s="108"/>
      <c r="F3" s="108"/>
      <c r="G3" s="108"/>
      <c r="H3" s="108"/>
      <c r="I3" s="109"/>
      <c r="J3" s="109"/>
      <c r="K3" s="109"/>
    </row>
    <row r="4" spans="1:11" ht="15" customHeight="1" x14ac:dyDescent="0.25">
      <c r="A4" s="108"/>
      <c r="B4" s="108"/>
      <c r="C4" s="108"/>
      <c r="D4" s="108"/>
      <c r="E4" s="108"/>
      <c r="F4" s="108"/>
      <c r="G4" s="108"/>
      <c r="H4" s="108"/>
      <c r="I4" s="109"/>
      <c r="J4" s="109"/>
      <c r="K4" s="109"/>
    </row>
    <row r="5" spans="1:11" ht="15" customHeight="1" x14ac:dyDescent="0.25">
      <c r="A5" s="63" t="s">
        <v>76</v>
      </c>
      <c r="B5" s="650" t="s">
        <v>77</v>
      </c>
      <c r="C5" s="650"/>
      <c r="D5" s="64"/>
      <c r="E5" s="110"/>
      <c r="F5" s="111"/>
      <c r="G5" s="112"/>
      <c r="H5" s="112"/>
      <c r="I5" s="67"/>
      <c r="J5" s="67"/>
      <c r="K5" s="67"/>
    </row>
    <row r="6" spans="1:11" s="72" customFormat="1" ht="15" customHeight="1" x14ac:dyDescent="0.25">
      <c r="A6" s="113" t="s">
        <v>78</v>
      </c>
      <c r="B6" s="114" t="s">
        <v>149</v>
      </c>
      <c r="C6" s="181"/>
      <c r="D6" s="73"/>
      <c r="E6" s="115"/>
      <c r="F6" s="116"/>
      <c r="G6" s="112"/>
      <c r="H6" s="112"/>
      <c r="I6" s="114"/>
      <c r="J6" s="114"/>
      <c r="K6" s="114"/>
    </row>
    <row r="7" spans="1:11" ht="15" customHeight="1" x14ac:dyDescent="0.25">
      <c r="A7" s="63" t="s">
        <v>80</v>
      </c>
      <c r="B7" s="650" t="s">
        <v>140</v>
      </c>
      <c r="C7" s="650"/>
      <c r="D7" s="75"/>
      <c r="E7" s="79"/>
      <c r="F7" s="117"/>
      <c r="G7" s="112"/>
      <c r="H7" s="112"/>
      <c r="I7" s="67"/>
      <c r="J7" s="67"/>
      <c r="K7" s="67"/>
    </row>
    <row r="8" spans="1:11" ht="15" customHeight="1" x14ac:dyDescent="0.25">
      <c r="A8" s="63" t="s">
        <v>82</v>
      </c>
      <c r="B8" s="67" t="s">
        <v>83</v>
      </c>
      <c r="C8" s="67"/>
      <c r="D8" s="75"/>
      <c r="E8" s="79"/>
      <c r="F8" s="117"/>
      <c r="G8" s="112"/>
      <c r="H8" s="112"/>
      <c r="I8" s="67"/>
      <c r="J8" s="67"/>
      <c r="K8" s="67"/>
    </row>
    <row r="9" spans="1:11" ht="15" customHeight="1" x14ac:dyDescent="0.25">
      <c r="A9" s="76" t="s">
        <v>84</v>
      </c>
      <c r="B9" s="77">
        <v>0.15</v>
      </c>
      <c r="C9" s="67"/>
      <c r="D9" s="75"/>
      <c r="E9" s="79"/>
      <c r="F9" s="117"/>
      <c r="G9" s="112"/>
      <c r="H9" s="112"/>
      <c r="I9" s="67"/>
      <c r="J9" s="67"/>
      <c r="K9" s="67"/>
    </row>
    <row r="10" spans="1:11" ht="15" customHeight="1" x14ac:dyDescent="0.2">
      <c r="A10" s="118"/>
      <c r="D10" s="101"/>
      <c r="E10" s="102"/>
      <c r="F10" s="103"/>
      <c r="G10" s="119"/>
      <c r="H10" s="119"/>
    </row>
    <row r="11" spans="1:11" x14ac:dyDescent="0.25">
      <c r="A11" s="120"/>
      <c r="B11" s="121"/>
      <c r="C11" s="121"/>
      <c r="D11" s="122"/>
      <c r="E11" s="654" t="s">
        <v>85</v>
      </c>
      <c r="F11" s="654"/>
      <c r="G11" s="654"/>
      <c r="H11" s="655"/>
    </row>
    <row r="12" spans="1:11" ht="29.25" customHeight="1" x14ac:dyDescent="0.25">
      <c r="A12" s="123" t="s">
        <v>86</v>
      </c>
      <c r="B12" s="123" t="s">
        <v>13</v>
      </c>
      <c r="C12" s="123" t="s">
        <v>87</v>
      </c>
      <c r="D12" s="182" t="s">
        <v>88</v>
      </c>
      <c r="E12" s="127" t="s">
        <v>89</v>
      </c>
      <c r="F12" s="128" t="s">
        <v>109</v>
      </c>
      <c r="G12" s="128" t="s">
        <v>110</v>
      </c>
      <c r="H12" s="129" t="s">
        <v>111</v>
      </c>
    </row>
    <row r="13" spans="1:11" ht="55.5" customHeight="1" x14ac:dyDescent="0.25">
      <c r="A13" s="600">
        <v>1</v>
      </c>
      <c r="B13" s="600" t="s">
        <v>105</v>
      </c>
      <c r="C13" s="136" t="s">
        <v>141</v>
      </c>
      <c r="D13" s="136">
        <v>20</v>
      </c>
      <c r="E13" s="183"/>
      <c r="F13" s="183"/>
      <c r="G13" s="183"/>
      <c r="H13" s="183"/>
    </row>
    <row r="14" spans="1:11" ht="86.25" customHeight="1" x14ac:dyDescent="0.25">
      <c r="A14" s="601"/>
      <c r="B14" s="601"/>
      <c r="C14" s="136" t="s">
        <v>142</v>
      </c>
      <c r="D14" s="132">
        <v>20</v>
      </c>
      <c r="E14" s="132"/>
      <c r="F14" s="133"/>
      <c r="G14" s="133"/>
      <c r="H14" s="133"/>
    </row>
    <row r="15" spans="1:11" ht="50.25" customHeight="1" x14ac:dyDescent="0.25">
      <c r="A15" s="545">
        <v>2</v>
      </c>
      <c r="B15" s="598" t="s">
        <v>95</v>
      </c>
      <c r="C15" s="136" t="s">
        <v>143</v>
      </c>
      <c r="D15" s="136">
        <v>15</v>
      </c>
      <c r="E15" s="136"/>
      <c r="F15" s="133"/>
      <c r="G15" s="137"/>
      <c r="H15" s="137"/>
    </row>
    <row r="16" spans="1:11" ht="66" customHeight="1" x14ac:dyDescent="0.25">
      <c r="A16" s="598"/>
      <c r="B16" s="606"/>
      <c r="C16" s="136" t="s">
        <v>144</v>
      </c>
      <c r="D16" s="184">
        <v>15</v>
      </c>
      <c r="E16" s="139"/>
      <c r="F16" s="133"/>
      <c r="G16" s="137"/>
      <c r="H16" s="137"/>
    </row>
    <row r="17" spans="1:8" ht="52.5" customHeight="1" x14ac:dyDescent="0.25">
      <c r="A17" s="130">
        <v>3</v>
      </c>
      <c r="B17" s="185" t="s">
        <v>99</v>
      </c>
      <c r="C17" s="132" t="s">
        <v>145</v>
      </c>
      <c r="D17" s="132">
        <v>10</v>
      </c>
      <c r="E17" s="132"/>
      <c r="F17" s="137"/>
      <c r="G17" s="137"/>
      <c r="H17" s="137"/>
    </row>
    <row r="18" spans="1:8" ht="59.25" customHeight="1" x14ac:dyDescent="0.25">
      <c r="A18" s="130">
        <v>4</v>
      </c>
      <c r="B18" s="141" t="s">
        <v>101</v>
      </c>
      <c r="C18" s="136" t="s">
        <v>146</v>
      </c>
      <c r="D18" s="132">
        <v>10</v>
      </c>
      <c r="E18" s="132"/>
      <c r="F18" s="132"/>
      <c r="G18" s="137"/>
      <c r="H18" s="137"/>
    </row>
    <row r="19" spans="1:8" ht="61.5" customHeight="1" x14ac:dyDescent="0.25">
      <c r="A19" s="130">
        <v>5</v>
      </c>
      <c r="B19" s="141" t="s">
        <v>103</v>
      </c>
      <c r="C19" s="136" t="s">
        <v>118</v>
      </c>
      <c r="D19" s="184">
        <v>10</v>
      </c>
      <c r="E19" s="139"/>
      <c r="F19" s="132"/>
      <c r="G19" s="137"/>
      <c r="H19" s="137"/>
    </row>
    <row r="20" spans="1:8" ht="22.5" customHeight="1" x14ac:dyDescent="0.25">
      <c r="A20" s="145"/>
      <c r="B20" s="146"/>
      <c r="C20" s="100" t="s">
        <v>107</v>
      </c>
      <c r="D20" s="147">
        <f>SUM(D13:D19)</f>
        <v>100</v>
      </c>
      <c r="E20" s="137"/>
      <c r="F20" s="137"/>
      <c r="G20" s="137"/>
      <c r="H20" s="137"/>
    </row>
    <row r="21" spans="1:8" x14ac:dyDescent="0.25">
      <c r="D21" s="101"/>
      <c r="E21" s="102"/>
      <c r="F21" s="103"/>
    </row>
    <row r="22" spans="1:8" x14ac:dyDescent="0.25">
      <c r="C22" s="149"/>
      <c r="D22" s="150"/>
      <c r="E22" s="105"/>
      <c r="F22" s="103"/>
    </row>
    <row r="23" spans="1:8" x14ac:dyDescent="0.25">
      <c r="C23" s="151"/>
      <c r="D23" s="152"/>
      <c r="E23" s="102"/>
      <c r="F23" s="103"/>
    </row>
    <row r="24" spans="1:8" x14ac:dyDescent="0.25">
      <c r="C24" s="151"/>
      <c r="D24" s="152"/>
    </row>
    <row r="25" spans="1:8" x14ac:dyDescent="0.25">
      <c r="C25" s="151"/>
      <c r="D25" s="152"/>
    </row>
    <row r="26" spans="1:8" x14ac:dyDescent="0.25">
      <c r="C26" s="151"/>
      <c r="D26" s="152"/>
    </row>
    <row r="27" spans="1:8" x14ac:dyDescent="0.25">
      <c r="C27" s="151"/>
      <c r="D27" s="152"/>
    </row>
    <row r="28" spans="1:8" x14ac:dyDescent="0.25">
      <c r="C28" s="153"/>
      <c r="D28" s="154"/>
    </row>
  </sheetData>
  <mergeCells count="8">
    <mergeCell ref="A15:A16"/>
    <mergeCell ref="B15:B16"/>
    <mergeCell ref="A1:H1"/>
    <mergeCell ref="B5:C5"/>
    <mergeCell ref="B7:C7"/>
    <mergeCell ref="E11:H11"/>
    <mergeCell ref="A13:A14"/>
    <mergeCell ref="B13:B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C473-72EF-4C4D-8007-881C8C1685E6}">
  <sheetPr>
    <tabColor theme="9" tint="0.39997558519241921"/>
  </sheetPr>
  <dimension ref="A1:H25"/>
  <sheetViews>
    <sheetView zoomScale="55" zoomScaleNormal="55" workbookViewId="0">
      <selection activeCell="B12" sqref="B12"/>
    </sheetView>
  </sheetViews>
  <sheetFormatPr baseColWidth="10" defaultColWidth="11.42578125" defaultRowHeight="12" x14ac:dyDescent="0.25"/>
  <cols>
    <col min="1" max="1" width="28.28515625" style="161" customWidth="1"/>
    <col min="2" max="2" width="24.140625" style="226" customWidth="1"/>
    <col min="3" max="3" width="58.28515625" style="226" customWidth="1"/>
    <col min="4" max="4" width="14.42578125" style="226" customWidth="1"/>
    <col min="5" max="5" width="35.85546875" style="226" customWidth="1"/>
    <col min="6" max="6" width="36" style="226" customWidth="1"/>
    <col min="7" max="7" width="21.5703125" style="161" customWidth="1"/>
    <col min="8" max="8" width="26.85546875" style="161" customWidth="1"/>
    <col min="9" max="16384" width="11.42578125" style="161"/>
  </cols>
  <sheetData>
    <row r="1" spans="1:8" s="155" customFormat="1" ht="15.75" x14ac:dyDescent="0.25">
      <c r="A1" s="543" t="s">
        <v>347</v>
      </c>
      <c r="B1" s="543"/>
      <c r="C1" s="543"/>
      <c r="D1" s="543"/>
      <c r="E1" s="543"/>
      <c r="F1" s="543"/>
      <c r="G1" s="543"/>
      <c r="H1" s="543"/>
    </row>
    <row r="2" spans="1:8" s="155" customFormat="1" ht="15" customHeight="1" x14ac:dyDescent="0.25">
      <c r="A2" s="332"/>
      <c r="B2" s="332"/>
      <c r="C2" s="332"/>
      <c r="D2" s="332"/>
      <c r="E2" s="332"/>
      <c r="F2" s="332"/>
    </row>
    <row r="3" spans="1:8" s="155" customFormat="1" ht="15" customHeight="1" x14ac:dyDescent="0.25">
      <c r="A3" s="332"/>
      <c r="B3" s="332"/>
      <c r="C3" s="332"/>
      <c r="D3" s="332"/>
      <c r="E3" s="332"/>
      <c r="F3" s="332"/>
    </row>
    <row r="4" spans="1:8" ht="15.75" x14ac:dyDescent="0.25">
      <c r="A4" s="441" t="s">
        <v>76</v>
      </c>
      <c r="B4" s="442" t="s">
        <v>348</v>
      </c>
      <c r="C4" s="442"/>
      <c r="D4" s="443"/>
      <c r="E4" s="443"/>
      <c r="F4" s="443"/>
    </row>
    <row r="5" spans="1:8" ht="15.75" x14ac:dyDescent="0.25">
      <c r="A5" s="441" t="s">
        <v>78</v>
      </c>
      <c r="B5" s="444" t="s">
        <v>79</v>
      </c>
      <c r="C5" s="444"/>
      <c r="D5" s="443"/>
      <c r="E5" s="443"/>
      <c r="F5" s="443"/>
    </row>
    <row r="6" spans="1:8" ht="15.75" x14ac:dyDescent="0.25">
      <c r="A6" s="441" t="s">
        <v>80</v>
      </c>
      <c r="B6" s="444" t="s">
        <v>155</v>
      </c>
      <c r="C6" s="444"/>
      <c r="D6" s="445"/>
      <c r="E6" s="445"/>
      <c r="F6" s="445"/>
    </row>
    <row r="7" spans="1:8" ht="15.75" x14ac:dyDescent="0.25">
      <c r="A7" s="441" t="s">
        <v>349</v>
      </c>
      <c r="B7" s="444" t="s">
        <v>83</v>
      </c>
      <c r="C7" s="444"/>
      <c r="D7" s="445"/>
      <c r="E7" s="445"/>
      <c r="F7" s="445"/>
    </row>
    <row r="8" spans="1:8" ht="15.75" x14ac:dyDescent="0.25">
      <c r="A8" s="441" t="s">
        <v>84</v>
      </c>
      <c r="B8" s="446">
        <v>0.2</v>
      </c>
      <c r="C8" s="446"/>
      <c r="D8" s="445"/>
      <c r="E8" s="445"/>
      <c r="F8" s="445"/>
    </row>
    <row r="9" spans="1:8" ht="15.75" x14ac:dyDescent="0.25">
      <c r="A9" s="441"/>
      <c r="B9" s="203"/>
      <c r="C9" s="447"/>
      <c r="D9" s="445"/>
      <c r="E9" s="445"/>
      <c r="F9" s="445"/>
    </row>
    <row r="10" spans="1:8" s="120" customFormat="1" ht="15.75" x14ac:dyDescent="0.25">
      <c r="A10" s="448"/>
      <c r="B10" s="448"/>
      <c r="C10" s="449"/>
      <c r="D10" s="449"/>
      <c r="E10" s="594" t="s">
        <v>85</v>
      </c>
      <c r="F10" s="594"/>
      <c r="G10" s="594"/>
      <c r="H10" s="594"/>
    </row>
    <row r="11" spans="1:8" s="120" customFormat="1" ht="15.75" x14ac:dyDescent="0.25">
      <c r="A11" s="123" t="s">
        <v>350</v>
      </c>
      <c r="B11" s="450"/>
      <c r="C11" s="450" t="s">
        <v>351</v>
      </c>
      <c r="D11" s="450" t="s">
        <v>3</v>
      </c>
      <c r="E11" s="394" t="s">
        <v>89</v>
      </c>
      <c r="F11" s="394" t="s">
        <v>109</v>
      </c>
      <c r="G11" s="394" t="s">
        <v>110</v>
      </c>
      <c r="H11" s="394" t="s">
        <v>111</v>
      </c>
    </row>
    <row r="12" spans="1:8" s="155" customFormat="1" ht="47.25" x14ac:dyDescent="0.25">
      <c r="A12" s="130">
        <v>1</v>
      </c>
      <c r="B12" s="451" t="s">
        <v>93</v>
      </c>
      <c r="C12" s="452" t="s">
        <v>352</v>
      </c>
      <c r="D12" s="453">
        <v>30</v>
      </c>
      <c r="E12" s="454"/>
      <c r="F12" s="454"/>
      <c r="G12" s="455"/>
      <c r="H12" s="455"/>
    </row>
    <row r="13" spans="1:8" s="155" customFormat="1" ht="63" x14ac:dyDescent="0.25">
      <c r="A13" s="598">
        <v>2</v>
      </c>
      <c r="B13" s="658" t="s">
        <v>334</v>
      </c>
      <c r="C13" s="456" t="s">
        <v>353</v>
      </c>
      <c r="D13" s="146">
        <v>20</v>
      </c>
      <c r="E13" s="456"/>
      <c r="F13" s="456"/>
      <c r="G13" s="457"/>
      <c r="H13" s="457"/>
    </row>
    <row r="14" spans="1:8" s="155" customFormat="1" ht="63" x14ac:dyDescent="0.25">
      <c r="A14" s="599"/>
      <c r="B14" s="659"/>
      <c r="C14" s="458" t="s">
        <v>354</v>
      </c>
      <c r="D14" s="459">
        <v>20</v>
      </c>
      <c r="E14" s="456"/>
      <c r="F14" s="456"/>
      <c r="G14" s="457"/>
      <c r="H14" s="457"/>
    </row>
    <row r="15" spans="1:8" s="155" customFormat="1" x14ac:dyDescent="0.25">
      <c r="A15" s="545">
        <v>3</v>
      </c>
      <c r="B15" s="660" t="s">
        <v>99</v>
      </c>
      <c r="C15" s="661" t="s">
        <v>355</v>
      </c>
      <c r="D15" s="661">
        <v>30</v>
      </c>
      <c r="E15" s="662"/>
      <c r="F15" s="663"/>
      <c r="G15" s="657"/>
      <c r="H15" s="657"/>
    </row>
    <row r="16" spans="1:8" x14ac:dyDescent="0.25">
      <c r="A16" s="545"/>
      <c r="B16" s="660"/>
      <c r="C16" s="661"/>
      <c r="D16" s="661"/>
      <c r="E16" s="662"/>
      <c r="F16" s="663"/>
      <c r="G16" s="657"/>
      <c r="H16" s="657"/>
    </row>
    <row r="17" spans="2:4" ht="15.75" x14ac:dyDescent="0.25">
      <c r="B17" s="460"/>
      <c r="C17" s="100" t="s">
        <v>107</v>
      </c>
      <c r="D17" s="185">
        <v>100</v>
      </c>
    </row>
    <row r="18" spans="2:4" ht="15.75" x14ac:dyDescent="0.25">
      <c r="B18" s="460"/>
    </row>
    <row r="19" spans="2:4" ht="15.75" x14ac:dyDescent="0.25">
      <c r="B19" s="460"/>
      <c r="C19" s="461"/>
    </row>
    <row r="20" spans="2:4" ht="15.75" x14ac:dyDescent="0.25">
      <c r="B20" s="178"/>
    </row>
    <row r="21" spans="2:4" x14ac:dyDescent="0.25">
      <c r="B21" s="152"/>
    </row>
    <row r="22" spans="2:4" x14ac:dyDescent="0.25">
      <c r="B22" s="152"/>
    </row>
    <row r="23" spans="2:4" x14ac:dyDescent="0.25">
      <c r="B23" s="152"/>
    </row>
    <row r="24" spans="2:4" x14ac:dyDescent="0.25">
      <c r="B24" s="152"/>
    </row>
    <row r="25" spans="2:4" x14ac:dyDescent="0.25">
      <c r="B25" s="154"/>
    </row>
  </sheetData>
  <mergeCells count="12">
    <mergeCell ref="G15:G16"/>
    <mergeCell ref="H15:H16"/>
    <mergeCell ref="A1:H1"/>
    <mergeCell ref="E10:H10"/>
    <mergeCell ref="A13:A14"/>
    <mergeCell ref="B13:B14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013D-A6A6-472F-B7A2-C46FCBFE3850}">
  <sheetPr>
    <tabColor theme="9" tint="0.59999389629810485"/>
  </sheetPr>
  <dimension ref="A1:H29"/>
  <sheetViews>
    <sheetView topLeftCell="A5" zoomScale="55" zoomScaleNormal="55" workbookViewId="0">
      <selection activeCell="E10" sqref="E10"/>
    </sheetView>
  </sheetViews>
  <sheetFormatPr baseColWidth="10" defaultColWidth="11.42578125" defaultRowHeight="12" x14ac:dyDescent="0.25"/>
  <cols>
    <col min="1" max="1" width="21.7109375" style="155" customWidth="1"/>
    <col min="2" max="2" width="34.42578125" style="155" customWidth="1"/>
    <col min="3" max="3" width="54.42578125" style="155" customWidth="1"/>
    <col min="4" max="4" width="11.85546875" style="155" customWidth="1"/>
    <col min="5" max="5" width="30.7109375" style="479" customWidth="1"/>
    <col min="6" max="6" width="27" style="480" customWidth="1"/>
    <col min="7" max="7" width="28.85546875" style="480" customWidth="1"/>
    <col min="8" max="8" width="35.5703125" style="155" customWidth="1"/>
    <col min="9" max="16384" width="11.42578125" style="155"/>
  </cols>
  <sheetData>
    <row r="1" spans="1:8" s="176" customFormat="1" ht="15" customHeight="1" x14ac:dyDescent="0.25">
      <c r="A1" s="576" t="s">
        <v>356</v>
      </c>
      <c r="B1" s="576"/>
      <c r="C1" s="576"/>
      <c r="D1" s="576"/>
      <c r="E1" s="576"/>
      <c r="F1" s="576"/>
      <c r="G1" s="576"/>
    </row>
    <row r="2" spans="1:8" s="444" customFormat="1" ht="15" customHeight="1" x14ac:dyDescent="0.25">
      <c r="A2" s="462" t="s">
        <v>76</v>
      </c>
      <c r="B2" s="463" t="s">
        <v>348</v>
      </c>
      <c r="C2" s="464"/>
      <c r="D2" s="464"/>
      <c r="E2" s="465"/>
      <c r="F2" s="466"/>
      <c r="G2" s="466"/>
    </row>
    <row r="3" spans="1:8" s="444" customFormat="1" ht="15" customHeight="1" x14ac:dyDescent="0.25">
      <c r="A3" s="462" t="s">
        <v>78</v>
      </c>
      <c r="B3" s="463" t="s">
        <v>357</v>
      </c>
      <c r="C3" s="464"/>
      <c r="D3" s="464"/>
      <c r="E3" s="465"/>
      <c r="F3" s="466"/>
      <c r="G3" s="466"/>
    </row>
    <row r="4" spans="1:8" s="444" customFormat="1" ht="15" customHeight="1" x14ac:dyDescent="0.25">
      <c r="A4" s="462" t="s">
        <v>80</v>
      </c>
      <c r="B4" s="463" t="s">
        <v>358</v>
      </c>
      <c r="C4" s="467"/>
      <c r="D4" s="467"/>
      <c r="E4" s="468"/>
      <c r="F4" s="469"/>
      <c r="G4" s="469"/>
    </row>
    <row r="5" spans="1:8" s="444" customFormat="1" ht="15" customHeight="1" x14ac:dyDescent="0.25">
      <c r="A5" s="462" t="s">
        <v>349</v>
      </c>
      <c r="B5" s="463" t="s">
        <v>83</v>
      </c>
      <c r="C5" s="463"/>
      <c r="D5" s="463"/>
      <c r="E5" s="468"/>
      <c r="F5" s="469"/>
      <c r="G5" s="469"/>
    </row>
    <row r="6" spans="1:8" s="444" customFormat="1" ht="15" customHeight="1" x14ac:dyDescent="0.25">
      <c r="A6" s="462" t="s">
        <v>84</v>
      </c>
      <c r="B6" s="470">
        <v>0.5</v>
      </c>
      <c r="C6" s="463"/>
      <c r="D6" s="463"/>
      <c r="E6" s="468"/>
      <c r="F6" s="469"/>
      <c r="G6" s="469"/>
    </row>
    <row r="7" spans="1:8" s="444" customFormat="1" ht="48.75" customHeight="1" x14ac:dyDescent="0.25">
      <c r="A7" s="462"/>
      <c r="B7" s="470"/>
      <c r="C7" s="463"/>
      <c r="D7" s="463"/>
      <c r="E7" s="468"/>
      <c r="F7" s="469"/>
      <c r="G7" s="469"/>
    </row>
    <row r="8" spans="1:8" s="120" customFormat="1" ht="37.5" customHeight="1" x14ac:dyDescent="0.25">
      <c r="A8" s="164"/>
      <c r="B8" s="164"/>
      <c r="C8" s="164"/>
      <c r="D8" s="164"/>
      <c r="E8" s="612" t="s">
        <v>85</v>
      </c>
      <c r="F8" s="612"/>
      <c r="G8" s="612"/>
      <c r="H8" s="612"/>
    </row>
    <row r="9" spans="1:8" s="120" customFormat="1" ht="56.25" customHeight="1" x14ac:dyDescent="0.25">
      <c r="A9" s="471" t="s">
        <v>350</v>
      </c>
      <c r="B9" s="182" t="s">
        <v>359</v>
      </c>
      <c r="C9" s="182" t="s">
        <v>360</v>
      </c>
      <c r="D9" s="472" t="s">
        <v>3</v>
      </c>
      <c r="E9" s="394" t="s">
        <v>89</v>
      </c>
      <c r="F9" s="394" t="s">
        <v>109</v>
      </c>
      <c r="G9" s="394" t="s">
        <v>110</v>
      </c>
      <c r="H9" s="394" t="s">
        <v>111</v>
      </c>
    </row>
    <row r="10" spans="1:8" ht="144.75" customHeight="1" x14ac:dyDescent="0.25">
      <c r="A10" s="130">
        <v>1</v>
      </c>
      <c r="B10" s="131" t="s">
        <v>93</v>
      </c>
      <c r="C10" s="473" t="s">
        <v>361</v>
      </c>
      <c r="D10" s="453">
        <v>30</v>
      </c>
      <c r="E10" s="474"/>
      <c r="F10" s="475"/>
      <c r="G10" s="475"/>
      <c r="H10" s="455"/>
    </row>
    <row r="11" spans="1:8" ht="126.75" customHeight="1" x14ac:dyDescent="0.25">
      <c r="A11" s="598">
        <v>2</v>
      </c>
      <c r="B11" s="658" t="s">
        <v>334</v>
      </c>
      <c r="C11" s="473" t="s">
        <v>362</v>
      </c>
      <c r="D11" s="476">
        <v>20</v>
      </c>
      <c r="E11" s="477"/>
      <c r="F11" s="478"/>
      <c r="G11" s="478"/>
      <c r="H11" s="457"/>
    </row>
    <row r="12" spans="1:8" ht="154.5" customHeight="1" x14ac:dyDescent="0.25">
      <c r="A12" s="599"/>
      <c r="B12" s="659"/>
      <c r="C12" s="473" t="s">
        <v>363</v>
      </c>
      <c r="D12" s="453">
        <v>20</v>
      </c>
      <c r="E12" s="477"/>
      <c r="F12" s="478"/>
      <c r="G12" s="478"/>
      <c r="H12" s="457"/>
    </row>
    <row r="13" spans="1:8" ht="72.75" customHeight="1" x14ac:dyDescent="0.25">
      <c r="A13" s="545">
        <v>3</v>
      </c>
      <c r="B13" s="566" t="s">
        <v>99</v>
      </c>
      <c r="C13" s="661" t="s">
        <v>364</v>
      </c>
      <c r="D13" s="668">
        <v>30</v>
      </c>
      <c r="E13" s="670"/>
      <c r="F13" s="664"/>
      <c r="G13" s="664"/>
      <c r="H13" s="666"/>
    </row>
    <row r="14" spans="1:8" ht="120.75" customHeight="1" x14ac:dyDescent="0.25">
      <c r="A14" s="661"/>
      <c r="B14" s="661"/>
      <c r="C14" s="661"/>
      <c r="D14" s="669"/>
      <c r="E14" s="671"/>
      <c r="F14" s="665"/>
      <c r="G14" s="665"/>
      <c r="H14" s="667"/>
    </row>
    <row r="15" spans="1:8" ht="39" customHeight="1" x14ac:dyDescent="0.25">
      <c r="C15" s="100" t="s">
        <v>107</v>
      </c>
      <c r="D15" s="176">
        <v>100</v>
      </c>
    </row>
    <row r="22" spans="1:8" s="479" customFormat="1" x14ac:dyDescent="0.2">
      <c r="A22" s="155"/>
      <c r="B22" s="155"/>
      <c r="C22" s="180"/>
      <c r="D22" s="180"/>
      <c r="F22" s="480"/>
      <c r="G22" s="480"/>
      <c r="H22" s="155"/>
    </row>
    <row r="23" spans="1:8" s="479" customFormat="1" x14ac:dyDescent="0.2">
      <c r="A23" s="155"/>
      <c r="B23" s="155"/>
      <c r="C23" s="180"/>
      <c r="D23" s="180"/>
      <c r="F23" s="480"/>
      <c r="G23" s="480"/>
      <c r="H23" s="155"/>
    </row>
    <row r="24" spans="1:8" s="479" customFormat="1" ht="34.5" customHeight="1" x14ac:dyDescent="0.2">
      <c r="A24" s="155"/>
      <c r="B24" s="155"/>
      <c r="C24" s="180"/>
      <c r="D24" s="180"/>
      <c r="F24" s="480"/>
      <c r="G24" s="480"/>
      <c r="H24" s="155"/>
    </row>
    <row r="25" spans="1:8" s="479" customFormat="1" x14ac:dyDescent="0.2">
      <c r="A25" s="155"/>
      <c r="B25" s="155"/>
      <c r="C25" s="180"/>
      <c r="D25" s="180"/>
      <c r="F25" s="480"/>
      <c r="G25" s="480"/>
      <c r="H25" s="155"/>
    </row>
    <row r="26" spans="1:8" s="479" customFormat="1" x14ac:dyDescent="0.2">
      <c r="A26" s="155"/>
      <c r="B26" s="155"/>
      <c r="C26" s="180"/>
      <c r="D26" s="180"/>
      <c r="F26" s="480"/>
      <c r="G26" s="480"/>
      <c r="H26" s="155"/>
    </row>
    <row r="27" spans="1:8" s="479" customFormat="1" x14ac:dyDescent="0.2">
      <c r="A27" s="155"/>
      <c r="B27" s="155"/>
      <c r="C27" s="180"/>
      <c r="D27" s="180"/>
      <c r="F27" s="480"/>
      <c r="G27" s="480"/>
      <c r="H27" s="155"/>
    </row>
    <row r="28" spans="1:8" s="479" customFormat="1" x14ac:dyDescent="0.2">
      <c r="A28" s="155"/>
      <c r="B28" s="155"/>
      <c r="C28" s="180"/>
      <c r="D28" s="180"/>
      <c r="F28" s="480"/>
      <c r="G28" s="480"/>
      <c r="H28" s="155"/>
    </row>
    <row r="29" spans="1:8" s="479" customFormat="1" x14ac:dyDescent="0.2">
      <c r="A29" s="155"/>
      <c r="B29" s="155"/>
      <c r="C29" s="180"/>
      <c r="D29" s="180"/>
      <c r="F29" s="480"/>
      <c r="G29" s="480"/>
      <c r="H29" s="155"/>
    </row>
  </sheetData>
  <mergeCells count="12">
    <mergeCell ref="G13:G14"/>
    <mergeCell ref="H13:H14"/>
    <mergeCell ref="A1:G1"/>
    <mergeCell ref="E8:H8"/>
    <mergeCell ref="A11:A12"/>
    <mergeCell ref="B11:B12"/>
    <mergeCell ref="A13:A14"/>
    <mergeCell ref="B13:B14"/>
    <mergeCell ref="C13:C14"/>
    <mergeCell ref="D13:D14"/>
    <mergeCell ref="E13:E14"/>
    <mergeCell ref="F13:F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DAD8-E57B-441A-9C7B-DB7970A582AC}">
  <sheetPr>
    <tabColor theme="9" tint="0.59999389629810485"/>
  </sheetPr>
  <dimension ref="A1:H18"/>
  <sheetViews>
    <sheetView zoomScale="70" zoomScaleNormal="70" workbookViewId="0">
      <selection activeCell="C6" sqref="C6"/>
    </sheetView>
  </sheetViews>
  <sheetFormatPr baseColWidth="10" defaultColWidth="11.42578125" defaultRowHeight="12" x14ac:dyDescent="0.25"/>
  <cols>
    <col min="1" max="2" width="27.28515625" style="481" customWidth="1"/>
    <col min="3" max="3" width="50.7109375" style="499" customWidth="1"/>
    <col min="4" max="4" width="17.85546875" style="497" customWidth="1"/>
    <col min="5" max="5" width="26.7109375" style="497" customWidth="1"/>
    <col min="6" max="6" width="23.5703125" style="497" customWidth="1"/>
    <col min="7" max="7" width="17.140625" style="481" customWidth="1"/>
    <col min="8" max="8" width="20.7109375" style="481" customWidth="1"/>
    <col min="9" max="16384" width="11.42578125" style="481"/>
  </cols>
  <sheetData>
    <row r="1" spans="1:8" ht="15.75" x14ac:dyDescent="0.25">
      <c r="A1" s="576" t="s">
        <v>365</v>
      </c>
      <c r="B1" s="576"/>
      <c r="C1" s="576"/>
      <c r="D1" s="576"/>
      <c r="E1" s="576"/>
      <c r="F1" s="576"/>
      <c r="G1" s="576"/>
      <c r="H1" s="576"/>
    </row>
    <row r="2" spans="1:8" ht="15.75" x14ac:dyDescent="0.25">
      <c r="A2" s="306"/>
      <c r="B2" s="306"/>
      <c r="C2" s="306"/>
      <c r="D2" s="306"/>
      <c r="E2" s="306"/>
      <c r="F2" s="306"/>
    </row>
    <row r="3" spans="1:8" s="482" customFormat="1" ht="15.75" x14ac:dyDescent="0.25">
      <c r="A3" s="462" t="s">
        <v>76</v>
      </c>
      <c r="B3" s="463" t="s">
        <v>348</v>
      </c>
      <c r="C3" s="465"/>
      <c r="D3" s="466"/>
      <c r="E3" s="466"/>
      <c r="F3" s="466"/>
    </row>
    <row r="4" spans="1:8" s="482" customFormat="1" ht="15.75" x14ac:dyDescent="0.25">
      <c r="A4" s="462" t="s">
        <v>78</v>
      </c>
      <c r="B4" s="463" t="s">
        <v>366</v>
      </c>
      <c r="C4" s="465"/>
      <c r="D4" s="466"/>
      <c r="E4" s="466"/>
      <c r="F4" s="466"/>
    </row>
    <row r="5" spans="1:8" s="482" customFormat="1" ht="15.75" x14ac:dyDescent="0.25">
      <c r="A5" s="462" t="s">
        <v>80</v>
      </c>
      <c r="B5" s="463" t="s">
        <v>367</v>
      </c>
      <c r="C5" s="468"/>
      <c r="D5" s="469"/>
      <c r="E5" s="469"/>
      <c r="F5" s="469"/>
    </row>
    <row r="6" spans="1:8" s="482" customFormat="1" ht="15.75" x14ac:dyDescent="0.25">
      <c r="A6" s="462" t="s">
        <v>349</v>
      </c>
      <c r="B6" s="463" t="s">
        <v>83</v>
      </c>
      <c r="C6" s="468"/>
      <c r="D6" s="469"/>
      <c r="E6" s="469"/>
      <c r="F6" s="469"/>
    </row>
    <row r="7" spans="1:8" s="482" customFormat="1" ht="15.75" x14ac:dyDescent="0.25">
      <c r="A7" s="462" t="s">
        <v>84</v>
      </c>
      <c r="B7" s="483">
        <v>0.3</v>
      </c>
      <c r="C7" s="468"/>
      <c r="D7" s="469"/>
      <c r="E7" s="469"/>
      <c r="F7" s="469"/>
    </row>
    <row r="8" spans="1:8" s="482" customFormat="1" ht="15" customHeight="1" x14ac:dyDescent="0.25">
      <c r="A8" s="158"/>
      <c r="B8" s="484"/>
      <c r="C8" s="485"/>
      <c r="D8" s="486"/>
      <c r="E8" s="486"/>
      <c r="F8" s="486"/>
    </row>
    <row r="9" spans="1:8" s="482" customFormat="1" ht="15" customHeight="1" x14ac:dyDescent="0.25">
      <c r="A9" s="158"/>
      <c r="B9" s="484"/>
      <c r="C9" s="485"/>
      <c r="D9" s="486"/>
      <c r="E9" s="486"/>
      <c r="F9" s="486"/>
    </row>
    <row r="10" spans="1:8" s="488" customFormat="1" ht="15.75" x14ac:dyDescent="0.25">
      <c r="A10" s="676"/>
      <c r="B10" s="676"/>
      <c r="C10" s="487"/>
      <c r="D10" s="487"/>
      <c r="E10" s="612" t="s">
        <v>85</v>
      </c>
      <c r="F10" s="612"/>
      <c r="G10" s="612"/>
      <c r="H10" s="612"/>
    </row>
    <row r="11" spans="1:8" s="488" customFormat="1" ht="31.5" x14ac:dyDescent="0.25">
      <c r="A11" s="489" t="s">
        <v>350</v>
      </c>
      <c r="B11" s="270" t="s">
        <v>368</v>
      </c>
      <c r="C11" s="489" t="s">
        <v>369</v>
      </c>
      <c r="D11" s="270" t="s">
        <v>3</v>
      </c>
      <c r="E11" s="394" t="s">
        <v>89</v>
      </c>
      <c r="F11" s="394" t="s">
        <v>109</v>
      </c>
      <c r="G11" s="394" t="s">
        <v>110</v>
      </c>
      <c r="H11" s="394" t="s">
        <v>111</v>
      </c>
    </row>
    <row r="12" spans="1:8" ht="47.25" x14ac:dyDescent="0.25">
      <c r="A12" s="87">
        <v>1</v>
      </c>
      <c r="B12" s="88" t="s">
        <v>93</v>
      </c>
      <c r="C12" s="136" t="s">
        <v>370</v>
      </c>
      <c r="D12" s="136">
        <v>30</v>
      </c>
      <c r="E12" s="490"/>
      <c r="F12" s="490"/>
      <c r="G12" s="491"/>
      <c r="H12" s="491"/>
    </row>
    <row r="13" spans="1:8" ht="63" x14ac:dyDescent="0.25">
      <c r="A13" s="586">
        <v>2</v>
      </c>
      <c r="B13" s="560" t="s">
        <v>371</v>
      </c>
      <c r="C13" s="492" t="s">
        <v>372</v>
      </c>
      <c r="D13" s="493">
        <v>20</v>
      </c>
      <c r="E13" s="494"/>
      <c r="F13" s="494"/>
      <c r="G13" s="495"/>
      <c r="H13" s="495"/>
    </row>
    <row r="14" spans="1:8" ht="31.5" x14ac:dyDescent="0.25">
      <c r="A14" s="588"/>
      <c r="B14" s="562"/>
      <c r="C14" s="496" t="s">
        <v>373</v>
      </c>
      <c r="D14" s="132">
        <v>20</v>
      </c>
      <c r="E14" s="494"/>
      <c r="F14" s="494"/>
      <c r="G14" s="495"/>
      <c r="H14" s="495"/>
    </row>
    <row r="15" spans="1:8" ht="36.75" customHeight="1" x14ac:dyDescent="0.25">
      <c r="A15" s="586">
        <v>3</v>
      </c>
      <c r="B15" s="560" t="s">
        <v>99</v>
      </c>
      <c r="C15" s="677" t="s">
        <v>374</v>
      </c>
      <c r="D15" s="678">
        <v>30</v>
      </c>
      <c r="E15" s="672"/>
      <c r="F15" s="672"/>
      <c r="G15" s="674"/>
      <c r="H15" s="674"/>
    </row>
    <row r="16" spans="1:8" ht="26.25" customHeight="1" x14ac:dyDescent="0.25">
      <c r="A16" s="588"/>
      <c r="B16" s="562"/>
      <c r="C16" s="677"/>
      <c r="D16" s="679"/>
      <c r="E16" s="673"/>
      <c r="F16" s="673"/>
      <c r="G16" s="675"/>
      <c r="H16" s="675"/>
    </row>
    <row r="17" spans="2:4" ht="15.75" x14ac:dyDescent="0.25">
      <c r="C17" s="100" t="s">
        <v>107</v>
      </c>
      <c r="D17" s="210">
        <v>100</v>
      </c>
    </row>
    <row r="18" spans="2:4" s="497" customFormat="1" x14ac:dyDescent="0.25">
      <c r="B18" s="481"/>
      <c r="C18" s="498"/>
    </row>
  </sheetData>
  <mergeCells count="13">
    <mergeCell ref="F15:F16"/>
    <mergeCell ref="G15:G16"/>
    <mergeCell ref="H15:H16"/>
    <mergeCell ref="A1:H1"/>
    <mergeCell ref="A10:B10"/>
    <mergeCell ref="E10:H10"/>
    <mergeCell ref="A13:A14"/>
    <mergeCell ref="B13:B14"/>
    <mergeCell ref="A15:A16"/>
    <mergeCell ref="B15:B16"/>
    <mergeCell ref="C15:C16"/>
    <mergeCell ref="D15:D16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5</vt:i4>
      </vt:variant>
    </vt:vector>
  </HeadingPairs>
  <TitlesOfParts>
    <vt:vector size="27" baseType="lpstr">
      <vt:lpstr> Indice ajustado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 Indice ajustado vin..</vt:lpstr>
      <vt:lpstr>14</vt:lpstr>
      <vt:lpstr>15 </vt:lpstr>
      <vt:lpstr>16</vt:lpstr>
      <vt:lpstr>17 </vt:lpstr>
      <vt:lpstr>18</vt:lpstr>
      <vt:lpstr>19</vt:lpstr>
      <vt:lpstr>20</vt:lpstr>
      <vt:lpstr>' Indice ajustado vin..'!Área_de_impresión</vt:lpstr>
      <vt:lpstr>'14'!Área_de_impresión</vt:lpstr>
      <vt:lpstr>'15 '!Área_de_impresión</vt:lpstr>
      <vt:lpstr>'16'!Área_de_impresión</vt:lpstr>
      <vt:lpstr>'17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GUEVARA RODRIGUEZ ROSA MARIANELA</dc:creator>
  <cp:lastModifiedBy>EVALUACIÓN DOCENTE</cp:lastModifiedBy>
  <cp:lastPrinted>2026-01-12T18:34:24Z</cp:lastPrinted>
  <dcterms:created xsi:type="dcterms:W3CDTF">2025-04-28T14:24:26Z</dcterms:created>
  <dcterms:modified xsi:type="dcterms:W3CDTF">2026-04-13T21:40:23Z</dcterms:modified>
</cp:coreProperties>
</file>