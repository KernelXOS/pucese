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uceseedu-my.sharepoint.com/personal/gjzambranod_pucese_edu_ec/Documents/INDICADORES DE AUXILIAR ACADEMICA/INFORMACION QUITO_EVAL/ENVIAR/"/>
    </mc:Choice>
  </mc:AlternateContent>
  <xr:revisionPtr revIDLastSave="0" documentId="8_{9175458F-553E-4A98-9357-96A311ED84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  <sheet name="Sheet 1 (2)" sheetId="3" state="hidden" r:id="rId2"/>
    <sheet name="Sheet 1 (3)" sheetId="4" state="hidden" r:id="rId3"/>
    <sheet name="Sheet 1 (4)" sheetId="5" state="hidden" r:id="rId4"/>
  </sheets>
  <definedNames>
    <definedName name="_xlnm._FilterDatabase" localSheetId="0" hidden="1">'Sheet 1'!$A$4:$BA$193</definedName>
    <definedName name="_xlnm._FilterDatabase" localSheetId="1" hidden="1">'Sheet 1 (2)'!$A$4:$AU$239</definedName>
    <definedName name="_xlnm._FilterDatabase" localSheetId="2" hidden="1">'Sheet 1 (3)'!$A$4:$AU$237</definedName>
    <definedName name="_xlnm._FilterDatabase" localSheetId="3" hidden="1">'Sheet 1 (4)'!$A$4:$AU$235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35" i="5" l="1"/>
  <c r="AM235" i="5"/>
  <c r="AI235" i="5"/>
  <c r="AE235" i="5"/>
  <c r="Z235" i="5"/>
  <c r="U235" i="5"/>
  <c r="R235" i="5"/>
  <c r="M235" i="5"/>
  <c r="I235" i="5"/>
  <c r="AR234" i="5"/>
  <c r="AM234" i="5"/>
  <c r="AI234" i="5"/>
  <c r="AE234" i="5"/>
  <c r="Z234" i="5"/>
  <c r="U234" i="5"/>
  <c r="R234" i="5"/>
  <c r="M234" i="5"/>
  <c r="I234" i="5"/>
  <c r="AR233" i="5"/>
  <c r="AM233" i="5"/>
  <c r="AI233" i="5"/>
  <c r="AE233" i="5"/>
  <c r="Z233" i="5"/>
  <c r="U233" i="5"/>
  <c r="R233" i="5"/>
  <c r="M233" i="5"/>
  <c r="I233" i="5"/>
  <c r="AR232" i="5"/>
  <c r="AM232" i="5"/>
  <c r="AI232" i="5"/>
  <c r="AE232" i="5"/>
  <c r="Z232" i="5"/>
  <c r="U232" i="5"/>
  <c r="R232" i="5"/>
  <c r="M232" i="5"/>
  <c r="I232" i="5"/>
  <c r="AR231" i="5"/>
  <c r="AM231" i="5"/>
  <c r="AI231" i="5"/>
  <c r="AE231" i="5"/>
  <c r="Z231" i="5"/>
  <c r="U231" i="5"/>
  <c r="R231" i="5"/>
  <c r="M231" i="5"/>
  <c r="I231" i="5"/>
  <c r="AR230" i="5"/>
  <c r="AM230" i="5"/>
  <c r="AI230" i="5"/>
  <c r="AE230" i="5"/>
  <c r="Z230" i="5"/>
  <c r="U230" i="5"/>
  <c r="R230" i="5"/>
  <c r="M230" i="5"/>
  <c r="I230" i="5"/>
  <c r="AR229" i="5"/>
  <c r="AM229" i="5"/>
  <c r="AI229" i="5"/>
  <c r="AE229" i="5"/>
  <c r="Z229" i="5"/>
  <c r="U229" i="5"/>
  <c r="R229" i="5"/>
  <c r="M229" i="5"/>
  <c r="I229" i="5"/>
  <c r="AR228" i="5"/>
  <c r="AM228" i="5"/>
  <c r="AI228" i="5"/>
  <c r="AE228" i="5"/>
  <c r="Z228" i="5"/>
  <c r="U228" i="5"/>
  <c r="R228" i="5"/>
  <c r="M228" i="5"/>
  <c r="I228" i="5"/>
  <c r="AR227" i="5"/>
  <c r="AM227" i="5"/>
  <c r="AI227" i="5"/>
  <c r="AE227" i="5"/>
  <c r="Z227" i="5"/>
  <c r="U227" i="5"/>
  <c r="R227" i="5"/>
  <c r="M227" i="5"/>
  <c r="I227" i="5"/>
  <c r="AR226" i="5"/>
  <c r="AM226" i="5"/>
  <c r="AI226" i="5"/>
  <c r="AE226" i="5"/>
  <c r="Z226" i="5"/>
  <c r="U226" i="5"/>
  <c r="R226" i="5"/>
  <c r="M226" i="5"/>
  <c r="I226" i="5"/>
  <c r="AR225" i="5"/>
  <c r="AM225" i="5"/>
  <c r="AI225" i="5"/>
  <c r="AE225" i="5"/>
  <c r="Z225" i="5"/>
  <c r="U225" i="5"/>
  <c r="R225" i="5"/>
  <c r="M225" i="5"/>
  <c r="I225" i="5"/>
  <c r="AR224" i="5"/>
  <c r="AM224" i="5"/>
  <c r="AI224" i="5"/>
  <c r="AE224" i="5"/>
  <c r="Z224" i="5"/>
  <c r="U224" i="5"/>
  <c r="R224" i="5"/>
  <c r="M224" i="5"/>
  <c r="I224" i="5"/>
  <c r="AR223" i="5"/>
  <c r="AM223" i="5"/>
  <c r="AI223" i="5"/>
  <c r="AE223" i="5"/>
  <c r="Z223" i="5"/>
  <c r="U223" i="5"/>
  <c r="R223" i="5"/>
  <c r="M223" i="5"/>
  <c r="I223" i="5"/>
  <c r="AR222" i="5"/>
  <c r="AM222" i="5"/>
  <c r="AI222" i="5"/>
  <c r="AE222" i="5"/>
  <c r="Z222" i="5"/>
  <c r="AU222" i="5" s="1"/>
  <c r="U222" i="5"/>
  <c r="R222" i="5"/>
  <c r="M222" i="5"/>
  <c r="I222" i="5"/>
  <c r="AR221" i="5"/>
  <c r="AM221" i="5"/>
  <c r="AI221" i="5"/>
  <c r="AE221" i="5"/>
  <c r="Z221" i="5"/>
  <c r="U221" i="5"/>
  <c r="R221" i="5"/>
  <c r="M221" i="5"/>
  <c r="I221" i="5"/>
  <c r="AR220" i="5"/>
  <c r="AM220" i="5"/>
  <c r="AI220" i="5"/>
  <c r="AE220" i="5"/>
  <c r="Z220" i="5"/>
  <c r="U220" i="5"/>
  <c r="R220" i="5"/>
  <c r="M220" i="5"/>
  <c r="I220" i="5"/>
  <c r="AR219" i="5"/>
  <c r="AM219" i="5"/>
  <c r="AI219" i="5"/>
  <c r="AE219" i="5"/>
  <c r="Z219" i="5"/>
  <c r="U219" i="5"/>
  <c r="R219" i="5"/>
  <c r="M219" i="5"/>
  <c r="I219" i="5"/>
  <c r="AR218" i="5"/>
  <c r="AM218" i="5"/>
  <c r="AI218" i="5"/>
  <c r="AE218" i="5"/>
  <c r="Z218" i="5"/>
  <c r="U218" i="5"/>
  <c r="R218" i="5"/>
  <c r="M218" i="5"/>
  <c r="I218" i="5"/>
  <c r="AR217" i="5"/>
  <c r="AM217" i="5"/>
  <c r="AI217" i="5"/>
  <c r="AE217" i="5"/>
  <c r="Z217" i="5"/>
  <c r="U217" i="5"/>
  <c r="R217" i="5"/>
  <c r="M217" i="5"/>
  <c r="I217" i="5"/>
  <c r="AR216" i="5"/>
  <c r="AM216" i="5"/>
  <c r="AI216" i="5"/>
  <c r="AE216" i="5"/>
  <c r="Z216" i="5"/>
  <c r="U216" i="5"/>
  <c r="R216" i="5"/>
  <c r="M216" i="5"/>
  <c r="I216" i="5"/>
  <c r="AR215" i="5"/>
  <c r="AM215" i="5"/>
  <c r="AI215" i="5"/>
  <c r="AE215" i="5"/>
  <c r="Z215" i="5"/>
  <c r="U215" i="5"/>
  <c r="R215" i="5"/>
  <c r="M215" i="5"/>
  <c r="I215" i="5"/>
  <c r="AR214" i="5"/>
  <c r="AM214" i="5"/>
  <c r="AI214" i="5"/>
  <c r="AE214" i="5"/>
  <c r="Z214" i="5"/>
  <c r="AU214" i="5" s="1"/>
  <c r="U214" i="5"/>
  <c r="R214" i="5"/>
  <c r="M214" i="5"/>
  <c r="I214" i="5"/>
  <c r="AR213" i="5"/>
  <c r="AM213" i="5"/>
  <c r="AI213" i="5"/>
  <c r="AE213" i="5"/>
  <c r="Z213" i="5"/>
  <c r="U213" i="5"/>
  <c r="R213" i="5"/>
  <c r="M213" i="5"/>
  <c r="I213" i="5"/>
  <c r="AR212" i="5"/>
  <c r="AM212" i="5"/>
  <c r="AI212" i="5"/>
  <c r="AE212" i="5"/>
  <c r="Z212" i="5"/>
  <c r="U212" i="5"/>
  <c r="R212" i="5"/>
  <c r="M212" i="5"/>
  <c r="I212" i="5"/>
  <c r="AR211" i="5"/>
  <c r="AM211" i="5"/>
  <c r="AI211" i="5"/>
  <c r="AE211" i="5"/>
  <c r="Z211" i="5"/>
  <c r="U211" i="5"/>
  <c r="R211" i="5"/>
  <c r="M211" i="5"/>
  <c r="I211" i="5"/>
  <c r="AR210" i="5"/>
  <c r="AM210" i="5"/>
  <c r="AI210" i="5"/>
  <c r="AE210" i="5"/>
  <c r="Z210" i="5"/>
  <c r="U210" i="5"/>
  <c r="R210" i="5"/>
  <c r="M210" i="5"/>
  <c r="I210" i="5"/>
  <c r="AR209" i="5"/>
  <c r="AM209" i="5"/>
  <c r="AI209" i="5"/>
  <c r="AE209" i="5"/>
  <c r="Z209" i="5"/>
  <c r="U209" i="5"/>
  <c r="R209" i="5"/>
  <c r="M209" i="5"/>
  <c r="I209" i="5"/>
  <c r="AR208" i="5"/>
  <c r="AM208" i="5"/>
  <c r="AI208" i="5"/>
  <c r="AE208" i="5"/>
  <c r="Z208" i="5"/>
  <c r="U208" i="5"/>
  <c r="R208" i="5"/>
  <c r="M208" i="5"/>
  <c r="I208" i="5"/>
  <c r="AR207" i="5"/>
  <c r="AM207" i="5"/>
  <c r="AI207" i="5"/>
  <c r="AE207" i="5"/>
  <c r="Z207" i="5"/>
  <c r="U207" i="5"/>
  <c r="R207" i="5"/>
  <c r="M207" i="5"/>
  <c r="I207" i="5"/>
  <c r="AR206" i="5"/>
  <c r="AM206" i="5"/>
  <c r="AI206" i="5"/>
  <c r="AE206" i="5"/>
  <c r="Z206" i="5"/>
  <c r="U206" i="5"/>
  <c r="R206" i="5"/>
  <c r="M206" i="5"/>
  <c r="I206" i="5"/>
  <c r="AR205" i="5"/>
  <c r="AM205" i="5"/>
  <c r="AI205" i="5"/>
  <c r="AE205" i="5"/>
  <c r="Z205" i="5"/>
  <c r="U205" i="5"/>
  <c r="R205" i="5"/>
  <c r="M205" i="5"/>
  <c r="I205" i="5"/>
  <c r="AR204" i="5"/>
  <c r="AM204" i="5"/>
  <c r="AI204" i="5"/>
  <c r="AE204" i="5"/>
  <c r="Z204" i="5"/>
  <c r="U204" i="5"/>
  <c r="R204" i="5"/>
  <c r="M204" i="5"/>
  <c r="I204" i="5"/>
  <c r="AR203" i="5"/>
  <c r="AM203" i="5"/>
  <c r="AI203" i="5"/>
  <c r="AE203" i="5"/>
  <c r="Z203" i="5"/>
  <c r="U203" i="5"/>
  <c r="R203" i="5"/>
  <c r="M203" i="5"/>
  <c r="I203" i="5"/>
  <c r="AR202" i="5"/>
  <c r="AM202" i="5"/>
  <c r="AI202" i="5"/>
  <c r="AE202" i="5"/>
  <c r="Z202" i="5"/>
  <c r="U202" i="5"/>
  <c r="R202" i="5"/>
  <c r="M202" i="5"/>
  <c r="I202" i="5"/>
  <c r="AR201" i="5"/>
  <c r="AM201" i="5"/>
  <c r="AI201" i="5"/>
  <c r="AE201" i="5"/>
  <c r="Z201" i="5"/>
  <c r="U201" i="5"/>
  <c r="R201" i="5"/>
  <c r="M201" i="5"/>
  <c r="I201" i="5"/>
  <c r="AR200" i="5"/>
  <c r="AM200" i="5"/>
  <c r="AI200" i="5"/>
  <c r="AE200" i="5"/>
  <c r="Z200" i="5"/>
  <c r="U200" i="5"/>
  <c r="R200" i="5"/>
  <c r="M200" i="5"/>
  <c r="I200" i="5"/>
  <c r="AR199" i="5"/>
  <c r="AM199" i="5"/>
  <c r="AI199" i="5"/>
  <c r="AE199" i="5"/>
  <c r="Z199" i="5"/>
  <c r="U199" i="5"/>
  <c r="R199" i="5"/>
  <c r="M199" i="5"/>
  <c r="I199" i="5"/>
  <c r="AR198" i="5"/>
  <c r="AM198" i="5"/>
  <c r="AI198" i="5"/>
  <c r="AE198" i="5"/>
  <c r="Z198" i="5"/>
  <c r="U198" i="5"/>
  <c r="R198" i="5"/>
  <c r="M198" i="5"/>
  <c r="I198" i="5"/>
  <c r="AR197" i="5"/>
  <c r="AM197" i="5"/>
  <c r="AI197" i="5"/>
  <c r="AE197" i="5"/>
  <c r="Z197" i="5"/>
  <c r="U197" i="5"/>
  <c r="R197" i="5"/>
  <c r="M197" i="5"/>
  <c r="I197" i="5"/>
  <c r="AR196" i="5"/>
  <c r="AM196" i="5"/>
  <c r="AI196" i="5"/>
  <c r="AE196" i="5"/>
  <c r="Z196" i="5"/>
  <c r="U196" i="5"/>
  <c r="R196" i="5"/>
  <c r="M196" i="5"/>
  <c r="I196" i="5"/>
  <c r="AR195" i="5"/>
  <c r="AM195" i="5"/>
  <c r="AI195" i="5"/>
  <c r="AE195" i="5"/>
  <c r="Z195" i="5"/>
  <c r="U195" i="5"/>
  <c r="R195" i="5"/>
  <c r="M195" i="5"/>
  <c r="I195" i="5"/>
  <c r="AR194" i="5"/>
  <c r="AM194" i="5"/>
  <c r="AI194" i="5"/>
  <c r="AE194" i="5"/>
  <c r="Z194" i="5"/>
  <c r="U194" i="5"/>
  <c r="R194" i="5"/>
  <c r="M194" i="5"/>
  <c r="I194" i="5"/>
  <c r="AR193" i="5"/>
  <c r="AM193" i="5"/>
  <c r="AI193" i="5"/>
  <c r="AE193" i="5"/>
  <c r="Z193" i="5"/>
  <c r="U193" i="5"/>
  <c r="R193" i="5"/>
  <c r="M193" i="5"/>
  <c r="I193" i="5"/>
  <c r="AR192" i="5"/>
  <c r="AM192" i="5"/>
  <c r="AI192" i="5"/>
  <c r="AE192" i="5"/>
  <c r="Z192" i="5"/>
  <c r="U192" i="5"/>
  <c r="R192" i="5"/>
  <c r="M192" i="5"/>
  <c r="I192" i="5"/>
  <c r="AR191" i="5"/>
  <c r="AM191" i="5"/>
  <c r="AI191" i="5"/>
  <c r="AE191" i="5"/>
  <c r="Z191" i="5"/>
  <c r="U191" i="5"/>
  <c r="R191" i="5"/>
  <c r="M191" i="5"/>
  <c r="I191" i="5"/>
  <c r="AR190" i="5"/>
  <c r="AM190" i="5"/>
  <c r="AI190" i="5"/>
  <c r="AE190" i="5"/>
  <c r="Z190" i="5"/>
  <c r="U190" i="5"/>
  <c r="R190" i="5"/>
  <c r="M190" i="5"/>
  <c r="I190" i="5"/>
  <c r="AR189" i="5"/>
  <c r="AM189" i="5"/>
  <c r="AI189" i="5"/>
  <c r="AE189" i="5"/>
  <c r="Z189" i="5"/>
  <c r="U189" i="5"/>
  <c r="R189" i="5"/>
  <c r="M189" i="5"/>
  <c r="I189" i="5"/>
  <c r="AR188" i="5"/>
  <c r="AM188" i="5"/>
  <c r="AI188" i="5"/>
  <c r="AE188" i="5"/>
  <c r="Z188" i="5"/>
  <c r="U188" i="5"/>
  <c r="R188" i="5"/>
  <c r="M188" i="5"/>
  <c r="I188" i="5"/>
  <c r="AR187" i="5"/>
  <c r="AM187" i="5"/>
  <c r="AI187" i="5"/>
  <c r="AE187" i="5"/>
  <c r="Z187" i="5"/>
  <c r="U187" i="5"/>
  <c r="R187" i="5"/>
  <c r="M187" i="5"/>
  <c r="I187" i="5"/>
  <c r="AR186" i="5"/>
  <c r="AM186" i="5"/>
  <c r="AI186" i="5"/>
  <c r="AE186" i="5"/>
  <c r="Z186" i="5"/>
  <c r="U186" i="5"/>
  <c r="R186" i="5"/>
  <c r="M186" i="5"/>
  <c r="I186" i="5"/>
  <c r="AR185" i="5"/>
  <c r="AM185" i="5"/>
  <c r="AI185" i="5"/>
  <c r="AE185" i="5"/>
  <c r="Z185" i="5"/>
  <c r="U185" i="5"/>
  <c r="R185" i="5"/>
  <c r="M185" i="5"/>
  <c r="I185" i="5"/>
  <c r="AR184" i="5"/>
  <c r="AM184" i="5"/>
  <c r="AI184" i="5"/>
  <c r="AE184" i="5"/>
  <c r="Z184" i="5"/>
  <c r="U184" i="5"/>
  <c r="R184" i="5"/>
  <c r="M184" i="5"/>
  <c r="I184" i="5"/>
  <c r="AR183" i="5"/>
  <c r="AM183" i="5"/>
  <c r="AI183" i="5"/>
  <c r="AE183" i="5"/>
  <c r="Z183" i="5"/>
  <c r="U183" i="5"/>
  <c r="R183" i="5"/>
  <c r="M183" i="5"/>
  <c r="I183" i="5"/>
  <c r="AR182" i="5"/>
  <c r="AM182" i="5"/>
  <c r="AI182" i="5"/>
  <c r="AE182" i="5"/>
  <c r="Z182" i="5"/>
  <c r="U182" i="5"/>
  <c r="R182" i="5"/>
  <c r="M182" i="5"/>
  <c r="I182" i="5"/>
  <c r="AR181" i="5"/>
  <c r="AM181" i="5"/>
  <c r="AI181" i="5"/>
  <c r="AE181" i="5"/>
  <c r="Z181" i="5"/>
  <c r="U181" i="5"/>
  <c r="R181" i="5"/>
  <c r="M181" i="5"/>
  <c r="I181" i="5"/>
  <c r="AR180" i="5"/>
  <c r="AM180" i="5"/>
  <c r="AI180" i="5"/>
  <c r="AE180" i="5"/>
  <c r="Z180" i="5"/>
  <c r="U180" i="5"/>
  <c r="R180" i="5"/>
  <c r="M180" i="5"/>
  <c r="I180" i="5"/>
  <c r="AR179" i="5"/>
  <c r="AM179" i="5"/>
  <c r="AI179" i="5"/>
  <c r="AE179" i="5"/>
  <c r="Z179" i="5"/>
  <c r="U179" i="5"/>
  <c r="R179" i="5"/>
  <c r="M179" i="5"/>
  <c r="I179" i="5"/>
  <c r="AR178" i="5"/>
  <c r="AM178" i="5"/>
  <c r="AI178" i="5"/>
  <c r="AE178" i="5"/>
  <c r="Z178" i="5"/>
  <c r="U178" i="5"/>
  <c r="R178" i="5"/>
  <c r="M178" i="5"/>
  <c r="I178" i="5"/>
  <c r="AR177" i="5"/>
  <c r="AM177" i="5"/>
  <c r="AI177" i="5"/>
  <c r="AE177" i="5"/>
  <c r="Z177" i="5"/>
  <c r="U177" i="5"/>
  <c r="R177" i="5"/>
  <c r="M177" i="5"/>
  <c r="I177" i="5"/>
  <c r="AR176" i="5"/>
  <c r="AM176" i="5"/>
  <c r="AI176" i="5"/>
  <c r="AE176" i="5"/>
  <c r="Z176" i="5"/>
  <c r="U176" i="5"/>
  <c r="R176" i="5"/>
  <c r="M176" i="5"/>
  <c r="I176" i="5"/>
  <c r="AR175" i="5"/>
  <c r="AM175" i="5"/>
  <c r="AI175" i="5"/>
  <c r="AE175" i="5"/>
  <c r="Z175" i="5"/>
  <c r="U175" i="5"/>
  <c r="R175" i="5"/>
  <c r="M175" i="5"/>
  <c r="AU175" i="5" s="1"/>
  <c r="I175" i="5"/>
  <c r="AR174" i="5"/>
  <c r="AM174" i="5"/>
  <c r="AI174" i="5"/>
  <c r="AE174" i="5"/>
  <c r="Z174" i="5"/>
  <c r="U174" i="5"/>
  <c r="R174" i="5"/>
  <c r="M174" i="5"/>
  <c r="I174" i="5"/>
  <c r="AR173" i="5"/>
  <c r="AM173" i="5"/>
  <c r="AI173" i="5"/>
  <c r="AE173" i="5"/>
  <c r="Z173" i="5"/>
  <c r="U173" i="5"/>
  <c r="R173" i="5"/>
  <c r="M173" i="5"/>
  <c r="I173" i="5"/>
  <c r="AR172" i="5"/>
  <c r="AM172" i="5"/>
  <c r="AI172" i="5"/>
  <c r="AE172" i="5"/>
  <c r="Z172" i="5"/>
  <c r="U172" i="5"/>
  <c r="R172" i="5"/>
  <c r="M172" i="5"/>
  <c r="I172" i="5"/>
  <c r="AR171" i="5"/>
  <c r="AM171" i="5"/>
  <c r="AI171" i="5"/>
  <c r="AE171" i="5"/>
  <c r="Z171" i="5"/>
  <c r="U171" i="5"/>
  <c r="R171" i="5"/>
  <c r="M171" i="5"/>
  <c r="I171" i="5"/>
  <c r="AR170" i="5"/>
  <c r="AM170" i="5"/>
  <c r="AI170" i="5"/>
  <c r="AE170" i="5"/>
  <c r="Z170" i="5"/>
  <c r="U170" i="5"/>
  <c r="R170" i="5"/>
  <c r="M170" i="5"/>
  <c r="I170" i="5"/>
  <c r="AR169" i="5"/>
  <c r="AM169" i="5"/>
  <c r="AI169" i="5"/>
  <c r="AE169" i="5"/>
  <c r="Z169" i="5"/>
  <c r="U169" i="5"/>
  <c r="R169" i="5"/>
  <c r="M169" i="5"/>
  <c r="I169" i="5"/>
  <c r="AR168" i="5"/>
  <c r="AM168" i="5"/>
  <c r="AI168" i="5"/>
  <c r="AE168" i="5"/>
  <c r="Z168" i="5"/>
  <c r="U168" i="5"/>
  <c r="R168" i="5"/>
  <c r="M168" i="5"/>
  <c r="I168" i="5"/>
  <c r="AR167" i="5"/>
  <c r="AM167" i="5"/>
  <c r="AI167" i="5"/>
  <c r="AE167" i="5"/>
  <c r="Z167" i="5"/>
  <c r="U167" i="5"/>
  <c r="R167" i="5"/>
  <c r="M167" i="5"/>
  <c r="I167" i="5"/>
  <c r="AR166" i="5"/>
  <c r="AM166" i="5"/>
  <c r="AI166" i="5"/>
  <c r="AE166" i="5"/>
  <c r="Z166" i="5"/>
  <c r="U166" i="5"/>
  <c r="R166" i="5"/>
  <c r="M166" i="5"/>
  <c r="I166" i="5"/>
  <c r="AR165" i="5"/>
  <c r="AM165" i="5"/>
  <c r="AI165" i="5"/>
  <c r="AE165" i="5"/>
  <c r="Z165" i="5"/>
  <c r="U165" i="5"/>
  <c r="R165" i="5"/>
  <c r="M165" i="5"/>
  <c r="I165" i="5"/>
  <c r="AR164" i="5"/>
  <c r="AM164" i="5"/>
  <c r="AI164" i="5"/>
  <c r="AE164" i="5"/>
  <c r="Z164" i="5"/>
  <c r="U164" i="5"/>
  <c r="R164" i="5"/>
  <c r="M164" i="5"/>
  <c r="I164" i="5"/>
  <c r="AR163" i="5"/>
  <c r="AM163" i="5"/>
  <c r="AI163" i="5"/>
  <c r="AE163" i="5"/>
  <c r="Z163" i="5"/>
  <c r="U163" i="5"/>
  <c r="R163" i="5"/>
  <c r="M163" i="5"/>
  <c r="I163" i="5"/>
  <c r="AR162" i="5"/>
  <c r="AM162" i="5"/>
  <c r="AI162" i="5"/>
  <c r="AE162" i="5"/>
  <c r="Z162" i="5"/>
  <c r="U162" i="5"/>
  <c r="R162" i="5"/>
  <c r="M162" i="5"/>
  <c r="I162" i="5"/>
  <c r="AR161" i="5"/>
  <c r="AM161" i="5"/>
  <c r="AI161" i="5"/>
  <c r="AE161" i="5"/>
  <c r="Z161" i="5"/>
  <c r="U161" i="5"/>
  <c r="R161" i="5"/>
  <c r="M161" i="5"/>
  <c r="I161" i="5"/>
  <c r="AR160" i="5"/>
  <c r="AM160" i="5"/>
  <c r="AI160" i="5"/>
  <c r="AE160" i="5"/>
  <c r="Z160" i="5"/>
  <c r="U160" i="5"/>
  <c r="R160" i="5"/>
  <c r="M160" i="5"/>
  <c r="I160" i="5"/>
  <c r="AR159" i="5"/>
  <c r="AM159" i="5"/>
  <c r="AI159" i="5"/>
  <c r="AE159" i="5"/>
  <c r="Z159" i="5"/>
  <c r="U159" i="5"/>
  <c r="R159" i="5"/>
  <c r="M159" i="5"/>
  <c r="I159" i="5"/>
  <c r="AR158" i="5"/>
  <c r="AM158" i="5"/>
  <c r="AI158" i="5"/>
  <c r="AE158" i="5"/>
  <c r="Z158" i="5"/>
  <c r="U158" i="5"/>
  <c r="R158" i="5"/>
  <c r="M158" i="5"/>
  <c r="I158" i="5"/>
  <c r="AR157" i="5"/>
  <c r="AM157" i="5"/>
  <c r="AI157" i="5"/>
  <c r="AE157" i="5"/>
  <c r="Z157" i="5"/>
  <c r="U157" i="5"/>
  <c r="R157" i="5"/>
  <c r="M157" i="5"/>
  <c r="I157" i="5"/>
  <c r="AR156" i="5"/>
  <c r="AM156" i="5"/>
  <c r="AI156" i="5"/>
  <c r="AE156" i="5"/>
  <c r="Z156" i="5"/>
  <c r="U156" i="5"/>
  <c r="R156" i="5"/>
  <c r="M156" i="5"/>
  <c r="I156" i="5"/>
  <c r="AR155" i="5"/>
  <c r="AM155" i="5"/>
  <c r="AI155" i="5"/>
  <c r="AE155" i="5"/>
  <c r="Z155" i="5"/>
  <c r="U155" i="5"/>
  <c r="R155" i="5"/>
  <c r="M155" i="5"/>
  <c r="I155" i="5"/>
  <c r="AR154" i="5"/>
  <c r="AM154" i="5"/>
  <c r="AI154" i="5"/>
  <c r="AE154" i="5"/>
  <c r="Z154" i="5"/>
  <c r="U154" i="5"/>
  <c r="R154" i="5"/>
  <c r="M154" i="5"/>
  <c r="I154" i="5"/>
  <c r="AR153" i="5"/>
  <c r="AM153" i="5"/>
  <c r="AI153" i="5"/>
  <c r="AE153" i="5"/>
  <c r="Z153" i="5"/>
  <c r="U153" i="5"/>
  <c r="R153" i="5"/>
  <c r="M153" i="5"/>
  <c r="I153" i="5"/>
  <c r="AR152" i="5"/>
  <c r="AM152" i="5"/>
  <c r="AI152" i="5"/>
  <c r="AE152" i="5"/>
  <c r="Z152" i="5"/>
  <c r="U152" i="5"/>
  <c r="R152" i="5"/>
  <c r="M152" i="5"/>
  <c r="I152" i="5"/>
  <c r="AR151" i="5"/>
  <c r="AM151" i="5"/>
  <c r="AI151" i="5"/>
  <c r="AE151" i="5"/>
  <c r="AU151" i="5" s="1"/>
  <c r="Z151" i="5"/>
  <c r="U151" i="5"/>
  <c r="R151" i="5"/>
  <c r="M151" i="5"/>
  <c r="I151" i="5"/>
  <c r="AR150" i="5"/>
  <c r="AM150" i="5"/>
  <c r="AI150" i="5"/>
  <c r="AE150" i="5"/>
  <c r="Z150" i="5"/>
  <c r="U150" i="5"/>
  <c r="R150" i="5"/>
  <c r="M150" i="5"/>
  <c r="I150" i="5"/>
  <c r="AR149" i="5"/>
  <c r="AM149" i="5"/>
  <c r="AI149" i="5"/>
  <c r="AE149" i="5"/>
  <c r="Z149" i="5"/>
  <c r="U149" i="5"/>
  <c r="R149" i="5"/>
  <c r="M149" i="5"/>
  <c r="I149" i="5"/>
  <c r="AR148" i="5"/>
  <c r="AM148" i="5"/>
  <c r="AI148" i="5"/>
  <c r="AE148" i="5"/>
  <c r="Z148" i="5"/>
  <c r="U148" i="5"/>
  <c r="R148" i="5"/>
  <c r="M148" i="5"/>
  <c r="I148" i="5"/>
  <c r="AR147" i="5"/>
  <c r="AM147" i="5"/>
  <c r="AI147" i="5"/>
  <c r="AE147" i="5"/>
  <c r="Z147" i="5"/>
  <c r="U147" i="5"/>
  <c r="R147" i="5"/>
  <c r="M147" i="5"/>
  <c r="I147" i="5"/>
  <c r="AR146" i="5"/>
  <c r="AM146" i="5"/>
  <c r="AI146" i="5"/>
  <c r="AE146" i="5"/>
  <c r="Z146" i="5"/>
  <c r="U146" i="5"/>
  <c r="R146" i="5"/>
  <c r="M146" i="5"/>
  <c r="I146" i="5"/>
  <c r="AR145" i="5"/>
  <c r="AM145" i="5"/>
  <c r="AI145" i="5"/>
  <c r="AE145" i="5"/>
  <c r="Z145" i="5"/>
  <c r="U145" i="5"/>
  <c r="R145" i="5"/>
  <c r="M145" i="5"/>
  <c r="I145" i="5"/>
  <c r="AR144" i="5"/>
  <c r="AM144" i="5"/>
  <c r="AI144" i="5"/>
  <c r="AE144" i="5"/>
  <c r="Z144" i="5"/>
  <c r="U144" i="5"/>
  <c r="R144" i="5"/>
  <c r="M144" i="5"/>
  <c r="I144" i="5"/>
  <c r="AR143" i="5"/>
  <c r="AM143" i="5"/>
  <c r="AI143" i="5"/>
  <c r="AE143" i="5"/>
  <c r="Z143" i="5"/>
  <c r="U143" i="5"/>
  <c r="R143" i="5"/>
  <c r="M143" i="5"/>
  <c r="AU143" i="5" s="1"/>
  <c r="I143" i="5"/>
  <c r="AR142" i="5"/>
  <c r="AM142" i="5"/>
  <c r="AI142" i="5"/>
  <c r="AE142" i="5"/>
  <c r="Z142" i="5"/>
  <c r="U142" i="5"/>
  <c r="R142" i="5"/>
  <c r="M142" i="5"/>
  <c r="I142" i="5"/>
  <c r="AR141" i="5"/>
  <c r="AM141" i="5"/>
  <c r="AI141" i="5"/>
  <c r="AE141" i="5"/>
  <c r="Z141" i="5"/>
  <c r="U141" i="5"/>
  <c r="R141" i="5"/>
  <c r="M141" i="5"/>
  <c r="I141" i="5"/>
  <c r="AR140" i="5"/>
  <c r="AM140" i="5"/>
  <c r="AI140" i="5"/>
  <c r="AE140" i="5"/>
  <c r="Z140" i="5"/>
  <c r="U140" i="5"/>
  <c r="R140" i="5"/>
  <c r="M140" i="5"/>
  <c r="I140" i="5"/>
  <c r="AR139" i="5"/>
  <c r="AM139" i="5"/>
  <c r="AI139" i="5"/>
  <c r="AE139" i="5"/>
  <c r="Z139" i="5"/>
  <c r="U139" i="5"/>
  <c r="R139" i="5"/>
  <c r="M139" i="5"/>
  <c r="I139" i="5"/>
  <c r="AR138" i="5"/>
  <c r="AM138" i="5"/>
  <c r="AI138" i="5"/>
  <c r="AE138" i="5"/>
  <c r="Z138" i="5"/>
  <c r="U138" i="5"/>
  <c r="R138" i="5"/>
  <c r="M138" i="5"/>
  <c r="I138" i="5"/>
  <c r="AR137" i="5"/>
  <c r="AM137" i="5"/>
  <c r="AI137" i="5"/>
  <c r="AE137" i="5"/>
  <c r="Z137" i="5"/>
  <c r="U137" i="5"/>
  <c r="R137" i="5"/>
  <c r="M137" i="5"/>
  <c r="I137" i="5"/>
  <c r="AR136" i="5"/>
  <c r="AM136" i="5"/>
  <c r="AI136" i="5"/>
  <c r="AE136" i="5"/>
  <c r="Z136" i="5"/>
  <c r="U136" i="5"/>
  <c r="R136" i="5"/>
  <c r="M136" i="5"/>
  <c r="I136" i="5"/>
  <c r="AR135" i="5"/>
  <c r="AM135" i="5"/>
  <c r="AI135" i="5"/>
  <c r="AE135" i="5"/>
  <c r="Z135" i="5"/>
  <c r="U135" i="5"/>
  <c r="R135" i="5"/>
  <c r="M135" i="5"/>
  <c r="I135" i="5"/>
  <c r="AR134" i="5"/>
  <c r="AM134" i="5"/>
  <c r="AI134" i="5"/>
  <c r="AE134" i="5"/>
  <c r="Z134" i="5"/>
  <c r="U134" i="5"/>
  <c r="R134" i="5"/>
  <c r="M134" i="5"/>
  <c r="I134" i="5"/>
  <c r="AR133" i="5"/>
  <c r="AM133" i="5"/>
  <c r="AI133" i="5"/>
  <c r="AE133" i="5"/>
  <c r="Z133" i="5"/>
  <c r="U133" i="5"/>
  <c r="R133" i="5"/>
  <c r="M133" i="5"/>
  <c r="I133" i="5"/>
  <c r="AR132" i="5"/>
  <c r="AM132" i="5"/>
  <c r="AI132" i="5"/>
  <c r="AE132" i="5"/>
  <c r="Z132" i="5"/>
  <c r="U132" i="5"/>
  <c r="R132" i="5"/>
  <c r="M132" i="5"/>
  <c r="I132" i="5"/>
  <c r="AR131" i="5"/>
  <c r="AM131" i="5"/>
  <c r="AI131" i="5"/>
  <c r="AE131" i="5"/>
  <c r="Z131" i="5"/>
  <c r="U131" i="5"/>
  <c r="R131" i="5"/>
  <c r="M131" i="5"/>
  <c r="I131" i="5"/>
  <c r="AR130" i="5"/>
  <c r="AM130" i="5"/>
  <c r="AI130" i="5"/>
  <c r="AE130" i="5"/>
  <c r="Z130" i="5"/>
  <c r="U130" i="5"/>
  <c r="R130" i="5"/>
  <c r="M130" i="5"/>
  <c r="I130" i="5"/>
  <c r="AR129" i="5"/>
  <c r="AM129" i="5"/>
  <c r="AI129" i="5"/>
  <c r="AE129" i="5"/>
  <c r="Z129" i="5"/>
  <c r="U129" i="5"/>
  <c r="R129" i="5"/>
  <c r="M129" i="5"/>
  <c r="I129" i="5"/>
  <c r="AR128" i="5"/>
  <c r="AM128" i="5"/>
  <c r="AI128" i="5"/>
  <c r="AE128" i="5"/>
  <c r="Z128" i="5"/>
  <c r="U128" i="5"/>
  <c r="R128" i="5"/>
  <c r="M128" i="5"/>
  <c r="I128" i="5"/>
  <c r="AR127" i="5"/>
  <c r="AM127" i="5"/>
  <c r="AI127" i="5"/>
  <c r="AE127" i="5"/>
  <c r="Z127" i="5"/>
  <c r="U127" i="5"/>
  <c r="R127" i="5"/>
  <c r="M127" i="5"/>
  <c r="I127" i="5"/>
  <c r="AR126" i="5"/>
  <c r="AM126" i="5"/>
  <c r="AI126" i="5"/>
  <c r="AE126" i="5"/>
  <c r="Z126" i="5"/>
  <c r="U126" i="5"/>
  <c r="R126" i="5"/>
  <c r="M126" i="5"/>
  <c r="I126" i="5"/>
  <c r="AR125" i="5"/>
  <c r="AM125" i="5"/>
  <c r="AI125" i="5"/>
  <c r="AE125" i="5"/>
  <c r="Z125" i="5"/>
  <c r="U125" i="5"/>
  <c r="R125" i="5"/>
  <c r="M125" i="5"/>
  <c r="I125" i="5"/>
  <c r="AR124" i="5"/>
  <c r="AM124" i="5"/>
  <c r="AI124" i="5"/>
  <c r="AE124" i="5"/>
  <c r="Z124" i="5"/>
  <c r="AU124" i="5" s="1"/>
  <c r="U124" i="5"/>
  <c r="R124" i="5"/>
  <c r="M124" i="5"/>
  <c r="I124" i="5"/>
  <c r="AR123" i="5"/>
  <c r="AM123" i="5"/>
  <c r="AI123" i="5"/>
  <c r="AE123" i="5"/>
  <c r="Z123" i="5"/>
  <c r="U123" i="5"/>
  <c r="R123" i="5"/>
  <c r="M123" i="5"/>
  <c r="AU123" i="5" s="1"/>
  <c r="I123" i="5"/>
  <c r="AR122" i="5"/>
  <c r="AM122" i="5"/>
  <c r="AI122" i="5"/>
  <c r="AE122" i="5"/>
  <c r="Z122" i="5"/>
  <c r="U122" i="5"/>
  <c r="R122" i="5"/>
  <c r="M122" i="5"/>
  <c r="I122" i="5"/>
  <c r="AR121" i="5"/>
  <c r="AM121" i="5"/>
  <c r="AI121" i="5"/>
  <c r="AE121" i="5"/>
  <c r="Z121" i="5"/>
  <c r="U121" i="5"/>
  <c r="R121" i="5"/>
  <c r="M121" i="5"/>
  <c r="I121" i="5"/>
  <c r="AR120" i="5"/>
  <c r="AM120" i="5"/>
  <c r="AI120" i="5"/>
  <c r="AE120" i="5"/>
  <c r="Z120" i="5"/>
  <c r="U120" i="5"/>
  <c r="R120" i="5"/>
  <c r="M120" i="5"/>
  <c r="I120" i="5"/>
  <c r="AR119" i="5"/>
  <c r="AM119" i="5"/>
  <c r="AI119" i="5"/>
  <c r="AE119" i="5"/>
  <c r="Z119" i="5"/>
  <c r="AU119" i="5" s="1"/>
  <c r="U119" i="5"/>
  <c r="R119" i="5"/>
  <c r="M119" i="5"/>
  <c r="I119" i="5"/>
  <c r="AR118" i="5"/>
  <c r="AM118" i="5"/>
  <c r="AI118" i="5"/>
  <c r="AE118" i="5"/>
  <c r="Z118" i="5"/>
  <c r="AU118" i="5" s="1"/>
  <c r="U118" i="5"/>
  <c r="R118" i="5"/>
  <c r="M118" i="5"/>
  <c r="I118" i="5"/>
  <c r="AR117" i="5"/>
  <c r="AM117" i="5"/>
  <c r="AI117" i="5"/>
  <c r="AE117" i="5"/>
  <c r="Z117" i="5"/>
  <c r="U117" i="5"/>
  <c r="R117" i="5"/>
  <c r="M117" i="5"/>
  <c r="I117" i="5"/>
  <c r="AR116" i="5"/>
  <c r="AM116" i="5"/>
  <c r="AI116" i="5"/>
  <c r="AE116" i="5"/>
  <c r="Z116" i="5"/>
  <c r="U116" i="5"/>
  <c r="R116" i="5"/>
  <c r="M116" i="5"/>
  <c r="I116" i="5"/>
  <c r="AR115" i="5"/>
  <c r="AM115" i="5"/>
  <c r="AI115" i="5"/>
  <c r="AE115" i="5"/>
  <c r="Z115" i="5"/>
  <c r="U115" i="5"/>
  <c r="R115" i="5"/>
  <c r="M115" i="5"/>
  <c r="I115" i="5"/>
  <c r="AR114" i="5"/>
  <c r="AM114" i="5"/>
  <c r="AI114" i="5"/>
  <c r="AE114" i="5"/>
  <c r="Z114" i="5"/>
  <c r="U114" i="5"/>
  <c r="R114" i="5"/>
  <c r="M114" i="5"/>
  <c r="I114" i="5"/>
  <c r="AR113" i="5"/>
  <c r="AM113" i="5"/>
  <c r="AI113" i="5"/>
  <c r="AE113" i="5"/>
  <c r="Z113" i="5"/>
  <c r="U113" i="5"/>
  <c r="R113" i="5"/>
  <c r="M113" i="5"/>
  <c r="I113" i="5"/>
  <c r="AR112" i="5"/>
  <c r="AM112" i="5"/>
  <c r="AI112" i="5"/>
  <c r="AE112" i="5"/>
  <c r="Z112" i="5"/>
  <c r="AU112" i="5" s="1"/>
  <c r="U112" i="5"/>
  <c r="R112" i="5"/>
  <c r="M112" i="5"/>
  <c r="I112" i="5"/>
  <c r="AR111" i="5"/>
  <c r="AM111" i="5"/>
  <c r="AI111" i="5"/>
  <c r="AE111" i="5"/>
  <c r="Z111" i="5"/>
  <c r="U111" i="5"/>
  <c r="R111" i="5"/>
  <c r="M111" i="5"/>
  <c r="I111" i="5"/>
  <c r="AR110" i="5"/>
  <c r="AM110" i="5"/>
  <c r="AI110" i="5"/>
  <c r="AE110" i="5"/>
  <c r="Z110" i="5"/>
  <c r="U110" i="5"/>
  <c r="R110" i="5"/>
  <c r="M110" i="5"/>
  <c r="I110" i="5"/>
  <c r="AR109" i="5"/>
  <c r="AM109" i="5"/>
  <c r="AI109" i="5"/>
  <c r="AE109" i="5"/>
  <c r="Z109" i="5"/>
  <c r="U109" i="5"/>
  <c r="R109" i="5"/>
  <c r="M109" i="5"/>
  <c r="I109" i="5"/>
  <c r="AR108" i="5"/>
  <c r="AM108" i="5"/>
  <c r="AI108" i="5"/>
  <c r="AE108" i="5"/>
  <c r="Z108" i="5"/>
  <c r="U108" i="5"/>
  <c r="R108" i="5"/>
  <c r="M108" i="5"/>
  <c r="I108" i="5"/>
  <c r="AR107" i="5"/>
  <c r="AM107" i="5"/>
  <c r="AI107" i="5"/>
  <c r="AE107" i="5"/>
  <c r="Z107" i="5"/>
  <c r="U107" i="5"/>
  <c r="R107" i="5"/>
  <c r="M107" i="5"/>
  <c r="I107" i="5"/>
  <c r="AR106" i="5"/>
  <c r="AM106" i="5"/>
  <c r="AI106" i="5"/>
  <c r="AE106" i="5"/>
  <c r="Z106" i="5"/>
  <c r="U106" i="5"/>
  <c r="R106" i="5"/>
  <c r="M106" i="5"/>
  <c r="I106" i="5"/>
  <c r="AR105" i="5"/>
  <c r="AM105" i="5"/>
  <c r="AI105" i="5"/>
  <c r="AE105" i="5"/>
  <c r="Z105" i="5"/>
  <c r="U105" i="5"/>
  <c r="R105" i="5"/>
  <c r="M105" i="5"/>
  <c r="I105" i="5"/>
  <c r="AR104" i="5"/>
  <c r="AM104" i="5"/>
  <c r="AI104" i="5"/>
  <c r="AE104" i="5"/>
  <c r="Z104" i="5"/>
  <c r="U104" i="5"/>
  <c r="R104" i="5"/>
  <c r="M104" i="5"/>
  <c r="I104" i="5"/>
  <c r="AR103" i="5"/>
  <c r="AM103" i="5"/>
  <c r="AI103" i="5"/>
  <c r="AE103" i="5"/>
  <c r="Z103" i="5"/>
  <c r="U103" i="5"/>
  <c r="R103" i="5"/>
  <c r="M103" i="5"/>
  <c r="I103" i="5"/>
  <c r="AR102" i="5"/>
  <c r="AM102" i="5"/>
  <c r="AI102" i="5"/>
  <c r="AE102" i="5"/>
  <c r="Z102" i="5"/>
  <c r="AU102" i="5" s="1"/>
  <c r="U102" i="5"/>
  <c r="R102" i="5"/>
  <c r="M102" i="5"/>
  <c r="I102" i="5"/>
  <c r="AR101" i="5"/>
  <c r="AM101" i="5"/>
  <c r="AI101" i="5"/>
  <c r="AE101" i="5"/>
  <c r="Z101" i="5"/>
  <c r="U101" i="5"/>
  <c r="R101" i="5"/>
  <c r="M101" i="5"/>
  <c r="I101" i="5"/>
  <c r="AR100" i="5"/>
  <c r="AM100" i="5"/>
  <c r="AI100" i="5"/>
  <c r="AE100" i="5"/>
  <c r="Z100" i="5"/>
  <c r="U100" i="5"/>
  <c r="R100" i="5"/>
  <c r="M100" i="5"/>
  <c r="I100" i="5"/>
  <c r="AR99" i="5"/>
  <c r="AM99" i="5"/>
  <c r="AI99" i="5"/>
  <c r="AE99" i="5"/>
  <c r="Z99" i="5"/>
  <c r="U99" i="5"/>
  <c r="R99" i="5"/>
  <c r="M99" i="5"/>
  <c r="AU99" i="5" s="1"/>
  <c r="I99" i="5"/>
  <c r="AR98" i="5"/>
  <c r="AM98" i="5"/>
  <c r="AI98" i="5"/>
  <c r="AE98" i="5"/>
  <c r="Z98" i="5"/>
  <c r="U98" i="5"/>
  <c r="R98" i="5"/>
  <c r="M98" i="5"/>
  <c r="I98" i="5"/>
  <c r="AR97" i="5"/>
  <c r="AM97" i="5"/>
  <c r="AI97" i="5"/>
  <c r="AE97" i="5"/>
  <c r="Z97" i="5"/>
  <c r="U97" i="5"/>
  <c r="R97" i="5"/>
  <c r="M97" i="5"/>
  <c r="I97" i="5"/>
  <c r="AR96" i="5"/>
  <c r="AM96" i="5"/>
  <c r="AI96" i="5"/>
  <c r="AE96" i="5"/>
  <c r="Z96" i="5"/>
  <c r="U96" i="5"/>
  <c r="R96" i="5"/>
  <c r="M96" i="5"/>
  <c r="I96" i="5"/>
  <c r="AR95" i="5"/>
  <c r="AM95" i="5"/>
  <c r="AI95" i="5"/>
  <c r="AE95" i="5"/>
  <c r="Z95" i="5"/>
  <c r="U95" i="5"/>
  <c r="R95" i="5"/>
  <c r="M95" i="5"/>
  <c r="I95" i="5"/>
  <c r="AR94" i="5"/>
  <c r="AM94" i="5"/>
  <c r="AI94" i="5"/>
  <c r="AE94" i="5"/>
  <c r="Z94" i="5"/>
  <c r="U94" i="5"/>
  <c r="R94" i="5"/>
  <c r="M94" i="5"/>
  <c r="I94" i="5"/>
  <c r="AR93" i="5"/>
  <c r="AM93" i="5"/>
  <c r="AI93" i="5"/>
  <c r="AE93" i="5"/>
  <c r="Z93" i="5"/>
  <c r="U93" i="5"/>
  <c r="R93" i="5"/>
  <c r="M93" i="5"/>
  <c r="I93" i="5"/>
  <c r="AR92" i="5"/>
  <c r="AM92" i="5"/>
  <c r="AI92" i="5"/>
  <c r="AE92" i="5"/>
  <c r="Z92" i="5"/>
  <c r="U92" i="5"/>
  <c r="R92" i="5"/>
  <c r="M92" i="5"/>
  <c r="I92" i="5"/>
  <c r="AR91" i="5"/>
  <c r="AM91" i="5"/>
  <c r="AI91" i="5"/>
  <c r="AE91" i="5"/>
  <c r="Z91" i="5"/>
  <c r="U91" i="5"/>
  <c r="R91" i="5"/>
  <c r="M91" i="5"/>
  <c r="I91" i="5"/>
  <c r="AR90" i="5"/>
  <c r="AM90" i="5"/>
  <c r="AI90" i="5"/>
  <c r="AE90" i="5"/>
  <c r="Z90" i="5"/>
  <c r="U90" i="5"/>
  <c r="R90" i="5"/>
  <c r="M90" i="5"/>
  <c r="I90" i="5"/>
  <c r="AR89" i="5"/>
  <c r="AM89" i="5"/>
  <c r="AI89" i="5"/>
  <c r="AE89" i="5"/>
  <c r="Z89" i="5"/>
  <c r="U89" i="5"/>
  <c r="R89" i="5"/>
  <c r="M89" i="5"/>
  <c r="I89" i="5"/>
  <c r="AR88" i="5"/>
  <c r="AM88" i="5"/>
  <c r="AI88" i="5"/>
  <c r="AE88" i="5"/>
  <c r="Z88" i="5"/>
  <c r="U88" i="5"/>
  <c r="R88" i="5"/>
  <c r="M88" i="5"/>
  <c r="I88" i="5"/>
  <c r="AR87" i="5"/>
  <c r="AM87" i="5"/>
  <c r="AI87" i="5"/>
  <c r="AE87" i="5"/>
  <c r="Z87" i="5"/>
  <c r="U87" i="5"/>
  <c r="R87" i="5"/>
  <c r="M87" i="5"/>
  <c r="I87" i="5"/>
  <c r="AR86" i="5"/>
  <c r="AM86" i="5"/>
  <c r="AI86" i="5"/>
  <c r="AE86" i="5"/>
  <c r="Z86" i="5"/>
  <c r="U86" i="5"/>
  <c r="R86" i="5"/>
  <c r="M86" i="5"/>
  <c r="I86" i="5"/>
  <c r="AR85" i="5"/>
  <c r="AM85" i="5"/>
  <c r="AI85" i="5"/>
  <c r="AE85" i="5"/>
  <c r="Z85" i="5"/>
  <c r="U85" i="5"/>
  <c r="R85" i="5"/>
  <c r="M85" i="5"/>
  <c r="I85" i="5"/>
  <c r="AR84" i="5"/>
  <c r="AM84" i="5"/>
  <c r="AI84" i="5"/>
  <c r="AE84" i="5"/>
  <c r="Z84" i="5"/>
  <c r="U84" i="5"/>
  <c r="R84" i="5"/>
  <c r="M84" i="5"/>
  <c r="I84" i="5"/>
  <c r="AR83" i="5"/>
  <c r="AM83" i="5"/>
  <c r="AI83" i="5"/>
  <c r="AE83" i="5"/>
  <c r="Z83" i="5"/>
  <c r="AU83" i="5" s="1"/>
  <c r="U83" i="5"/>
  <c r="R83" i="5"/>
  <c r="M83" i="5"/>
  <c r="I83" i="5"/>
  <c r="AR82" i="5"/>
  <c r="AM82" i="5"/>
  <c r="AI82" i="5"/>
  <c r="AE82" i="5"/>
  <c r="Z82" i="5"/>
  <c r="U82" i="5"/>
  <c r="R82" i="5"/>
  <c r="M82" i="5"/>
  <c r="I82" i="5"/>
  <c r="AR81" i="5"/>
  <c r="AM81" i="5"/>
  <c r="AI81" i="5"/>
  <c r="AE81" i="5"/>
  <c r="Z81" i="5"/>
  <c r="U81" i="5"/>
  <c r="R81" i="5"/>
  <c r="M81" i="5"/>
  <c r="I81" i="5"/>
  <c r="AR80" i="5"/>
  <c r="AM80" i="5"/>
  <c r="AI80" i="5"/>
  <c r="AE80" i="5"/>
  <c r="Z80" i="5"/>
  <c r="U80" i="5"/>
  <c r="R80" i="5"/>
  <c r="M80" i="5"/>
  <c r="I80" i="5"/>
  <c r="AR79" i="5"/>
  <c r="AM79" i="5"/>
  <c r="AI79" i="5"/>
  <c r="AE79" i="5"/>
  <c r="Z79" i="5"/>
  <c r="U79" i="5"/>
  <c r="AU79" i="5" s="1"/>
  <c r="R79" i="5"/>
  <c r="M79" i="5"/>
  <c r="I79" i="5"/>
  <c r="AR78" i="5"/>
  <c r="AM78" i="5"/>
  <c r="AI78" i="5"/>
  <c r="AE78" i="5"/>
  <c r="Z78" i="5"/>
  <c r="U78" i="5"/>
  <c r="R78" i="5"/>
  <c r="M78" i="5"/>
  <c r="I78" i="5"/>
  <c r="AR77" i="5"/>
  <c r="AM77" i="5"/>
  <c r="AI77" i="5"/>
  <c r="AE77" i="5"/>
  <c r="Z77" i="5"/>
  <c r="U77" i="5"/>
  <c r="R77" i="5"/>
  <c r="M77" i="5"/>
  <c r="I77" i="5"/>
  <c r="AR76" i="5"/>
  <c r="AM76" i="5"/>
  <c r="AI76" i="5"/>
  <c r="AE76" i="5"/>
  <c r="Z76" i="5"/>
  <c r="U76" i="5"/>
  <c r="R76" i="5"/>
  <c r="M76" i="5"/>
  <c r="I76" i="5"/>
  <c r="AM75" i="5"/>
  <c r="AI75" i="5"/>
  <c r="AE75" i="5"/>
  <c r="Z75" i="5"/>
  <c r="U75" i="5"/>
  <c r="R75" i="5"/>
  <c r="M75" i="5"/>
  <c r="I75" i="5"/>
  <c r="AR74" i="5"/>
  <c r="AM74" i="5"/>
  <c r="AI74" i="5"/>
  <c r="AE74" i="5"/>
  <c r="Z74" i="5"/>
  <c r="U74" i="5"/>
  <c r="R74" i="5"/>
  <c r="M74" i="5"/>
  <c r="I74" i="5"/>
  <c r="AR73" i="5"/>
  <c r="AM73" i="5"/>
  <c r="AI73" i="5"/>
  <c r="AE73" i="5"/>
  <c r="Z73" i="5"/>
  <c r="U73" i="5"/>
  <c r="R73" i="5"/>
  <c r="M73" i="5"/>
  <c r="I73" i="5"/>
  <c r="AR72" i="5"/>
  <c r="AM72" i="5"/>
  <c r="AI72" i="5"/>
  <c r="AE72" i="5"/>
  <c r="Z72" i="5"/>
  <c r="U72" i="5"/>
  <c r="R72" i="5"/>
  <c r="M72" i="5"/>
  <c r="I72" i="5"/>
  <c r="AR71" i="5"/>
  <c r="AM71" i="5"/>
  <c r="AI71" i="5"/>
  <c r="AE71" i="5"/>
  <c r="Z71" i="5"/>
  <c r="U71" i="5"/>
  <c r="R71" i="5"/>
  <c r="M71" i="5"/>
  <c r="I71" i="5"/>
  <c r="AR70" i="5"/>
  <c r="AM70" i="5"/>
  <c r="AI70" i="5"/>
  <c r="AE70" i="5"/>
  <c r="Z70" i="5"/>
  <c r="U70" i="5"/>
  <c r="R70" i="5"/>
  <c r="M70" i="5"/>
  <c r="I70" i="5"/>
  <c r="AR69" i="5"/>
  <c r="AM69" i="5"/>
  <c r="AI69" i="5"/>
  <c r="AE69" i="5"/>
  <c r="Z69" i="5"/>
  <c r="U69" i="5"/>
  <c r="R69" i="5"/>
  <c r="M69" i="5"/>
  <c r="I69" i="5"/>
  <c r="AR68" i="5"/>
  <c r="AM68" i="5"/>
  <c r="AI68" i="5"/>
  <c r="AE68" i="5"/>
  <c r="Z68" i="5"/>
  <c r="U68" i="5"/>
  <c r="R68" i="5"/>
  <c r="M68" i="5"/>
  <c r="I68" i="5"/>
  <c r="AR67" i="5"/>
  <c r="AM67" i="5"/>
  <c r="AI67" i="5"/>
  <c r="AE67" i="5"/>
  <c r="Z67" i="5"/>
  <c r="U67" i="5"/>
  <c r="R67" i="5"/>
  <c r="M67" i="5"/>
  <c r="I67" i="5"/>
  <c r="AR66" i="5"/>
  <c r="AM66" i="5"/>
  <c r="AI66" i="5"/>
  <c r="AE66" i="5"/>
  <c r="Z66" i="5"/>
  <c r="U66" i="5"/>
  <c r="R66" i="5"/>
  <c r="M66" i="5"/>
  <c r="AU66" i="5" s="1"/>
  <c r="I66" i="5"/>
  <c r="AR65" i="5"/>
  <c r="AM65" i="5"/>
  <c r="AI65" i="5"/>
  <c r="AE65" i="5"/>
  <c r="Z65" i="5"/>
  <c r="U65" i="5"/>
  <c r="R65" i="5"/>
  <c r="M65" i="5"/>
  <c r="I65" i="5"/>
  <c r="AR64" i="5"/>
  <c r="AM64" i="5"/>
  <c r="AI64" i="5"/>
  <c r="AE64" i="5"/>
  <c r="Z64" i="5"/>
  <c r="U64" i="5"/>
  <c r="R64" i="5"/>
  <c r="M64" i="5"/>
  <c r="I64" i="5"/>
  <c r="AR63" i="5"/>
  <c r="AM63" i="5"/>
  <c r="AI63" i="5"/>
  <c r="AE63" i="5"/>
  <c r="Z63" i="5"/>
  <c r="U63" i="5"/>
  <c r="R63" i="5"/>
  <c r="M63" i="5"/>
  <c r="I63" i="5"/>
  <c r="AR62" i="5"/>
  <c r="AM62" i="5"/>
  <c r="AI62" i="5"/>
  <c r="AE62" i="5"/>
  <c r="Z62" i="5"/>
  <c r="U62" i="5"/>
  <c r="R62" i="5"/>
  <c r="M62" i="5"/>
  <c r="I62" i="5"/>
  <c r="AR61" i="5"/>
  <c r="AM61" i="5"/>
  <c r="AI61" i="5"/>
  <c r="AE61" i="5"/>
  <c r="Z61" i="5"/>
  <c r="U61" i="5"/>
  <c r="R61" i="5"/>
  <c r="M61" i="5"/>
  <c r="I61" i="5"/>
  <c r="AR60" i="5"/>
  <c r="AM60" i="5"/>
  <c r="AI60" i="5"/>
  <c r="AE60" i="5"/>
  <c r="Z60" i="5"/>
  <c r="U60" i="5"/>
  <c r="R60" i="5"/>
  <c r="M60" i="5"/>
  <c r="I60" i="5"/>
  <c r="AR59" i="5"/>
  <c r="AM59" i="5"/>
  <c r="AI59" i="5"/>
  <c r="AE59" i="5"/>
  <c r="Z59" i="5"/>
  <c r="U59" i="5"/>
  <c r="R59" i="5"/>
  <c r="M59" i="5"/>
  <c r="I59" i="5"/>
  <c r="AR58" i="5"/>
  <c r="AM58" i="5"/>
  <c r="AI58" i="5"/>
  <c r="AE58" i="5"/>
  <c r="Z58" i="5"/>
  <c r="U58" i="5"/>
  <c r="R58" i="5"/>
  <c r="M58" i="5"/>
  <c r="I58" i="5"/>
  <c r="AR57" i="5"/>
  <c r="AM57" i="5"/>
  <c r="AI57" i="5"/>
  <c r="AE57" i="5"/>
  <c r="Z57" i="5"/>
  <c r="U57" i="5"/>
  <c r="R57" i="5"/>
  <c r="M57" i="5"/>
  <c r="I57" i="5"/>
  <c r="AR56" i="5"/>
  <c r="AM56" i="5"/>
  <c r="AI56" i="5"/>
  <c r="AE56" i="5"/>
  <c r="Z56" i="5"/>
  <c r="U56" i="5"/>
  <c r="R56" i="5"/>
  <c r="M56" i="5"/>
  <c r="I56" i="5"/>
  <c r="AR55" i="5"/>
  <c r="AM55" i="5"/>
  <c r="AI55" i="5"/>
  <c r="AE55" i="5"/>
  <c r="Z55" i="5"/>
  <c r="U55" i="5"/>
  <c r="R55" i="5"/>
  <c r="M55" i="5"/>
  <c r="I55" i="5"/>
  <c r="AR54" i="5"/>
  <c r="AM54" i="5"/>
  <c r="AI54" i="5"/>
  <c r="AE54" i="5"/>
  <c r="Z54" i="5"/>
  <c r="U54" i="5"/>
  <c r="R54" i="5"/>
  <c r="M54" i="5"/>
  <c r="I54" i="5"/>
  <c r="AR53" i="5"/>
  <c r="AM53" i="5"/>
  <c r="AI53" i="5"/>
  <c r="AE53" i="5"/>
  <c r="Z53" i="5"/>
  <c r="U53" i="5"/>
  <c r="R53" i="5"/>
  <c r="M53" i="5"/>
  <c r="I53" i="5"/>
  <c r="AR52" i="5"/>
  <c r="AM52" i="5"/>
  <c r="AI52" i="5"/>
  <c r="AE52" i="5"/>
  <c r="Z52" i="5"/>
  <c r="U52" i="5"/>
  <c r="R52" i="5"/>
  <c r="M52" i="5"/>
  <c r="I52" i="5"/>
  <c r="AR51" i="5"/>
  <c r="AM51" i="5"/>
  <c r="AI51" i="5"/>
  <c r="AE51" i="5"/>
  <c r="Z51" i="5"/>
  <c r="U51" i="5"/>
  <c r="R51" i="5"/>
  <c r="M51" i="5"/>
  <c r="I51" i="5"/>
  <c r="AU51" i="5" s="1"/>
  <c r="AR50" i="5"/>
  <c r="AM50" i="5"/>
  <c r="AI50" i="5"/>
  <c r="AE50" i="5"/>
  <c r="Z50" i="5"/>
  <c r="U50" i="5"/>
  <c r="R50" i="5"/>
  <c r="M50" i="5"/>
  <c r="I50" i="5"/>
  <c r="AR49" i="5"/>
  <c r="AM49" i="5"/>
  <c r="AI49" i="5"/>
  <c r="AE49" i="5"/>
  <c r="Z49" i="5"/>
  <c r="U49" i="5"/>
  <c r="R49" i="5"/>
  <c r="M49" i="5"/>
  <c r="I49" i="5"/>
  <c r="AR48" i="5"/>
  <c r="AM48" i="5"/>
  <c r="AI48" i="5"/>
  <c r="AE48" i="5"/>
  <c r="Z48" i="5"/>
  <c r="U48" i="5"/>
  <c r="R48" i="5"/>
  <c r="M48" i="5"/>
  <c r="I48" i="5"/>
  <c r="AR47" i="5"/>
  <c r="AM47" i="5"/>
  <c r="AI47" i="5"/>
  <c r="AE47" i="5"/>
  <c r="Z47" i="5"/>
  <c r="U47" i="5"/>
  <c r="R47" i="5"/>
  <c r="M47" i="5"/>
  <c r="I47" i="5"/>
  <c r="AR46" i="5"/>
  <c r="AM46" i="5"/>
  <c r="AI46" i="5"/>
  <c r="AE46" i="5"/>
  <c r="Z46" i="5"/>
  <c r="U46" i="5"/>
  <c r="R46" i="5"/>
  <c r="M46" i="5"/>
  <c r="I46" i="5"/>
  <c r="AR45" i="5"/>
  <c r="AM45" i="5"/>
  <c r="AI45" i="5"/>
  <c r="AE45" i="5"/>
  <c r="Z45" i="5"/>
  <c r="AU45" i="5" s="1"/>
  <c r="U45" i="5"/>
  <c r="R45" i="5"/>
  <c r="M45" i="5"/>
  <c r="I45" i="5"/>
  <c r="AR44" i="5"/>
  <c r="AM44" i="5"/>
  <c r="AI44" i="5"/>
  <c r="AE44" i="5"/>
  <c r="Z44" i="5"/>
  <c r="U44" i="5"/>
  <c r="R44" i="5"/>
  <c r="M44" i="5"/>
  <c r="I44" i="5"/>
  <c r="AR43" i="5"/>
  <c r="AM43" i="5"/>
  <c r="AI43" i="5"/>
  <c r="AE43" i="5"/>
  <c r="Z43" i="5"/>
  <c r="U43" i="5"/>
  <c r="R43" i="5"/>
  <c r="M43" i="5"/>
  <c r="I43" i="5"/>
  <c r="AR42" i="5"/>
  <c r="AM42" i="5"/>
  <c r="AI42" i="5"/>
  <c r="AE42" i="5"/>
  <c r="Z42" i="5"/>
  <c r="U42" i="5"/>
  <c r="R42" i="5"/>
  <c r="M42" i="5"/>
  <c r="I42" i="5"/>
  <c r="AR41" i="5"/>
  <c r="AM41" i="5"/>
  <c r="AI41" i="5"/>
  <c r="AE41" i="5"/>
  <c r="Z41" i="5"/>
  <c r="U41" i="5"/>
  <c r="R41" i="5"/>
  <c r="M41" i="5"/>
  <c r="I41" i="5"/>
  <c r="AR40" i="5"/>
  <c r="AM40" i="5"/>
  <c r="AI40" i="5"/>
  <c r="AE40" i="5"/>
  <c r="Z40" i="5"/>
  <c r="U40" i="5"/>
  <c r="R40" i="5"/>
  <c r="M40" i="5"/>
  <c r="I40" i="5"/>
  <c r="AU39" i="5"/>
  <c r="AR39" i="5"/>
  <c r="AM39" i="5"/>
  <c r="AI39" i="5"/>
  <c r="AE39" i="5"/>
  <c r="Z39" i="5"/>
  <c r="U39" i="5"/>
  <c r="R39" i="5"/>
  <c r="M39" i="5"/>
  <c r="I39" i="5"/>
  <c r="AR38" i="5"/>
  <c r="AM38" i="5"/>
  <c r="AI38" i="5"/>
  <c r="AE38" i="5"/>
  <c r="Z38" i="5"/>
  <c r="U38" i="5"/>
  <c r="R38" i="5"/>
  <c r="M38" i="5"/>
  <c r="I38" i="5"/>
  <c r="AR37" i="5"/>
  <c r="AU37" i="5" s="1"/>
  <c r="AM37" i="5"/>
  <c r="AI37" i="5"/>
  <c r="AE37" i="5"/>
  <c r="Z37" i="5"/>
  <c r="U37" i="5"/>
  <c r="R37" i="5"/>
  <c r="M37" i="5"/>
  <c r="I37" i="5"/>
  <c r="AR36" i="5"/>
  <c r="AM36" i="5"/>
  <c r="AI36" i="5"/>
  <c r="AE36" i="5"/>
  <c r="Z36" i="5"/>
  <c r="U36" i="5"/>
  <c r="R36" i="5"/>
  <c r="M36" i="5"/>
  <c r="I36" i="5"/>
  <c r="AR35" i="5"/>
  <c r="AM35" i="5"/>
  <c r="AI35" i="5"/>
  <c r="AE35" i="5"/>
  <c r="Z35" i="5"/>
  <c r="U35" i="5"/>
  <c r="R35" i="5"/>
  <c r="M35" i="5"/>
  <c r="I35" i="5"/>
  <c r="AR34" i="5"/>
  <c r="AM34" i="5"/>
  <c r="AI34" i="5"/>
  <c r="AE34" i="5"/>
  <c r="Z34" i="5"/>
  <c r="AU34" i="5" s="1"/>
  <c r="U34" i="5"/>
  <c r="R34" i="5"/>
  <c r="M34" i="5"/>
  <c r="I34" i="5"/>
  <c r="AR33" i="5"/>
  <c r="AM33" i="5"/>
  <c r="AI33" i="5"/>
  <c r="AE33" i="5"/>
  <c r="Z33" i="5"/>
  <c r="U33" i="5"/>
  <c r="R33" i="5"/>
  <c r="M33" i="5"/>
  <c r="I33" i="5"/>
  <c r="AR32" i="5"/>
  <c r="AM32" i="5"/>
  <c r="AI32" i="5"/>
  <c r="AE32" i="5"/>
  <c r="Z32" i="5"/>
  <c r="U32" i="5"/>
  <c r="R32" i="5"/>
  <c r="M32" i="5"/>
  <c r="I32" i="5"/>
  <c r="AR31" i="5"/>
  <c r="AM31" i="5"/>
  <c r="AI31" i="5"/>
  <c r="AE31" i="5"/>
  <c r="Z31" i="5"/>
  <c r="U31" i="5"/>
  <c r="R31" i="5"/>
  <c r="M31" i="5"/>
  <c r="I31" i="5"/>
  <c r="AR30" i="5"/>
  <c r="AM30" i="5"/>
  <c r="AI30" i="5"/>
  <c r="AE30" i="5"/>
  <c r="Z30" i="5"/>
  <c r="U30" i="5"/>
  <c r="R30" i="5"/>
  <c r="M30" i="5"/>
  <c r="I30" i="5"/>
  <c r="AR29" i="5"/>
  <c r="AM29" i="5"/>
  <c r="AI29" i="5"/>
  <c r="AE29" i="5"/>
  <c r="Z29" i="5"/>
  <c r="U29" i="5"/>
  <c r="R29" i="5"/>
  <c r="M29" i="5"/>
  <c r="AU29" i="5" s="1"/>
  <c r="I29" i="5"/>
  <c r="AR28" i="5"/>
  <c r="AM28" i="5"/>
  <c r="AI28" i="5"/>
  <c r="AE28" i="5"/>
  <c r="Z28" i="5"/>
  <c r="U28" i="5"/>
  <c r="R28" i="5"/>
  <c r="M28" i="5"/>
  <c r="I28" i="5"/>
  <c r="AR27" i="5"/>
  <c r="AM27" i="5"/>
  <c r="AI27" i="5"/>
  <c r="AE27" i="5"/>
  <c r="Z27" i="5"/>
  <c r="U27" i="5"/>
  <c r="R27" i="5"/>
  <c r="M27" i="5"/>
  <c r="I27" i="5"/>
  <c r="AR26" i="5"/>
  <c r="AM26" i="5"/>
  <c r="AI26" i="5"/>
  <c r="AE26" i="5"/>
  <c r="Z26" i="5"/>
  <c r="U26" i="5"/>
  <c r="R26" i="5"/>
  <c r="M26" i="5"/>
  <c r="I26" i="5"/>
  <c r="AR25" i="5"/>
  <c r="AM25" i="5"/>
  <c r="AI25" i="5"/>
  <c r="AE25" i="5"/>
  <c r="Z25" i="5"/>
  <c r="U25" i="5"/>
  <c r="R25" i="5"/>
  <c r="M25" i="5"/>
  <c r="I25" i="5"/>
  <c r="AR24" i="5"/>
  <c r="AM24" i="5"/>
  <c r="AI24" i="5"/>
  <c r="AE24" i="5"/>
  <c r="Z24" i="5"/>
  <c r="U24" i="5"/>
  <c r="R24" i="5"/>
  <c r="M24" i="5"/>
  <c r="I24" i="5"/>
  <c r="AR23" i="5"/>
  <c r="AM23" i="5"/>
  <c r="AI23" i="5"/>
  <c r="AE23" i="5"/>
  <c r="Z23" i="5"/>
  <c r="U23" i="5"/>
  <c r="R23" i="5"/>
  <c r="M23" i="5"/>
  <c r="I23" i="5"/>
  <c r="AR22" i="5"/>
  <c r="AM22" i="5"/>
  <c r="AI22" i="5"/>
  <c r="AE22" i="5"/>
  <c r="Z22" i="5"/>
  <c r="U22" i="5"/>
  <c r="R22" i="5"/>
  <c r="M22" i="5"/>
  <c r="I22" i="5"/>
  <c r="AR21" i="5"/>
  <c r="AM21" i="5"/>
  <c r="AI21" i="5"/>
  <c r="AE21" i="5"/>
  <c r="Z21" i="5"/>
  <c r="U21" i="5"/>
  <c r="R21" i="5"/>
  <c r="M21" i="5"/>
  <c r="I21" i="5"/>
  <c r="AR20" i="5"/>
  <c r="AM20" i="5"/>
  <c r="AI20" i="5"/>
  <c r="AE20" i="5"/>
  <c r="Z20" i="5"/>
  <c r="U20" i="5"/>
  <c r="R20" i="5"/>
  <c r="M20" i="5"/>
  <c r="I20" i="5"/>
  <c r="AR19" i="5"/>
  <c r="AM19" i="5"/>
  <c r="AI19" i="5"/>
  <c r="AE19" i="5"/>
  <c r="Z19" i="5"/>
  <c r="U19" i="5"/>
  <c r="R19" i="5"/>
  <c r="AU19" i="5" s="1"/>
  <c r="M19" i="5"/>
  <c r="I19" i="5"/>
  <c r="AR18" i="5"/>
  <c r="AM18" i="5"/>
  <c r="AI18" i="5"/>
  <c r="AE18" i="5"/>
  <c r="Z18" i="5"/>
  <c r="U18" i="5"/>
  <c r="R18" i="5"/>
  <c r="M18" i="5"/>
  <c r="I18" i="5"/>
  <c r="AR17" i="5"/>
  <c r="AM17" i="5"/>
  <c r="AI17" i="5"/>
  <c r="AE17" i="5"/>
  <c r="Z17" i="5"/>
  <c r="U17" i="5"/>
  <c r="R17" i="5"/>
  <c r="M17" i="5"/>
  <c r="I17" i="5"/>
  <c r="AR16" i="5"/>
  <c r="AM16" i="5"/>
  <c r="AI16" i="5"/>
  <c r="AE16" i="5"/>
  <c r="Z16" i="5"/>
  <c r="U16" i="5"/>
  <c r="R16" i="5"/>
  <c r="M16" i="5"/>
  <c r="I16" i="5"/>
  <c r="AR15" i="5"/>
  <c r="AM15" i="5"/>
  <c r="AI15" i="5"/>
  <c r="AE15" i="5"/>
  <c r="Z15" i="5"/>
  <c r="U15" i="5"/>
  <c r="R15" i="5"/>
  <c r="M15" i="5"/>
  <c r="I15" i="5"/>
  <c r="AR14" i="5"/>
  <c r="AM14" i="5"/>
  <c r="AI14" i="5"/>
  <c r="AE14" i="5"/>
  <c r="Z14" i="5"/>
  <c r="U14" i="5"/>
  <c r="R14" i="5"/>
  <c r="M14" i="5"/>
  <c r="AU14" i="5" s="1"/>
  <c r="I14" i="5"/>
  <c r="AR13" i="5"/>
  <c r="AM13" i="5"/>
  <c r="AI13" i="5"/>
  <c r="AE13" i="5"/>
  <c r="Z13" i="5"/>
  <c r="U13" i="5"/>
  <c r="R13" i="5"/>
  <c r="M13" i="5"/>
  <c r="I13" i="5"/>
  <c r="AR12" i="5"/>
  <c r="AM12" i="5"/>
  <c r="AI12" i="5"/>
  <c r="AE12" i="5"/>
  <c r="Z12" i="5"/>
  <c r="U12" i="5"/>
  <c r="R12" i="5"/>
  <c r="M12" i="5"/>
  <c r="I12" i="5"/>
  <c r="AR11" i="5"/>
  <c r="AM11" i="5"/>
  <c r="AI11" i="5"/>
  <c r="AE11" i="5"/>
  <c r="Z11" i="5"/>
  <c r="U11" i="5"/>
  <c r="R11" i="5"/>
  <c r="M11" i="5"/>
  <c r="I11" i="5"/>
  <c r="AR10" i="5"/>
  <c r="AM10" i="5"/>
  <c r="AI10" i="5"/>
  <c r="AE10" i="5"/>
  <c r="Z10" i="5"/>
  <c r="U10" i="5"/>
  <c r="R10" i="5"/>
  <c r="M10" i="5"/>
  <c r="I10" i="5"/>
  <c r="AR9" i="5"/>
  <c r="AM9" i="5"/>
  <c r="AI9" i="5"/>
  <c r="AE9" i="5"/>
  <c r="Z9" i="5"/>
  <c r="U9" i="5"/>
  <c r="R9" i="5"/>
  <c r="M9" i="5"/>
  <c r="I9" i="5"/>
  <c r="AU9" i="5" s="1"/>
  <c r="AR8" i="5"/>
  <c r="AM8" i="5"/>
  <c r="AI8" i="5"/>
  <c r="AE8" i="5"/>
  <c r="Z8" i="5"/>
  <c r="U8" i="5"/>
  <c r="R8" i="5"/>
  <c r="M8" i="5"/>
  <c r="I8" i="5"/>
  <c r="AR7" i="5"/>
  <c r="AM7" i="5"/>
  <c r="AI7" i="5"/>
  <c r="AE7" i="5"/>
  <c r="Z7" i="5"/>
  <c r="U7" i="5"/>
  <c r="R7" i="5"/>
  <c r="M7" i="5"/>
  <c r="I7" i="5"/>
  <c r="AR6" i="5"/>
  <c r="AM6" i="5"/>
  <c r="AI6" i="5"/>
  <c r="AE6" i="5"/>
  <c r="Z6" i="5"/>
  <c r="U6" i="5"/>
  <c r="R6" i="5"/>
  <c r="M6" i="5"/>
  <c r="I6" i="5"/>
  <c r="AR5" i="5"/>
  <c r="AM5" i="5"/>
  <c r="AI5" i="5"/>
  <c r="AE5" i="5"/>
  <c r="Z5" i="5"/>
  <c r="U5" i="5"/>
  <c r="R5" i="5"/>
  <c r="M5" i="5"/>
  <c r="I5" i="5"/>
  <c r="AU5" i="5" s="1"/>
  <c r="AY182" i="1"/>
  <c r="AU55" i="5" l="1"/>
  <c r="AU56" i="5"/>
  <c r="AU59" i="5"/>
  <c r="AU60" i="5"/>
  <c r="AU63" i="5"/>
  <c r="AU67" i="5"/>
  <c r="AU71" i="5"/>
  <c r="AU77" i="5"/>
  <c r="AU80" i="5"/>
  <c r="AU81" i="5"/>
  <c r="AU85" i="5"/>
  <c r="AU89" i="5"/>
  <c r="AU93" i="5"/>
  <c r="AU97" i="5"/>
  <c r="AU103" i="5"/>
  <c r="AU108" i="5"/>
  <c r="AU109" i="5"/>
  <c r="AU113" i="5"/>
  <c r="AU117" i="5"/>
  <c r="AU125" i="5"/>
  <c r="AU127" i="5"/>
  <c r="AU134" i="5"/>
  <c r="AU136" i="5"/>
  <c r="AU147" i="5"/>
  <c r="AU156" i="5"/>
  <c r="AU159" i="5"/>
  <c r="AU163" i="5"/>
  <c r="AU165" i="5"/>
  <c r="AU169" i="5"/>
  <c r="AU173" i="5"/>
  <c r="AU174" i="5"/>
  <c r="AU177" i="5"/>
  <c r="AU181" i="5"/>
  <c r="AU185" i="5"/>
  <c r="AU188" i="5"/>
  <c r="AU189" i="5"/>
  <c r="AU193" i="5"/>
  <c r="AU201" i="5"/>
  <c r="AU204" i="5"/>
  <c r="AU205" i="5"/>
  <c r="AU212" i="5"/>
  <c r="AU213" i="5"/>
  <c r="AU221" i="5"/>
  <c r="AU225" i="5"/>
  <c r="AU228" i="5"/>
  <c r="AU229" i="5"/>
  <c r="AU233" i="5"/>
  <c r="AU25" i="5"/>
  <c r="AU33" i="5"/>
  <c r="AU53" i="5"/>
  <c r="AU84" i="5"/>
  <c r="AU110" i="5"/>
  <c r="AU172" i="5"/>
  <c r="AU192" i="5"/>
  <c r="AU208" i="5"/>
  <c r="AU7" i="5"/>
  <c r="AU11" i="5"/>
  <c r="AU15" i="5"/>
  <c r="AU20" i="5"/>
  <c r="AU21" i="5"/>
  <c r="AU49" i="5"/>
  <c r="AU50" i="5"/>
  <c r="AU46" i="5"/>
  <c r="AU78" i="5"/>
  <c r="AU106" i="5"/>
  <c r="AU32" i="5"/>
  <c r="AU40" i="5"/>
  <c r="AU43" i="5"/>
  <c r="AU82" i="5"/>
  <c r="AU94" i="5"/>
  <c r="AU114" i="5"/>
  <c r="AU138" i="5"/>
  <c r="AU142" i="5"/>
  <c r="AU150" i="5"/>
  <c r="AU154" i="5"/>
  <c r="AU157" i="5"/>
  <c r="AU161" i="5"/>
  <c r="AU182" i="5"/>
  <c r="AU194" i="5"/>
  <c r="AU218" i="5"/>
  <c r="AU230" i="5"/>
  <c r="AU13" i="5"/>
  <c r="AU17" i="5"/>
  <c r="AU23" i="5"/>
  <c r="AU27" i="5"/>
  <c r="AU31" i="5"/>
  <c r="AU38" i="5"/>
  <c r="AU42" i="5"/>
  <c r="AU47" i="5"/>
  <c r="AU54" i="5"/>
  <c r="AU57" i="5"/>
  <c r="AU58" i="5"/>
  <c r="AU61" i="5"/>
  <c r="AU65" i="5"/>
  <c r="AU69" i="5"/>
  <c r="AU70" i="5"/>
  <c r="AU73" i="5"/>
  <c r="AU74" i="5"/>
  <c r="AU87" i="5"/>
  <c r="AU91" i="5"/>
  <c r="AU95" i="5"/>
  <c r="AU105" i="5"/>
  <c r="AU107" i="5"/>
  <c r="AU111" i="5"/>
  <c r="AU115" i="5"/>
  <c r="AU121" i="5"/>
  <c r="AU129" i="5"/>
  <c r="AU133" i="5"/>
  <c r="AU146" i="5"/>
  <c r="AU167" i="5"/>
  <c r="AU171" i="5"/>
  <c r="AU179" i="5"/>
  <c r="AU183" i="5"/>
  <c r="AU187" i="5"/>
  <c r="AU191" i="5"/>
  <c r="AU195" i="5"/>
  <c r="AU197" i="5"/>
  <c r="AU199" i="5"/>
  <c r="AU203" i="5"/>
  <c r="AU207" i="5"/>
  <c r="AU209" i="5"/>
  <c r="AU211" i="5"/>
  <c r="AU215" i="5"/>
  <c r="AU217" i="5"/>
  <c r="AU219" i="5"/>
  <c r="AU223" i="5"/>
  <c r="AU226" i="5"/>
  <c r="AU227" i="5"/>
  <c r="AU231" i="5"/>
  <c r="AU235" i="5"/>
  <c r="AU12" i="5"/>
  <c r="AU26" i="5"/>
  <c r="AU28" i="5"/>
  <c r="AU44" i="5"/>
  <c r="AU48" i="5"/>
  <c r="AU64" i="5"/>
  <c r="AU98" i="5"/>
  <c r="AU122" i="5"/>
  <c r="AU126" i="5"/>
  <c r="AU137" i="5"/>
  <c r="AU141" i="5"/>
  <c r="AU145" i="5"/>
  <c r="AU149" i="5"/>
  <c r="AU153" i="5"/>
  <c r="AU158" i="5"/>
  <c r="AU162" i="5"/>
  <c r="AU166" i="5"/>
  <c r="AU170" i="5"/>
  <c r="AU186" i="5"/>
  <c r="AU190" i="5"/>
  <c r="AU198" i="5"/>
  <c r="AU206" i="5"/>
  <c r="AU210" i="5"/>
  <c r="AU234" i="5"/>
  <c r="AU10" i="5"/>
  <c r="AU18" i="5"/>
  <c r="AU35" i="5"/>
  <c r="AU36" i="5"/>
  <c r="AU41" i="5"/>
  <c r="AU52" i="5"/>
  <c r="AU62" i="5"/>
  <c r="AU68" i="5"/>
  <c r="AU72" i="5"/>
  <c r="AU75" i="5"/>
  <c r="AU76" i="5"/>
  <c r="AU86" i="5"/>
  <c r="AU88" i="5"/>
  <c r="AU90" i="5"/>
  <c r="AU92" i="5"/>
  <c r="AU96" i="5"/>
  <c r="AU100" i="5"/>
  <c r="AU101" i="5"/>
  <c r="AU104" i="5"/>
  <c r="AU116" i="5"/>
  <c r="AU120" i="5"/>
  <c r="AU128" i="5"/>
  <c r="AU130" i="5"/>
  <c r="AU131" i="5"/>
  <c r="AU132" i="5"/>
  <c r="AU135" i="5"/>
  <c r="AU139" i="5"/>
  <c r="AU140" i="5"/>
  <c r="AU144" i="5"/>
  <c r="AU148" i="5"/>
  <c r="AU152" i="5"/>
  <c r="AU155" i="5"/>
  <c r="AU160" i="5"/>
  <c r="AU164" i="5"/>
  <c r="AU168" i="5"/>
  <c r="AU176" i="5"/>
  <c r="AU178" i="5"/>
  <c r="AU180" i="5"/>
  <c r="AU184" i="5"/>
  <c r="AU196" i="5"/>
  <c r="AU200" i="5"/>
  <c r="AU202" i="5"/>
  <c r="AU216" i="5"/>
  <c r="AU220" i="5"/>
  <c r="AU224" i="5"/>
  <c r="AU232" i="5"/>
  <c r="AU8" i="5"/>
  <c r="AU16" i="5"/>
  <c r="AU24" i="5"/>
  <c r="AU6" i="5"/>
  <c r="AU22" i="5"/>
  <c r="AU30" i="5"/>
  <c r="AR237" i="4" l="1"/>
  <c r="AM237" i="4"/>
  <c r="AI237" i="4"/>
  <c r="AE237" i="4"/>
  <c r="Z237" i="4"/>
  <c r="U237" i="4"/>
  <c r="R237" i="4"/>
  <c r="M237" i="4"/>
  <c r="I237" i="4"/>
  <c r="AU237" i="4" s="1"/>
  <c r="AR236" i="4"/>
  <c r="AM236" i="4"/>
  <c r="AI236" i="4"/>
  <c r="AE236" i="4"/>
  <c r="Z236" i="4"/>
  <c r="U236" i="4"/>
  <c r="R236" i="4"/>
  <c r="M236" i="4"/>
  <c r="I236" i="4"/>
  <c r="AU236" i="4" s="1"/>
  <c r="AR235" i="4"/>
  <c r="AM235" i="4"/>
  <c r="AI235" i="4"/>
  <c r="AE235" i="4"/>
  <c r="Z235" i="4"/>
  <c r="U235" i="4"/>
  <c r="R235" i="4"/>
  <c r="M235" i="4"/>
  <c r="I235" i="4"/>
  <c r="AU235" i="4" s="1"/>
  <c r="AR234" i="4"/>
  <c r="AM234" i="4"/>
  <c r="AI234" i="4"/>
  <c r="AE234" i="4"/>
  <c r="Z234" i="4"/>
  <c r="U234" i="4"/>
  <c r="R234" i="4"/>
  <c r="M234" i="4"/>
  <c r="I234" i="4"/>
  <c r="AU234" i="4" s="1"/>
  <c r="AR233" i="4"/>
  <c r="AM233" i="4"/>
  <c r="AI233" i="4"/>
  <c r="AE233" i="4"/>
  <c r="Z233" i="4"/>
  <c r="U233" i="4"/>
  <c r="R233" i="4"/>
  <c r="M233" i="4"/>
  <c r="I233" i="4"/>
  <c r="AU233" i="4" s="1"/>
  <c r="AR232" i="4"/>
  <c r="AM232" i="4"/>
  <c r="AI232" i="4"/>
  <c r="AE232" i="4"/>
  <c r="Z232" i="4"/>
  <c r="U232" i="4"/>
  <c r="R232" i="4"/>
  <c r="M232" i="4"/>
  <c r="I232" i="4"/>
  <c r="AU232" i="4" s="1"/>
  <c r="AR231" i="4"/>
  <c r="AM231" i="4"/>
  <c r="AI231" i="4"/>
  <c r="AE231" i="4"/>
  <c r="Z231" i="4"/>
  <c r="U231" i="4"/>
  <c r="R231" i="4"/>
  <c r="M231" i="4"/>
  <c r="I231" i="4"/>
  <c r="AU231" i="4" s="1"/>
  <c r="AR230" i="4"/>
  <c r="AM230" i="4"/>
  <c r="AI230" i="4"/>
  <c r="AE230" i="4"/>
  <c r="Z230" i="4"/>
  <c r="U230" i="4"/>
  <c r="R230" i="4"/>
  <c r="M230" i="4"/>
  <c r="AU230" i="4" s="1"/>
  <c r="I230" i="4"/>
  <c r="AR229" i="4"/>
  <c r="AM229" i="4"/>
  <c r="AI229" i="4"/>
  <c r="AE229" i="4"/>
  <c r="Z229" i="4"/>
  <c r="U229" i="4"/>
  <c r="R229" i="4"/>
  <c r="M229" i="4"/>
  <c r="I229" i="4"/>
  <c r="AU229" i="4" s="1"/>
  <c r="AR228" i="4"/>
  <c r="AM228" i="4"/>
  <c r="AI228" i="4"/>
  <c r="AE228" i="4"/>
  <c r="Z228" i="4"/>
  <c r="U228" i="4"/>
  <c r="R228" i="4"/>
  <c r="M228" i="4"/>
  <c r="AU228" i="4" s="1"/>
  <c r="I228" i="4"/>
  <c r="AR227" i="4"/>
  <c r="AM227" i="4"/>
  <c r="AI227" i="4"/>
  <c r="AE227" i="4"/>
  <c r="Z227" i="4"/>
  <c r="U227" i="4"/>
  <c r="R227" i="4"/>
  <c r="M227" i="4"/>
  <c r="I227" i="4"/>
  <c r="AU227" i="4" s="1"/>
  <c r="AR226" i="4"/>
  <c r="AM226" i="4"/>
  <c r="AI226" i="4"/>
  <c r="AE226" i="4"/>
  <c r="Z226" i="4"/>
  <c r="U226" i="4"/>
  <c r="R226" i="4"/>
  <c r="M226" i="4"/>
  <c r="I226" i="4"/>
  <c r="AU226" i="4" s="1"/>
  <c r="AR225" i="4"/>
  <c r="AM225" i="4"/>
  <c r="AI225" i="4"/>
  <c r="AE225" i="4"/>
  <c r="Z225" i="4"/>
  <c r="U225" i="4"/>
  <c r="R225" i="4"/>
  <c r="M225" i="4"/>
  <c r="I225" i="4"/>
  <c r="AU225" i="4" s="1"/>
  <c r="AR224" i="4"/>
  <c r="AM224" i="4"/>
  <c r="AI224" i="4"/>
  <c r="AE224" i="4"/>
  <c r="Z224" i="4"/>
  <c r="U224" i="4"/>
  <c r="AU224" i="4" s="1"/>
  <c r="R224" i="4"/>
  <c r="M224" i="4"/>
  <c r="I224" i="4"/>
  <c r="AR223" i="4"/>
  <c r="AM223" i="4"/>
  <c r="AI223" i="4"/>
  <c r="AE223" i="4"/>
  <c r="Z223" i="4"/>
  <c r="U223" i="4"/>
  <c r="R223" i="4"/>
  <c r="M223" i="4"/>
  <c r="I223" i="4"/>
  <c r="AU223" i="4" s="1"/>
  <c r="AR222" i="4"/>
  <c r="AM222" i="4"/>
  <c r="AI222" i="4"/>
  <c r="AE222" i="4"/>
  <c r="Z222" i="4"/>
  <c r="U222" i="4"/>
  <c r="R222" i="4"/>
  <c r="M222" i="4"/>
  <c r="I222" i="4"/>
  <c r="AU222" i="4" s="1"/>
  <c r="AR221" i="4"/>
  <c r="AM221" i="4"/>
  <c r="AI221" i="4"/>
  <c r="AE221" i="4"/>
  <c r="Z221" i="4"/>
  <c r="U221" i="4"/>
  <c r="R221" i="4"/>
  <c r="M221" i="4"/>
  <c r="I221" i="4"/>
  <c r="AU221" i="4" s="1"/>
  <c r="AR220" i="4"/>
  <c r="AM220" i="4"/>
  <c r="AI220" i="4"/>
  <c r="AE220" i="4"/>
  <c r="Z220" i="4"/>
  <c r="U220" i="4"/>
  <c r="R220" i="4"/>
  <c r="AU220" i="4" s="1"/>
  <c r="M220" i="4"/>
  <c r="I220" i="4"/>
  <c r="AR219" i="4"/>
  <c r="AM219" i="4"/>
  <c r="AI219" i="4"/>
  <c r="AE219" i="4"/>
  <c r="Z219" i="4"/>
  <c r="U219" i="4"/>
  <c r="R219" i="4"/>
  <c r="M219" i="4"/>
  <c r="I219" i="4"/>
  <c r="AU219" i="4" s="1"/>
  <c r="AR218" i="4"/>
  <c r="AM218" i="4"/>
  <c r="AI218" i="4"/>
  <c r="AE218" i="4"/>
  <c r="Z218" i="4"/>
  <c r="U218" i="4"/>
  <c r="R218" i="4"/>
  <c r="M218" i="4"/>
  <c r="I218" i="4"/>
  <c r="AU218" i="4" s="1"/>
  <c r="AR217" i="4"/>
  <c r="AM217" i="4"/>
  <c r="AI217" i="4"/>
  <c r="AE217" i="4"/>
  <c r="Z217" i="4"/>
  <c r="AU217" i="4" s="1"/>
  <c r="U217" i="4"/>
  <c r="R217" i="4"/>
  <c r="M217" i="4"/>
  <c r="I217" i="4"/>
  <c r="AR216" i="4"/>
  <c r="AM216" i="4"/>
  <c r="AI216" i="4"/>
  <c r="AE216" i="4"/>
  <c r="Z216" i="4"/>
  <c r="U216" i="4"/>
  <c r="R216" i="4"/>
  <c r="M216" i="4"/>
  <c r="I216" i="4"/>
  <c r="AU216" i="4" s="1"/>
  <c r="AR215" i="4"/>
  <c r="AM215" i="4"/>
  <c r="AI215" i="4"/>
  <c r="AE215" i="4"/>
  <c r="Z215" i="4"/>
  <c r="U215" i="4"/>
  <c r="R215" i="4"/>
  <c r="M215" i="4"/>
  <c r="AU215" i="4" s="1"/>
  <c r="I215" i="4"/>
  <c r="AR214" i="4"/>
  <c r="AM214" i="4"/>
  <c r="AI214" i="4"/>
  <c r="AE214" i="4"/>
  <c r="Z214" i="4"/>
  <c r="U214" i="4"/>
  <c r="R214" i="4"/>
  <c r="M214" i="4"/>
  <c r="I214" i="4"/>
  <c r="AU214" i="4" s="1"/>
  <c r="AR213" i="4"/>
  <c r="AM213" i="4"/>
  <c r="AI213" i="4"/>
  <c r="AE213" i="4"/>
  <c r="Z213" i="4"/>
  <c r="U213" i="4"/>
  <c r="R213" i="4"/>
  <c r="M213" i="4"/>
  <c r="I213" i="4"/>
  <c r="AU213" i="4" s="1"/>
  <c r="AR212" i="4"/>
  <c r="AM212" i="4"/>
  <c r="AI212" i="4"/>
  <c r="AE212" i="4"/>
  <c r="Z212" i="4"/>
  <c r="U212" i="4"/>
  <c r="R212" i="4"/>
  <c r="AU212" i="4" s="1"/>
  <c r="M212" i="4"/>
  <c r="I212" i="4"/>
  <c r="AR211" i="4"/>
  <c r="AM211" i="4"/>
  <c r="AI211" i="4"/>
  <c r="AE211" i="4"/>
  <c r="Z211" i="4"/>
  <c r="U211" i="4"/>
  <c r="R211" i="4"/>
  <c r="AU211" i="4" s="1"/>
  <c r="M211" i="4"/>
  <c r="I211" i="4"/>
  <c r="AR210" i="4"/>
  <c r="AM210" i="4"/>
  <c r="AI210" i="4"/>
  <c r="AE210" i="4"/>
  <c r="Z210" i="4"/>
  <c r="U210" i="4"/>
  <c r="R210" i="4"/>
  <c r="M210" i="4"/>
  <c r="I210" i="4"/>
  <c r="AU210" i="4" s="1"/>
  <c r="AR209" i="4"/>
  <c r="AM209" i="4"/>
  <c r="AI209" i="4"/>
  <c r="AE209" i="4"/>
  <c r="Z209" i="4"/>
  <c r="U209" i="4"/>
  <c r="R209" i="4"/>
  <c r="M209" i="4"/>
  <c r="I209" i="4"/>
  <c r="AU209" i="4" s="1"/>
  <c r="AR208" i="4"/>
  <c r="AM208" i="4"/>
  <c r="AI208" i="4"/>
  <c r="AE208" i="4"/>
  <c r="Z208" i="4"/>
  <c r="U208" i="4"/>
  <c r="R208" i="4"/>
  <c r="M208" i="4"/>
  <c r="I208" i="4"/>
  <c r="AU208" i="4" s="1"/>
  <c r="AR207" i="4"/>
  <c r="AM207" i="4"/>
  <c r="AI207" i="4"/>
  <c r="AE207" i="4"/>
  <c r="Z207" i="4"/>
  <c r="U207" i="4"/>
  <c r="R207" i="4"/>
  <c r="M207" i="4"/>
  <c r="AU207" i="4" s="1"/>
  <c r="I207" i="4"/>
  <c r="AR206" i="4"/>
  <c r="AM206" i="4"/>
  <c r="AI206" i="4"/>
  <c r="AE206" i="4"/>
  <c r="Z206" i="4"/>
  <c r="U206" i="4"/>
  <c r="R206" i="4"/>
  <c r="M206" i="4"/>
  <c r="I206" i="4"/>
  <c r="AU206" i="4" s="1"/>
  <c r="AR205" i="4"/>
  <c r="AM205" i="4"/>
  <c r="AI205" i="4"/>
  <c r="AE205" i="4"/>
  <c r="Z205" i="4"/>
  <c r="U205" i="4"/>
  <c r="R205" i="4"/>
  <c r="AU205" i="4" s="1"/>
  <c r="M205" i="4"/>
  <c r="I205" i="4"/>
  <c r="AR204" i="4"/>
  <c r="AM204" i="4"/>
  <c r="AI204" i="4"/>
  <c r="AE204" i="4"/>
  <c r="Z204" i="4"/>
  <c r="U204" i="4"/>
  <c r="R204" i="4"/>
  <c r="M204" i="4"/>
  <c r="I204" i="4"/>
  <c r="AU204" i="4" s="1"/>
  <c r="AR203" i="4"/>
  <c r="AM203" i="4"/>
  <c r="AI203" i="4"/>
  <c r="AE203" i="4"/>
  <c r="Z203" i="4"/>
  <c r="U203" i="4"/>
  <c r="R203" i="4"/>
  <c r="M203" i="4"/>
  <c r="I203" i="4"/>
  <c r="AU203" i="4" s="1"/>
  <c r="AR202" i="4"/>
  <c r="AM202" i="4"/>
  <c r="AI202" i="4"/>
  <c r="AE202" i="4"/>
  <c r="Z202" i="4"/>
  <c r="U202" i="4"/>
  <c r="R202" i="4"/>
  <c r="M202" i="4"/>
  <c r="I202" i="4"/>
  <c r="AU202" i="4" s="1"/>
  <c r="AR201" i="4"/>
  <c r="AM201" i="4"/>
  <c r="AI201" i="4"/>
  <c r="AE201" i="4"/>
  <c r="Z201" i="4"/>
  <c r="U201" i="4"/>
  <c r="R201" i="4"/>
  <c r="M201" i="4"/>
  <c r="I201" i="4"/>
  <c r="AU201" i="4" s="1"/>
  <c r="AR200" i="4"/>
  <c r="AM200" i="4"/>
  <c r="AI200" i="4"/>
  <c r="AE200" i="4"/>
  <c r="Z200" i="4"/>
  <c r="U200" i="4"/>
  <c r="R200" i="4"/>
  <c r="AU200" i="4" s="1"/>
  <c r="M200" i="4"/>
  <c r="I200" i="4"/>
  <c r="AR199" i="4"/>
  <c r="AM199" i="4"/>
  <c r="AI199" i="4"/>
  <c r="AE199" i="4"/>
  <c r="Z199" i="4"/>
  <c r="AU199" i="4" s="1"/>
  <c r="U199" i="4"/>
  <c r="R199" i="4"/>
  <c r="M199" i="4"/>
  <c r="I199" i="4"/>
  <c r="AR198" i="4"/>
  <c r="AM198" i="4"/>
  <c r="AI198" i="4"/>
  <c r="AE198" i="4"/>
  <c r="Z198" i="4"/>
  <c r="U198" i="4"/>
  <c r="R198" i="4"/>
  <c r="M198" i="4"/>
  <c r="I198" i="4"/>
  <c r="AU198" i="4" s="1"/>
  <c r="AR197" i="4"/>
  <c r="AM197" i="4"/>
  <c r="AI197" i="4"/>
  <c r="AE197" i="4"/>
  <c r="Z197" i="4"/>
  <c r="U197" i="4"/>
  <c r="R197" i="4"/>
  <c r="M197" i="4"/>
  <c r="I197" i="4"/>
  <c r="AU197" i="4" s="1"/>
  <c r="AR196" i="4"/>
  <c r="AM196" i="4"/>
  <c r="AI196" i="4"/>
  <c r="AE196" i="4"/>
  <c r="Z196" i="4"/>
  <c r="U196" i="4"/>
  <c r="R196" i="4"/>
  <c r="M196" i="4"/>
  <c r="I196" i="4"/>
  <c r="AU196" i="4" s="1"/>
  <c r="AR195" i="4"/>
  <c r="AM195" i="4"/>
  <c r="AI195" i="4"/>
  <c r="AE195" i="4"/>
  <c r="Z195" i="4"/>
  <c r="U195" i="4"/>
  <c r="R195" i="4"/>
  <c r="AU195" i="4" s="1"/>
  <c r="M195" i="4"/>
  <c r="I195" i="4"/>
  <c r="AR194" i="4"/>
  <c r="AM194" i="4"/>
  <c r="AI194" i="4"/>
  <c r="AE194" i="4"/>
  <c r="Z194" i="4"/>
  <c r="U194" i="4"/>
  <c r="R194" i="4"/>
  <c r="M194" i="4"/>
  <c r="I194" i="4"/>
  <c r="AU194" i="4" s="1"/>
  <c r="AR193" i="4"/>
  <c r="AM193" i="4"/>
  <c r="AI193" i="4"/>
  <c r="AE193" i="4"/>
  <c r="Z193" i="4"/>
  <c r="U193" i="4"/>
  <c r="R193" i="4"/>
  <c r="M193" i="4"/>
  <c r="I193" i="4"/>
  <c r="AU193" i="4" s="1"/>
  <c r="AR192" i="4"/>
  <c r="AM192" i="4"/>
  <c r="AI192" i="4"/>
  <c r="AE192" i="4"/>
  <c r="Z192" i="4"/>
  <c r="U192" i="4"/>
  <c r="R192" i="4"/>
  <c r="M192" i="4"/>
  <c r="I192" i="4"/>
  <c r="AU192" i="4" s="1"/>
  <c r="AR191" i="4"/>
  <c r="AM191" i="4"/>
  <c r="AI191" i="4"/>
  <c r="AE191" i="4"/>
  <c r="Z191" i="4"/>
  <c r="U191" i="4"/>
  <c r="R191" i="4"/>
  <c r="M191" i="4"/>
  <c r="AU191" i="4" s="1"/>
  <c r="I191" i="4"/>
  <c r="AR190" i="4"/>
  <c r="AM190" i="4"/>
  <c r="AI190" i="4"/>
  <c r="AE190" i="4"/>
  <c r="Z190" i="4"/>
  <c r="U190" i="4"/>
  <c r="R190" i="4"/>
  <c r="M190" i="4"/>
  <c r="I190" i="4"/>
  <c r="AU190" i="4" s="1"/>
  <c r="AR189" i="4"/>
  <c r="AM189" i="4"/>
  <c r="AI189" i="4"/>
  <c r="AE189" i="4"/>
  <c r="Z189" i="4"/>
  <c r="U189" i="4"/>
  <c r="R189" i="4"/>
  <c r="M189" i="4"/>
  <c r="I189" i="4"/>
  <c r="AU189" i="4" s="1"/>
  <c r="AR188" i="4"/>
  <c r="AM188" i="4"/>
  <c r="AI188" i="4"/>
  <c r="AE188" i="4"/>
  <c r="Z188" i="4"/>
  <c r="U188" i="4"/>
  <c r="R188" i="4"/>
  <c r="M188" i="4"/>
  <c r="I188" i="4"/>
  <c r="AU188" i="4" s="1"/>
  <c r="AR187" i="4"/>
  <c r="AM187" i="4"/>
  <c r="AI187" i="4"/>
  <c r="AE187" i="4"/>
  <c r="Z187" i="4"/>
  <c r="U187" i="4"/>
  <c r="R187" i="4"/>
  <c r="M187" i="4"/>
  <c r="I187" i="4"/>
  <c r="AU187" i="4" s="1"/>
  <c r="AR186" i="4"/>
  <c r="AM186" i="4"/>
  <c r="AI186" i="4"/>
  <c r="AE186" i="4"/>
  <c r="Z186" i="4"/>
  <c r="U186" i="4"/>
  <c r="R186" i="4"/>
  <c r="M186" i="4"/>
  <c r="I186" i="4"/>
  <c r="AU186" i="4" s="1"/>
  <c r="AR185" i="4"/>
  <c r="AM185" i="4"/>
  <c r="AI185" i="4"/>
  <c r="AE185" i="4"/>
  <c r="Z185" i="4"/>
  <c r="U185" i="4"/>
  <c r="R185" i="4"/>
  <c r="M185" i="4"/>
  <c r="I185" i="4"/>
  <c r="AU185" i="4" s="1"/>
  <c r="AR184" i="4"/>
  <c r="AM184" i="4"/>
  <c r="AI184" i="4"/>
  <c r="AE184" i="4"/>
  <c r="Z184" i="4"/>
  <c r="U184" i="4"/>
  <c r="R184" i="4"/>
  <c r="M184" i="4"/>
  <c r="I184" i="4"/>
  <c r="AU184" i="4" s="1"/>
  <c r="AR183" i="4"/>
  <c r="AM183" i="4"/>
  <c r="AI183" i="4"/>
  <c r="AE183" i="4"/>
  <c r="Z183" i="4"/>
  <c r="U183" i="4"/>
  <c r="R183" i="4"/>
  <c r="M183" i="4"/>
  <c r="I183" i="4"/>
  <c r="AU183" i="4" s="1"/>
  <c r="AR182" i="4"/>
  <c r="AM182" i="4"/>
  <c r="AI182" i="4"/>
  <c r="AE182" i="4"/>
  <c r="Z182" i="4"/>
  <c r="U182" i="4"/>
  <c r="R182" i="4"/>
  <c r="M182" i="4"/>
  <c r="I182" i="4"/>
  <c r="AU182" i="4" s="1"/>
  <c r="AR181" i="4"/>
  <c r="AM181" i="4"/>
  <c r="AI181" i="4"/>
  <c r="AE181" i="4"/>
  <c r="Z181" i="4"/>
  <c r="U181" i="4"/>
  <c r="R181" i="4"/>
  <c r="M181" i="4"/>
  <c r="I181" i="4"/>
  <c r="AU181" i="4" s="1"/>
  <c r="AR180" i="4"/>
  <c r="AM180" i="4"/>
  <c r="AI180" i="4"/>
  <c r="AE180" i="4"/>
  <c r="Z180" i="4"/>
  <c r="U180" i="4"/>
  <c r="R180" i="4"/>
  <c r="AU180" i="4" s="1"/>
  <c r="M180" i="4"/>
  <c r="I180" i="4"/>
  <c r="AR179" i="4"/>
  <c r="AM179" i="4"/>
  <c r="AI179" i="4"/>
  <c r="AE179" i="4"/>
  <c r="Z179" i="4"/>
  <c r="U179" i="4"/>
  <c r="R179" i="4"/>
  <c r="M179" i="4"/>
  <c r="I179" i="4"/>
  <c r="AU179" i="4" s="1"/>
  <c r="AR178" i="4"/>
  <c r="AM178" i="4"/>
  <c r="AI178" i="4"/>
  <c r="AE178" i="4"/>
  <c r="Z178" i="4"/>
  <c r="U178" i="4"/>
  <c r="R178" i="4"/>
  <c r="M178" i="4"/>
  <c r="I178" i="4"/>
  <c r="AU178" i="4" s="1"/>
  <c r="AR177" i="4"/>
  <c r="AM177" i="4"/>
  <c r="AI177" i="4"/>
  <c r="AE177" i="4"/>
  <c r="Z177" i="4"/>
  <c r="U177" i="4"/>
  <c r="R177" i="4"/>
  <c r="M177" i="4"/>
  <c r="AU177" i="4" s="1"/>
  <c r="I177" i="4"/>
  <c r="AR176" i="4"/>
  <c r="AM176" i="4"/>
  <c r="AI176" i="4"/>
  <c r="AE176" i="4"/>
  <c r="Z176" i="4"/>
  <c r="U176" i="4"/>
  <c r="AU176" i="4" s="1"/>
  <c r="R176" i="4"/>
  <c r="M176" i="4"/>
  <c r="I176" i="4"/>
  <c r="AR175" i="4"/>
  <c r="AM175" i="4"/>
  <c r="AI175" i="4"/>
  <c r="AE175" i="4"/>
  <c r="Z175" i="4"/>
  <c r="U175" i="4"/>
  <c r="R175" i="4"/>
  <c r="M175" i="4"/>
  <c r="I175" i="4"/>
  <c r="AU175" i="4" s="1"/>
  <c r="AR174" i="4"/>
  <c r="AM174" i="4"/>
  <c r="AI174" i="4"/>
  <c r="AE174" i="4"/>
  <c r="Z174" i="4"/>
  <c r="U174" i="4"/>
  <c r="R174" i="4"/>
  <c r="AU174" i="4" s="1"/>
  <c r="M174" i="4"/>
  <c r="I174" i="4"/>
  <c r="AR173" i="4"/>
  <c r="AM173" i="4"/>
  <c r="AI173" i="4"/>
  <c r="AE173" i="4"/>
  <c r="Z173" i="4"/>
  <c r="U173" i="4"/>
  <c r="R173" i="4"/>
  <c r="M173" i="4"/>
  <c r="I173" i="4"/>
  <c r="AU173" i="4" s="1"/>
  <c r="AR172" i="4"/>
  <c r="AM172" i="4"/>
  <c r="AI172" i="4"/>
  <c r="AE172" i="4"/>
  <c r="Z172" i="4"/>
  <c r="U172" i="4"/>
  <c r="R172" i="4"/>
  <c r="M172" i="4"/>
  <c r="I172" i="4"/>
  <c r="AU172" i="4" s="1"/>
  <c r="AR171" i="4"/>
  <c r="AM171" i="4"/>
  <c r="AI171" i="4"/>
  <c r="AE171" i="4"/>
  <c r="Z171" i="4"/>
  <c r="U171" i="4"/>
  <c r="R171" i="4"/>
  <c r="M171" i="4"/>
  <c r="I171" i="4"/>
  <c r="AU171" i="4" s="1"/>
  <c r="AR170" i="4"/>
  <c r="AM170" i="4"/>
  <c r="AI170" i="4"/>
  <c r="AE170" i="4"/>
  <c r="Z170" i="4"/>
  <c r="U170" i="4"/>
  <c r="R170" i="4"/>
  <c r="M170" i="4"/>
  <c r="I170" i="4"/>
  <c r="AU170" i="4" s="1"/>
  <c r="AR169" i="4"/>
  <c r="AM169" i="4"/>
  <c r="AI169" i="4"/>
  <c r="AE169" i="4"/>
  <c r="Z169" i="4"/>
  <c r="U169" i="4"/>
  <c r="R169" i="4"/>
  <c r="M169" i="4"/>
  <c r="I169" i="4"/>
  <c r="AU169" i="4" s="1"/>
  <c r="AR168" i="4"/>
  <c r="AM168" i="4"/>
  <c r="AI168" i="4"/>
  <c r="AE168" i="4"/>
  <c r="Z168" i="4"/>
  <c r="U168" i="4"/>
  <c r="R168" i="4"/>
  <c r="M168" i="4"/>
  <c r="I168" i="4"/>
  <c r="AU168" i="4" s="1"/>
  <c r="AR167" i="4"/>
  <c r="AM167" i="4"/>
  <c r="AI167" i="4"/>
  <c r="AE167" i="4"/>
  <c r="Z167" i="4"/>
  <c r="U167" i="4"/>
  <c r="R167" i="4"/>
  <c r="M167" i="4"/>
  <c r="I167" i="4"/>
  <c r="AU167" i="4" s="1"/>
  <c r="AR166" i="4"/>
  <c r="AM166" i="4"/>
  <c r="AI166" i="4"/>
  <c r="AE166" i="4"/>
  <c r="Z166" i="4"/>
  <c r="U166" i="4"/>
  <c r="R166" i="4"/>
  <c r="M166" i="4"/>
  <c r="I166" i="4"/>
  <c r="AU166" i="4" s="1"/>
  <c r="AR165" i="4"/>
  <c r="AM165" i="4"/>
  <c r="AI165" i="4"/>
  <c r="AE165" i="4"/>
  <c r="Z165" i="4"/>
  <c r="U165" i="4"/>
  <c r="R165" i="4"/>
  <c r="AU165" i="4" s="1"/>
  <c r="M165" i="4"/>
  <c r="I165" i="4"/>
  <c r="AR164" i="4"/>
  <c r="AM164" i="4"/>
  <c r="AI164" i="4"/>
  <c r="AE164" i="4"/>
  <c r="Z164" i="4"/>
  <c r="U164" i="4"/>
  <c r="R164" i="4"/>
  <c r="M164" i="4"/>
  <c r="I164" i="4"/>
  <c r="AU164" i="4" s="1"/>
  <c r="AR163" i="4"/>
  <c r="AM163" i="4"/>
  <c r="AI163" i="4"/>
  <c r="AE163" i="4"/>
  <c r="Z163" i="4"/>
  <c r="U163" i="4"/>
  <c r="R163" i="4"/>
  <c r="M163" i="4"/>
  <c r="I163" i="4"/>
  <c r="AU163" i="4" s="1"/>
  <c r="AR162" i="4"/>
  <c r="AM162" i="4"/>
  <c r="AI162" i="4"/>
  <c r="AE162" i="4"/>
  <c r="Z162" i="4"/>
  <c r="U162" i="4"/>
  <c r="R162" i="4"/>
  <c r="M162" i="4"/>
  <c r="I162" i="4"/>
  <c r="AU162" i="4" s="1"/>
  <c r="AR161" i="4"/>
  <c r="AM161" i="4"/>
  <c r="AI161" i="4"/>
  <c r="AE161" i="4"/>
  <c r="Z161" i="4"/>
  <c r="U161" i="4"/>
  <c r="R161" i="4"/>
  <c r="M161" i="4"/>
  <c r="I161" i="4"/>
  <c r="AU161" i="4" s="1"/>
  <c r="AR160" i="4"/>
  <c r="AM160" i="4"/>
  <c r="AI160" i="4"/>
  <c r="AE160" i="4"/>
  <c r="Z160" i="4"/>
  <c r="U160" i="4"/>
  <c r="R160" i="4"/>
  <c r="M160" i="4"/>
  <c r="I160" i="4"/>
  <c r="AU160" i="4" s="1"/>
  <c r="AR159" i="4"/>
  <c r="AM159" i="4"/>
  <c r="AI159" i="4"/>
  <c r="AE159" i="4"/>
  <c r="Z159" i="4"/>
  <c r="U159" i="4"/>
  <c r="R159" i="4"/>
  <c r="M159" i="4"/>
  <c r="I159" i="4"/>
  <c r="AU159" i="4" s="1"/>
  <c r="AR158" i="4"/>
  <c r="AM158" i="4"/>
  <c r="AI158" i="4"/>
  <c r="AE158" i="4"/>
  <c r="Z158" i="4"/>
  <c r="U158" i="4"/>
  <c r="R158" i="4"/>
  <c r="M158" i="4"/>
  <c r="AU158" i="4" s="1"/>
  <c r="I158" i="4"/>
  <c r="AR157" i="4"/>
  <c r="AM157" i="4"/>
  <c r="AI157" i="4"/>
  <c r="AE157" i="4"/>
  <c r="Z157" i="4"/>
  <c r="U157" i="4"/>
  <c r="R157" i="4"/>
  <c r="M157" i="4"/>
  <c r="AU157" i="4" s="1"/>
  <c r="I157" i="4"/>
  <c r="AR156" i="4"/>
  <c r="AM156" i="4"/>
  <c r="AI156" i="4"/>
  <c r="AE156" i="4"/>
  <c r="Z156" i="4"/>
  <c r="U156" i="4"/>
  <c r="R156" i="4"/>
  <c r="M156" i="4"/>
  <c r="I156" i="4"/>
  <c r="AU156" i="4" s="1"/>
  <c r="AR155" i="4"/>
  <c r="AM155" i="4"/>
  <c r="AI155" i="4"/>
  <c r="AE155" i="4"/>
  <c r="Z155" i="4"/>
  <c r="U155" i="4"/>
  <c r="R155" i="4"/>
  <c r="M155" i="4"/>
  <c r="I155" i="4"/>
  <c r="AU155" i="4" s="1"/>
  <c r="AR154" i="4"/>
  <c r="AM154" i="4"/>
  <c r="AI154" i="4"/>
  <c r="AE154" i="4"/>
  <c r="Z154" i="4"/>
  <c r="U154" i="4"/>
  <c r="R154" i="4"/>
  <c r="M154" i="4"/>
  <c r="I154" i="4"/>
  <c r="AU154" i="4" s="1"/>
  <c r="AR153" i="4"/>
  <c r="AM153" i="4"/>
  <c r="AI153" i="4"/>
  <c r="AE153" i="4"/>
  <c r="Z153" i="4"/>
  <c r="U153" i="4"/>
  <c r="R153" i="4"/>
  <c r="M153" i="4"/>
  <c r="I153" i="4"/>
  <c r="AU153" i="4" s="1"/>
  <c r="AR152" i="4"/>
  <c r="AM152" i="4"/>
  <c r="AI152" i="4"/>
  <c r="AE152" i="4"/>
  <c r="Z152" i="4"/>
  <c r="U152" i="4"/>
  <c r="R152" i="4"/>
  <c r="M152" i="4"/>
  <c r="I152" i="4"/>
  <c r="AU152" i="4" s="1"/>
  <c r="AR151" i="4"/>
  <c r="AM151" i="4"/>
  <c r="AI151" i="4"/>
  <c r="AE151" i="4"/>
  <c r="Z151" i="4"/>
  <c r="U151" i="4"/>
  <c r="R151" i="4"/>
  <c r="M151" i="4"/>
  <c r="I151" i="4"/>
  <c r="AU151" i="4" s="1"/>
  <c r="AR150" i="4"/>
  <c r="AM150" i="4"/>
  <c r="AI150" i="4"/>
  <c r="AE150" i="4"/>
  <c r="Z150" i="4"/>
  <c r="U150" i="4"/>
  <c r="R150" i="4"/>
  <c r="M150" i="4"/>
  <c r="I150" i="4"/>
  <c r="AU150" i="4" s="1"/>
  <c r="AR149" i="4"/>
  <c r="AM149" i="4"/>
  <c r="AI149" i="4"/>
  <c r="AE149" i="4"/>
  <c r="Z149" i="4"/>
  <c r="U149" i="4"/>
  <c r="R149" i="4"/>
  <c r="AU149" i="4" s="1"/>
  <c r="M149" i="4"/>
  <c r="I149" i="4"/>
  <c r="AR148" i="4"/>
  <c r="AM148" i="4"/>
  <c r="AI148" i="4"/>
  <c r="AE148" i="4"/>
  <c r="Z148" i="4"/>
  <c r="U148" i="4"/>
  <c r="R148" i="4"/>
  <c r="M148" i="4"/>
  <c r="AU148" i="4" s="1"/>
  <c r="I148" i="4"/>
  <c r="AR147" i="4"/>
  <c r="AM147" i="4"/>
  <c r="AI147" i="4"/>
  <c r="AE147" i="4"/>
  <c r="Z147" i="4"/>
  <c r="U147" i="4"/>
  <c r="R147" i="4"/>
  <c r="M147" i="4"/>
  <c r="I147" i="4"/>
  <c r="AU147" i="4" s="1"/>
  <c r="AR146" i="4"/>
  <c r="AM146" i="4"/>
  <c r="AI146" i="4"/>
  <c r="AE146" i="4"/>
  <c r="Z146" i="4"/>
  <c r="U146" i="4"/>
  <c r="R146" i="4"/>
  <c r="M146" i="4"/>
  <c r="I146" i="4"/>
  <c r="AU146" i="4" s="1"/>
  <c r="AR145" i="4"/>
  <c r="AM145" i="4"/>
  <c r="AI145" i="4"/>
  <c r="AE145" i="4"/>
  <c r="Z145" i="4"/>
  <c r="U145" i="4"/>
  <c r="R145" i="4"/>
  <c r="M145" i="4"/>
  <c r="AU145" i="4" s="1"/>
  <c r="I145" i="4"/>
  <c r="AR144" i="4"/>
  <c r="AM144" i="4"/>
  <c r="AI144" i="4"/>
  <c r="AE144" i="4"/>
  <c r="Z144" i="4"/>
  <c r="U144" i="4"/>
  <c r="R144" i="4"/>
  <c r="M144" i="4"/>
  <c r="I144" i="4"/>
  <c r="AU144" i="4" s="1"/>
  <c r="AR143" i="4"/>
  <c r="AM143" i="4"/>
  <c r="AI143" i="4"/>
  <c r="AE143" i="4"/>
  <c r="Z143" i="4"/>
  <c r="U143" i="4"/>
  <c r="R143" i="4"/>
  <c r="M143" i="4"/>
  <c r="AU143" i="4" s="1"/>
  <c r="I143" i="4"/>
  <c r="AR142" i="4"/>
  <c r="AM142" i="4"/>
  <c r="AI142" i="4"/>
  <c r="AE142" i="4"/>
  <c r="Z142" i="4"/>
  <c r="U142" i="4"/>
  <c r="R142" i="4"/>
  <c r="M142" i="4"/>
  <c r="I142" i="4"/>
  <c r="AU142" i="4" s="1"/>
  <c r="AR141" i="4"/>
  <c r="AM141" i="4"/>
  <c r="AI141" i="4"/>
  <c r="AE141" i="4"/>
  <c r="Z141" i="4"/>
  <c r="U141" i="4"/>
  <c r="R141" i="4"/>
  <c r="M141" i="4"/>
  <c r="I141" i="4"/>
  <c r="AU141" i="4" s="1"/>
  <c r="AR140" i="4"/>
  <c r="AM140" i="4"/>
  <c r="AI140" i="4"/>
  <c r="AE140" i="4"/>
  <c r="Z140" i="4"/>
  <c r="U140" i="4"/>
  <c r="R140" i="4"/>
  <c r="M140" i="4"/>
  <c r="I140" i="4"/>
  <c r="AU140" i="4" s="1"/>
  <c r="AR139" i="4"/>
  <c r="AM139" i="4"/>
  <c r="AI139" i="4"/>
  <c r="AE139" i="4"/>
  <c r="Z139" i="4"/>
  <c r="U139" i="4"/>
  <c r="R139" i="4"/>
  <c r="M139" i="4"/>
  <c r="I139" i="4"/>
  <c r="AU139" i="4" s="1"/>
  <c r="AR138" i="4"/>
  <c r="AM138" i="4"/>
  <c r="AI138" i="4"/>
  <c r="AE138" i="4"/>
  <c r="Z138" i="4"/>
  <c r="U138" i="4"/>
  <c r="R138" i="4"/>
  <c r="M138" i="4"/>
  <c r="AU138" i="4" s="1"/>
  <c r="I138" i="4"/>
  <c r="AR137" i="4"/>
  <c r="AM137" i="4"/>
  <c r="AI137" i="4"/>
  <c r="AE137" i="4"/>
  <c r="Z137" i="4"/>
  <c r="U137" i="4"/>
  <c r="R137" i="4"/>
  <c r="M137" i="4"/>
  <c r="I137" i="4"/>
  <c r="AU137" i="4" s="1"/>
  <c r="AR136" i="4"/>
  <c r="AM136" i="4"/>
  <c r="AU136" i="4" s="1"/>
  <c r="AI136" i="4"/>
  <c r="AE136" i="4"/>
  <c r="Z136" i="4"/>
  <c r="U136" i="4"/>
  <c r="R136" i="4"/>
  <c r="M136" i="4"/>
  <c r="I136" i="4"/>
  <c r="AR135" i="4"/>
  <c r="AM135" i="4"/>
  <c r="AI135" i="4"/>
  <c r="AE135" i="4"/>
  <c r="Z135" i="4"/>
  <c r="U135" i="4"/>
  <c r="R135" i="4"/>
  <c r="M135" i="4"/>
  <c r="I135" i="4"/>
  <c r="AU135" i="4" s="1"/>
  <c r="AR134" i="4"/>
  <c r="AM134" i="4"/>
  <c r="AI134" i="4"/>
  <c r="AE134" i="4"/>
  <c r="Z134" i="4"/>
  <c r="U134" i="4"/>
  <c r="R134" i="4"/>
  <c r="M134" i="4"/>
  <c r="I134" i="4"/>
  <c r="AU134" i="4" s="1"/>
  <c r="AR133" i="4"/>
  <c r="AM133" i="4"/>
  <c r="AI133" i="4"/>
  <c r="AE133" i="4"/>
  <c r="Z133" i="4"/>
  <c r="U133" i="4"/>
  <c r="R133" i="4"/>
  <c r="M133" i="4"/>
  <c r="I133" i="4"/>
  <c r="AU133" i="4" s="1"/>
  <c r="AR132" i="4"/>
  <c r="AM132" i="4"/>
  <c r="AI132" i="4"/>
  <c r="AE132" i="4"/>
  <c r="Z132" i="4"/>
  <c r="U132" i="4"/>
  <c r="R132" i="4"/>
  <c r="AU132" i="4" s="1"/>
  <c r="M132" i="4"/>
  <c r="I132" i="4"/>
  <c r="AR131" i="4"/>
  <c r="AM131" i="4"/>
  <c r="AI131" i="4"/>
  <c r="AE131" i="4"/>
  <c r="Z131" i="4"/>
  <c r="U131" i="4"/>
  <c r="R131" i="4"/>
  <c r="AU131" i="4" s="1"/>
  <c r="M131" i="4"/>
  <c r="I131" i="4"/>
  <c r="AR130" i="4"/>
  <c r="AM130" i="4"/>
  <c r="AI130" i="4"/>
  <c r="AE130" i="4"/>
  <c r="Z130" i="4"/>
  <c r="U130" i="4"/>
  <c r="R130" i="4"/>
  <c r="M130" i="4"/>
  <c r="I130" i="4"/>
  <c r="AU130" i="4" s="1"/>
  <c r="AR129" i="4"/>
  <c r="AM129" i="4"/>
  <c r="AI129" i="4"/>
  <c r="AE129" i="4"/>
  <c r="Z129" i="4"/>
  <c r="U129" i="4"/>
  <c r="R129" i="4"/>
  <c r="AU129" i="4" s="1"/>
  <c r="M129" i="4"/>
  <c r="I129" i="4"/>
  <c r="AR128" i="4"/>
  <c r="AM128" i="4"/>
  <c r="AI128" i="4"/>
  <c r="AE128" i="4"/>
  <c r="Z128" i="4"/>
  <c r="U128" i="4"/>
  <c r="R128" i="4"/>
  <c r="M128" i="4"/>
  <c r="I128" i="4"/>
  <c r="AU128" i="4" s="1"/>
  <c r="AR127" i="4"/>
  <c r="AM127" i="4"/>
  <c r="AI127" i="4"/>
  <c r="AE127" i="4"/>
  <c r="Z127" i="4"/>
  <c r="U127" i="4"/>
  <c r="R127" i="4"/>
  <c r="M127" i="4"/>
  <c r="I127" i="4"/>
  <c r="AU127" i="4" s="1"/>
  <c r="AR126" i="4"/>
  <c r="AM126" i="4"/>
  <c r="AI126" i="4"/>
  <c r="AE126" i="4"/>
  <c r="Z126" i="4"/>
  <c r="AU126" i="4" s="1"/>
  <c r="U126" i="4"/>
  <c r="R126" i="4"/>
  <c r="M126" i="4"/>
  <c r="I126" i="4"/>
  <c r="AR125" i="4"/>
  <c r="AM125" i="4"/>
  <c r="AI125" i="4"/>
  <c r="AE125" i="4"/>
  <c r="Z125" i="4"/>
  <c r="U125" i="4"/>
  <c r="R125" i="4"/>
  <c r="M125" i="4"/>
  <c r="AU125" i="4" s="1"/>
  <c r="I125" i="4"/>
  <c r="AR124" i="4"/>
  <c r="AM124" i="4"/>
  <c r="AI124" i="4"/>
  <c r="AE124" i="4"/>
  <c r="Z124" i="4"/>
  <c r="U124" i="4"/>
  <c r="R124" i="4"/>
  <c r="M124" i="4"/>
  <c r="I124" i="4"/>
  <c r="AU124" i="4" s="1"/>
  <c r="AR123" i="4"/>
  <c r="AM123" i="4"/>
  <c r="AI123" i="4"/>
  <c r="AE123" i="4"/>
  <c r="Z123" i="4"/>
  <c r="U123" i="4"/>
  <c r="R123" i="4"/>
  <c r="AU123" i="4" s="1"/>
  <c r="M123" i="4"/>
  <c r="I123" i="4"/>
  <c r="AR122" i="4"/>
  <c r="AM122" i="4"/>
  <c r="AI122" i="4"/>
  <c r="AE122" i="4"/>
  <c r="Z122" i="4"/>
  <c r="U122" i="4"/>
  <c r="R122" i="4"/>
  <c r="M122" i="4"/>
  <c r="I122" i="4"/>
  <c r="AU122" i="4" s="1"/>
  <c r="AR121" i="4"/>
  <c r="AM121" i="4"/>
  <c r="AI121" i="4"/>
  <c r="AE121" i="4"/>
  <c r="Z121" i="4"/>
  <c r="AU121" i="4" s="1"/>
  <c r="U121" i="4"/>
  <c r="R121" i="4"/>
  <c r="M121" i="4"/>
  <c r="I121" i="4"/>
  <c r="AR120" i="4"/>
  <c r="AM120" i="4"/>
  <c r="AI120" i="4"/>
  <c r="AE120" i="4"/>
  <c r="Z120" i="4"/>
  <c r="AU120" i="4" s="1"/>
  <c r="U120" i="4"/>
  <c r="R120" i="4"/>
  <c r="M120" i="4"/>
  <c r="I120" i="4"/>
  <c r="AR119" i="4"/>
  <c r="AM119" i="4"/>
  <c r="AI119" i="4"/>
  <c r="AE119" i="4"/>
  <c r="Z119" i="4"/>
  <c r="U119" i="4"/>
  <c r="R119" i="4"/>
  <c r="M119" i="4"/>
  <c r="I119" i="4"/>
  <c r="AU119" i="4" s="1"/>
  <c r="AR118" i="4"/>
  <c r="AM118" i="4"/>
  <c r="AI118" i="4"/>
  <c r="AE118" i="4"/>
  <c r="Z118" i="4"/>
  <c r="U118" i="4"/>
  <c r="R118" i="4"/>
  <c r="M118" i="4"/>
  <c r="I118" i="4"/>
  <c r="AU118" i="4" s="1"/>
  <c r="AR117" i="4"/>
  <c r="AM117" i="4"/>
  <c r="AI117" i="4"/>
  <c r="AE117" i="4"/>
  <c r="Z117" i="4"/>
  <c r="U117" i="4"/>
  <c r="R117" i="4"/>
  <c r="M117" i="4"/>
  <c r="I117" i="4"/>
  <c r="AU117" i="4" s="1"/>
  <c r="AR116" i="4"/>
  <c r="AM116" i="4"/>
  <c r="AI116" i="4"/>
  <c r="AE116" i="4"/>
  <c r="Z116" i="4"/>
  <c r="U116" i="4"/>
  <c r="R116" i="4"/>
  <c r="M116" i="4"/>
  <c r="I116" i="4"/>
  <c r="AU116" i="4" s="1"/>
  <c r="AR115" i="4"/>
  <c r="AM115" i="4"/>
  <c r="AI115" i="4"/>
  <c r="AE115" i="4"/>
  <c r="Z115" i="4"/>
  <c r="U115" i="4"/>
  <c r="R115" i="4"/>
  <c r="M115" i="4"/>
  <c r="I115" i="4"/>
  <c r="AU115" i="4" s="1"/>
  <c r="AR114" i="4"/>
  <c r="AM114" i="4"/>
  <c r="AI114" i="4"/>
  <c r="AE114" i="4"/>
  <c r="Z114" i="4"/>
  <c r="AU114" i="4" s="1"/>
  <c r="U114" i="4"/>
  <c r="R114" i="4"/>
  <c r="M114" i="4"/>
  <c r="I114" i="4"/>
  <c r="AR113" i="4"/>
  <c r="AM113" i="4"/>
  <c r="AI113" i="4"/>
  <c r="AE113" i="4"/>
  <c r="Z113" i="4"/>
  <c r="U113" i="4"/>
  <c r="R113" i="4"/>
  <c r="M113" i="4"/>
  <c r="I113" i="4"/>
  <c r="AU113" i="4" s="1"/>
  <c r="AR112" i="4"/>
  <c r="AM112" i="4"/>
  <c r="AI112" i="4"/>
  <c r="AE112" i="4"/>
  <c r="Z112" i="4"/>
  <c r="U112" i="4"/>
  <c r="R112" i="4"/>
  <c r="M112" i="4"/>
  <c r="I112" i="4"/>
  <c r="AU112" i="4" s="1"/>
  <c r="AR111" i="4"/>
  <c r="AM111" i="4"/>
  <c r="AI111" i="4"/>
  <c r="AE111" i="4"/>
  <c r="Z111" i="4"/>
  <c r="U111" i="4"/>
  <c r="R111" i="4"/>
  <c r="M111" i="4"/>
  <c r="I111" i="4"/>
  <c r="AU111" i="4" s="1"/>
  <c r="AR110" i="4"/>
  <c r="AM110" i="4"/>
  <c r="AI110" i="4"/>
  <c r="AE110" i="4"/>
  <c r="Z110" i="4"/>
  <c r="U110" i="4"/>
  <c r="R110" i="4"/>
  <c r="M110" i="4"/>
  <c r="I110" i="4"/>
  <c r="AU110" i="4" s="1"/>
  <c r="AR109" i="4"/>
  <c r="AM109" i="4"/>
  <c r="AI109" i="4"/>
  <c r="AE109" i="4"/>
  <c r="Z109" i="4"/>
  <c r="U109" i="4"/>
  <c r="R109" i="4"/>
  <c r="M109" i="4"/>
  <c r="AU109" i="4" s="1"/>
  <c r="I109" i="4"/>
  <c r="AR108" i="4"/>
  <c r="AM108" i="4"/>
  <c r="AI108" i="4"/>
  <c r="AE108" i="4"/>
  <c r="Z108" i="4"/>
  <c r="U108" i="4"/>
  <c r="R108" i="4"/>
  <c r="M108" i="4"/>
  <c r="I108" i="4"/>
  <c r="AU108" i="4" s="1"/>
  <c r="AR107" i="4"/>
  <c r="AM107" i="4"/>
  <c r="AI107" i="4"/>
  <c r="AE107" i="4"/>
  <c r="Z107" i="4"/>
  <c r="U107" i="4"/>
  <c r="R107" i="4"/>
  <c r="M107" i="4"/>
  <c r="I107" i="4"/>
  <c r="AU107" i="4" s="1"/>
  <c r="AR106" i="4"/>
  <c r="AM106" i="4"/>
  <c r="AI106" i="4"/>
  <c r="AE106" i="4"/>
  <c r="Z106" i="4"/>
  <c r="U106" i="4"/>
  <c r="R106" i="4"/>
  <c r="AU106" i="4" s="1"/>
  <c r="M106" i="4"/>
  <c r="I106" i="4"/>
  <c r="AR105" i="4"/>
  <c r="AM105" i="4"/>
  <c r="AI105" i="4"/>
  <c r="AE105" i="4"/>
  <c r="Z105" i="4"/>
  <c r="U105" i="4"/>
  <c r="R105" i="4"/>
  <c r="M105" i="4"/>
  <c r="I105" i="4"/>
  <c r="AU105" i="4" s="1"/>
  <c r="AR104" i="4"/>
  <c r="AM104" i="4"/>
  <c r="AI104" i="4"/>
  <c r="AE104" i="4"/>
  <c r="Z104" i="4"/>
  <c r="U104" i="4"/>
  <c r="R104" i="4"/>
  <c r="AU104" i="4" s="1"/>
  <c r="M104" i="4"/>
  <c r="I104" i="4"/>
  <c r="AR103" i="4"/>
  <c r="AM103" i="4"/>
  <c r="AI103" i="4"/>
  <c r="AE103" i="4"/>
  <c r="Z103" i="4"/>
  <c r="AU103" i="4" s="1"/>
  <c r="U103" i="4"/>
  <c r="R103" i="4"/>
  <c r="M103" i="4"/>
  <c r="I103" i="4"/>
  <c r="AR102" i="4"/>
  <c r="AM102" i="4"/>
  <c r="AI102" i="4"/>
  <c r="AE102" i="4"/>
  <c r="Z102" i="4"/>
  <c r="U102" i="4"/>
  <c r="AU102" i="4" s="1"/>
  <c r="R102" i="4"/>
  <c r="M102" i="4"/>
  <c r="I102" i="4"/>
  <c r="AR101" i="4"/>
  <c r="AM101" i="4"/>
  <c r="AI101" i="4"/>
  <c r="AE101" i="4"/>
  <c r="Z101" i="4"/>
  <c r="U101" i="4"/>
  <c r="R101" i="4"/>
  <c r="M101" i="4"/>
  <c r="I101" i="4"/>
  <c r="AU101" i="4" s="1"/>
  <c r="AR100" i="4"/>
  <c r="AM100" i="4"/>
  <c r="AI100" i="4"/>
  <c r="AE100" i="4"/>
  <c r="Z100" i="4"/>
  <c r="U100" i="4"/>
  <c r="R100" i="4"/>
  <c r="M100" i="4"/>
  <c r="AU100" i="4" s="1"/>
  <c r="I100" i="4"/>
  <c r="AR99" i="4"/>
  <c r="AM99" i="4"/>
  <c r="AI99" i="4"/>
  <c r="AE99" i="4"/>
  <c r="Z99" i="4"/>
  <c r="U99" i="4"/>
  <c r="R99" i="4"/>
  <c r="M99" i="4"/>
  <c r="I99" i="4"/>
  <c r="AU99" i="4" s="1"/>
  <c r="AR98" i="4"/>
  <c r="AM98" i="4"/>
  <c r="AI98" i="4"/>
  <c r="AE98" i="4"/>
  <c r="Z98" i="4"/>
  <c r="U98" i="4"/>
  <c r="R98" i="4"/>
  <c r="M98" i="4"/>
  <c r="I98" i="4"/>
  <c r="AU98" i="4" s="1"/>
  <c r="AR97" i="4"/>
  <c r="AM97" i="4"/>
  <c r="AI97" i="4"/>
  <c r="AE97" i="4"/>
  <c r="Z97" i="4"/>
  <c r="U97" i="4"/>
  <c r="R97" i="4"/>
  <c r="M97" i="4"/>
  <c r="I97" i="4"/>
  <c r="AU97" i="4" s="1"/>
  <c r="AR96" i="4"/>
  <c r="AM96" i="4"/>
  <c r="AI96" i="4"/>
  <c r="AE96" i="4"/>
  <c r="Z96" i="4"/>
  <c r="U96" i="4"/>
  <c r="R96" i="4"/>
  <c r="M96" i="4"/>
  <c r="I96" i="4"/>
  <c r="AU96" i="4" s="1"/>
  <c r="AR95" i="4"/>
  <c r="AM95" i="4"/>
  <c r="AI95" i="4"/>
  <c r="AE95" i="4"/>
  <c r="Z95" i="4"/>
  <c r="U95" i="4"/>
  <c r="R95" i="4"/>
  <c r="M95" i="4"/>
  <c r="I95" i="4"/>
  <c r="AU95" i="4" s="1"/>
  <c r="AR94" i="4"/>
  <c r="AM94" i="4"/>
  <c r="AI94" i="4"/>
  <c r="AE94" i="4"/>
  <c r="Z94" i="4"/>
  <c r="U94" i="4"/>
  <c r="R94" i="4"/>
  <c r="M94" i="4"/>
  <c r="I94" i="4"/>
  <c r="AU94" i="4" s="1"/>
  <c r="AR93" i="4"/>
  <c r="AM93" i="4"/>
  <c r="AI93" i="4"/>
  <c r="AE93" i="4"/>
  <c r="Z93" i="4"/>
  <c r="U93" i="4"/>
  <c r="R93" i="4"/>
  <c r="M93" i="4"/>
  <c r="I93" i="4"/>
  <c r="AU93" i="4" s="1"/>
  <c r="AR92" i="4"/>
  <c r="AM92" i="4"/>
  <c r="AI92" i="4"/>
  <c r="AE92" i="4"/>
  <c r="Z92" i="4"/>
  <c r="U92" i="4"/>
  <c r="R92" i="4"/>
  <c r="M92" i="4"/>
  <c r="I92" i="4"/>
  <c r="AU92" i="4" s="1"/>
  <c r="AR91" i="4"/>
  <c r="AM91" i="4"/>
  <c r="AI91" i="4"/>
  <c r="AE91" i="4"/>
  <c r="Z91" i="4"/>
  <c r="U91" i="4"/>
  <c r="R91" i="4"/>
  <c r="AU91" i="4" s="1"/>
  <c r="M91" i="4"/>
  <c r="I91" i="4"/>
  <c r="AR90" i="4"/>
  <c r="AM90" i="4"/>
  <c r="AI90" i="4"/>
  <c r="AE90" i="4"/>
  <c r="Z90" i="4"/>
  <c r="U90" i="4"/>
  <c r="R90" i="4"/>
  <c r="M90" i="4"/>
  <c r="I90" i="4"/>
  <c r="AU90" i="4" s="1"/>
  <c r="AR89" i="4"/>
  <c r="AM89" i="4"/>
  <c r="AI89" i="4"/>
  <c r="AE89" i="4"/>
  <c r="Z89" i="4"/>
  <c r="U89" i="4"/>
  <c r="R89" i="4"/>
  <c r="M89" i="4"/>
  <c r="I89" i="4"/>
  <c r="AU89" i="4" s="1"/>
  <c r="AR88" i="4"/>
  <c r="AM88" i="4"/>
  <c r="AI88" i="4"/>
  <c r="AE88" i="4"/>
  <c r="Z88" i="4"/>
  <c r="U88" i="4"/>
  <c r="R88" i="4"/>
  <c r="M88" i="4"/>
  <c r="I88" i="4"/>
  <c r="AU88" i="4" s="1"/>
  <c r="AR87" i="4"/>
  <c r="AM87" i="4"/>
  <c r="AI87" i="4"/>
  <c r="AE87" i="4"/>
  <c r="Z87" i="4"/>
  <c r="U87" i="4"/>
  <c r="R87" i="4"/>
  <c r="AU87" i="4" s="1"/>
  <c r="M87" i="4"/>
  <c r="I87" i="4"/>
  <c r="AR86" i="4"/>
  <c r="AM86" i="4"/>
  <c r="AI86" i="4"/>
  <c r="AE86" i="4"/>
  <c r="Z86" i="4"/>
  <c r="U86" i="4"/>
  <c r="R86" i="4"/>
  <c r="M86" i="4"/>
  <c r="I86" i="4"/>
  <c r="AU86" i="4" s="1"/>
  <c r="AR85" i="4"/>
  <c r="AM85" i="4"/>
  <c r="AI85" i="4"/>
  <c r="AE85" i="4"/>
  <c r="Z85" i="4"/>
  <c r="U85" i="4"/>
  <c r="R85" i="4"/>
  <c r="AU85" i="4" s="1"/>
  <c r="M85" i="4"/>
  <c r="I85" i="4"/>
  <c r="AR84" i="4"/>
  <c r="AM84" i="4"/>
  <c r="AI84" i="4"/>
  <c r="AE84" i="4"/>
  <c r="Z84" i="4"/>
  <c r="AU84" i="4" s="1"/>
  <c r="U84" i="4"/>
  <c r="R84" i="4"/>
  <c r="M84" i="4"/>
  <c r="I84" i="4"/>
  <c r="AR83" i="4"/>
  <c r="AM83" i="4"/>
  <c r="AI83" i="4"/>
  <c r="AE83" i="4"/>
  <c r="Z83" i="4"/>
  <c r="AU83" i="4" s="1"/>
  <c r="U83" i="4"/>
  <c r="R83" i="4"/>
  <c r="M83" i="4"/>
  <c r="I83" i="4"/>
  <c r="AR82" i="4"/>
  <c r="AM82" i="4"/>
  <c r="AI82" i="4"/>
  <c r="AE82" i="4"/>
  <c r="Z82" i="4"/>
  <c r="U82" i="4"/>
  <c r="R82" i="4"/>
  <c r="M82" i="4"/>
  <c r="I82" i="4"/>
  <c r="AU82" i="4" s="1"/>
  <c r="AR81" i="4"/>
  <c r="AM81" i="4"/>
  <c r="AI81" i="4"/>
  <c r="AE81" i="4"/>
  <c r="Z81" i="4"/>
  <c r="U81" i="4"/>
  <c r="R81" i="4"/>
  <c r="M81" i="4"/>
  <c r="AU81" i="4" s="1"/>
  <c r="I81" i="4"/>
  <c r="AR80" i="4"/>
  <c r="AU80" i="4" s="1"/>
  <c r="AM80" i="4"/>
  <c r="AI80" i="4"/>
  <c r="AE80" i="4"/>
  <c r="Z80" i="4"/>
  <c r="U80" i="4"/>
  <c r="R80" i="4"/>
  <c r="M80" i="4"/>
  <c r="I80" i="4"/>
  <c r="AR79" i="4"/>
  <c r="AM79" i="4"/>
  <c r="AI79" i="4"/>
  <c r="AE79" i="4"/>
  <c r="Z79" i="4"/>
  <c r="U79" i="4"/>
  <c r="R79" i="4"/>
  <c r="M79" i="4"/>
  <c r="I79" i="4"/>
  <c r="AU79" i="4" s="1"/>
  <c r="AR78" i="4"/>
  <c r="AM78" i="4"/>
  <c r="AI78" i="4"/>
  <c r="AE78" i="4"/>
  <c r="Z78" i="4"/>
  <c r="U78" i="4"/>
  <c r="R78" i="4"/>
  <c r="M78" i="4"/>
  <c r="I78" i="4"/>
  <c r="AU78" i="4" s="1"/>
  <c r="AR77" i="4"/>
  <c r="AM77" i="4"/>
  <c r="AI77" i="4"/>
  <c r="AE77" i="4"/>
  <c r="AU77" i="4" s="1"/>
  <c r="Z77" i="4"/>
  <c r="U77" i="4"/>
  <c r="R77" i="4"/>
  <c r="M77" i="4"/>
  <c r="I77" i="4"/>
  <c r="AM76" i="4"/>
  <c r="AI76" i="4"/>
  <c r="AE76" i="4"/>
  <c r="Z76" i="4"/>
  <c r="U76" i="4"/>
  <c r="R76" i="4"/>
  <c r="M76" i="4"/>
  <c r="I76" i="4"/>
  <c r="AU76" i="4" s="1"/>
  <c r="AU75" i="4"/>
  <c r="AR75" i="4"/>
  <c r="AM75" i="4"/>
  <c r="AI75" i="4"/>
  <c r="AE75" i="4"/>
  <c r="Z75" i="4"/>
  <c r="U75" i="4"/>
  <c r="R75" i="4"/>
  <c r="M75" i="4"/>
  <c r="I75" i="4"/>
  <c r="AR74" i="4"/>
  <c r="AM74" i="4"/>
  <c r="AI74" i="4"/>
  <c r="AE74" i="4"/>
  <c r="Z74" i="4"/>
  <c r="U74" i="4"/>
  <c r="R74" i="4"/>
  <c r="M74" i="4"/>
  <c r="I74" i="4"/>
  <c r="AU74" i="4" s="1"/>
  <c r="AU73" i="4"/>
  <c r="AR73" i="4"/>
  <c r="AM73" i="4"/>
  <c r="AI73" i="4"/>
  <c r="AE73" i="4"/>
  <c r="Z73" i="4"/>
  <c r="U73" i="4"/>
  <c r="R73" i="4"/>
  <c r="M73" i="4"/>
  <c r="I73" i="4"/>
  <c r="AR72" i="4"/>
  <c r="AM72" i="4"/>
  <c r="AI72" i="4"/>
  <c r="AE72" i="4"/>
  <c r="Z72" i="4"/>
  <c r="U72" i="4"/>
  <c r="R72" i="4"/>
  <c r="M72" i="4"/>
  <c r="I72" i="4"/>
  <c r="AU72" i="4" s="1"/>
  <c r="AR71" i="4"/>
  <c r="AM71" i="4"/>
  <c r="AI71" i="4"/>
  <c r="AE71" i="4"/>
  <c r="AU71" i="4" s="1"/>
  <c r="Z71" i="4"/>
  <c r="U71" i="4"/>
  <c r="R71" i="4"/>
  <c r="M71" i="4"/>
  <c r="I71" i="4"/>
  <c r="AR70" i="4"/>
  <c r="AM70" i="4"/>
  <c r="AI70" i="4"/>
  <c r="AE70" i="4"/>
  <c r="Z70" i="4"/>
  <c r="U70" i="4"/>
  <c r="R70" i="4"/>
  <c r="M70" i="4"/>
  <c r="I70" i="4"/>
  <c r="AU70" i="4" s="1"/>
  <c r="AR69" i="4"/>
  <c r="AM69" i="4"/>
  <c r="AI69" i="4"/>
  <c r="AE69" i="4"/>
  <c r="AU69" i="4" s="1"/>
  <c r="Z69" i="4"/>
  <c r="U69" i="4"/>
  <c r="R69" i="4"/>
  <c r="M69" i="4"/>
  <c r="I69" i="4"/>
  <c r="AR68" i="4"/>
  <c r="AM68" i="4"/>
  <c r="AI68" i="4"/>
  <c r="AE68" i="4"/>
  <c r="Z68" i="4"/>
  <c r="U68" i="4"/>
  <c r="R68" i="4"/>
  <c r="AU68" i="4" s="1"/>
  <c r="M68" i="4"/>
  <c r="I68" i="4"/>
  <c r="AR67" i="4"/>
  <c r="AM67" i="4"/>
  <c r="AI67" i="4"/>
  <c r="AE67" i="4"/>
  <c r="AU67" i="4" s="1"/>
  <c r="Z67" i="4"/>
  <c r="U67" i="4"/>
  <c r="R67" i="4"/>
  <c r="M67" i="4"/>
  <c r="I67" i="4"/>
  <c r="AR66" i="4"/>
  <c r="AM66" i="4"/>
  <c r="AI66" i="4"/>
  <c r="AE66" i="4"/>
  <c r="Z66" i="4"/>
  <c r="U66" i="4"/>
  <c r="R66" i="4"/>
  <c r="M66" i="4"/>
  <c r="AU66" i="4" s="1"/>
  <c r="I66" i="4"/>
  <c r="AR65" i="4"/>
  <c r="AM65" i="4"/>
  <c r="AI65" i="4"/>
  <c r="AE65" i="4"/>
  <c r="Z65" i="4"/>
  <c r="U65" i="4"/>
  <c r="R65" i="4"/>
  <c r="M65" i="4"/>
  <c r="AU65" i="4" s="1"/>
  <c r="I65" i="4"/>
  <c r="AR64" i="4"/>
  <c r="AM64" i="4"/>
  <c r="AI64" i="4"/>
  <c r="AE64" i="4"/>
  <c r="Z64" i="4"/>
  <c r="U64" i="4"/>
  <c r="R64" i="4"/>
  <c r="M64" i="4"/>
  <c r="I64" i="4"/>
  <c r="AU64" i="4" s="1"/>
  <c r="AR63" i="4"/>
  <c r="AM63" i="4"/>
  <c r="AI63" i="4"/>
  <c r="AE63" i="4"/>
  <c r="AU63" i="4" s="1"/>
  <c r="Z63" i="4"/>
  <c r="U63" i="4"/>
  <c r="R63" i="4"/>
  <c r="M63" i="4"/>
  <c r="I63" i="4"/>
  <c r="AR62" i="4"/>
  <c r="AM62" i="4"/>
  <c r="AI62" i="4"/>
  <c r="AE62" i="4"/>
  <c r="Z62" i="4"/>
  <c r="U62" i="4"/>
  <c r="R62" i="4"/>
  <c r="M62" i="4"/>
  <c r="I62" i="4"/>
  <c r="AU62" i="4" s="1"/>
  <c r="AR61" i="4"/>
  <c r="AM61" i="4"/>
  <c r="AI61" i="4"/>
  <c r="AE61" i="4"/>
  <c r="AU61" i="4" s="1"/>
  <c r="Z61" i="4"/>
  <c r="U61" i="4"/>
  <c r="R61" i="4"/>
  <c r="M61" i="4"/>
  <c r="I61" i="4"/>
  <c r="AR60" i="4"/>
  <c r="AM60" i="4"/>
  <c r="AI60" i="4"/>
  <c r="AE60" i="4"/>
  <c r="Z60" i="4"/>
  <c r="U60" i="4"/>
  <c r="R60" i="4"/>
  <c r="M60" i="4"/>
  <c r="I60" i="4"/>
  <c r="AU60" i="4" s="1"/>
  <c r="AR59" i="4"/>
  <c r="AM59" i="4"/>
  <c r="AI59" i="4"/>
  <c r="AE59" i="4"/>
  <c r="Z59" i="4"/>
  <c r="U59" i="4"/>
  <c r="R59" i="4"/>
  <c r="M59" i="4"/>
  <c r="AU59" i="4" s="1"/>
  <c r="I59" i="4"/>
  <c r="AR58" i="4"/>
  <c r="AM58" i="4"/>
  <c r="AI58" i="4"/>
  <c r="AE58" i="4"/>
  <c r="Z58" i="4"/>
  <c r="U58" i="4"/>
  <c r="R58" i="4"/>
  <c r="M58" i="4"/>
  <c r="I58" i="4"/>
  <c r="AU58" i="4" s="1"/>
  <c r="AR57" i="4"/>
  <c r="AM57" i="4"/>
  <c r="AI57" i="4"/>
  <c r="AE57" i="4"/>
  <c r="Z57" i="4"/>
  <c r="U57" i="4"/>
  <c r="R57" i="4"/>
  <c r="M57" i="4"/>
  <c r="AU57" i="4" s="1"/>
  <c r="I57" i="4"/>
  <c r="AR56" i="4"/>
  <c r="AM56" i="4"/>
  <c r="AI56" i="4"/>
  <c r="AE56" i="4"/>
  <c r="Z56" i="4"/>
  <c r="U56" i="4"/>
  <c r="R56" i="4"/>
  <c r="M56" i="4"/>
  <c r="I56" i="4"/>
  <c r="AR55" i="4"/>
  <c r="AM55" i="4"/>
  <c r="AI55" i="4"/>
  <c r="AE55" i="4"/>
  <c r="AU55" i="4" s="1"/>
  <c r="Z55" i="4"/>
  <c r="U55" i="4"/>
  <c r="R55" i="4"/>
  <c r="M55" i="4"/>
  <c r="I55" i="4"/>
  <c r="AR54" i="4"/>
  <c r="AM54" i="4"/>
  <c r="AI54" i="4"/>
  <c r="AE54" i="4"/>
  <c r="Z54" i="4"/>
  <c r="U54" i="4"/>
  <c r="R54" i="4"/>
  <c r="M54" i="4"/>
  <c r="I54" i="4"/>
  <c r="AR53" i="4"/>
  <c r="AM53" i="4"/>
  <c r="AI53" i="4"/>
  <c r="AE53" i="4"/>
  <c r="AU53" i="4" s="1"/>
  <c r="Z53" i="4"/>
  <c r="U53" i="4"/>
  <c r="R53" i="4"/>
  <c r="M53" i="4"/>
  <c r="I53" i="4"/>
  <c r="AR52" i="4"/>
  <c r="AM52" i="4"/>
  <c r="AI52" i="4"/>
  <c r="AE52" i="4"/>
  <c r="Z52" i="4"/>
  <c r="U52" i="4"/>
  <c r="R52" i="4"/>
  <c r="M52" i="4"/>
  <c r="I52" i="4"/>
  <c r="AU52" i="4" s="1"/>
  <c r="AR51" i="4"/>
  <c r="AM51" i="4"/>
  <c r="AI51" i="4"/>
  <c r="AE51" i="4"/>
  <c r="AU51" i="4" s="1"/>
  <c r="Z51" i="4"/>
  <c r="U51" i="4"/>
  <c r="R51" i="4"/>
  <c r="M51" i="4"/>
  <c r="I51" i="4"/>
  <c r="AR50" i="4"/>
  <c r="AM50" i="4"/>
  <c r="AI50" i="4"/>
  <c r="AE50" i="4"/>
  <c r="Z50" i="4"/>
  <c r="U50" i="4"/>
  <c r="R50" i="4"/>
  <c r="M50" i="4"/>
  <c r="I50" i="4"/>
  <c r="AU50" i="4" s="1"/>
  <c r="AR49" i="4"/>
  <c r="AM49" i="4"/>
  <c r="AI49" i="4"/>
  <c r="AE49" i="4"/>
  <c r="Z49" i="4"/>
  <c r="U49" i="4"/>
  <c r="R49" i="4"/>
  <c r="M49" i="4"/>
  <c r="AU49" i="4" s="1"/>
  <c r="I49" i="4"/>
  <c r="AR48" i="4"/>
  <c r="AM48" i="4"/>
  <c r="AI48" i="4"/>
  <c r="AE48" i="4"/>
  <c r="Z48" i="4"/>
  <c r="U48" i="4"/>
  <c r="R48" i="4"/>
  <c r="M48" i="4"/>
  <c r="I48" i="4"/>
  <c r="AR47" i="4"/>
  <c r="AM47" i="4"/>
  <c r="AI47" i="4"/>
  <c r="AE47" i="4"/>
  <c r="AU47" i="4" s="1"/>
  <c r="Z47" i="4"/>
  <c r="U47" i="4"/>
  <c r="R47" i="4"/>
  <c r="M47" i="4"/>
  <c r="I47" i="4"/>
  <c r="AR46" i="4"/>
  <c r="AM46" i="4"/>
  <c r="AI46" i="4"/>
  <c r="AE46" i="4"/>
  <c r="Z46" i="4"/>
  <c r="U46" i="4"/>
  <c r="R46" i="4"/>
  <c r="M46" i="4"/>
  <c r="AU46" i="4" s="1"/>
  <c r="I46" i="4"/>
  <c r="AU45" i="4"/>
  <c r="AR45" i="4"/>
  <c r="AM45" i="4"/>
  <c r="AI45" i="4"/>
  <c r="AE45" i="4"/>
  <c r="Z45" i="4"/>
  <c r="U45" i="4"/>
  <c r="R45" i="4"/>
  <c r="M45" i="4"/>
  <c r="I45" i="4"/>
  <c r="AR44" i="4"/>
  <c r="AM44" i="4"/>
  <c r="AI44" i="4"/>
  <c r="AE44" i="4"/>
  <c r="Z44" i="4"/>
  <c r="U44" i="4"/>
  <c r="R44" i="4"/>
  <c r="M44" i="4"/>
  <c r="I44" i="4"/>
  <c r="AU44" i="4" s="1"/>
  <c r="AR43" i="4"/>
  <c r="AM43" i="4"/>
  <c r="AI43" i="4"/>
  <c r="AE43" i="4"/>
  <c r="AU43" i="4" s="1"/>
  <c r="Z43" i="4"/>
  <c r="U43" i="4"/>
  <c r="R43" i="4"/>
  <c r="M43" i="4"/>
  <c r="I43" i="4"/>
  <c r="AR42" i="4"/>
  <c r="AM42" i="4"/>
  <c r="AI42" i="4"/>
  <c r="AE42" i="4"/>
  <c r="Z42" i="4"/>
  <c r="U42" i="4"/>
  <c r="R42" i="4"/>
  <c r="M42" i="4"/>
  <c r="I42" i="4"/>
  <c r="AR41" i="4"/>
  <c r="AM41" i="4"/>
  <c r="AI41" i="4"/>
  <c r="AE41" i="4"/>
  <c r="AU41" i="4" s="1"/>
  <c r="Z41" i="4"/>
  <c r="U41" i="4"/>
  <c r="R41" i="4"/>
  <c r="M41" i="4"/>
  <c r="I41" i="4"/>
  <c r="AR40" i="4"/>
  <c r="AM40" i="4"/>
  <c r="AI40" i="4"/>
  <c r="AE40" i="4"/>
  <c r="Z40" i="4"/>
  <c r="U40" i="4"/>
  <c r="R40" i="4"/>
  <c r="M40" i="4"/>
  <c r="I40" i="4"/>
  <c r="AU39" i="4"/>
  <c r="AR39" i="4"/>
  <c r="AM39" i="4"/>
  <c r="AI39" i="4"/>
  <c r="AE39" i="4"/>
  <c r="Z39" i="4"/>
  <c r="U39" i="4"/>
  <c r="R39" i="4"/>
  <c r="M39" i="4"/>
  <c r="I39" i="4"/>
  <c r="AR38" i="4"/>
  <c r="AM38" i="4"/>
  <c r="AI38" i="4"/>
  <c r="AE38" i="4"/>
  <c r="Z38" i="4"/>
  <c r="U38" i="4"/>
  <c r="R38" i="4"/>
  <c r="M38" i="4"/>
  <c r="I38" i="4"/>
  <c r="AU37" i="4"/>
  <c r="AR37" i="4"/>
  <c r="AM37" i="4"/>
  <c r="AI37" i="4"/>
  <c r="AE37" i="4"/>
  <c r="Z37" i="4"/>
  <c r="U37" i="4"/>
  <c r="R37" i="4"/>
  <c r="M37" i="4"/>
  <c r="I37" i="4"/>
  <c r="AR36" i="4"/>
  <c r="AM36" i="4"/>
  <c r="AI36" i="4"/>
  <c r="AE36" i="4"/>
  <c r="Z36" i="4"/>
  <c r="U36" i="4"/>
  <c r="R36" i="4"/>
  <c r="M36" i="4"/>
  <c r="I36" i="4"/>
  <c r="AU36" i="4" s="1"/>
  <c r="AR35" i="4"/>
  <c r="AM35" i="4"/>
  <c r="AI35" i="4"/>
  <c r="AE35" i="4"/>
  <c r="AU35" i="4" s="1"/>
  <c r="Z35" i="4"/>
  <c r="U35" i="4"/>
  <c r="R35" i="4"/>
  <c r="M35" i="4"/>
  <c r="I35" i="4"/>
  <c r="AR34" i="4"/>
  <c r="AM34" i="4"/>
  <c r="AI34" i="4"/>
  <c r="AE34" i="4"/>
  <c r="Z34" i="4"/>
  <c r="AU34" i="4" s="1"/>
  <c r="U34" i="4"/>
  <c r="R34" i="4"/>
  <c r="M34" i="4"/>
  <c r="I34" i="4"/>
  <c r="AR33" i="4"/>
  <c r="AM33" i="4"/>
  <c r="AI33" i="4"/>
  <c r="AE33" i="4"/>
  <c r="AU33" i="4" s="1"/>
  <c r="Z33" i="4"/>
  <c r="U33" i="4"/>
  <c r="R33" i="4"/>
  <c r="M33" i="4"/>
  <c r="I33" i="4"/>
  <c r="AR32" i="4"/>
  <c r="AM32" i="4"/>
  <c r="AI32" i="4"/>
  <c r="AE32" i="4"/>
  <c r="Z32" i="4"/>
  <c r="U32" i="4"/>
  <c r="R32" i="4"/>
  <c r="M32" i="4"/>
  <c r="I32" i="4"/>
  <c r="AR31" i="4"/>
  <c r="AM31" i="4"/>
  <c r="AI31" i="4"/>
  <c r="AE31" i="4"/>
  <c r="AU31" i="4" s="1"/>
  <c r="Z31" i="4"/>
  <c r="U31" i="4"/>
  <c r="R31" i="4"/>
  <c r="M31" i="4"/>
  <c r="I31" i="4"/>
  <c r="AR30" i="4"/>
  <c r="AM30" i="4"/>
  <c r="AI30" i="4"/>
  <c r="AE30" i="4"/>
  <c r="Z30" i="4"/>
  <c r="U30" i="4"/>
  <c r="R30" i="4"/>
  <c r="M30" i="4"/>
  <c r="I30" i="4"/>
  <c r="AU29" i="4"/>
  <c r="AR29" i="4"/>
  <c r="AM29" i="4"/>
  <c r="AI29" i="4"/>
  <c r="AE29" i="4"/>
  <c r="Z29" i="4"/>
  <c r="U29" i="4"/>
  <c r="R29" i="4"/>
  <c r="M29" i="4"/>
  <c r="I29" i="4"/>
  <c r="AR28" i="4"/>
  <c r="AM28" i="4"/>
  <c r="AI28" i="4"/>
  <c r="AE28" i="4"/>
  <c r="Z28" i="4"/>
  <c r="U28" i="4"/>
  <c r="R28" i="4"/>
  <c r="AU28" i="4" s="1"/>
  <c r="M28" i="4"/>
  <c r="I28" i="4"/>
  <c r="AR27" i="4"/>
  <c r="AM27" i="4"/>
  <c r="AI27" i="4"/>
  <c r="AE27" i="4"/>
  <c r="Z27" i="4"/>
  <c r="U27" i="4"/>
  <c r="R27" i="4"/>
  <c r="M27" i="4"/>
  <c r="AU27" i="4" s="1"/>
  <c r="I27" i="4"/>
  <c r="AR26" i="4"/>
  <c r="AM26" i="4"/>
  <c r="AI26" i="4"/>
  <c r="AE26" i="4"/>
  <c r="Z26" i="4"/>
  <c r="U26" i="4"/>
  <c r="R26" i="4"/>
  <c r="M26" i="4"/>
  <c r="I26" i="4"/>
  <c r="AU26" i="4" s="1"/>
  <c r="AR25" i="4"/>
  <c r="AM25" i="4"/>
  <c r="AI25" i="4"/>
  <c r="AE25" i="4"/>
  <c r="AU25" i="4" s="1"/>
  <c r="Z25" i="4"/>
  <c r="U25" i="4"/>
  <c r="R25" i="4"/>
  <c r="M25" i="4"/>
  <c r="I25" i="4"/>
  <c r="AR24" i="4"/>
  <c r="AM24" i="4"/>
  <c r="AI24" i="4"/>
  <c r="AE24" i="4"/>
  <c r="Z24" i="4"/>
  <c r="U24" i="4"/>
  <c r="R24" i="4"/>
  <c r="M24" i="4"/>
  <c r="I24" i="4"/>
  <c r="AR23" i="4"/>
  <c r="AM23" i="4"/>
  <c r="AI23" i="4"/>
  <c r="AE23" i="4"/>
  <c r="AU23" i="4" s="1"/>
  <c r="Z23" i="4"/>
  <c r="U23" i="4"/>
  <c r="R23" i="4"/>
  <c r="M23" i="4"/>
  <c r="I23" i="4"/>
  <c r="AR22" i="4"/>
  <c r="AM22" i="4"/>
  <c r="AI22" i="4"/>
  <c r="AE22" i="4"/>
  <c r="Z22" i="4"/>
  <c r="U22" i="4"/>
  <c r="R22" i="4"/>
  <c r="M22" i="4"/>
  <c r="I22" i="4"/>
  <c r="AU21" i="4"/>
  <c r="AR21" i="4"/>
  <c r="AM21" i="4"/>
  <c r="AI21" i="4"/>
  <c r="AE21" i="4"/>
  <c r="Z21" i="4"/>
  <c r="U21" i="4"/>
  <c r="R21" i="4"/>
  <c r="M21" i="4"/>
  <c r="I21" i="4"/>
  <c r="AR20" i="4"/>
  <c r="AM20" i="4"/>
  <c r="AI20" i="4"/>
  <c r="AE20" i="4"/>
  <c r="Z20" i="4"/>
  <c r="U20" i="4"/>
  <c r="R20" i="4"/>
  <c r="AU20" i="4" s="1"/>
  <c r="M20" i="4"/>
  <c r="I20" i="4"/>
  <c r="AU19" i="4"/>
  <c r="AR19" i="4"/>
  <c r="AM19" i="4"/>
  <c r="AI19" i="4"/>
  <c r="AE19" i="4"/>
  <c r="Z19" i="4"/>
  <c r="U19" i="4"/>
  <c r="R19" i="4"/>
  <c r="M19" i="4"/>
  <c r="I19" i="4"/>
  <c r="AR18" i="4"/>
  <c r="AM18" i="4"/>
  <c r="AI18" i="4"/>
  <c r="AE18" i="4"/>
  <c r="Z18" i="4"/>
  <c r="U18" i="4"/>
  <c r="R18" i="4"/>
  <c r="M18" i="4"/>
  <c r="I18" i="4"/>
  <c r="AU18" i="4" s="1"/>
  <c r="AR17" i="4"/>
  <c r="AM17" i="4"/>
  <c r="AI17" i="4"/>
  <c r="AE17" i="4"/>
  <c r="AU17" i="4" s="1"/>
  <c r="Z17" i="4"/>
  <c r="U17" i="4"/>
  <c r="R17" i="4"/>
  <c r="M17" i="4"/>
  <c r="I17" i="4"/>
  <c r="AR16" i="4"/>
  <c r="AM16" i="4"/>
  <c r="AI16" i="4"/>
  <c r="AE16" i="4"/>
  <c r="Z16" i="4"/>
  <c r="U16" i="4"/>
  <c r="R16" i="4"/>
  <c r="M16" i="4"/>
  <c r="I16" i="4"/>
  <c r="AR15" i="4"/>
  <c r="AM15" i="4"/>
  <c r="AI15" i="4"/>
  <c r="AE15" i="4"/>
  <c r="AU15" i="4" s="1"/>
  <c r="Z15" i="4"/>
  <c r="U15" i="4"/>
  <c r="R15" i="4"/>
  <c r="M15" i="4"/>
  <c r="I15" i="4"/>
  <c r="AR14" i="4"/>
  <c r="AM14" i="4"/>
  <c r="AI14" i="4"/>
  <c r="AE14" i="4"/>
  <c r="Z14" i="4"/>
  <c r="U14" i="4"/>
  <c r="R14" i="4"/>
  <c r="M14" i="4"/>
  <c r="AU14" i="4" s="1"/>
  <c r="I14" i="4"/>
  <c r="AU13" i="4"/>
  <c r="AR13" i="4"/>
  <c r="AM13" i="4"/>
  <c r="AI13" i="4"/>
  <c r="AE13" i="4"/>
  <c r="Z13" i="4"/>
  <c r="U13" i="4"/>
  <c r="R13" i="4"/>
  <c r="M13" i="4"/>
  <c r="I13" i="4"/>
  <c r="AR12" i="4"/>
  <c r="AM12" i="4"/>
  <c r="AI12" i="4"/>
  <c r="AE12" i="4"/>
  <c r="Z12" i="4"/>
  <c r="U12" i="4"/>
  <c r="R12" i="4"/>
  <c r="M12" i="4"/>
  <c r="AU12" i="4" s="1"/>
  <c r="I12" i="4"/>
  <c r="AR11" i="4"/>
  <c r="AM11" i="4"/>
  <c r="AI11" i="4"/>
  <c r="AE11" i="4"/>
  <c r="AU11" i="4" s="1"/>
  <c r="Z11" i="4"/>
  <c r="U11" i="4"/>
  <c r="R11" i="4"/>
  <c r="M11" i="4"/>
  <c r="I11" i="4"/>
  <c r="AR10" i="4"/>
  <c r="AM10" i="4"/>
  <c r="AI10" i="4"/>
  <c r="AE10" i="4"/>
  <c r="Z10" i="4"/>
  <c r="U10" i="4"/>
  <c r="R10" i="4"/>
  <c r="M10" i="4"/>
  <c r="I10" i="4"/>
  <c r="AU10" i="4" s="1"/>
  <c r="AR9" i="4"/>
  <c r="AM9" i="4"/>
  <c r="AI9" i="4"/>
  <c r="AE9" i="4"/>
  <c r="AU9" i="4" s="1"/>
  <c r="Z9" i="4"/>
  <c r="U9" i="4"/>
  <c r="R9" i="4"/>
  <c r="M9" i="4"/>
  <c r="I9" i="4"/>
  <c r="AR8" i="4"/>
  <c r="AM8" i="4"/>
  <c r="AI8" i="4"/>
  <c r="AE8" i="4"/>
  <c r="Z8" i="4"/>
  <c r="U8" i="4"/>
  <c r="R8" i="4"/>
  <c r="M8" i="4"/>
  <c r="I8" i="4"/>
  <c r="AR7" i="4"/>
  <c r="AM7" i="4"/>
  <c r="AI7" i="4"/>
  <c r="AE7" i="4"/>
  <c r="AU7" i="4" s="1"/>
  <c r="Z7" i="4"/>
  <c r="U7" i="4"/>
  <c r="R7" i="4"/>
  <c r="M7" i="4"/>
  <c r="I7" i="4"/>
  <c r="AR6" i="4"/>
  <c r="AM6" i="4"/>
  <c r="AI6" i="4"/>
  <c r="AE6" i="4"/>
  <c r="Z6" i="4"/>
  <c r="U6" i="4"/>
  <c r="R6" i="4"/>
  <c r="M6" i="4"/>
  <c r="I6" i="4"/>
  <c r="AR5" i="4"/>
  <c r="AM5" i="4"/>
  <c r="AI5" i="4"/>
  <c r="AE5" i="4"/>
  <c r="AU5" i="4" s="1"/>
  <c r="Z5" i="4"/>
  <c r="U5" i="4"/>
  <c r="R5" i="4"/>
  <c r="M5" i="4"/>
  <c r="I5" i="4"/>
  <c r="AU24" i="4" l="1"/>
  <c r="AU56" i="4"/>
  <c r="AU40" i="4"/>
  <c r="AU6" i="4"/>
  <c r="AU22" i="4"/>
  <c r="AU30" i="4"/>
  <c r="AU38" i="4"/>
  <c r="AU42" i="4"/>
  <c r="AU54" i="4"/>
  <c r="AU8" i="4"/>
  <c r="AU16" i="4"/>
  <c r="AU32" i="4"/>
  <c r="AU48" i="4"/>
  <c r="AY193" i="1" l="1"/>
  <c r="AY192" i="1"/>
  <c r="AY191" i="1"/>
  <c r="AY190" i="1"/>
  <c r="AY189" i="1"/>
  <c r="AY188" i="1"/>
  <c r="AY187" i="1"/>
  <c r="AY186" i="1"/>
  <c r="AY185" i="1"/>
  <c r="AY184" i="1"/>
  <c r="AY183" i="1"/>
  <c r="AY181" i="1"/>
  <c r="AY180" i="1"/>
  <c r="AY179" i="1"/>
  <c r="AY178" i="1"/>
  <c r="AY177" i="1"/>
  <c r="AY176" i="1"/>
  <c r="AY175" i="1"/>
  <c r="AY174" i="1"/>
  <c r="AY173" i="1"/>
  <c r="AY172" i="1"/>
  <c r="AY171" i="1"/>
  <c r="AY170" i="1"/>
  <c r="AY169" i="1"/>
  <c r="AY168" i="1"/>
  <c r="AY167" i="1"/>
  <c r="AY166" i="1"/>
  <c r="AY165" i="1"/>
  <c r="AY164" i="1"/>
  <c r="AY163" i="1"/>
  <c r="AY162" i="1"/>
  <c r="AY161" i="1"/>
  <c r="AY160" i="1"/>
  <c r="AY159" i="1"/>
  <c r="AY158" i="1"/>
  <c r="AY157" i="1"/>
  <c r="AY156" i="1"/>
  <c r="AY155" i="1"/>
  <c r="AY154" i="1"/>
  <c r="AY153" i="1"/>
  <c r="AY152" i="1"/>
  <c r="AY151" i="1"/>
  <c r="AY150" i="1"/>
  <c r="AY149" i="1"/>
  <c r="AY148" i="1"/>
  <c r="AY147" i="1"/>
  <c r="AY146" i="1"/>
  <c r="AY145" i="1"/>
  <c r="AY144" i="1"/>
  <c r="AY143" i="1"/>
  <c r="AY142" i="1"/>
  <c r="AY141" i="1"/>
  <c r="AY140" i="1"/>
  <c r="AY139" i="1"/>
  <c r="AY138" i="1"/>
  <c r="AY137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R239" i="3" l="1"/>
  <c r="AM239" i="3"/>
  <c r="AI239" i="3"/>
  <c r="AE239" i="3"/>
  <c r="Z239" i="3"/>
  <c r="U239" i="3"/>
  <c r="R239" i="3"/>
  <c r="I239" i="3"/>
  <c r="AR238" i="3"/>
  <c r="AM238" i="3"/>
  <c r="AI238" i="3"/>
  <c r="AE238" i="3"/>
  <c r="Z238" i="3"/>
  <c r="U238" i="3"/>
  <c r="R238" i="3"/>
  <c r="I238" i="3"/>
  <c r="AR237" i="3"/>
  <c r="AM237" i="3"/>
  <c r="AI237" i="3"/>
  <c r="AE237" i="3"/>
  <c r="Z237" i="3"/>
  <c r="U237" i="3"/>
  <c r="R237" i="3"/>
  <c r="I237" i="3"/>
  <c r="AR236" i="3"/>
  <c r="AM236" i="3"/>
  <c r="AI236" i="3"/>
  <c r="AE236" i="3"/>
  <c r="Z236" i="3"/>
  <c r="U236" i="3"/>
  <c r="R236" i="3"/>
  <c r="I236" i="3"/>
  <c r="AR235" i="3"/>
  <c r="AM235" i="3"/>
  <c r="AI235" i="3"/>
  <c r="AE235" i="3"/>
  <c r="Z235" i="3"/>
  <c r="U235" i="3"/>
  <c r="R235" i="3"/>
  <c r="I235" i="3"/>
  <c r="AR234" i="3"/>
  <c r="AM234" i="3"/>
  <c r="AI234" i="3"/>
  <c r="AE234" i="3"/>
  <c r="Z234" i="3"/>
  <c r="U234" i="3"/>
  <c r="R234" i="3"/>
  <c r="I234" i="3"/>
  <c r="AR233" i="3"/>
  <c r="AM233" i="3"/>
  <c r="AI233" i="3"/>
  <c r="AE233" i="3"/>
  <c r="Z233" i="3"/>
  <c r="U233" i="3"/>
  <c r="R233" i="3"/>
  <c r="I233" i="3"/>
  <c r="AR232" i="3"/>
  <c r="AU232" i="3" s="1"/>
  <c r="AM232" i="3"/>
  <c r="AI232" i="3"/>
  <c r="AE232" i="3"/>
  <c r="Z232" i="3"/>
  <c r="U232" i="3"/>
  <c r="R232" i="3"/>
  <c r="I232" i="3"/>
  <c r="AR231" i="3"/>
  <c r="AM231" i="3"/>
  <c r="AI231" i="3"/>
  <c r="AE231" i="3"/>
  <c r="Z231" i="3"/>
  <c r="U231" i="3"/>
  <c r="R231" i="3"/>
  <c r="I231" i="3"/>
  <c r="AR230" i="3"/>
  <c r="AU230" i="3" s="1"/>
  <c r="AM230" i="3"/>
  <c r="AI230" i="3"/>
  <c r="AE230" i="3"/>
  <c r="Z230" i="3"/>
  <c r="U230" i="3"/>
  <c r="R230" i="3"/>
  <c r="I230" i="3"/>
  <c r="AR229" i="3"/>
  <c r="AM229" i="3"/>
  <c r="AI229" i="3"/>
  <c r="AE229" i="3"/>
  <c r="Z229" i="3"/>
  <c r="U229" i="3"/>
  <c r="R229" i="3"/>
  <c r="I229" i="3"/>
  <c r="AR228" i="3"/>
  <c r="AM228" i="3"/>
  <c r="AI228" i="3"/>
  <c r="AE228" i="3"/>
  <c r="Z228" i="3"/>
  <c r="U228" i="3"/>
  <c r="R228" i="3"/>
  <c r="I228" i="3"/>
  <c r="AR227" i="3"/>
  <c r="AM227" i="3"/>
  <c r="AI227" i="3"/>
  <c r="AE227" i="3"/>
  <c r="Z227" i="3"/>
  <c r="U227" i="3"/>
  <c r="R227" i="3"/>
  <c r="I227" i="3"/>
  <c r="AR226" i="3"/>
  <c r="AM226" i="3"/>
  <c r="AI226" i="3"/>
  <c r="AE226" i="3"/>
  <c r="Z226" i="3"/>
  <c r="AU226" i="3" s="1"/>
  <c r="U226" i="3"/>
  <c r="R226" i="3"/>
  <c r="I226" i="3"/>
  <c r="AR225" i="3"/>
  <c r="AM225" i="3"/>
  <c r="AI225" i="3"/>
  <c r="AE225" i="3"/>
  <c r="Z225" i="3"/>
  <c r="U225" i="3"/>
  <c r="R225" i="3"/>
  <c r="I225" i="3"/>
  <c r="AR224" i="3"/>
  <c r="AM224" i="3"/>
  <c r="AI224" i="3"/>
  <c r="AE224" i="3"/>
  <c r="Z224" i="3"/>
  <c r="U224" i="3"/>
  <c r="R224" i="3"/>
  <c r="I224" i="3"/>
  <c r="AR223" i="3"/>
  <c r="AM223" i="3"/>
  <c r="AI223" i="3"/>
  <c r="AE223" i="3"/>
  <c r="Z223" i="3"/>
  <c r="U223" i="3"/>
  <c r="R223" i="3"/>
  <c r="I223" i="3"/>
  <c r="AR222" i="3"/>
  <c r="AM222" i="3"/>
  <c r="AI222" i="3"/>
  <c r="AE222" i="3"/>
  <c r="Z222" i="3"/>
  <c r="U222" i="3"/>
  <c r="R222" i="3"/>
  <c r="I222" i="3"/>
  <c r="AR221" i="3"/>
  <c r="AM221" i="3"/>
  <c r="AI221" i="3"/>
  <c r="AE221" i="3"/>
  <c r="Z221" i="3"/>
  <c r="U221" i="3"/>
  <c r="R221" i="3"/>
  <c r="I221" i="3"/>
  <c r="AR220" i="3"/>
  <c r="AM220" i="3"/>
  <c r="AI220" i="3"/>
  <c r="AE220" i="3"/>
  <c r="Z220" i="3"/>
  <c r="U220" i="3"/>
  <c r="R220" i="3"/>
  <c r="I220" i="3"/>
  <c r="AR219" i="3"/>
  <c r="AM219" i="3"/>
  <c r="AI219" i="3"/>
  <c r="AE219" i="3"/>
  <c r="Z219" i="3"/>
  <c r="U219" i="3"/>
  <c r="R219" i="3"/>
  <c r="I219" i="3"/>
  <c r="AR218" i="3"/>
  <c r="AM218" i="3"/>
  <c r="AI218" i="3"/>
  <c r="AE218" i="3"/>
  <c r="Z218" i="3"/>
  <c r="AU218" i="3" s="1"/>
  <c r="U218" i="3"/>
  <c r="R218" i="3"/>
  <c r="I218" i="3"/>
  <c r="AR217" i="3"/>
  <c r="AM217" i="3"/>
  <c r="AI217" i="3"/>
  <c r="AE217" i="3"/>
  <c r="Z217" i="3"/>
  <c r="U217" i="3"/>
  <c r="R217" i="3"/>
  <c r="I217" i="3"/>
  <c r="AR216" i="3"/>
  <c r="AU216" i="3" s="1"/>
  <c r="AM216" i="3"/>
  <c r="AI216" i="3"/>
  <c r="AE216" i="3"/>
  <c r="Z216" i="3"/>
  <c r="U216" i="3"/>
  <c r="R216" i="3"/>
  <c r="I216" i="3"/>
  <c r="AR215" i="3"/>
  <c r="AM215" i="3"/>
  <c r="AI215" i="3"/>
  <c r="AE215" i="3"/>
  <c r="Z215" i="3"/>
  <c r="U215" i="3"/>
  <c r="R215" i="3"/>
  <c r="I215" i="3"/>
  <c r="AR214" i="3"/>
  <c r="AM214" i="3"/>
  <c r="AI214" i="3"/>
  <c r="AE214" i="3"/>
  <c r="Z214" i="3"/>
  <c r="U214" i="3"/>
  <c r="R214" i="3"/>
  <c r="I214" i="3"/>
  <c r="AR213" i="3"/>
  <c r="AM213" i="3"/>
  <c r="AI213" i="3"/>
  <c r="AE213" i="3"/>
  <c r="Z213" i="3"/>
  <c r="U213" i="3"/>
  <c r="R213" i="3"/>
  <c r="I213" i="3"/>
  <c r="AR212" i="3"/>
  <c r="AM212" i="3"/>
  <c r="AI212" i="3"/>
  <c r="AE212" i="3"/>
  <c r="Z212" i="3"/>
  <c r="U212" i="3"/>
  <c r="R212" i="3"/>
  <c r="I212" i="3"/>
  <c r="AR211" i="3"/>
  <c r="AM211" i="3"/>
  <c r="AI211" i="3"/>
  <c r="AE211" i="3"/>
  <c r="Z211" i="3"/>
  <c r="U211" i="3"/>
  <c r="R211" i="3"/>
  <c r="I211" i="3"/>
  <c r="AR210" i="3"/>
  <c r="AM210" i="3"/>
  <c r="AI210" i="3"/>
  <c r="AE210" i="3"/>
  <c r="Z210" i="3"/>
  <c r="U210" i="3"/>
  <c r="R210" i="3"/>
  <c r="I210" i="3"/>
  <c r="AR209" i="3"/>
  <c r="AM209" i="3"/>
  <c r="AI209" i="3"/>
  <c r="AE209" i="3"/>
  <c r="Z209" i="3"/>
  <c r="U209" i="3"/>
  <c r="R209" i="3"/>
  <c r="I209" i="3"/>
  <c r="AR208" i="3"/>
  <c r="AM208" i="3"/>
  <c r="AI208" i="3"/>
  <c r="AE208" i="3"/>
  <c r="Z208" i="3"/>
  <c r="U208" i="3"/>
  <c r="R208" i="3"/>
  <c r="I208" i="3"/>
  <c r="AR207" i="3"/>
  <c r="AM207" i="3"/>
  <c r="AI207" i="3"/>
  <c r="AE207" i="3"/>
  <c r="Z207" i="3"/>
  <c r="U207" i="3"/>
  <c r="R207" i="3"/>
  <c r="I207" i="3"/>
  <c r="AR206" i="3"/>
  <c r="AM206" i="3"/>
  <c r="AI206" i="3"/>
  <c r="AE206" i="3"/>
  <c r="Z206" i="3"/>
  <c r="U206" i="3"/>
  <c r="R206" i="3"/>
  <c r="I206" i="3"/>
  <c r="AR205" i="3"/>
  <c r="AM205" i="3"/>
  <c r="AI205" i="3"/>
  <c r="AE205" i="3"/>
  <c r="Z205" i="3"/>
  <c r="U205" i="3"/>
  <c r="R205" i="3"/>
  <c r="I205" i="3"/>
  <c r="AR204" i="3"/>
  <c r="AM204" i="3"/>
  <c r="AI204" i="3"/>
  <c r="AE204" i="3"/>
  <c r="Z204" i="3"/>
  <c r="U204" i="3"/>
  <c r="R204" i="3"/>
  <c r="I204" i="3"/>
  <c r="AR203" i="3"/>
  <c r="AM203" i="3"/>
  <c r="AI203" i="3"/>
  <c r="AE203" i="3"/>
  <c r="Z203" i="3"/>
  <c r="U203" i="3"/>
  <c r="R203" i="3"/>
  <c r="I203" i="3"/>
  <c r="AR202" i="3"/>
  <c r="AM202" i="3"/>
  <c r="AI202" i="3"/>
  <c r="AE202" i="3"/>
  <c r="Z202" i="3"/>
  <c r="U202" i="3"/>
  <c r="R202" i="3"/>
  <c r="I202" i="3"/>
  <c r="AR201" i="3"/>
  <c r="AM201" i="3"/>
  <c r="AI201" i="3"/>
  <c r="AE201" i="3"/>
  <c r="Z201" i="3"/>
  <c r="U201" i="3"/>
  <c r="R201" i="3"/>
  <c r="I201" i="3"/>
  <c r="AR200" i="3"/>
  <c r="AM200" i="3"/>
  <c r="AI200" i="3"/>
  <c r="AE200" i="3"/>
  <c r="Z200" i="3"/>
  <c r="U200" i="3"/>
  <c r="R200" i="3"/>
  <c r="I200" i="3"/>
  <c r="AR199" i="3"/>
  <c r="AM199" i="3"/>
  <c r="AI199" i="3"/>
  <c r="AE199" i="3"/>
  <c r="Z199" i="3"/>
  <c r="U199" i="3"/>
  <c r="R199" i="3"/>
  <c r="I199" i="3"/>
  <c r="AR198" i="3"/>
  <c r="AM198" i="3"/>
  <c r="AI198" i="3"/>
  <c r="AE198" i="3"/>
  <c r="Z198" i="3"/>
  <c r="U198" i="3"/>
  <c r="R198" i="3"/>
  <c r="I198" i="3"/>
  <c r="AR197" i="3"/>
  <c r="AM197" i="3"/>
  <c r="AI197" i="3"/>
  <c r="AE197" i="3"/>
  <c r="Z197" i="3"/>
  <c r="U197" i="3"/>
  <c r="R197" i="3"/>
  <c r="I197" i="3"/>
  <c r="AR196" i="3"/>
  <c r="AM196" i="3"/>
  <c r="AI196" i="3"/>
  <c r="AE196" i="3"/>
  <c r="Z196" i="3"/>
  <c r="U196" i="3"/>
  <c r="R196" i="3"/>
  <c r="I196" i="3"/>
  <c r="AR195" i="3"/>
  <c r="AM195" i="3"/>
  <c r="AI195" i="3"/>
  <c r="AE195" i="3"/>
  <c r="Z195" i="3"/>
  <c r="U195" i="3"/>
  <c r="R195" i="3"/>
  <c r="I195" i="3"/>
  <c r="AR194" i="3"/>
  <c r="AM194" i="3"/>
  <c r="AI194" i="3"/>
  <c r="AE194" i="3"/>
  <c r="Z194" i="3"/>
  <c r="U194" i="3"/>
  <c r="R194" i="3"/>
  <c r="I194" i="3"/>
  <c r="AR193" i="3"/>
  <c r="AM193" i="3"/>
  <c r="AI193" i="3"/>
  <c r="AE193" i="3"/>
  <c r="Z193" i="3"/>
  <c r="U193" i="3"/>
  <c r="R193" i="3"/>
  <c r="I193" i="3"/>
  <c r="AR192" i="3"/>
  <c r="AU192" i="3" s="1"/>
  <c r="AM192" i="3"/>
  <c r="AI192" i="3"/>
  <c r="AE192" i="3"/>
  <c r="Z192" i="3"/>
  <c r="U192" i="3"/>
  <c r="R192" i="3"/>
  <c r="I192" i="3"/>
  <c r="AR191" i="3"/>
  <c r="AM191" i="3"/>
  <c r="AI191" i="3"/>
  <c r="AE191" i="3"/>
  <c r="Z191" i="3"/>
  <c r="U191" i="3"/>
  <c r="R191" i="3"/>
  <c r="I191" i="3"/>
  <c r="AR190" i="3"/>
  <c r="AM190" i="3"/>
  <c r="AI190" i="3"/>
  <c r="AE190" i="3"/>
  <c r="Z190" i="3"/>
  <c r="U190" i="3"/>
  <c r="R190" i="3"/>
  <c r="I190" i="3"/>
  <c r="AR189" i="3"/>
  <c r="AM189" i="3"/>
  <c r="AI189" i="3"/>
  <c r="AE189" i="3"/>
  <c r="Z189" i="3"/>
  <c r="U189" i="3"/>
  <c r="R189" i="3"/>
  <c r="I189" i="3"/>
  <c r="AR188" i="3"/>
  <c r="AM188" i="3"/>
  <c r="AI188" i="3"/>
  <c r="AE188" i="3"/>
  <c r="Z188" i="3"/>
  <c r="U188" i="3"/>
  <c r="R188" i="3"/>
  <c r="I188" i="3"/>
  <c r="AR187" i="3"/>
  <c r="AM187" i="3"/>
  <c r="AI187" i="3"/>
  <c r="AE187" i="3"/>
  <c r="Z187" i="3"/>
  <c r="U187" i="3"/>
  <c r="R187" i="3"/>
  <c r="I187" i="3"/>
  <c r="AR186" i="3"/>
  <c r="AM186" i="3"/>
  <c r="AI186" i="3"/>
  <c r="AE186" i="3"/>
  <c r="Z186" i="3"/>
  <c r="U186" i="3"/>
  <c r="R186" i="3"/>
  <c r="I186" i="3"/>
  <c r="AR185" i="3"/>
  <c r="AM185" i="3"/>
  <c r="AI185" i="3"/>
  <c r="AE185" i="3"/>
  <c r="Z185" i="3"/>
  <c r="U185" i="3"/>
  <c r="R185" i="3"/>
  <c r="I185" i="3"/>
  <c r="AR184" i="3"/>
  <c r="AM184" i="3"/>
  <c r="AI184" i="3"/>
  <c r="AE184" i="3"/>
  <c r="Z184" i="3"/>
  <c r="U184" i="3"/>
  <c r="R184" i="3"/>
  <c r="I184" i="3"/>
  <c r="AR183" i="3"/>
  <c r="AM183" i="3"/>
  <c r="AI183" i="3"/>
  <c r="AE183" i="3"/>
  <c r="Z183" i="3"/>
  <c r="U183" i="3"/>
  <c r="R183" i="3"/>
  <c r="I183" i="3"/>
  <c r="AR182" i="3"/>
  <c r="AM182" i="3"/>
  <c r="AI182" i="3"/>
  <c r="AE182" i="3"/>
  <c r="Z182" i="3"/>
  <c r="U182" i="3"/>
  <c r="R182" i="3"/>
  <c r="I182" i="3"/>
  <c r="AR181" i="3"/>
  <c r="AM181" i="3"/>
  <c r="AI181" i="3"/>
  <c r="AE181" i="3"/>
  <c r="Z181" i="3"/>
  <c r="U181" i="3"/>
  <c r="R181" i="3"/>
  <c r="I181" i="3"/>
  <c r="AR180" i="3"/>
  <c r="AM180" i="3"/>
  <c r="AI180" i="3"/>
  <c r="AE180" i="3"/>
  <c r="Z180" i="3"/>
  <c r="U180" i="3"/>
  <c r="R180" i="3"/>
  <c r="I180" i="3"/>
  <c r="AR179" i="3"/>
  <c r="AM179" i="3"/>
  <c r="AI179" i="3"/>
  <c r="AE179" i="3"/>
  <c r="Z179" i="3"/>
  <c r="U179" i="3"/>
  <c r="R179" i="3"/>
  <c r="I179" i="3"/>
  <c r="AR178" i="3"/>
  <c r="AU178" i="3" s="1"/>
  <c r="AM178" i="3"/>
  <c r="AI178" i="3"/>
  <c r="AE178" i="3"/>
  <c r="Z178" i="3"/>
  <c r="U178" i="3"/>
  <c r="R178" i="3"/>
  <c r="I178" i="3"/>
  <c r="AR177" i="3"/>
  <c r="AM177" i="3"/>
  <c r="AI177" i="3"/>
  <c r="AE177" i="3"/>
  <c r="Z177" i="3"/>
  <c r="U177" i="3"/>
  <c r="R177" i="3"/>
  <c r="I177" i="3"/>
  <c r="AR176" i="3"/>
  <c r="AM176" i="3"/>
  <c r="AI176" i="3"/>
  <c r="AE176" i="3"/>
  <c r="Z176" i="3"/>
  <c r="U176" i="3"/>
  <c r="R176" i="3"/>
  <c r="I176" i="3"/>
  <c r="AR175" i="3"/>
  <c r="AM175" i="3"/>
  <c r="AI175" i="3"/>
  <c r="AE175" i="3"/>
  <c r="Z175" i="3"/>
  <c r="U175" i="3"/>
  <c r="R175" i="3"/>
  <c r="I175" i="3"/>
  <c r="AR174" i="3"/>
  <c r="AM174" i="3"/>
  <c r="AI174" i="3"/>
  <c r="AE174" i="3"/>
  <c r="Z174" i="3"/>
  <c r="U174" i="3"/>
  <c r="R174" i="3"/>
  <c r="I174" i="3"/>
  <c r="AR173" i="3"/>
  <c r="AM173" i="3"/>
  <c r="AI173" i="3"/>
  <c r="AE173" i="3"/>
  <c r="Z173" i="3"/>
  <c r="U173" i="3"/>
  <c r="R173" i="3"/>
  <c r="I173" i="3"/>
  <c r="AR172" i="3"/>
  <c r="AM172" i="3"/>
  <c r="AI172" i="3"/>
  <c r="AE172" i="3"/>
  <c r="Z172" i="3"/>
  <c r="U172" i="3"/>
  <c r="R172" i="3"/>
  <c r="I172" i="3"/>
  <c r="AR171" i="3"/>
  <c r="AM171" i="3"/>
  <c r="AI171" i="3"/>
  <c r="AE171" i="3"/>
  <c r="Z171" i="3"/>
  <c r="U171" i="3"/>
  <c r="R171" i="3"/>
  <c r="I171" i="3"/>
  <c r="AR170" i="3"/>
  <c r="AM170" i="3"/>
  <c r="AI170" i="3"/>
  <c r="AE170" i="3"/>
  <c r="Z170" i="3"/>
  <c r="U170" i="3"/>
  <c r="R170" i="3"/>
  <c r="I170" i="3"/>
  <c r="AR169" i="3"/>
  <c r="AM169" i="3"/>
  <c r="AI169" i="3"/>
  <c r="AE169" i="3"/>
  <c r="Z169" i="3"/>
  <c r="U169" i="3"/>
  <c r="R169" i="3"/>
  <c r="I169" i="3"/>
  <c r="AR168" i="3"/>
  <c r="AM168" i="3"/>
  <c r="AI168" i="3"/>
  <c r="AE168" i="3"/>
  <c r="Z168" i="3"/>
  <c r="U168" i="3"/>
  <c r="R168" i="3"/>
  <c r="I168" i="3"/>
  <c r="AR167" i="3"/>
  <c r="AM167" i="3"/>
  <c r="AI167" i="3"/>
  <c r="AE167" i="3"/>
  <c r="Z167" i="3"/>
  <c r="U167" i="3"/>
  <c r="R167" i="3"/>
  <c r="I167" i="3"/>
  <c r="AR166" i="3"/>
  <c r="AM166" i="3"/>
  <c r="AI166" i="3"/>
  <c r="AE166" i="3"/>
  <c r="Z166" i="3"/>
  <c r="U166" i="3"/>
  <c r="R166" i="3"/>
  <c r="I166" i="3"/>
  <c r="AR165" i="3"/>
  <c r="AM165" i="3"/>
  <c r="AI165" i="3"/>
  <c r="AE165" i="3"/>
  <c r="Z165" i="3"/>
  <c r="U165" i="3"/>
  <c r="R165" i="3"/>
  <c r="I165" i="3"/>
  <c r="AR164" i="3"/>
  <c r="AM164" i="3"/>
  <c r="AI164" i="3"/>
  <c r="AE164" i="3"/>
  <c r="Z164" i="3"/>
  <c r="U164" i="3"/>
  <c r="R164" i="3"/>
  <c r="I164" i="3"/>
  <c r="AR163" i="3"/>
  <c r="AM163" i="3"/>
  <c r="AI163" i="3"/>
  <c r="AE163" i="3"/>
  <c r="Z163" i="3"/>
  <c r="U163" i="3"/>
  <c r="R163" i="3"/>
  <c r="I163" i="3"/>
  <c r="AR162" i="3"/>
  <c r="AM162" i="3"/>
  <c r="AI162" i="3"/>
  <c r="AE162" i="3"/>
  <c r="Z162" i="3"/>
  <c r="U162" i="3"/>
  <c r="R162" i="3"/>
  <c r="I162" i="3"/>
  <c r="AR161" i="3"/>
  <c r="AM161" i="3"/>
  <c r="AI161" i="3"/>
  <c r="AE161" i="3"/>
  <c r="Z161" i="3"/>
  <c r="U161" i="3"/>
  <c r="R161" i="3"/>
  <c r="I161" i="3"/>
  <c r="AR160" i="3"/>
  <c r="AM160" i="3"/>
  <c r="AI160" i="3"/>
  <c r="AE160" i="3"/>
  <c r="Z160" i="3"/>
  <c r="U160" i="3"/>
  <c r="R160" i="3"/>
  <c r="I160" i="3"/>
  <c r="AR159" i="3"/>
  <c r="AM159" i="3"/>
  <c r="AI159" i="3"/>
  <c r="AE159" i="3"/>
  <c r="Z159" i="3"/>
  <c r="U159" i="3"/>
  <c r="R159" i="3"/>
  <c r="I159" i="3"/>
  <c r="AR158" i="3"/>
  <c r="AU158" i="3" s="1"/>
  <c r="AM158" i="3"/>
  <c r="AI158" i="3"/>
  <c r="AE158" i="3"/>
  <c r="Z158" i="3"/>
  <c r="U158" i="3"/>
  <c r="R158" i="3"/>
  <c r="I158" i="3"/>
  <c r="AR157" i="3"/>
  <c r="AM157" i="3"/>
  <c r="AI157" i="3"/>
  <c r="AE157" i="3"/>
  <c r="Z157" i="3"/>
  <c r="U157" i="3"/>
  <c r="R157" i="3"/>
  <c r="I157" i="3"/>
  <c r="AR156" i="3"/>
  <c r="AM156" i="3"/>
  <c r="AI156" i="3"/>
  <c r="AE156" i="3"/>
  <c r="Z156" i="3"/>
  <c r="U156" i="3"/>
  <c r="R156" i="3"/>
  <c r="I156" i="3"/>
  <c r="AR155" i="3"/>
  <c r="AM155" i="3"/>
  <c r="AI155" i="3"/>
  <c r="AE155" i="3"/>
  <c r="Z155" i="3"/>
  <c r="U155" i="3"/>
  <c r="R155" i="3"/>
  <c r="I155" i="3"/>
  <c r="AR154" i="3"/>
  <c r="AM154" i="3"/>
  <c r="AI154" i="3"/>
  <c r="AE154" i="3"/>
  <c r="Z154" i="3"/>
  <c r="U154" i="3"/>
  <c r="R154" i="3"/>
  <c r="I154" i="3"/>
  <c r="AR153" i="3"/>
  <c r="AM153" i="3"/>
  <c r="AI153" i="3"/>
  <c r="AE153" i="3"/>
  <c r="Z153" i="3"/>
  <c r="U153" i="3"/>
  <c r="R153" i="3"/>
  <c r="I153" i="3"/>
  <c r="AR152" i="3"/>
  <c r="AM152" i="3"/>
  <c r="AI152" i="3"/>
  <c r="AE152" i="3"/>
  <c r="Z152" i="3"/>
  <c r="U152" i="3"/>
  <c r="R152" i="3"/>
  <c r="I152" i="3"/>
  <c r="AR151" i="3"/>
  <c r="AM151" i="3"/>
  <c r="AI151" i="3"/>
  <c r="AE151" i="3"/>
  <c r="Z151" i="3"/>
  <c r="U151" i="3"/>
  <c r="R151" i="3"/>
  <c r="I151" i="3"/>
  <c r="AR150" i="3"/>
  <c r="AM150" i="3"/>
  <c r="AI150" i="3"/>
  <c r="AE150" i="3"/>
  <c r="Z150" i="3"/>
  <c r="U150" i="3"/>
  <c r="R150" i="3"/>
  <c r="I150" i="3"/>
  <c r="AR149" i="3"/>
  <c r="AM149" i="3"/>
  <c r="AI149" i="3"/>
  <c r="AE149" i="3"/>
  <c r="Z149" i="3"/>
  <c r="U149" i="3"/>
  <c r="R149" i="3"/>
  <c r="I149" i="3"/>
  <c r="AR148" i="3"/>
  <c r="AU148" i="3" s="1"/>
  <c r="AM148" i="3"/>
  <c r="AI148" i="3"/>
  <c r="AE148" i="3"/>
  <c r="Z148" i="3"/>
  <c r="U148" i="3"/>
  <c r="R148" i="3"/>
  <c r="I148" i="3"/>
  <c r="AR147" i="3"/>
  <c r="AM147" i="3"/>
  <c r="AI147" i="3"/>
  <c r="AE147" i="3"/>
  <c r="Z147" i="3"/>
  <c r="U147" i="3"/>
  <c r="R147" i="3"/>
  <c r="I147" i="3"/>
  <c r="AR146" i="3"/>
  <c r="AM146" i="3"/>
  <c r="AI146" i="3"/>
  <c r="AE146" i="3"/>
  <c r="Z146" i="3"/>
  <c r="U146" i="3"/>
  <c r="R146" i="3"/>
  <c r="I146" i="3"/>
  <c r="AR145" i="3"/>
  <c r="AU145" i="3" s="1"/>
  <c r="AM145" i="3"/>
  <c r="AI145" i="3"/>
  <c r="AE145" i="3"/>
  <c r="Z145" i="3"/>
  <c r="U145" i="3"/>
  <c r="R145" i="3"/>
  <c r="I145" i="3"/>
  <c r="AR144" i="3"/>
  <c r="AM144" i="3"/>
  <c r="AI144" i="3"/>
  <c r="AE144" i="3"/>
  <c r="Z144" i="3"/>
  <c r="U144" i="3"/>
  <c r="R144" i="3"/>
  <c r="I144" i="3"/>
  <c r="AR143" i="3"/>
  <c r="AM143" i="3"/>
  <c r="AI143" i="3"/>
  <c r="AE143" i="3"/>
  <c r="Z143" i="3"/>
  <c r="U143" i="3"/>
  <c r="R143" i="3"/>
  <c r="I143" i="3"/>
  <c r="AR142" i="3"/>
  <c r="AM142" i="3"/>
  <c r="AI142" i="3"/>
  <c r="AE142" i="3"/>
  <c r="Z142" i="3"/>
  <c r="U142" i="3"/>
  <c r="R142" i="3"/>
  <c r="I142" i="3"/>
  <c r="AR141" i="3"/>
  <c r="AM141" i="3"/>
  <c r="AI141" i="3"/>
  <c r="AE141" i="3"/>
  <c r="Z141" i="3"/>
  <c r="U141" i="3"/>
  <c r="R141" i="3"/>
  <c r="I141" i="3"/>
  <c r="AR140" i="3"/>
  <c r="AM140" i="3"/>
  <c r="AI140" i="3"/>
  <c r="AE140" i="3"/>
  <c r="Z140" i="3"/>
  <c r="U140" i="3"/>
  <c r="R140" i="3"/>
  <c r="I140" i="3"/>
  <c r="AR139" i="3"/>
  <c r="AM139" i="3"/>
  <c r="AI139" i="3"/>
  <c r="AE139" i="3"/>
  <c r="Z139" i="3"/>
  <c r="U139" i="3"/>
  <c r="R139" i="3"/>
  <c r="I139" i="3"/>
  <c r="AR138" i="3"/>
  <c r="AU138" i="3" s="1"/>
  <c r="AM138" i="3"/>
  <c r="AI138" i="3"/>
  <c r="AE138" i="3"/>
  <c r="Z138" i="3"/>
  <c r="U138" i="3"/>
  <c r="R138" i="3"/>
  <c r="I138" i="3"/>
  <c r="AR137" i="3"/>
  <c r="AM137" i="3"/>
  <c r="AI137" i="3"/>
  <c r="AE137" i="3"/>
  <c r="Z137" i="3"/>
  <c r="U137" i="3"/>
  <c r="R137" i="3"/>
  <c r="I137" i="3"/>
  <c r="AR136" i="3"/>
  <c r="AM136" i="3"/>
  <c r="AI136" i="3"/>
  <c r="AE136" i="3"/>
  <c r="Z136" i="3"/>
  <c r="U136" i="3"/>
  <c r="R136" i="3"/>
  <c r="I136" i="3"/>
  <c r="AR135" i="3"/>
  <c r="AM135" i="3"/>
  <c r="AI135" i="3"/>
  <c r="AE135" i="3"/>
  <c r="Z135" i="3"/>
  <c r="U135" i="3"/>
  <c r="R135" i="3"/>
  <c r="I135" i="3"/>
  <c r="AR134" i="3"/>
  <c r="AM134" i="3"/>
  <c r="AI134" i="3"/>
  <c r="AE134" i="3"/>
  <c r="Z134" i="3"/>
  <c r="U134" i="3"/>
  <c r="R134" i="3"/>
  <c r="I134" i="3"/>
  <c r="AR133" i="3"/>
  <c r="AM133" i="3"/>
  <c r="AI133" i="3"/>
  <c r="AE133" i="3"/>
  <c r="Z133" i="3"/>
  <c r="U133" i="3"/>
  <c r="R133" i="3"/>
  <c r="I133" i="3"/>
  <c r="AR132" i="3"/>
  <c r="AM132" i="3"/>
  <c r="AI132" i="3"/>
  <c r="AE132" i="3"/>
  <c r="Z132" i="3"/>
  <c r="U132" i="3"/>
  <c r="R132" i="3"/>
  <c r="I132" i="3"/>
  <c r="AR131" i="3"/>
  <c r="AM131" i="3"/>
  <c r="AI131" i="3"/>
  <c r="AE131" i="3"/>
  <c r="Z131" i="3"/>
  <c r="U131" i="3"/>
  <c r="R131" i="3"/>
  <c r="I131" i="3"/>
  <c r="AR130" i="3"/>
  <c r="AM130" i="3"/>
  <c r="AI130" i="3"/>
  <c r="AE130" i="3"/>
  <c r="Z130" i="3"/>
  <c r="U130" i="3"/>
  <c r="R130" i="3"/>
  <c r="I130" i="3"/>
  <c r="AR129" i="3"/>
  <c r="AM129" i="3"/>
  <c r="AI129" i="3"/>
  <c r="AE129" i="3"/>
  <c r="Z129" i="3"/>
  <c r="U129" i="3"/>
  <c r="R129" i="3"/>
  <c r="I129" i="3"/>
  <c r="AR128" i="3"/>
  <c r="AM128" i="3"/>
  <c r="AI128" i="3"/>
  <c r="AE128" i="3"/>
  <c r="Z128" i="3"/>
  <c r="U128" i="3"/>
  <c r="R128" i="3"/>
  <c r="I128" i="3"/>
  <c r="AR127" i="3"/>
  <c r="AM127" i="3"/>
  <c r="AI127" i="3"/>
  <c r="AE127" i="3"/>
  <c r="Z127" i="3"/>
  <c r="U127" i="3"/>
  <c r="R127" i="3"/>
  <c r="I127" i="3"/>
  <c r="AR126" i="3"/>
  <c r="AM126" i="3"/>
  <c r="AI126" i="3"/>
  <c r="AE126" i="3"/>
  <c r="Z126" i="3"/>
  <c r="AU126" i="3" s="1"/>
  <c r="U126" i="3"/>
  <c r="R126" i="3"/>
  <c r="I126" i="3"/>
  <c r="AR125" i="3"/>
  <c r="AU125" i="3" s="1"/>
  <c r="AM125" i="3"/>
  <c r="AI125" i="3"/>
  <c r="AE125" i="3"/>
  <c r="Z125" i="3"/>
  <c r="U125" i="3"/>
  <c r="R125" i="3"/>
  <c r="I125" i="3"/>
  <c r="AR124" i="3"/>
  <c r="AM124" i="3"/>
  <c r="AI124" i="3"/>
  <c r="AE124" i="3"/>
  <c r="Z124" i="3"/>
  <c r="U124" i="3"/>
  <c r="R124" i="3"/>
  <c r="I124" i="3"/>
  <c r="AR123" i="3"/>
  <c r="AM123" i="3"/>
  <c r="AI123" i="3"/>
  <c r="AE123" i="3"/>
  <c r="Z123" i="3"/>
  <c r="U123" i="3"/>
  <c r="R123" i="3"/>
  <c r="I123" i="3"/>
  <c r="AR122" i="3"/>
  <c r="AM122" i="3"/>
  <c r="AI122" i="3"/>
  <c r="AE122" i="3"/>
  <c r="Z122" i="3"/>
  <c r="U122" i="3"/>
  <c r="R122" i="3"/>
  <c r="I122" i="3"/>
  <c r="AR121" i="3"/>
  <c r="AM121" i="3"/>
  <c r="AI121" i="3"/>
  <c r="AE121" i="3"/>
  <c r="Z121" i="3"/>
  <c r="AU121" i="3" s="1"/>
  <c r="U121" i="3"/>
  <c r="R121" i="3"/>
  <c r="I121" i="3"/>
  <c r="AR120" i="3"/>
  <c r="AM120" i="3"/>
  <c r="AI120" i="3"/>
  <c r="AE120" i="3"/>
  <c r="Z120" i="3"/>
  <c r="AU120" i="3" s="1"/>
  <c r="U120" i="3"/>
  <c r="R120" i="3"/>
  <c r="I120" i="3"/>
  <c r="AR119" i="3"/>
  <c r="AM119" i="3"/>
  <c r="AI119" i="3"/>
  <c r="AE119" i="3"/>
  <c r="Z119" i="3"/>
  <c r="U119" i="3"/>
  <c r="R119" i="3"/>
  <c r="I119" i="3"/>
  <c r="AR118" i="3"/>
  <c r="AM118" i="3"/>
  <c r="AI118" i="3"/>
  <c r="AE118" i="3"/>
  <c r="Z118" i="3"/>
  <c r="U118" i="3"/>
  <c r="R118" i="3"/>
  <c r="I118" i="3"/>
  <c r="AR117" i="3"/>
  <c r="AM117" i="3"/>
  <c r="AI117" i="3"/>
  <c r="AE117" i="3"/>
  <c r="Z117" i="3"/>
  <c r="U117" i="3"/>
  <c r="R117" i="3"/>
  <c r="I117" i="3"/>
  <c r="AR116" i="3"/>
  <c r="AM116" i="3"/>
  <c r="AI116" i="3"/>
  <c r="AE116" i="3"/>
  <c r="Z116" i="3"/>
  <c r="U116" i="3"/>
  <c r="R116" i="3"/>
  <c r="I116" i="3"/>
  <c r="AR115" i="3"/>
  <c r="AM115" i="3"/>
  <c r="AI115" i="3"/>
  <c r="AE115" i="3"/>
  <c r="Z115" i="3"/>
  <c r="U115" i="3"/>
  <c r="R115" i="3"/>
  <c r="I115" i="3"/>
  <c r="AR114" i="3"/>
  <c r="AM114" i="3"/>
  <c r="AI114" i="3"/>
  <c r="AE114" i="3"/>
  <c r="Z114" i="3"/>
  <c r="AU114" i="3" s="1"/>
  <c r="U114" i="3"/>
  <c r="R114" i="3"/>
  <c r="I114" i="3"/>
  <c r="AR113" i="3"/>
  <c r="AM113" i="3"/>
  <c r="AI113" i="3"/>
  <c r="AE113" i="3"/>
  <c r="Z113" i="3"/>
  <c r="U113" i="3"/>
  <c r="R113" i="3"/>
  <c r="I113" i="3"/>
  <c r="AR112" i="3"/>
  <c r="AM112" i="3"/>
  <c r="AI112" i="3"/>
  <c r="AE112" i="3"/>
  <c r="Z112" i="3"/>
  <c r="U112" i="3"/>
  <c r="R112" i="3"/>
  <c r="I112" i="3"/>
  <c r="AR111" i="3"/>
  <c r="AM111" i="3"/>
  <c r="AI111" i="3"/>
  <c r="AE111" i="3"/>
  <c r="Z111" i="3"/>
  <c r="U111" i="3"/>
  <c r="R111" i="3"/>
  <c r="I111" i="3"/>
  <c r="AR110" i="3"/>
  <c r="AM110" i="3"/>
  <c r="AI110" i="3"/>
  <c r="AE110" i="3"/>
  <c r="Z110" i="3"/>
  <c r="U110" i="3"/>
  <c r="R110" i="3"/>
  <c r="I110" i="3"/>
  <c r="AR109" i="3"/>
  <c r="AU109" i="3" s="1"/>
  <c r="AM109" i="3"/>
  <c r="AI109" i="3"/>
  <c r="AE109" i="3"/>
  <c r="Z109" i="3"/>
  <c r="U109" i="3"/>
  <c r="R109" i="3"/>
  <c r="I109" i="3"/>
  <c r="AR108" i="3"/>
  <c r="AM108" i="3"/>
  <c r="AI108" i="3"/>
  <c r="AE108" i="3"/>
  <c r="Z108" i="3"/>
  <c r="U108" i="3"/>
  <c r="R108" i="3"/>
  <c r="I108" i="3"/>
  <c r="AR107" i="3"/>
  <c r="AM107" i="3"/>
  <c r="AI107" i="3"/>
  <c r="AE107" i="3"/>
  <c r="Z107" i="3"/>
  <c r="U107" i="3"/>
  <c r="R107" i="3"/>
  <c r="I107" i="3"/>
  <c r="AR106" i="3"/>
  <c r="AM106" i="3"/>
  <c r="AI106" i="3"/>
  <c r="AE106" i="3"/>
  <c r="Z106" i="3"/>
  <c r="U106" i="3"/>
  <c r="R106" i="3"/>
  <c r="I106" i="3"/>
  <c r="AR105" i="3"/>
  <c r="AM105" i="3"/>
  <c r="AI105" i="3"/>
  <c r="AE105" i="3"/>
  <c r="Z105" i="3"/>
  <c r="U105" i="3"/>
  <c r="R105" i="3"/>
  <c r="I105" i="3"/>
  <c r="AR104" i="3"/>
  <c r="AM104" i="3"/>
  <c r="AI104" i="3"/>
  <c r="AE104" i="3"/>
  <c r="Z104" i="3"/>
  <c r="U104" i="3"/>
  <c r="R104" i="3"/>
  <c r="I104" i="3"/>
  <c r="AR103" i="3"/>
  <c r="AM103" i="3"/>
  <c r="AI103" i="3"/>
  <c r="AE103" i="3"/>
  <c r="Z103" i="3"/>
  <c r="AU103" i="3" s="1"/>
  <c r="U103" i="3"/>
  <c r="R103" i="3"/>
  <c r="I103" i="3"/>
  <c r="AR102" i="3"/>
  <c r="AM102" i="3"/>
  <c r="AI102" i="3"/>
  <c r="AE102" i="3"/>
  <c r="Z102" i="3"/>
  <c r="U102" i="3"/>
  <c r="R102" i="3"/>
  <c r="I102" i="3"/>
  <c r="AR101" i="3"/>
  <c r="AM101" i="3"/>
  <c r="AI101" i="3"/>
  <c r="AE101" i="3"/>
  <c r="Z101" i="3"/>
  <c r="U101" i="3"/>
  <c r="R101" i="3"/>
  <c r="I101" i="3"/>
  <c r="AR100" i="3"/>
  <c r="AU100" i="3" s="1"/>
  <c r="AM100" i="3"/>
  <c r="AI100" i="3"/>
  <c r="AE100" i="3"/>
  <c r="Z100" i="3"/>
  <c r="U100" i="3"/>
  <c r="R100" i="3"/>
  <c r="I100" i="3"/>
  <c r="AR99" i="3"/>
  <c r="AM99" i="3"/>
  <c r="AI99" i="3"/>
  <c r="AE99" i="3"/>
  <c r="Z99" i="3"/>
  <c r="U99" i="3"/>
  <c r="R99" i="3"/>
  <c r="I99" i="3"/>
  <c r="AR98" i="3"/>
  <c r="AM98" i="3"/>
  <c r="AI98" i="3"/>
  <c r="AE98" i="3"/>
  <c r="Z98" i="3"/>
  <c r="U98" i="3"/>
  <c r="R98" i="3"/>
  <c r="I98" i="3"/>
  <c r="AR97" i="3"/>
  <c r="AM97" i="3"/>
  <c r="AI97" i="3"/>
  <c r="AE97" i="3"/>
  <c r="Z97" i="3"/>
  <c r="U97" i="3"/>
  <c r="R97" i="3"/>
  <c r="I97" i="3"/>
  <c r="AR96" i="3"/>
  <c r="AM96" i="3"/>
  <c r="AI96" i="3"/>
  <c r="AE96" i="3"/>
  <c r="Z96" i="3"/>
  <c r="U96" i="3"/>
  <c r="R96" i="3"/>
  <c r="I96" i="3"/>
  <c r="AR95" i="3"/>
  <c r="AM95" i="3"/>
  <c r="AI95" i="3"/>
  <c r="AE95" i="3"/>
  <c r="Z95" i="3"/>
  <c r="U95" i="3"/>
  <c r="R95" i="3"/>
  <c r="I95" i="3"/>
  <c r="AR94" i="3"/>
  <c r="AM94" i="3"/>
  <c r="AI94" i="3"/>
  <c r="AE94" i="3"/>
  <c r="Z94" i="3"/>
  <c r="U94" i="3"/>
  <c r="R94" i="3"/>
  <c r="I94" i="3"/>
  <c r="AR93" i="3"/>
  <c r="AM93" i="3"/>
  <c r="AI93" i="3"/>
  <c r="AE93" i="3"/>
  <c r="Z93" i="3"/>
  <c r="U93" i="3"/>
  <c r="R93" i="3"/>
  <c r="I93" i="3"/>
  <c r="AR92" i="3"/>
  <c r="AM92" i="3"/>
  <c r="AI92" i="3"/>
  <c r="AE92" i="3"/>
  <c r="Z92" i="3"/>
  <c r="U92" i="3"/>
  <c r="R92" i="3"/>
  <c r="I92" i="3"/>
  <c r="AR91" i="3"/>
  <c r="AM91" i="3"/>
  <c r="AI91" i="3"/>
  <c r="AE91" i="3"/>
  <c r="Z91" i="3"/>
  <c r="U91" i="3"/>
  <c r="R91" i="3"/>
  <c r="I91" i="3"/>
  <c r="AR90" i="3"/>
  <c r="AM90" i="3"/>
  <c r="AI90" i="3"/>
  <c r="AE90" i="3"/>
  <c r="Z90" i="3"/>
  <c r="U90" i="3"/>
  <c r="R90" i="3"/>
  <c r="I90" i="3"/>
  <c r="AR89" i="3"/>
  <c r="AM89" i="3"/>
  <c r="AI89" i="3"/>
  <c r="AE89" i="3"/>
  <c r="Z89" i="3"/>
  <c r="U89" i="3"/>
  <c r="R89" i="3"/>
  <c r="I89" i="3"/>
  <c r="AR88" i="3"/>
  <c r="AM88" i="3"/>
  <c r="AI88" i="3"/>
  <c r="AE88" i="3"/>
  <c r="Z88" i="3"/>
  <c r="U88" i="3"/>
  <c r="R88" i="3"/>
  <c r="I88" i="3"/>
  <c r="AR87" i="3"/>
  <c r="AM87" i="3"/>
  <c r="AI87" i="3"/>
  <c r="AE87" i="3"/>
  <c r="Z87" i="3"/>
  <c r="U87" i="3"/>
  <c r="R87" i="3"/>
  <c r="I87" i="3"/>
  <c r="AR86" i="3"/>
  <c r="AM86" i="3"/>
  <c r="AI86" i="3"/>
  <c r="AE86" i="3"/>
  <c r="Z86" i="3"/>
  <c r="U86" i="3"/>
  <c r="R86" i="3"/>
  <c r="I86" i="3"/>
  <c r="AR85" i="3"/>
  <c r="AM85" i="3"/>
  <c r="AI85" i="3"/>
  <c r="AE85" i="3"/>
  <c r="Z85" i="3"/>
  <c r="U85" i="3"/>
  <c r="R85" i="3"/>
  <c r="I85" i="3"/>
  <c r="AR84" i="3"/>
  <c r="AM84" i="3"/>
  <c r="AI84" i="3"/>
  <c r="AE84" i="3"/>
  <c r="Z84" i="3"/>
  <c r="AU84" i="3" s="1"/>
  <c r="U84" i="3"/>
  <c r="R84" i="3"/>
  <c r="I84" i="3"/>
  <c r="AR83" i="3"/>
  <c r="AM83" i="3"/>
  <c r="AI83" i="3"/>
  <c r="AE83" i="3"/>
  <c r="Z83" i="3"/>
  <c r="U83" i="3"/>
  <c r="R83" i="3"/>
  <c r="I83" i="3"/>
  <c r="AR82" i="3"/>
  <c r="AM82" i="3"/>
  <c r="AI82" i="3"/>
  <c r="AE82" i="3"/>
  <c r="Z82" i="3"/>
  <c r="U82" i="3"/>
  <c r="R82" i="3"/>
  <c r="I82" i="3"/>
  <c r="AR81" i="3"/>
  <c r="AU81" i="3" s="1"/>
  <c r="AM81" i="3"/>
  <c r="AI81" i="3"/>
  <c r="AE81" i="3"/>
  <c r="Z81" i="3"/>
  <c r="U81" i="3"/>
  <c r="R81" i="3"/>
  <c r="I81" i="3"/>
  <c r="AR80" i="3"/>
  <c r="AM80" i="3"/>
  <c r="AI80" i="3"/>
  <c r="AE80" i="3"/>
  <c r="Z80" i="3"/>
  <c r="U80" i="3"/>
  <c r="R80" i="3"/>
  <c r="I80" i="3"/>
  <c r="AR79" i="3"/>
  <c r="AM79" i="3"/>
  <c r="AI79" i="3"/>
  <c r="AE79" i="3"/>
  <c r="Z79" i="3"/>
  <c r="U79" i="3"/>
  <c r="R79" i="3"/>
  <c r="I79" i="3"/>
  <c r="AR78" i="3"/>
  <c r="AM78" i="3"/>
  <c r="AI78" i="3"/>
  <c r="AE78" i="3"/>
  <c r="Z78" i="3"/>
  <c r="U78" i="3"/>
  <c r="R78" i="3"/>
  <c r="I78" i="3"/>
  <c r="AR77" i="3"/>
  <c r="AM77" i="3"/>
  <c r="AI77" i="3"/>
  <c r="AE77" i="3"/>
  <c r="Z77" i="3"/>
  <c r="U77" i="3"/>
  <c r="R77" i="3"/>
  <c r="I77" i="3"/>
  <c r="AR76" i="3"/>
  <c r="AM76" i="3"/>
  <c r="AI76" i="3"/>
  <c r="AE76" i="3"/>
  <c r="Z76" i="3"/>
  <c r="U76" i="3"/>
  <c r="R76" i="3"/>
  <c r="I76" i="3"/>
  <c r="AR75" i="3"/>
  <c r="AM75" i="3"/>
  <c r="AI75" i="3"/>
  <c r="AE75" i="3"/>
  <c r="Z75" i="3"/>
  <c r="U75" i="3"/>
  <c r="R75" i="3"/>
  <c r="I75" i="3"/>
  <c r="AR74" i="3"/>
  <c r="AM74" i="3"/>
  <c r="AI74" i="3"/>
  <c r="AE74" i="3"/>
  <c r="Z74" i="3"/>
  <c r="U74" i="3"/>
  <c r="R74" i="3"/>
  <c r="I74" i="3"/>
  <c r="AR73" i="3"/>
  <c r="AM73" i="3"/>
  <c r="AI73" i="3"/>
  <c r="AE73" i="3"/>
  <c r="Z73" i="3"/>
  <c r="U73" i="3"/>
  <c r="R73" i="3"/>
  <c r="I73" i="3"/>
  <c r="AR72" i="3"/>
  <c r="AM72" i="3"/>
  <c r="AI72" i="3"/>
  <c r="AE72" i="3"/>
  <c r="Z72" i="3"/>
  <c r="U72" i="3"/>
  <c r="R72" i="3"/>
  <c r="I72" i="3"/>
  <c r="AR71" i="3"/>
  <c r="AM71" i="3"/>
  <c r="AI71" i="3"/>
  <c r="AE71" i="3"/>
  <c r="Z71" i="3"/>
  <c r="U71" i="3"/>
  <c r="R71" i="3"/>
  <c r="I71" i="3"/>
  <c r="AR70" i="3"/>
  <c r="AM70" i="3"/>
  <c r="AI70" i="3"/>
  <c r="AE70" i="3"/>
  <c r="Z70" i="3"/>
  <c r="U70" i="3"/>
  <c r="R70" i="3"/>
  <c r="I70" i="3"/>
  <c r="AR69" i="3"/>
  <c r="AM69" i="3"/>
  <c r="AI69" i="3"/>
  <c r="AE69" i="3"/>
  <c r="Z69" i="3"/>
  <c r="U69" i="3"/>
  <c r="R69" i="3"/>
  <c r="I69" i="3"/>
  <c r="AR68" i="3"/>
  <c r="AM68" i="3"/>
  <c r="AI68" i="3"/>
  <c r="AE68" i="3"/>
  <c r="Z68" i="3"/>
  <c r="U68" i="3"/>
  <c r="R68" i="3"/>
  <c r="I68" i="3"/>
  <c r="AR67" i="3"/>
  <c r="AM67" i="3"/>
  <c r="AI67" i="3"/>
  <c r="AE67" i="3"/>
  <c r="Z67" i="3"/>
  <c r="U67" i="3"/>
  <c r="R67" i="3"/>
  <c r="I67" i="3"/>
  <c r="AR66" i="3"/>
  <c r="AU66" i="3" s="1"/>
  <c r="AM66" i="3"/>
  <c r="AI66" i="3"/>
  <c r="AE66" i="3"/>
  <c r="Z66" i="3"/>
  <c r="U66" i="3"/>
  <c r="R66" i="3"/>
  <c r="I66" i="3"/>
  <c r="AR65" i="3"/>
  <c r="AU65" i="3" s="1"/>
  <c r="AM65" i="3"/>
  <c r="AI65" i="3"/>
  <c r="AE65" i="3"/>
  <c r="Z65" i="3"/>
  <c r="U65" i="3"/>
  <c r="R65" i="3"/>
  <c r="I65" i="3"/>
  <c r="AR64" i="3"/>
  <c r="AM64" i="3"/>
  <c r="AI64" i="3"/>
  <c r="AE64" i="3"/>
  <c r="Z64" i="3"/>
  <c r="U64" i="3"/>
  <c r="R64" i="3"/>
  <c r="I64" i="3"/>
  <c r="AR63" i="3"/>
  <c r="AM63" i="3"/>
  <c r="AI63" i="3"/>
  <c r="AE63" i="3"/>
  <c r="Z63" i="3"/>
  <c r="U63" i="3"/>
  <c r="R63" i="3"/>
  <c r="I63" i="3"/>
  <c r="AR62" i="3"/>
  <c r="AM62" i="3"/>
  <c r="AI62" i="3"/>
  <c r="AE62" i="3"/>
  <c r="Z62" i="3"/>
  <c r="U62" i="3"/>
  <c r="R62" i="3"/>
  <c r="I62" i="3"/>
  <c r="AR61" i="3"/>
  <c r="AM61" i="3"/>
  <c r="AI61" i="3"/>
  <c r="AE61" i="3"/>
  <c r="Z61" i="3"/>
  <c r="U61" i="3"/>
  <c r="R61" i="3"/>
  <c r="I61" i="3"/>
  <c r="AR60" i="3"/>
  <c r="AM60" i="3"/>
  <c r="AI60" i="3"/>
  <c r="AE60" i="3"/>
  <c r="Z60" i="3"/>
  <c r="U60" i="3"/>
  <c r="R60" i="3"/>
  <c r="I60" i="3"/>
  <c r="AR59" i="3"/>
  <c r="AU59" i="3" s="1"/>
  <c r="AM59" i="3"/>
  <c r="AI59" i="3"/>
  <c r="AE59" i="3"/>
  <c r="Z59" i="3"/>
  <c r="U59" i="3"/>
  <c r="R59" i="3"/>
  <c r="I59" i="3"/>
  <c r="AR58" i="3"/>
  <c r="AM58" i="3"/>
  <c r="AI58" i="3"/>
  <c r="AE58" i="3"/>
  <c r="Z58" i="3"/>
  <c r="U58" i="3"/>
  <c r="R58" i="3"/>
  <c r="I58" i="3"/>
  <c r="AR57" i="3"/>
  <c r="AU57" i="3" s="1"/>
  <c r="AM57" i="3"/>
  <c r="AI57" i="3"/>
  <c r="AE57" i="3"/>
  <c r="Z57" i="3"/>
  <c r="U57" i="3"/>
  <c r="R57" i="3"/>
  <c r="I57" i="3"/>
  <c r="AR56" i="3"/>
  <c r="AM56" i="3"/>
  <c r="AI56" i="3"/>
  <c r="AE56" i="3"/>
  <c r="Z56" i="3"/>
  <c r="U56" i="3"/>
  <c r="R56" i="3"/>
  <c r="I56" i="3"/>
  <c r="AR55" i="3"/>
  <c r="AM55" i="3"/>
  <c r="AI55" i="3"/>
  <c r="AE55" i="3"/>
  <c r="Z55" i="3"/>
  <c r="U55" i="3"/>
  <c r="R55" i="3"/>
  <c r="I55" i="3"/>
  <c r="AR54" i="3"/>
  <c r="AM54" i="3"/>
  <c r="AI54" i="3"/>
  <c r="AE54" i="3"/>
  <c r="Z54" i="3"/>
  <c r="U54" i="3"/>
  <c r="R54" i="3"/>
  <c r="I54" i="3"/>
  <c r="AR53" i="3"/>
  <c r="AM53" i="3"/>
  <c r="AI53" i="3"/>
  <c r="AE53" i="3"/>
  <c r="Z53" i="3"/>
  <c r="U53" i="3"/>
  <c r="R53" i="3"/>
  <c r="I53" i="3"/>
  <c r="AR52" i="3"/>
  <c r="AM52" i="3"/>
  <c r="AI52" i="3"/>
  <c r="AE52" i="3"/>
  <c r="Z52" i="3"/>
  <c r="U52" i="3"/>
  <c r="R52" i="3"/>
  <c r="I52" i="3"/>
  <c r="AR51" i="3"/>
  <c r="AM51" i="3"/>
  <c r="AI51" i="3"/>
  <c r="AE51" i="3"/>
  <c r="Z51" i="3"/>
  <c r="U51" i="3"/>
  <c r="R51" i="3"/>
  <c r="I51" i="3"/>
  <c r="AR50" i="3"/>
  <c r="AM50" i="3"/>
  <c r="AI50" i="3"/>
  <c r="AE50" i="3"/>
  <c r="Z50" i="3"/>
  <c r="U50" i="3"/>
  <c r="R50" i="3"/>
  <c r="I50" i="3"/>
  <c r="AR49" i="3"/>
  <c r="AU49" i="3" s="1"/>
  <c r="AM49" i="3"/>
  <c r="AI49" i="3"/>
  <c r="AE49" i="3"/>
  <c r="Z49" i="3"/>
  <c r="U49" i="3"/>
  <c r="R49" i="3"/>
  <c r="I49" i="3"/>
  <c r="AR48" i="3"/>
  <c r="AM48" i="3"/>
  <c r="AI48" i="3"/>
  <c r="AE48" i="3"/>
  <c r="Z48" i="3"/>
  <c r="U48" i="3"/>
  <c r="R48" i="3"/>
  <c r="I48" i="3"/>
  <c r="AR47" i="3"/>
  <c r="AM47" i="3"/>
  <c r="AI47" i="3"/>
  <c r="AE47" i="3"/>
  <c r="Z47" i="3"/>
  <c r="U47" i="3"/>
  <c r="R47" i="3"/>
  <c r="I47" i="3"/>
  <c r="AR46" i="3"/>
  <c r="AU46" i="3" s="1"/>
  <c r="AM46" i="3"/>
  <c r="AI46" i="3"/>
  <c r="AE46" i="3"/>
  <c r="Z46" i="3"/>
  <c r="U46" i="3"/>
  <c r="R46" i="3"/>
  <c r="I46" i="3"/>
  <c r="AR45" i="3"/>
  <c r="AM45" i="3"/>
  <c r="AI45" i="3"/>
  <c r="AE45" i="3"/>
  <c r="Z45" i="3"/>
  <c r="AU45" i="3" s="1"/>
  <c r="U45" i="3"/>
  <c r="R45" i="3"/>
  <c r="I45" i="3"/>
  <c r="AR44" i="3"/>
  <c r="AM44" i="3"/>
  <c r="AI44" i="3"/>
  <c r="AE44" i="3"/>
  <c r="Z44" i="3"/>
  <c r="U44" i="3"/>
  <c r="R44" i="3"/>
  <c r="I44" i="3"/>
  <c r="AR43" i="3"/>
  <c r="AM43" i="3"/>
  <c r="AI43" i="3"/>
  <c r="AE43" i="3"/>
  <c r="Z43" i="3"/>
  <c r="U43" i="3"/>
  <c r="R43" i="3"/>
  <c r="I43" i="3"/>
  <c r="AR42" i="3"/>
  <c r="AM42" i="3"/>
  <c r="AI42" i="3"/>
  <c r="AE42" i="3"/>
  <c r="Z42" i="3"/>
  <c r="U42" i="3"/>
  <c r="R42" i="3"/>
  <c r="I42" i="3"/>
  <c r="AR41" i="3"/>
  <c r="AM41" i="3"/>
  <c r="AI41" i="3"/>
  <c r="AE41" i="3"/>
  <c r="Z41" i="3"/>
  <c r="U41" i="3"/>
  <c r="R41" i="3"/>
  <c r="I41" i="3"/>
  <c r="AR40" i="3"/>
  <c r="AM40" i="3"/>
  <c r="AI40" i="3"/>
  <c r="AE40" i="3"/>
  <c r="Z40" i="3"/>
  <c r="U40" i="3"/>
  <c r="R40" i="3"/>
  <c r="I40" i="3"/>
  <c r="AR39" i="3"/>
  <c r="AM39" i="3"/>
  <c r="AI39" i="3"/>
  <c r="AE39" i="3"/>
  <c r="Z39" i="3"/>
  <c r="U39" i="3"/>
  <c r="R39" i="3"/>
  <c r="I39" i="3"/>
  <c r="AR38" i="3"/>
  <c r="AM38" i="3"/>
  <c r="AI38" i="3"/>
  <c r="AE38" i="3"/>
  <c r="Z38" i="3"/>
  <c r="U38" i="3"/>
  <c r="R38" i="3"/>
  <c r="I38" i="3"/>
  <c r="AR37" i="3"/>
  <c r="AM37" i="3"/>
  <c r="AI37" i="3"/>
  <c r="AE37" i="3"/>
  <c r="Z37" i="3"/>
  <c r="U37" i="3"/>
  <c r="R37" i="3"/>
  <c r="I37" i="3"/>
  <c r="AR36" i="3"/>
  <c r="AM36" i="3"/>
  <c r="AI36" i="3"/>
  <c r="AE36" i="3"/>
  <c r="Z36" i="3"/>
  <c r="U36" i="3"/>
  <c r="R36" i="3"/>
  <c r="I36" i="3"/>
  <c r="AR35" i="3"/>
  <c r="AM35" i="3"/>
  <c r="AI35" i="3"/>
  <c r="AE35" i="3"/>
  <c r="Z35" i="3"/>
  <c r="U35" i="3"/>
  <c r="R35" i="3"/>
  <c r="I35" i="3"/>
  <c r="AR34" i="3"/>
  <c r="AM34" i="3"/>
  <c r="AI34" i="3"/>
  <c r="AE34" i="3"/>
  <c r="Z34" i="3"/>
  <c r="AU34" i="3" s="1"/>
  <c r="U34" i="3"/>
  <c r="R34" i="3"/>
  <c r="I34" i="3"/>
  <c r="AR33" i="3"/>
  <c r="AM33" i="3"/>
  <c r="AI33" i="3"/>
  <c r="AE33" i="3"/>
  <c r="Z33" i="3"/>
  <c r="U33" i="3"/>
  <c r="R33" i="3"/>
  <c r="I33" i="3"/>
  <c r="AR32" i="3"/>
  <c r="AM32" i="3"/>
  <c r="AI32" i="3"/>
  <c r="AE32" i="3"/>
  <c r="Z32" i="3"/>
  <c r="U32" i="3"/>
  <c r="R32" i="3"/>
  <c r="I32" i="3"/>
  <c r="AR31" i="3"/>
  <c r="AM31" i="3"/>
  <c r="AI31" i="3"/>
  <c r="AE31" i="3"/>
  <c r="Z31" i="3"/>
  <c r="U31" i="3"/>
  <c r="R31" i="3"/>
  <c r="I31" i="3"/>
  <c r="AR30" i="3"/>
  <c r="AM30" i="3"/>
  <c r="AI30" i="3"/>
  <c r="AE30" i="3"/>
  <c r="Z30" i="3"/>
  <c r="U30" i="3"/>
  <c r="R30" i="3"/>
  <c r="I30" i="3"/>
  <c r="AR29" i="3"/>
  <c r="AU29" i="3" s="1"/>
  <c r="AM29" i="3"/>
  <c r="AI29" i="3"/>
  <c r="AE29" i="3"/>
  <c r="Z29" i="3"/>
  <c r="U29" i="3"/>
  <c r="R29" i="3"/>
  <c r="I29" i="3"/>
  <c r="AR28" i="3"/>
  <c r="AM28" i="3"/>
  <c r="AI28" i="3"/>
  <c r="AE28" i="3"/>
  <c r="Z28" i="3"/>
  <c r="U28" i="3"/>
  <c r="R28" i="3"/>
  <c r="I28" i="3"/>
  <c r="AR27" i="3"/>
  <c r="AU27" i="3" s="1"/>
  <c r="AM27" i="3"/>
  <c r="AI27" i="3"/>
  <c r="AE27" i="3"/>
  <c r="Z27" i="3"/>
  <c r="U27" i="3"/>
  <c r="R27" i="3"/>
  <c r="I27" i="3"/>
  <c r="AR26" i="3"/>
  <c r="AM26" i="3"/>
  <c r="AI26" i="3"/>
  <c r="AE26" i="3"/>
  <c r="Z26" i="3"/>
  <c r="U26" i="3"/>
  <c r="R26" i="3"/>
  <c r="I26" i="3"/>
  <c r="AR25" i="3"/>
  <c r="AM25" i="3"/>
  <c r="AI25" i="3"/>
  <c r="AE25" i="3"/>
  <c r="Z25" i="3"/>
  <c r="U25" i="3"/>
  <c r="R25" i="3"/>
  <c r="I25" i="3"/>
  <c r="AR24" i="3"/>
  <c r="AM24" i="3"/>
  <c r="AI24" i="3"/>
  <c r="AE24" i="3"/>
  <c r="Z24" i="3"/>
  <c r="U24" i="3"/>
  <c r="R24" i="3"/>
  <c r="I24" i="3"/>
  <c r="AR23" i="3"/>
  <c r="AM23" i="3"/>
  <c r="AI23" i="3"/>
  <c r="AE23" i="3"/>
  <c r="Z23" i="3"/>
  <c r="U23" i="3"/>
  <c r="R23" i="3"/>
  <c r="I23" i="3"/>
  <c r="AR22" i="3"/>
  <c r="AM22" i="3"/>
  <c r="AI22" i="3"/>
  <c r="AE22" i="3"/>
  <c r="Z22" i="3"/>
  <c r="U22" i="3"/>
  <c r="R22" i="3"/>
  <c r="I22" i="3"/>
  <c r="AR21" i="3"/>
  <c r="AM21" i="3"/>
  <c r="AI21" i="3"/>
  <c r="AE21" i="3"/>
  <c r="Z21" i="3"/>
  <c r="U21" i="3"/>
  <c r="R21" i="3"/>
  <c r="I21" i="3"/>
  <c r="AR20" i="3"/>
  <c r="AM20" i="3"/>
  <c r="AI20" i="3"/>
  <c r="AE20" i="3"/>
  <c r="Z20" i="3"/>
  <c r="U20" i="3"/>
  <c r="R20" i="3"/>
  <c r="I20" i="3"/>
  <c r="AR19" i="3"/>
  <c r="AM19" i="3"/>
  <c r="AI19" i="3"/>
  <c r="AE19" i="3"/>
  <c r="Z19" i="3"/>
  <c r="U19" i="3"/>
  <c r="R19" i="3"/>
  <c r="I19" i="3"/>
  <c r="AR18" i="3"/>
  <c r="AM18" i="3"/>
  <c r="AI18" i="3"/>
  <c r="AE18" i="3"/>
  <c r="Z18" i="3"/>
  <c r="U18" i="3"/>
  <c r="R18" i="3"/>
  <c r="I18" i="3"/>
  <c r="AR17" i="3"/>
  <c r="AM17" i="3"/>
  <c r="AI17" i="3"/>
  <c r="AE17" i="3"/>
  <c r="Z17" i="3"/>
  <c r="U17" i="3"/>
  <c r="R17" i="3"/>
  <c r="I17" i="3"/>
  <c r="AR16" i="3"/>
  <c r="AM16" i="3"/>
  <c r="AI16" i="3"/>
  <c r="AE16" i="3"/>
  <c r="Z16" i="3"/>
  <c r="U16" i="3"/>
  <c r="R16" i="3"/>
  <c r="I16" i="3"/>
  <c r="AR15" i="3"/>
  <c r="AM15" i="3"/>
  <c r="AI15" i="3"/>
  <c r="AE15" i="3"/>
  <c r="Z15" i="3"/>
  <c r="U15" i="3"/>
  <c r="R15" i="3"/>
  <c r="I15" i="3"/>
  <c r="AR14" i="3"/>
  <c r="AU14" i="3" s="1"/>
  <c r="AM14" i="3"/>
  <c r="AI14" i="3"/>
  <c r="AE14" i="3"/>
  <c r="Z14" i="3"/>
  <c r="U14" i="3"/>
  <c r="R14" i="3"/>
  <c r="I14" i="3"/>
  <c r="AR13" i="3"/>
  <c r="AM13" i="3"/>
  <c r="AI13" i="3"/>
  <c r="AE13" i="3"/>
  <c r="Z13" i="3"/>
  <c r="U13" i="3"/>
  <c r="R13" i="3"/>
  <c r="I13" i="3"/>
  <c r="AR12" i="3"/>
  <c r="AU12" i="3" s="1"/>
  <c r="AM12" i="3"/>
  <c r="AI12" i="3"/>
  <c r="AE12" i="3"/>
  <c r="Z12" i="3"/>
  <c r="U12" i="3"/>
  <c r="R12" i="3"/>
  <c r="I12" i="3"/>
  <c r="AR11" i="3"/>
  <c r="AM11" i="3"/>
  <c r="AI11" i="3"/>
  <c r="AE11" i="3"/>
  <c r="Z11" i="3"/>
  <c r="U11" i="3"/>
  <c r="R11" i="3"/>
  <c r="I11" i="3"/>
  <c r="AR10" i="3"/>
  <c r="AM10" i="3"/>
  <c r="AI10" i="3"/>
  <c r="AE10" i="3"/>
  <c r="Z10" i="3"/>
  <c r="U10" i="3"/>
  <c r="R10" i="3"/>
  <c r="I10" i="3"/>
  <c r="AR9" i="3"/>
  <c r="AM9" i="3"/>
  <c r="AI9" i="3"/>
  <c r="AE9" i="3"/>
  <c r="Z9" i="3"/>
  <c r="U9" i="3"/>
  <c r="R9" i="3"/>
  <c r="I9" i="3"/>
  <c r="AR8" i="3"/>
  <c r="AM8" i="3"/>
  <c r="AI8" i="3"/>
  <c r="AE8" i="3"/>
  <c r="Z8" i="3"/>
  <c r="U8" i="3"/>
  <c r="R8" i="3"/>
  <c r="I8" i="3"/>
  <c r="AR7" i="3"/>
  <c r="AM7" i="3"/>
  <c r="AI7" i="3"/>
  <c r="AE7" i="3"/>
  <c r="Z7" i="3"/>
  <c r="U7" i="3"/>
  <c r="R7" i="3"/>
  <c r="I7" i="3"/>
  <c r="AR6" i="3"/>
  <c r="AM6" i="3"/>
  <c r="AI6" i="3"/>
  <c r="AE6" i="3"/>
  <c r="Z6" i="3"/>
  <c r="U6" i="3"/>
  <c r="R6" i="3"/>
  <c r="I6" i="3"/>
  <c r="AR5" i="3"/>
  <c r="AM5" i="3"/>
  <c r="AI5" i="3"/>
  <c r="AE5" i="3"/>
  <c r="Z5" i="3"/>
  <c r="U5" i="3"/>
  <c r="R5" i="3"/>
  <c r="I5" i="3"/>
  <c r="AU20" i="3" l="1"/>
  <c r="AU21" i="3"/>
  <c r="AU28" i="3"/>
  <c r="AU32" i="3"/>
  <c r="AU48" i="3"/>
  <c r="AU132" i="3"/>
  <c r="AU124" i="3"/>
  <c r="AU128" i="3"/>
  <c r="AU136" i="3"/>
  <c r="AU80" i="3"/>
  <c r="AU104" i="3"/>
  <c r="AU106" i="3"/>
  <c r="AU123" i="3"/>
  <c r="AU131" i="3"/>
  <c r="AU122" i="3"/>
  <c r="AU127" i="3"/>
  <c r="AU130" i="3"/>
  <c r="AU231" i="3"/>
  <c r="AU61" i="3"/>
  <c r="AU63" i="3"/>
  <c r="AU160" i="3"/>
  <c r="AU163" i="3"/>
  <c r="AU164" i="3"/>
  <c r="AU167" i="3"/>
  <c r="AU169" i="3"/>
  <c r="AU170" i="3"/>
  <c r="AU172" i="3"/>
  <c r="AU173" i="3"/>
  <c r="AU176" i="3"/>
  <c r="AU5" i="3"/>
  <c r="AU6" i="3"/>
  <c r="AU7" i="3"/>
  <c r="AU8" i="3"/>
  <c r="AU9" i="3"/>
  <c r="AU10" i="3"/>
  <c r="AU11" i="3"/>
  <c r="AU149" i="3"/>
  <c r="AU166" i="3"/>
  <c r="AU175" i="3"/>
  <c r="AU214" i="3"/>
  <c r="AU215" i="3"/>
  <c r="AU60" i="3"/>
  <c r="AU62" i="3"/>
  <c r="AU64" i="3"/>
  <c r="AU159" i="3"/>
  <c r="AU161" i="3"/>
  <c r="AU162" i="3"/>
  <c r="AU165" i="3"/>
  <c r="AU168" i="3"/>
  <c r="AU171" i="3"/>
  <c r="AU174" i="3"/>
  <c r="AU30" i="3"/>
  <c r="AU31" i="3"/>
  <c r="AU68" i="3"/>
  <c r="AU86" i="3"/>
  <c r="AU88" i="3"/>
  <c r="AU89" i="3"/>
  <c r="AU90" i="3"/>
  <c r="AU92" i="3"/>
  <c r="AU93" i="3"/>
  <c r="AU94" i="3"/>
  <c r="AU95" i="3"/>
  <c r="AU96" i="3"/>
  <c r="AU97" i="3"/>
  <c r="AU98" i="3"/>
  <c r="AU99" i="3"/>
  <c r="AU177" i="3"/>
  <c r="AU196" i="3"/>
  <c r="AU201" i="3"/>
  <c r="AU212" i="3"/>
  <c r="AU213" i="3"/>
  <c r="AU13" i="3"/>
  <c r="AU33" i="3"/>
  <c r="AU67" i="3"/>
  <c r="AU85" i="3"/>
  <c r="AU87" i="3"/>
  <c r="AU91" i="3"/>
  <c r="AU101" i="3"/>
  <c r="AU133" i="3"/>
  <c r="AU134" i="3"/>
  <c r="AU135" i="3"/>
  <c r="AU179" i="3"/>
  <c r="AU180" i="3"/>
  <c r="AU182" i="3"/>
  <c r="AU183" i="3"/>
  <c r="AU184" i="3"/>
  <c r="AU185" i="3"/>
  <c r="AU186" i="3"/>
  <c r="AU187" i="3"/>
  <c r="AU188" i="3"/>
  <c r="AU189" i="3"/>
  <c r="AU190" i="3"/>
  <c r="AU191" i="3"/>
  <c r="AU206" i="3"/>
  <c r="AU217" i="3"/>
  <c r="AU233" i="3"/>
  <c r="AU234" i="3"/>
  <c r="AU235" i="3"/>
  <c r="AU236" i="3"/>
  <c r="AU237" i="3"/>
  <c r="AU238" i="3"/>
  <c r="AU239" i="3"/>
  <c r="AU15" i="3"/>
  <c r="AU16" i="3"/>
  <c r="AU17" i="3"/>
  <c r="AU18" i="3"/>
  <c r="AU35" i="3"/>
  <c r="AU36" i="3"/>
  <c r="AU38" i="3"/>
  <c r="AU40" i="3"/>
  <c r="AU41" i="3"/>
  <c r="AU43" i="3"/>
  <c r="AU44" i="3"/>
  <c r="AU47" i="3"/>
  <c r="AU69" i="3"/>
  <c r="AU70" i="3"/>
  <c r="AU71" i="3"/>
  <c r="AU72" i="3"/>
  <c r="AU74" i="3"/>
  <c r="AU75" i="3"/>
  <c r="AU76" i="3"/>
  <c r="AU77" i="3"/>
  <c r="AU78" i="3"/>
  <c r="AU79" i="3"/>
  <c r="AU137" i="3"/>
  <c r="AU139" i="3"/>
  <c r="AU140" i="3"/>
  <c r="AU141" i="3"/>
  <c r="AU142" i="3"/>
  <c r="AU143" i="3"/>
  <c r="AU144" i="3"/>
  <c r="AU146" i="3"/>
  <c r="AU147" i="3"/>
  <c r="AU181" i="3"/>
  <c r="AU193" i="3"/>
  <c r="AU194" i="3"/>
  <c r="AU195" i="3"/>
  <c r="AU219" i="3"/>
  <c r="AU220" i="3"/>
  <c r="AU222" i="3"/>
  <c r="AU223" i="3"/>
  <c r="AU224" i="3"/>
  <c r="AU225" i="3"/>
  <c r="AU19" i="3"/>
  <c r="AU22" i="3"/>
  <c r="AU23" i="3"/>
  <c r="AU24" i="3"/>
  <c r="AU25" i="3"/>
  <c r="AU26" i="3"/>
  <c r="AU37" i="3"/>
  <c r="AU39" i="3"/>
  <c r="AU42" i="3"/>
  <c r="AU50" i="3"/>
  <c r="AU51" i="3"/>
  <c r="AU52" i="3"/>
  <c r="AU53" i="3"/>
  <c r="AU54" i="3"/>
  <c r="AU55" i="3"/>
  <c r="AU56" i="3"/>
  <c r="AU58" i="3"/>
  <c r="AU73" i="3"/>
  <c r="AU82" i="3"/>
  <c r="AU83" i="3"/>
  <c r="AU102" i="3"/>
  <c r="AU105" i="3"/>
  <c r="AU107" i="3"/>
  <c r="AU108" i="3"/>
  <c r="AU110" i="3"/>
  <c r="AU111" i="3"/>
  <c r="AU112" i="3"/>
  <c r="AU113" i="3"/>
  <c r="AU115" i="3"/>
  <c r="AU116" i="3"/>
  <c r="AU117" i="3"/>
  <c r="AU118" i="3"/>
  <c r="AU119" i="3"/>
  <c r="AU129" i="3"/>
  <c r="AU150" i="3"/>
  <c r="AU151" i="3"/>
  <c r="AU152" i="3"/>
  <c r="AU153" i="3"/>
  <c r="AU154" i="3"/>
  <c r="AU155" i="3"/>
  <c r="AU156" i="3"/>
  <c r="AU157" i="3"/>
  <c r="AU197" i="3"/>
  <c r="AU198" i="3"/>
  <c r="AU199" i="3"/>
  <c r="AU200" i="3"/>
  <c r="AU202" i="3"/>
  <c r="AU203" i="3"/>
  <c r="AU204" i="3"/>
  <c r="AU205" i="3"/>
  <c r="AU207" i="3"/>
  <c r="AU208" i="3"/>
  <c r="AU209" i="3"/>
  <c r="AU210" i="3"/>
  <c r="AU211" i="3"/>
  <c r="AU221" i="3"/>
  <c r="AU227" i="3"/>
  <c r="AU228" i="3"/>
  <c r="AU229" i="3"/>
</calcChain>
</file>

<file path=xl/sharedStrings.xml><?xml version="1.0" encoding="utf-8"?>
<sst xmlns="http://schemas.openxmlformats.org/spreadsheetml/2006/main" count="8838" uniqueCount="1033">
  <si>
    <t>periodo_evaluacion</t>
  </si>
  <si>
    <t>evaluado</t>
  </si>
  <si>
    <t>apellidos_eval</t>
  </si>
  <si>
    <t>nombres_eval</t>
  </si>
  <si>
    <t>docgrado_autoeval_docgen</t>
  </si>
  <si>
    <t>docgrado_evalpar_docgen</t>
  </si>
  <si>
    <t>docgrado_het_est_al_docgen</t>
  </si>
  <si>
    <t>docgrado_aulavir_docgen</t>
  </si>
  <si>
    <t>total_grado</t>
  </si>
  <si>
    <t>posg_het_est_al_docposg</t>
  </si>
  <si>
    <t>posg_autoeval_docposg</t>
  </si>
  <si>
    <t>posg_aulavir_docposg</t>
  </si>
  <si>
    <t>total_posg</t>
  </si>
  <si>
    <t>pucetec_het_est_al_docpuctec</t>
  </si>
  <si>
    <t>pucetec_aulavir_docpucetec</t>
  </si>
  <si>
    <t>pucetec_evalpar_docpucetec</t>
  </si>
  <si>
    <t>pucetec_autoeval_docpucetec</t>
  </si>
  <si>
    <t>total_pucetec</t>
  </si>
  <si>
    <t>docserv_het_est_al_docserv</t>
  </si>
  <si>
    <t>docserv_autoeval_docserv</t>
  </si>
  <si>
    <t>total_serv</t>
  </si>
  <si>
    <t>abp_aulavir_docabp</t>
  </si>
  <si>
    <t>abp_evalpar_docabp</t>
  </si>
  <si>
    <t>abp_het_est_al_docabp</t>
  </si>
  <si>
    <t>abp_autoeval_docabp</t>
  </si>
  <si>
    <t>total_abp</t>
  </si>
  <si>
    <t>inv_deca_dir_al_invest</t>
  </si>
  <si>
    <t>inv_dirinv_al_invest</t>
  </si>
  <si>
    <t>inv_evalpar_invest</t>
  </si>
  <si>
    <t>inv_autoeval_invest</t>
  </si>
  <si>
    <t>total_invest</t>
  </si>
  <si>
    <t>ges_dir_al_docgestion</t>
  </si>
  <si>
    <t>ges_autoeval_docgestion</t>
  </si>
  <si>
    <t>ges_het_doc_al_coord</t>
  </si>
  <si>
    <t>total_ges</t>
  </si>
  <si>
    <t>vinc_autoeval_docvinc</t>
  </si>
  <si>
    <t>vinc_coor_al_docvinc</t>
  </si>
  <si>
    <t>vinc_het_est_al_docvinc</t>
  </si>
  <si>
    <t>total_vinc</t>
  </si>
  <si>
    <t>carga/hdoc</t>
  </si>
  <si>
    <t>carga/hinv</t>
  </si>
  <si>
    <t>carga/hvin</t>
  </si>
  <si>
    <t>carga/hges</t>
  </si>
  <si>
    <t>carga/tot</t>
  </si>
  <si>
    <t>carga/nivel</t>
  </si>
  <si>
    <t>resultado</t>
  </si>
  <si>
    <t>202402</t>
  </si>
  <si>
    <t>0800728735</t>
  </si>
  <si>
    <t>ACHILIE VALENCIA</t>
  </si>
  <si>
    <t xml:space="preserve">TAHIMI </t>
  </si>
  <si>
    <t>20</t>
  </si>
  <si>
    <t>0</t>
  </si>
  <si>
    <t>GRADO</t>
  </si>
  <si>
    <t>84.57975</t>
  </si>
  <si>
    <t>1250036082</t>
  </si>
  <si>
    <t>ACOSTA GANAN</t>
  </si>
  <si>
    <t>MICHAEL ANDRES</t>
  </si>
  <si>
    <t>88.16</t>
  </si>
  <si>
    <t>1803528049</t>
  </si>
  <si>
    <t>AGREDA EGAS</t>
  </si>
  <si>
    <t>EYLEN AMANDA</t>
  </si>
  <si>
    <t>50</t>
  </si>
  <si>
    <t>88.69500000000001</t>
  </si>
  <si>
    <t>0802885665</t>
  </si>
  <si>
    <t>AGUILAR QUIÑONEZ</t>
  </si>
  <si>
    <t>VERONICA ELIZABETH</t>
  </si>
  <si>
    <t>2.5</t>
  </si>
  <si>
    <t>81.55000000000001</t>
  </si>
  <si>
    <t>0802669531</t>
  </si>
  <si>
    <t>ALAVA CHILA</t>
  </si>
  <si>
    <t>ORLIN ELADIO</t>
  </si>
  <si>
    <t>19.33</t>
  </si>
  <si>
    <t>89.33</t>
  </si>
  <si>
    <t>89.026</t>
  </si>
  <si>
    <t>0962658753</t>
  </si>
  <si>
    <t>ALTMAN PEÑA</t>
  </si>
  <si>
    <t xml:space="preserve">BARBARA </t>
  </si>
  <si>
    <t>89.88</t>
  </si>
  <si>
    <t>1716332752</t>
  </si>
  <si>
    <t>ALVAREZ TORRES</t>
  </si>
  <si>
    <t>JONATHAN PAUL</t>
  </si>
  <si>
    <t>89.08</t>
  </si>
  <si>
    <t>1756712731</t>
  </si>
  <si>
    <t>AMADOR RODRIGUEZ</t>
  </si>
  <si>
    <t xml:space="preserve">BELEN </t>
  </si>
  <si>
    <t>29</t>
  </si>
  <si>
    <t>87.58</t>
  </si>
  <si>
    <t>POSGRADOS</t>
  </si>
  <si>
    <t>0800436495</t>
  </si>
  <si>
    <t>ANCHUNDIA ORTIZ</t>
  </si>
  <si>
    <t xml:space="preserve">ANGEL </t>
  </si>
  <si>
    <t>87.55</t>
  </si>
  <si>
    <t>0910606904</t>
  </si>
  <si>
    <t>ANDRADE AYAUCA</t>
  </si>
  <si>
    <t>JUDITH ALEXANDRA</t>
  </si>
  <si>
    <t>87.65</t>
  </si>
  <si>
    <t>0801445107</t>
  </si>
  <si>
    <t>ANGULO ALEGRIA</t>
  </si>
  <si>
    <t>MEMI VICTORIA</t>
  </si>
  <si>
    <t>84.18</t>
  </si>
  <si>
    <t>0801912221</t>
  </si>
  <si>
    <t>ANGULO CASTILLO</t>
  </si>
  <si>
    <t>JACINTA VERONICA</t>
  </si>
  <si>
    <t>89.806</t>
  </si>
  <si>
    <t>0803114859</t>
  </si>
  <si>
    <t>ANGULO FERRIN</t>
  </si>
  <si>
    <t>ALEXANDRA KATHERINE</t>
  </si>
  <si>
    <t>91.78</t>
  </si>
  <si>
    <t>0802094086</t>
  </si>
  <si>
    <t>ARAUJO QUIÑONEZ</t>
  </si>
  <si>
    <t>MERCEDES ALEJANDRA</t>
  </si>
  <si>
    <t>88.16000000000001</t>
  </si>
  <si>
    <t>0801138090</t>
  </si>
  <si>
    <t>ARBOLEDA AYOVI</t>
  </si>
  <si>
    <t>PEDRO VICENTE</t>
  </si>
  <si>
    <t>58.4</t>
  </si>
  <si>
    <t>6</t>
  </si>
  <si>
    <t>TECNOLOGIA</t>
  </si>
  <si>
    <t>0802898288</t>
  </si>
  <si>
    <t>ARBOLEDA QUINDE</t>
  </si>
  <si>
    <t>KATIUSKA ANDREINA</t>
  </si>
  <si>
    <t>69.92</t>
  </si>
  <si>
    <t>0803805415</t>
  </si>
  <si>
    <t>ARCE CASTILLO</t>
  </si>
  <si>
    <t>YOSTIN STIVEN</t>
  </si>
  <si>
    <t>61.41</t>
  </si>
  <si>
    <t>0803503176</t>
  </si>
  <si>
    <t>ARGUELLO CEDEÑO</t>
  </si>
  <si>
    <t>JONATHAN ALEXANDER</t>
  </si>
  <si>
    <t>79.0645</t>
  </si>
  <si>
    <t>0503270506</t>
  </si>
  <si>
    <t>ARMAS ARIAS</t>
  </si>
  <si>
    <t>MARIO JAVIER</t>
  </si>
  <si>
    <t>91.55000000000001</t>
  </si>
  <si>
    <t>0801771437</t>
  </si>
  <si>
    <t>ARMIJOS POROZO</t>
  </si>
  <si>
    <t>IRLANDA MAGALY</t>
  </si>
  <si>
    <t>91.45124999999999</t>
  </si>
  <si>
    <t>0801683863</t>
  </si>
  <si>
    <t>ARROYO MERCADO</t>
  </si>
  <si>
    <t>EDWIN RAÚL</t>
  </si>
  <si>
    <t>67.1</t>
  </si>
  <si>
    <t>1758534661</t>
  </si>
  <si>
    <t>AVILAN VALLENILLA</t>
  </si>
  <si>
    <t>MANUEL ANTONIO JOSE</t>
  </si>
  <si>
    <t>83.63</t>
  </si>
  <si>
    <t>1712416500</t>
  </si>
  <si>
    <t>BAEZ ARISTIZABAL</t>
  </si>
  <si>
    <t>MICHELLE PAULINA</t>
  </si>
  <si>
    <t>86.42</t>
  </si>
  <si>
    <t>1310727449</t>
  </si>
  <si>
    <t>BARRE LOVATON</t>
  </si>
  <si>
    <t>ANGEL LEONARDO</t>
  </si>
  <si>
    <t>68.69</t>
  </si>
  <si>
    <t>1757510373</t>
  </si>
  <si>
    <t>BARRUECO SUAREZ</t>
  </si>
  <si>
    <t>LIENA IRENA</t>
  </si>
  <si>
    <t>56.13</t>
  </si>
  <si>
    <t>0801577297</t>
  </si>
  <si>
    <t>BAUTISTA COTERA</t>
  </si>
  <si>
    <t>JAVIER GEOVANNY</t>
  </si>
  <si>
    <t>48.37</t>
  </si>
  <si>
    <t>0802916130</t>
  </si>
  <si>
    <t>BAUTISTA MEJIA</t>
  </si>
  <si>
    <t>KATIUSKA MARIA</t>
  </si>
  <si>
    <t>70.84</t>
  </si>
  <si>
    <t>0800461311</t>
  </si>
  <si>
    <t>BEDON PATA</t>
  </si>
  <si>
    <t>MALENA CEMIRAMIS</t>
  </si>
  <si>
    <t>66.22</t>
  </si>
  <si>
    <t>1725949851</t>
  </si>
  <si>
    <t>BENITEZ BARRO</t>
  </si>
  <si>
    <t>ANDREA CAROLINA</t>
  </si>
  <si>
    <t>88.97</t>
  </si>
  <si>
    <t>0802388793</t>
  </si>
  <si>
    <t>BERMUDES DELGADO</t>
  </si>
  <si>
    <t>PABLO ANTONIO</t>
  </si>
  <si>
    <t>78.1</t>
  </si>
  <si>
    <t>1750819565</t>
  </si>
  <si>
    <t>BERNABE LILLO</t>
  </si>
  <si>
    <t>MARIA DE LOS LIRIOS</t>
  </si>
  <si>
    <t>67.848</t>
  </si>
  <si>
    <t>0801786245</t>
  </si>
  <si>
    <t>BETANCOURT AGUILAR</t>
  </si>
  <si>
    <t>FREDDY LEONARDO</t>
  </si>
  <si>
    <t>86.66</t>
  </si>
  <si>
    <t>85.9991891891892</t>
  </si>
  <si>
    <t>86.66000000000001</t>
  </si>
  <si>
    <t>1757069586</t>
  </si>
  <si>
    <t>BLANCO LÓPEZ</t>
  </si>
  <si>
    <t>YASMÍN TERESA</t>
  </si>
  <si>
    <t>88.18</t>
  </si>
  <si>
    <t>0801907197</t>
  </si>
  <si>
    <t>BURBANO SALAZAR</t>
  </si>
  <si>
    <t>JAVIER ENRIQUE</t>
  </si>
  <si>
    <t>68.78</t>
  </si>
  <si>
    <t>0803043751</t>
  </si>
  <si>
    <t>CABALLERO MOREIRA</t>
  </si>
  <si>
    <t>JAIRON ADRIAN</t>
  </si>
  <si>
    <t>87.21000000000001</t>
  </si>
  <si>
    <t>0803766518</t>
  </si>
  <si>
    <t>CAICEDO MINA</t>
  </si>
  <si>
    <t>VERONICA CRISTINA</t>
  </si>
  <si>
    <t>72.768</t>
  </si>
  <si>
    <t>1712086279</t>
  </si>
  <si>
    <t>CALDERON RUIZ</t>
  </si>
  <si>
    <t>PAOLA ALEXANDRA</t>
  </si>
  <si>
    <t>87.99000000000001</t>
  </si>
  <si>
    <t>0963349907</t>
  </si>
  <si>
    <t>CALLEJAS DE VALERO</t>
  </si>
  <si>
    <t>DIANA ESTELA</t>
  </si>
  <si>
    <t>67.14</t>
  </si>
  <si>
    <t>0802550467</t>
  </si>
  <si>
    <t>CAMPOVERDE ALEXANDER</t>
  </si>
  <si>
    <t>ANGELINA VANESSA</t>
  </si>
  <si>
    <t>68.18</t>
  </si>
  <si>
    <t>1758862112</t>
  </si>
  <si>
    <t>CARNERO ECHARTE</t>
  </si>
  <si>
    <t xml:space="preserve">MAGIN </t>
  </si>
  <si>
    <t>90.82</t>
  </si>
  <si>
    <t>0802476374</t>
  </si>
  <si>
    <t>CARVAJAL CARVAJAL</t>
  </si>
  <si>
    <t>JOSE LUIS</t>
  </si>
  <si>
    <t>82.39</t>
  </si>
  <si>
    <t>0603917311</t>
  </si>
  <si>
    <t>CARVAJAL SILVA</t>
  </si>
  <si>
    <t>JAIRO ALEXIS</t>
  </si>
  <si>
    <t>85.99000000000001</t>
  </si>
  <si>
    <t>0802278408</t>
  </si>
  <si>
    <t>CEDEÑO BARREZUETA</t>
  </si>
  <si>
    <t>DARIO ANDRES</t>
  </si>
  <si>
    <t>84.68</t>
  </si>
  <si>
    <t>2350599649</t>
  </si>
  <si>
    <t>CEDEÑO LOOR</t>
  </si>
  <si>
    <t>MARITZA ISABEL</t>
  </si>
  <si>
    <t>69.404</t>
  </si>
  <si>
    <t>0803899186</t>
  </si>
  <si>
    <t>CEDEÑO SALAZAR</t>
  </si>
  <si>
    <t>ANDRES RODOLFO</t>
  </si>
  <si>
    <t>68.88</t>
  </si>
  <si>
    <t>0803116334</t>
  </si>
  <si>
    <t>CERVANTES INTRIAGO</t>
  </si>
  <si>
    <t>JENNY CRISTINA</t>
  </si>
  <si>
    <t>87.57</t>
  </si>
  <si>
    <t>1050087285</t>
  </si>
  <si>
    <t>CETRE CORTES</t>
  </si>
  <si>
    <t>MARY ELENA</t>
  </si>
  <si>
    <t>78.102</t>
  </si>
  <si>
    <t>1302921018</t>
  </si>
  <si>
    <t>CEVALLOS ARTEAGA</t>
  </si>
  <si>
    <t>RAMON MARCOS</t>
  </si>
  <si>
    <t>80.95</t>
  </si>
  <si>
    <t>0800758682</t>
  </si>
  <si>
    <t>CEVALLOS BONE</t>
  </si>
  <si>
    <t>GUILLERMO SEGUNDO</t>
  </si>
  <si>
    <t>85.4</t>
  </si>
  <si>
    <t>1103694434</t>
  </si>
  <si>
    <t>CHAMBA LEÓN</t>
  </si>
  <si>
    <t>MARLON SANTIAGO</t>
  </si>
  <si>
    <t>58.650000000000006</t>
  </si>
  <si>
    <t>1803126679</t>
  </si>
  <si>
    <t>CHANGO SAILEMA</t>
  </si>
  <si>
    <t>WILSON GUSTAVO</t>
  </si>
  <si>
    <t>60.95000000000001</t>
  </si>
  <si>
    <t>1718538653</t>
  </si>
  <si>
    <t>CHAVEZ ENRIQUEZ</t>
  </si>
  <si>
    <t>GRACIELA VIVIANA</t>
  </si>
  <si>
    <t>30</t>
  </si>
  <si>
    <t>85.8</t>
  </si>
  <si>
    <t>0803554831</t>
  </si>
  <si>
    <t>CHILA GARCIA</t>
  </si>
  <si>
    <t>KAREN CAROLINA</t>
  </si>
  <si>
    <t>89.23325</t>
  </si>
  <si>
    <t>0802306605</t>
  </si>
  <si>
    <t>COBA PROAÑO</t>
  </si>
  <si>
    <t>DAVID ENRIQUE</t>
  </si>
  <si>
    <t>86.97999999999999</t>
  </si>
  <si>
    <t>1718981267</t>
  </si>
  <si>
    <t>CORTEZ ESPINOZA</t>
  </si>
  <si>
    <t>JORGE OSWALDO</t>
  </si>
  <si>
    <t>86.6</t>
  </si>
  <si>
    <t>0803077577</t>
  </si>
  <si>
    <t>CUERO BENNETT</t>
  </si>
  <si>
    <t>MARIA JOSE</t>
  </si>
  <si>
    <t>90.62</t>
  </si>
  <si>
    <t>0703783738</t>
  </si>
  <si>
    <t>CUNHA ROMERO</t>
  </si>
  <si>
    <t>LUZ ELENA</t>
  </si>
  <si>
    <t>39.12</t>
  </si>
  <si>
    <t>0104947692</t>
  </si>
  <si>
    <t>DAVILA SACOTO</t>
  </si>
  <si>
    <t>MIGUEL ALBERTO</t>
  </si>
  <si>
    <t>58.11999999999999</t>
  </si>
  <si>
    <t>1757306087</t>
  </si>
  <si>
    <t>DE LA ROSA FERRERA</t>
  </si>
  <si>
    <t>JOSE MANUEL</t>
  </si>
  <si>
    <t>1725636946</t>
  </si>
  <si>
    <t>DE LA VEGA GRANIZO</t>
  </si>
  <si>
    <t>ESTEFANIA BELEN</t>
  </si>
  <si>
    <t>25</t>
  </si>
  <si>
    <t>58.105000000000004</t>
  </si>
  <si>
    <t>0802698787</t>
  </si>
  <si>
    <t>DIAZ MORALES</t>
  </si>
  <si>
    <t>AMY RENATA</t>
  </si>
  <si>
    <t>71.37550000000002</t>
  </si>
  <si>
    <t>0803558253</t>
  </si>
  <si>
    <t>DUEÑAS MENDOZA</t>
  </si>
  <si>
    <t>ANDREA STEFANIA</t>
  </si>
  <si>
    <t>88.636</t>
  </si>
  <si>
    <t>0803026913</t>
  </si>
  <si>
    <t>DUQUE JIRONZA</t>
  </si>
  <si>
    <t>KAREN JULISSA</t>
  </si>
  <si>
    <t>95.43</t>
  </si>
  <si>
    <t>0803026939</t>
  </si>
  <si>
    <t>LAURA ZULIMA</t>
  </si>
  <si>
    <t>68.62</t>
  </si>
  <si>
    <t>1711842128</t>
  </si>
  <si>
    <t>ESPARZA YANEZ</t>
  </si>
  <si>
    <t>WILMER DANILO</t>
  </si>
  <si>
    <t>22.5</t>
  </si>
  <si>
    <t>0802782615</t>
  </si>
  <si>
    <t>ESPAÑA ARBOLEDA</t>
  </si>
  <si>
    <t>DALIA CECILIA</t>
  </si>
  <si>
    <t>90.81</t>
  </si>
  <si>
    <t>1715232102</t>
  </si>
  <si>
    <t>ESPINOSA JACOME</t>
  </si>
  <si>
    <t>VICTOR AUGUSTO</t>
  </si>
  <si>
    <t>80.55</t>
  </si>
  <si>
    <t>0601901028</t>
  </si>
  <si>
    <t>ESTRADA HEREDIA</t>
  </si>
  <si>
    <t>LUIS PATRICIO</t>
  </si>
  <si>
    <t>66.72999999999999</t>
  </si>
  <si>
    <t>0850031030</t>
  </si>
  <si>
    <t>ESTUPIÑAN HURTADO</t>
  </si>
  <si>
    <t>IVANNOVA STEFANIA</t>
  </si>
  <si>
    <t>0802308981</t>
  </si>
  <si>
    <t>ESTUPIÑAN SANCHEZ</t>
  </si>
  <si>
    <t>ALFREDO SANDINO</t>
  </si>
  <si>
    <t>83.38125</t>
  </si>
  <si>
    <t>0800968869</t>
  </si>
  <si>
    <t>FALCONES BENALCAZAR</t>
  </si>
  <si>
    <t>MERCY JANETH</t>
  </si>
  <si>
    <t>88.03</t>
  </si>
  <si>
    <t>87.94</t>
  </si>
  <si>
    <t>84.85813186813186</t>
  </si>
  <si>
    <t>0803021914</t>
  </si>
  <si>
    <t>FRANCIS QUINDE</t>
  </si>
  <si>
    <t>ROSA IMELDA</t>
  </si>
  <si>
    <t>95.12</t>
  </si>
  <si>
    <t>0917723694</t>
  </si>
  <si>
    <t>GARCIA MARTINEZ</t>
  </si>
  <si>
    <t>MARIA ARACELI</t>
  </si>
  <si>
    <t>0802343343</t>
  </si>
  <si>
    <t>GASPAR SANTOS</t>
  </si>
  <si>
    <t>MANACES ESAUD</t>
  </si>
  <si>
    <t>71.2625</t>
  </si>
  <si>
    <t>1762295960</t>
  </si>
  <si>
    <t>GOMES RAMOS</t>
  </si>
  <si>
    <t>JENNY DE LOS ANGELES</t>
  </si>
  <si>
    <t>81.658</t>
  </si>
  <si>
    <t>0802476549</t>
  </si>
  <si>
    <t>GOMEZ LANDAZURI</t>
  </si>
  <si>
    <t>JORGE FIDEL</t>
  </si>
  <si>
    <t>90.46000000000001</t>
  </si>
  <si>
    <t>0804450112</t>
  </si>
  <si>
    <t>GOMEZ MENDOZA</t>
  </si>
  <si>
    <t>MARÍA JOSÉ</t>
  </si>
  <si>
    <t>68.45</t>
  </si>
  <si>
    <t>0706282373</t>
  </si>
  <si>
    <t>GONZABAY JIMENEZ</t>
  </si>
  <si>
    <t>ESTEBAN FABRICIO</t>
  </si>
  <si>
    <t>61.297575757575764</t>
  </si>
  <si>
    <t>57.839999999999996</t>
  </si>
  <si>
    <t>1308582103</t>
  </si>
  <si>
    <t>GONZALEZ ARTEAGA</t>
  </si>
  <si>
    <t>CARLOS ENRIQUE</t>
  </si>
  <si>
    <t>88.83</t>
  </si>
  <si>
    <t>1312772872</t>
  </si>
  <si>
    <t>GONZALEZ QUIROZ</t>
  </si>
  <si>
    <t>JESSICA TATIANA</t>
  </si>
  <si>
    <t>93.20712499999999</t>
  </si>
  <si>
    <t>0803228600</t>
  </si>
  <si>
    <t>GRACIA ORTIZ</t>
  </si>
  <si>
    <t>KARINA ELIZABETH</t>
  </si>
  <si>
    <t>88.8415</t>
  </si>
  <si>
    <t>89.07000000000001</t>
  </si>
  <si>
    <t>1758755209</t>
  </si>
  <si>
    <t>GUAIRA RAMOS</t>
  </si>
  <si>
    <t>WILIAM JOSE</t>
  </si>
  <si>
    <t>88.73</t>
  </si>
  <si>
    <t>1310851009</t>
  </si>
  <si>
    <t>GUASHPA GÓMEZ</t>
  </si>
  <si>
    <t>ALEX DAVID</t>
  </si>
  <si>
    <t>86.71</t>
  </si>
  <si>
    <t>1715009500</t>
  </si>
  <si>
    <t>HEREDIA ALVEAR</t>
  </si>
  <si>
    <t>ANDRES SEBASTIAN</t>
  </si>
  <si>
    <t>0801328733</t>
  </si>
  <si>
    <t>HERNANDEZ PAZMIÑO</t>
  </si>
  <si>
    <t>CÉSAR ERNESTO</t>
  </si>
  <si>
    <t>84.57</t>
  </si>
  <si>
    <t>0801692823</t>
  </si>
  <si>
    <t>HIDALGO SOLORZANO</t>
  </si>
  <si>
    <t>LUIS ENRIQUE</t>
  </si>
  <si>
    <t>86.02000000000001</t>
  </si>
  <si>
    <t>0704748946</t>
  </si>
  <si>
    <t>HIDALGO TAPIA</t>
  </si>
  <si>
    <t>COSME ENRIQUE</t>
  </si>
  <si>
    <t>82.66</t>
  </si>
  <si>
    <t>0801921677</t>
  </si>
  <si>
    <t>JIJON MOTATO</t>
  </si>
  <si>
    <t>JOSE IVAN</t>
  </si>
  <si>
    <t>47.32</t>
  </si>
  <si>
    <t>72.32</t>
  </si>
  <si>
    <t>0801750720</t>
  </si>
  <si>
    <t>LARA CALDERON</t>
  </si>
  <si>
    <t>ELSA MARIA</t>
  </si>
  <si>
    <t>38.38</t>
  </si>
  <si>
    <t>0502662455</t>
  </si>
  <si>
    <t>LAVERDE ALBARRACIN</t>
  </si>
  <si>
    <t>CRISTIAN SAMUEL</t>
  </si>
  <si>
    <t>0603167917</t>
  </si>
  <si>
    <t xml:space="preserve">LLUILEMA </t>
  </si>
  <si>
    <t>LUIS ALBERTO</t>
  </si>
  <si>
    <t>68.92375</t>
  </si>
  <si>
    <t>0802779876</t>
  </si>
  <si>
    <t>LUNA DELGADO</t>
  </si>
  <si>
    <t>MARIEN JANINA</t>
  </si>
  <si>
    <t>85.11</t>
  </si>
  <si>
    <t>1757534357</t>
  </si>
  <si>
    <t>MALDONADO ROMAN</t>
  </si>
  <si>
    <t>ISABEL CRISTINA</t>
  </si>
  <si>
    <t>84.49000000000001</t>
  </si>
  <si>
    <t>1803456738</t>
  </si>
  <si>
    <t>MALIZA CHASI</t>
  </si>
  <si>
    <t>BLANCA CECILIA</t>
  </si>
  <si>
    <t>90.31</t>
  </si>
  <si>
    <t>1723725642</t>
  </si>
  <si>
    <t>MANCERO MAYACELA</t>
  </si>
  <si>
    <t>XIMENA PAOLA</t>
  </si>
  <si>
    <t>96.75</t>
  </si>
  <si>
    <t>0800839177</t>
  </si>
  <si>
    <t>MARINES BATALLA</t>
  </si>
  <si>
    <t>BONA PATRICIA</t>
  </si>
  <si>
    <t>68.34</t>
  </si>
  <si>
    <t>177740093</t>
  </si>
  <si>
    <t>MARMOL DE HERRERA</t>
  </si>
  <si>
    <t>RAIZA COROMOTO</t>
  </si>
  <si>
    <t>0802247734</t>
  </si>
  <si>
    <t>MARMOLEJO CUEVA</t>
  </si>
  <si>
    <t>MELBA CRISTINA</t>
  </si>
  <si>
    <t>81.41225</t>
  </si>
  <si>
    <t>0802524082</t>
  </si>
  <si>
    <t>MARQUEZ ARBOLEDA</t>
  </si>
  <si>
    <t>VIVIANA MERCEDES</t>
  </si>
  <si>
    <t>83.4475</t>
  </si>
  <si>
    <t>0151478724</t>
  </si>
  <si>
    <t>MARTINEZ SUAREZ</t>
  </si>
  <si>
    <t>PEDRO CARLOS</t>
  </si>
  <si>
    <t>44.6</t>
  </si>
  <si>
    <t>1757773005</t>
  </si>
  <si>
    <t>MEDINA BETANCOURT</t>
  </si>
  <si>
    <t xml:space="preserve">OLDY </t>
  </si>
  <si>
    <t>0802202853</t>
  </si>
  <si>
    <t>MEDINA GODOY</t>
  </si>
  <si>
    <t>ALBA ANNABELLE</t>
  </si>
  <si>
    <t>89.47</t>
  </si>
  <si>
    <t>0801826546</t>
  </si>
  <si>
    <t>KATHYA BOLIVIA</t>
  </si>
  <si>
    <t>85.35</t>
  </si>
  <si>
    <t>0801432998</t>
  </si>
  <si>
    <t>MENDOZA MACIAS</t>
  </si>
  <si>
    <t>CRISTINA ALEXANDRA</t>
  </si>
  <si>
    <t>89.88999999999999</t>
  </si>
  <si>
    <t>0801722778</t>
  </si>
  <si>
    <t>MENDOZA PITA</t>
  </si>
  <si>
    <t>PRISCILA DEL ROCIO</t>
  </si>
  <si>
    <t>86.75999999999999</t>
  </si>
  <si>
    <t>0802949651</t>
  </si>
  <si>
    <t>MENDOZA SEGOVIA</t>
  </si>
  <si>
    <t>JOEL ALEJANDRO</t>
  </si>
  <si>
    <t>72.77374999999999</t>
  </si>
  <si>
    <t>0803181858</t>
  </si>
  <si>
    <t>MERA CARRANZA</t>
  </si>
  <si>
    <t>JOSEELYN GENESIS</t>
  </si>
  <si>
    <t>90.13</t>
  </si>
  <si>
    <t>1312100686</t>
  </si>
  <si>
    <t>MERO SALAZAR</t>
  </si>
  <si>
    <t>DARWIN ELOY</t>
  </si>
  <si>
    <t>69.49</t>
  </si>
  <si>
    <t>0803489178</t>
  </si>
  <si>
    <t>MEZA BATALLA</t>
  </si>
  <si>
    <t>VERONICA JACQUELIN</t>
  </si>
  <si>
    <t>67.38</t>
  </si>
  <si>
    <t>0802472969</t>
  </si>
  <si>
    <t>MILA CARVAJAL</t>
  </si>
  <si>
    <t>DIONICIO FRANCISCO</t>
  </si>
  <si>
    <t>91.56</t>
  </si>
  <si>
    <t>0802321364</t>
  </si>
  <si>
    <t>MINA BONE</t>
  </si>
  <si>
    <t>ELIS MARIUXI</t>
  </si>
  <si>
    <t>69.38</t>
  </si>
  <si>
    <t>0801394271</t>
  </si>
  <si>
    <t>MINA MERCADO</t>
  </si>
  <si>
    <t>MAIRA MARIELA</t>
  </si>
  <si>
    <t>42.87</t>
  </si>
  <si>
    <t>0804348290</t>
  </si>
  <si>
    <t>MONCAYO FIUSA</t>
  </si>
  <si>
    <t xml:space="preserve">ZORAIDA </t>
  </si>
  <si>
    <t>85.92</t>
  </si>
  <si>
    <t>0804414324</t>
  </si>
  <si>
    <t>MONTAÑO VIVAS</t>
  </si>
  <si>
    <t>JUAN CARLOS</t>
  </si>
  <si>
    <t>90.72999999999999</t>
  </si>
  <si>
    <t>1802852572</t>
  </si>
  <si>
    <t>MORALES GUAMÁN</t>
  </si>
  <si>
    <t>KLEVER PATRICIO</t>
  </si>
  <si>
    <t>64.34</t>
  </si>
  <si>
    <t>0850023573</t>
  </si>
  <si>
    <t>MORAN CAICEDO</t>
  </si>
  <si>
    <t>IVETTE NATHALIA</t>
  </si>
  <si>
    <t>88.72999999999999</t>
  </si>
  <si>
    <t>0804169910</t>
  </si>
  <si>
    <t>MOREIRA MACIAS</t>
  </si>
  <si>
    <t>ANTONIO ALEJANDRO</t>
  </si>
  <si>
    <t>51.96999999999999</t>
  </si>
  <si>
    <t>0803216035</t>
  </si>
  <si>
    <t>MORENO CEDEÑO</t>
  </si>
  <si>
    <t>GABRIELA ELIZABETH</t>
  </si>
  <si>
    <t>71.86</t>
  </si>
  <si>
    <t>1721823167</t>
  </si>
  <si>
    <t>MOYANO ALBAN</t>
  </si>
  <si>
    <t>ANDRE DAVID</t>
  </si>
  <si>
    <t>85.2</t>
  </si>
  <si>
    <t>0803719889</t>
  </si>
  <si>
    <t>MURILLO MACIAS</t>
  </si>
  <si>
    <t>JEAN CARLOS</t>
  </si>
  <si>
    <t>48.54999999999999</t>
  </si>
  <si>
    <t>1757374770</t>
  </si>
  <si>
    <t>NARANJO CORRIA</t>
  </si>
  <si>
    <t xml:space="preserve">REBECA </t>
  </si>
  <si>
    <t>87.84</t>
  </si>
  <si>
    <t>0803141803</t>
  </si>
  <si>
    <t>NARANJO VERA</t>
  </si>
  <si>
    <t>JHISAC JOSUE</t>
  </si>
  <si>
    <t>83.09</t>
  </si>
  <si>
    <t>0802490722</t>
  </si>
  <si>
    <t>NEVAREZ TOLEDO</t>
  </si>
  <si>
    <t>MANUEL ROGELIO</t>
  </si>
  <si>
    <t>69.16378378378377</t>
  </si>
  <si>
    <t>86.02000000000002</t>
  </si>
  <si>
    <t>1805212154</t>
  </si>
  <si>
    <t>NUÑEZ HERNANDEZ</t>
  </si>
  <si>
    <t>ERIKA TATIANA</t>
  </si>
  <si>
    <t>61.89</t>
  </si>
  <si>
    <t>PAE159759</t>
  </si>
  <si>
    <t>ORTEGA GAITE</t>
  </si>
  <si>
    <t xml:space="preserve">SONIA </t>
  </si>
  <si>
    <t>0803468107</t>
  </si>
  <si>
    <t>ORTIZ CASTRO</t>
  </si>
  <si>
    <t>MERIDA ELIZABETH</t>
  </si>
  <si>
    <t>96</t>
  </si>
  <si>
    <t>0802608141</t>
  </si>
  <si>
    <t>ORTIZ DIAZ</t>
  </si>
  <si>
    <t>MARCOS DAVID</t>
  </si>
  <si>
    <t>86.28999999999999</t>
  </si>
  <si>
    <t>0804154300</t>
  </si>
  <si>
    <t>ORTIZ OROBIO</t>
  </si>
  <si>
    <t>MAYRA LETICIA</t>
  </si>
  <si>
    <t>71.87</t>
  </si>
  <si>
    <t>0962373544</t>
  </si>
  <si>
    <t>PALENCIA GUTIERREZ</t>
  </si>
  <si>
    <t>ESPERANZA MARBELLA</t>
  </si>
  <si>
    <t>88.42</t>
  </si>
  <si>
    <t>93.475</t>
  </si>
  <si>
    <t>1805004338</t>
  </si>
  <si>
    <t>PALIZ IBARRA</t>
  </si>
  <si>
    <t>SANTIAGO JAVIER</t>
  </si>
  <si>
    <t>71.22625</t>
  </si>
  <si>
    <t>1001677895</t>
  </si>
  <si>
    <t>PANCHANO MIDEROS</t>
  </si>
  <si>
    <t>MANUEL RAÚL</t>
  </si>
  <si>
    <t>60.45</t>
  </si>
  <si>
    <t>0800774465</t>
  </si>
  <si>
    <t>PATIÑO CAGUA</t>
  </si>
  <si>
    <t>CELESTE ANNE</t>
  </si>
  <si>
    <t>89.2</t>
  </si>
  <si>
    <t>0803036672</t>
  </si>
  <si>
    <t>PAZ MORAN</t>
  </si>
  <si>
    <t>VERONICA ALEXANDRA</t>
  </si>
  <si>
    <t>91.47</t>
  </si>
  <si>
    <t>1718422353</t>
  </si>
  <si>
    <t>PAZMIÑO ORDOÑEZ</t>
  </si>
  <si>
    <t>IVÁN PATRICIO</t>
  </si>
  <si>
    <t>90.08</t>
  </si>
  <si>
    <t>0959881327</t>
  </si>
  <si>
    <t>PEREZ PEREZ</t>
  </si>
  <si>
    <t>YENICEY ROSA</t>
  </si>
  <si>
    <t>88.56</t>
  </si>
  <si>
    <t>1758613259</t>
  </si>
  <si>
    <t>PEREZ ROJAS</t>
  </si>
  <si>
    <t>FRANCO ANTONIO</t>
  </si>
  <si>
    <t>78.5155</t>
  </si>
  <si>
    <t>0801601790</t>
  </si>
  <si>
    <t>PERLAZA MUÑOZ</t>
  </si>
  <si>
    <t>DOLORES EULOFIA</t>
  </si>
  <si>
    <t>89.97999999999999</t>
  </si>
  <si>
    <t>0915138614</t>
  </si>
  <si>
    <t>PERLAZA RODRIGUEZ</t>
  </si>
  <si>
    <t>MARJORIE KATHERINE</t>
  </si>
  <si>
    <t>89.184</t>
  </si>
  <si>
    <t>0962929295</t>
  </si>
  <si>
    <t>PEÑA ROSAS</t>
  </si>
  <si>
    <t>GLORIA DEL VALLE</t>
  </si>
  <si>
    <t>76.191</t>
  </si>
  <si>
    <t>0802616730</t>
  </si>
  <si>
    <t>PICO VALENCIA</t>
  </si>
  <si>
    <t>57.71</t>
  </si>
  <si>
    <t>0801762469</t>
  </si>
  <si>
    <t>PLATA CABRERA</t>
  </si>
  <si>
    <t>CARLOS SIMON</t>
  </si>
  <si>
    <t>82.82</t>
  </si>
  <si>
    <t>1756903751</t>
  </si>
  <si>
    <t>PLATA GALLEGOS</t>
  </si>
  <si>
    <t>ERVIN JOSE</t>
  </si>
  <si>
    <t>85.88</t>
  </si>
  <si>
    <t>84.55</t>
  </si>
  <si>
    <t>0801552977</t>
  </si>
  <si>
    <t>PLAZA ORDOÑEZ</t>
  </si>
  <si>
    <t>MARIA DE LOURDES</t>
  </si>
  <si>
    <t>89.96000000000001</t>
  </si>
  <si>
    <t>1756846521</t>
  </si>
  <si>
    <t>PRIETO FUENMAYOR</t>
  </si>
  <si>
    <t>JULIA ROSA</t>
  </si>
  <si>
    <t>87.13</t>
  </si>
  <si>
    <t>0603230269</t>
  </si>
  <si>
    <t>PUENTE HOLGUIN</t>
  </si>
  <si>
    <t>WASHINGTON DAVID</t>
  </si>
  <si>
    <t>73.78999999999999</t>
  </si>
  <si>
    <t>1757398837</t>
  </si>
  <si>
    <t>PUPO SUÑOL</t>
  </si>
  <si>
    <t>ANGEL EDUARDO</t>
  </si>
  <si>
    <t>57.69</t>
  </si>
  <si>
    <t>82.1</t>
  </si>
  <si>
    <t>0603274846</t>
  </si>
  <si>
    <t>QUINTANILLA PAZMIÑO</t>
  </si>
  <si>
    <t>PEDRO DANIEL</t>
  </si>
  <si>
    <t>58.5</t>
  </si>
  <si>
    <t>0803466846</t>
  </si>
  <si>
    <t>QUINTERO MERLIN</t>
  </si>
  <si>
    <t>JONATHAN MIGUEL</t>
  </si>
  <si>
    <t>88.34</t>
  </si>
  <si>
    <t>0802309286</t>
  </si>
  <si>
    <t>QUINTERO MOSQUERA</t>
  </si>
  <si>
    <t>DARIO JAVIER</t>
  </si>
  <si>
    <t>66.10000000000001</t>
  </si>
  <si>
    <t>66.1</t>
  </si>
  <si>
    <t>0800924011</t>
  </si>
  <si>
    <t>QUINTERO ROSALES</t>
  </si>
  <si>
    <t>FRANCISCO JHONNY</t>
  </si>
  <si>
    <t>59.010000000000005</t>
  </si>
  <si>
    <t>0801628207</t>
  </si>
  <si>
    <t>QUIÑONEZ KU</t>
  </si>
  <si>
    <t>VICTOR XAVIER</t>
  </si>
  <si>
    <t>66.49000000000001</t>
  </si>
  <si>
    <t>0802662726</t>
  </si>
  <si>
    <t>QUIÑONEZ PERLAZA</t>
  </si>
  <si>
    <t xml:space="preserve">GUADALUPE </t>
  </si>
  <si>
    <t>89.18</t>
  </si>
  <si>
    <t>0302185053</t>
  </si>
  <si>
    <t>RAMIREZ CORONEL</t>
  </si>
  <si>
    <t>ANDRES ALEXIS</t>
  </si>
  <si>
    <t>71.8</t>
  </si>
  <si>
    <t>1755930375</t>
  </si>
  <si>
    <t>RAMIREZ LOZADA</t>
  </si>
  <si>
    <t xml:space="preserve">HAYDEE </t>
  </si>
  <si>
    <t>91.74100000000001</t>
  </si>
  <si>
    <t>0501389217</t>
  </si>
  <si>
    <t>RAMIREZ NARANJO</t>
  </si>
  <si>
    <t>ROSA ELVIRA</t>
  </si>
  <si>
    <t>68.774</t>
  </si>
  <si>
    <t>0803231745</t>
  </si>
  <si>
    <t>RAMIREZ OLIVO</t>
  </si>
  <si>
    <t>HEIDY KATHERINE</t>
  </si>
  <si>
    <t>91.67</t>
  </si>
  <si>
    <t>0802099713</t>
  </si>
  <si>
    <t>RAMIREZ RUBIRA</t>
  </si>
  <si>
    <t xml:space="preserve">ELIO </t>
  </si>
  <si>
    <t>84.85</t>
  </si>
  <si>
    <t>0801466277</t>
  </si>
  <si>
    <t>REALPE VIVAS</t>
  </si>
  <si>
    <t>KETTY MARLENE</t>
  </si>
  <si>
    <t>64.78</t>
  </si>
  <si>
    <t>0802259317</t>
  </si>
  <si>
    <t>REASCO VERA</t>
  </si>
  <si>
    <t>MIRIAN AURA</t>
  </si>
  <si>
    <t>66.53</t>
  </si>
  <si>
    <t>0962444642</t>
  </si>
  <si>
    <t>REBOLLEDO MALPICA</t>
  </si>
  <si>
    <t>DINORA MARGARITA</t>
  </si>
  <si>
    <t>90.36</t>
  </si>
  <si>
    <t>1721571709</t>
  </si>
  <si>
    <t>REBOLLEDO MONSALVE</t>
  </si>
  <si>
    <t>EDUARDO RODOLFO</t>
  </si>
  <si>
    <t>24.5</t>
  </si>
  <si>
    <t>63.08287499999999</t>
  </si>
  <si>
    <t>0850953803</t>
  </si>
  <si>
    <t>RECALDE ARDILA</t>
  </si>
  <si>
    <t>KATLIN DASIEL</t>
  </si>
  <si>
    <t>88.78</t>
  </si>
  <si>
    <t>93.20894736842105</t>
  </si>
  <si>
    <t>0803521848</t>
  </si>
  <si>
    <t>RESTREPO LEMACHE</t>
  </si>
  <si>
    <t>SANDRA LISBETH</t>
  </si>
  <si>
    <t>84.32</t>
  </si>
  <si>
    <t>0804012300</t>
  </si>
  <si>
    <t>REVILLA ESCOBAR</t>
  </si>
  <si>
    <t>KAROL YANNELA</t>
  </si>
  <si>
    <t>75</t>
  </si>
  <si>
    <t>0802546143</t>
  </si>
  <si>
    <t>REYES HURTADO</t>
  </si>
  <si>
    <t>ANGEL SANTIAGO</t>
  </si>
  <si>
    <t>68.64</t>
  </si>
  <si>
    <t>1313288829</t>
  </si>
  <si>
    <t>RIVADENEIRA MUÑOZ</t>
  </si>
  <si>
    <t>JUAN ERNESTO</t>
  </si>
  <si>
    <t>61.43</t>
  </si>
  <si>
    <t>0801762345</t>
  </si>
  <si>
    <t>RIVERA BONE</t>
  </si>
  <si>
    <t>CARLOS ALEJANDRO</t>
  </si>
  <si>
    <t>86.19</t>
  </si>
  <si>
    <t>0802761676</t>
  </si>
  <si>
    <t>RODRIGUEZ CASTILLO</t>
  </si>
  <si>
    <t>NADIA MARIUXI</t>
  </si>
  <si>
    <t>67.78999999999999</t>
  </si>
  <si>
    <t>K416566</t>
  </si>
  <si>
    <t>RODRIGUEZ MESTRE</t>
  </si>
  <si>
    <t xml:space="preserve">ARELYS </t>
  </si>
  <si>
    <t>1710879675</t>
  </si>
  <si>
    <t>RONQUILLO BOLAÑOS</t>
  </si>
  <si>
    <t>CARLOS LEONARDO</t>
  </si>
  <si>
    <t>42.22</t>
  </si>
  <si>
    <t>0803842350</t>
  </si>
  <si>
    <t>RUBIO MARIN</t>
  </si>
  <si>
    <t>SAMARI YASMIN</t>
  </si>
  <si>
    <t>70.11</t>
  </si>
  <si>
    <t>1600947624</t>
  </si>
  <si>
    <t>RUEDA CASTILLO</t>
  </si>
  <si>
    <t>YAJAIRA MARILIN</t>
  </si>
  <si>
    <t>94.599375</t>
  </si>
  <si>
    <t>0802600510</t>
  </si>
  <si>
    <t>RUEDA PANCHANO</t>
  </si>
  <si>
    <t>CARLOS IVÁN</t>
  </si>
  <si>
    <t>0801772278</t>
  </si>
  <si>
    <t>SALAZAR DONOSO</t>
  </si>
  <si>
    <t>ELIAS HUMBERTO</t>
  </si>
  <si>
    <t>83.89</t>
  </si>
  <si>
    <t>0801713298</t>
  </si>
  <si>
    <t>SAMANIEGO GARCIA</t>
  </si>
  <si>
    <t>ROSA PAOLA</t>
  </si>
  <si>
    <t>87.5</t>
  </si>
  <si>
    <t>0603231101</t>
  </si>
  <si>
    <t>SANCHEZ ROBALINO</t>
  </si>
  <si>
    <t>ANDREA NICOLE</t>
  </si>
  <si>
    <t>81.96125</t>
  </si>
  <si>
    <t>1312507476</t>
  </si>
  <si>
    <t>SANTOS ZAMBRANO</t>
  </si>
  <si>
    <t>JESSENIA ESPERANZA</t>
  </si>
  <si>
    <t>59.20000000000001</t>
  </si>
  <si>
    <t>0301435012</t>
  </si>
  <si>
    <t>SAYAGO HEREDIA</t>
  </si>
  <si>
    <t>JAIME PAUL</t>
  </si>
  <si>
    <t>80.00999999999999</t>
  </si>
  <si>
    <t>0850556259</t>
  </si>
  <si>
    <t>SEVILLA ERAZO</t>
  </si>
  <si>
    <t xml:space="preserve">FABIOLA </t>
  </si>
  <si>
    <t>82.52000000000001</t>
  </si>
  <si>
    <t>1721366399</t>
  </si>
  <si>
    <t>SIMBAÑA BASTIDAS</t>
  </si>
  <si>
    <t>CHRISTIAN MAURICIO</t>
  </si>
  <si>
    <t>83.04125</t>
  </si>
  <si>
    <t>0105998181</t>
  </si>
  <si>
    <t>SINCHI SINCHI</t>
  </si>
  <si>
    <t>HUGO FERNANDO</t>
  </si>
  <si>
    <t>89.874375</t>
  </si>
  <si>
    <t>0803512599</t>
  </si>
  <si>
    <t>SOLIS CAICEDO</t>
  </si>
  <si>
    <t>LISSETTE ANNABELLE</t>
  </si>
  <si>
    <t>67.65</t>
  </si>
  <si>
    <t>0802912832</t>
  </si>
  <si>
    <t>SOLIS CHARCOPA</t>
  </si>
  <si>
    <t>KARLA FERNANDA</t>
  </si>
  <si>
    <t>72.88875</t>
  </si>
  <si>
    <t>0801853904</t>
  </si>
  <si>
    <t>SOLIS MURILLO</t>
  </si>
  <si>
    <t>92.82500000000002</t>
  </si>
  <si>
    <t>0803103845</t>
  </si>
  <si>
    <t>SOLORZANO GARCES</t>
  </si>
  <si>
    <t>GIRABEL YADIRA</t>
  </si>
  <si>
    <t>71.75999999999999</t>
  </si>
  <si>
    <t>0803552702</t>
  </si>
  <si>
    <t>SORNOZA CRESPO</t>
  </si>
  <si>
    <t>SHARINA ELIZABETH</t>
  </si>
  <si>
    <t>88.19</t>
  </si>
  <si>
    <t>84.80973684210527</t>
  </si>
  <si>
    <t>0801165317</t>
  </si>
  <si>
    <t>SOSA BONE</t>
  </si>
  <si>
    <t>MIRNA PATRICIA</t>
  </si>
  <si>
    <t>55.38</t>
  </si>
  <si>
    <t>86.811</t>
  </si>
  <si>
    <t>1757374788</t>
  </si>
  <si>
    <t>SUAREZ LEZCANO</t>
  </si>
  <si>
    <t xml:space="preserve">JOSE </t>
  </si>
  <si>
    <t>93.625</t>
  </si>
  <si>
    <t>0800346215</t>
  </si>
  <si>
    <t>SUAREZ YAGUANA</t>
  </si>
  <si>
    <t>JORGE ENRIQUE</t>
  </si>
  <si>
    <t>64.50999999999999</t>
  </si>
  <si>
    <t>1313257907</t>
  </si>
  <si>
    <t>TALLEDO VILLACRESES</t>
  </si>
  <si>
    <t>DARWIN FRANCISCO</t>
  </si>
  <si>
    <t>0802325134</t>
  </si>
  <si>
    <t>TIPANTUÑA SANTANDER</t>
  </si>
  <si>
    <t>MARICELA VANESSA</t>
  </si>
  <si>
    <t>68.06</t>
  </si>
  <si>
    <t>0802800755</t>
  </si>
  <si>
    <t>TOALA MAZO</t>
  </si>
  <si>
    <t>DENISE MABEL</t>
  </si>
  <si>
    <t>71.46000000000001</t>
  </si>
  <si>
    <t>0802806067</t>
  </si>
  <si>
    <t>TOMALA RAMOS</t>
  </si>
  <si>
    <t>ANGELA ELIZABETH</t>
  </si>
  <si>
    <t>71.17</t>
  </si>
  <si>
    <t>0801415126</t>
  </si>
  <si>
    <t>TORRES RODRIGUEZ</t>
  </si>
  <si>
    <t>MARIA TERESA</t>
  </si>
  <si>
    <t>68.42399999999999</t>
  </si>
  <si>
    <t>0923864540</t>
  </si>
  <si>
    <t>TRELLES CABRERA</t>
  </si>
  <si>
    <t>FLAVIO DANIEL</t>
  </si>
  <si>
    <t>52.11</t>
  </si>
  <si>
    <t>0802223719</t>
  </si>
  <si>
    <t>VALENCIA CORTEZ</t>
  </si>
  <si>
    <t>MARTA LUCIA</t>
  </si>
  <si>
    <t>72.07</t>
  </si>
  <si>
    <t>2100384441</t>
  </si>
  <si>
    <t>VALENCIA MINA</t>
  </si>
  <si>
    <t>ADRIAN ANDRES</t>
  </si>
  <si>
    <t>79.72999999999999</t>
  </si>
  <si>
    <t>1708222409</t>
  </si>
  <si>
    <t>VALLEJO GALÁRRAGA</t>
  </si>
  <si>
    <t>WILSON SANTIAGO</t>
  </si>
  <si>
    <t>92.03</t>
  </si>
  <si>
    <t>1803131190</t>
  </si>
  <si>
    <t>VARGAS MACHUCA DEL SALTO</t>
  </si>
  <si>
    <t>ADRIAN GABRIEL</t>
  </si>
  <si>
    <t>65.23135135135135</t>
  </si>
  <si>
    <t>0802464032</t>
  </si>
  <si>
    <t>VASQUEZ COISME</t>
  </si>
  <si>
    <t>LADYS DIANA</t>
  </si>
  <si>
    <t>81.375</t>
  </si>
  <si>
    <t>0801574864</t>
  </si>
  <si>
    <t>VELASCO ANGULO</t>
  </si>
  <si>
    <t>CECILIA ESTHER</t>
  </si>
  <si>
    <t>91.578</t>
  </si>
  <si>
    <t>1804326534</t>
  </si>
  <si>
    <t>VELASTEGUI IZURIETA</t>
  </si>
  <si>
    <t>HOMERO JAVIER</t>
  </si>
  <si>
    <t>74.035</t>
  </si>
  <si>
    <t>0803041656</t>
  </si>
  <si>
    <t>VELEZ VICHE</t>
  </si>
  <si>
    <t>MARIA EUGENIA</t>
  </si>
  <si>
    <t>80.83</t>
  </si>
  <si>
    <t>1757108871</t>
  </si>
  <si>
    <t>VERGARA TORO</t>
  </si>
  <si>
    <t>MONICA ANGELINA</t>
  </si>
  <si>
    <t>90.20250000000001</t>
  </si>
  <si>
    <t>0803488576</t>
  </si>
  <si>
    <t>VERNAZA QUIÑONEZ</t>
  </si>
  <si>
    <t>CARLA ALEXANDRA</t>
  </si>
  <si>
    <t>58.61999999999999</t>
  </si>
  <si>
    <t>0803129360</t>
  </si>
  <si>
    <t>LUCIA MARGARITA</t>
  </si>
  <si>
    <t>60.75</t>
  </si>
  <si>
    <t>0802488197</t>
  </si>
  <si>
    <t>VICTORIA EDILMA</t>
  </si>
  <si>
    <t>80.97999999999999</t>
  </si>
  <si>
    <t>0801187089</t>
  </si>
  <si>
    <t>VILA MAFFARE</t>
  </si>
  <si>
    <t>MARILYN MARIVEL</t>
  </si>
  <si>
    <t>83.0959375</t>
  </si>
  <si>
    <t>1721694584</t>
  </si>
  <si>
    <t>VILLAMEDIANA CARRO</t>
  </si>
  <si>
    <t>VIRGINIA PATRICIA</t>
  </si>
  <si>
    <t>58.23</t>
  </si>
  <si>
    <t>0801966748</t>
  </si>
  <si>
    <t>VIZCAINO ORDOÑEZ</t>
  </si>
  <si>
    <t xml:space="preserve">LAURA DEL ROCIO </t>
  </si>
  <si>
    <t>79.09</t>
  </si>
  <si>
    <t>K0445539</t>
  </si>
  <si>
    <t>WOLDEHAWARIAT KIDANEMARIAM</t>
  </si>
  <si>
    <t xml:space="preserve">GHEBREZGHIABIHER </t>
  </si>
  <si>
    <t>63.510000000000005</t>
  </si>
  <si>
    <t>1703386746</t>
  </si>
  <si>
    <t>YEPEZ PRIETO</t>
  </si>
  <si>
    <t>GLORIA AMERICA</t>
  </si>
  <si>
    <t>52.34000000000001</t>
  </si>
  <si>
    <t>0801752296</t>
  </si>
  <si>
    <t>ZAMBRANO ARAUJO</t>
  </si>
  <si>
    <t>GENOVA ELISA</t>
  </si>
  <si>
    <t>86.27000000000001</t>
  </si>
  <si>
    <t>0800751232</t>
  </si>
  <si>
    <t>ZAMBRANO DUEÑAS</t>
  </si>
  <si>
    <t>JOSE MARIA</t>
  </si>
  <si>
    <t>78.28</t>
  </si>
  <si>
    <t>1003473889</t>
  </si>
  <si>
    <t>ZUMARRAGA ALARCON</t>
  </si>
  <si>
    <t>CAROLINA ESTEFANIA</t>
  </si>
  <si>
    <t>79.375</t>
  </si>
  <si>
    <t>0803484161</t>
  </si>
  <si>
    <t>ZUÑIGA SOSA</t>
  </si>
  <si>
    <t>EVELIN ALEXANDRA</t>
  </si>
  <si>
    <t>93.02362500000001</t>
  </si>
  <si>
    <t>POSGRADO</t>
  </si>
  <si>
    <t>PUCETEC</t>
  </si>
  <si>
    <t>DOC SERVICIO</t>
  </si>
  <si>
    <t>ABP</t>
  </si>
  <si>
    <t>INVESTIGACIÓN</t>
  </si>
  <si>
    <t>GESTION</t>
  </si>
  <si>
    <t>VINCULACION</t>
  </si>
  <si>
    <t>CARGA DOCENTE</t>
  </si>
  <si>
    <t>60.8</t>
  </si>
  <si>
    <t>86.44</t>
  </si>
  <si>
    <t/>
  </si>
  <si>
    <t>resultado2</t>
  </si>
  <si>
    <t>Edad</t>
  </si>
  <si>
    <t>Tiempo de Servicio</t>
  </si>
  <si>
    <t>Genero</t>
  </si>
  <si>
    <t>Nivel de estudio</t>
  </si>
  <si>
    <t>Grado</t>
  </si>
  <si>
    <t>Modalidad de Trabajo</t>
  </si>
  <si>
    <t>Carrera</t>
  </si>
  <si>
    <t>16 AÑOS 3 MESES</t>
  </si>
  <si>
    <t>Femenino</t>
  </si>
  <si>
    <t>CUARTO NIVEL</t>
  </si>
  <si>
    <t>DOCTOR (Ph.D)</t>
  </si>
  <si>
    <t>TIEMPO COMPLETO</t>
  </si>
  <si>
    <t>CONTABILIDAD Y AUDITORIA CPA</t>
  </si>
  <si>
    <t>0 AÑOS 2 MESES</t>
  </si>
  <si>
    <t>Masculino</t>
  </si>
  <si>
    <t>MAESTRÍA O EQUIVALENTE</t>
  </si>
  <si>
    <t>LABORATORIO CLÍNICO</t>
  </si>
  <si>
    <t>2 AÑOS 2 MESES</t>
  </si>
  <si>
    <t>10 AÑOS 2 MESES</t>
  </si>
  <si>
    <t>1 AÑOS 8 MESES</t>
  </si>
  <si>
    <t>TIEMPO PARCIAL</t>
  </si>
  <si>
    <t>EDUCACIÓN BÁSICA SEMIPRESENCIAL</t>
  </si>
  <si>
    <t>0 AÑOS 9 MESES</t>
  </si>
  <si>
    <t>DERECHO</t>
  </si>
  <si>
    <t>MEDIO TIEMPO</t>
  </si>
  <si>
    <t>TECNOLOGÍAS DE LA INFORMACIÓN</t>
  </si>
  <si>
    <t>12 AÑOS 3 MESES</t>
  </si>
  <si>
    <t>ENFERMERÍA</t>
  </si>
  <si>
    <t>11 AÑOS 3 MESES</t>
  </si>
  <si>
    <t>PSICOLOGÍA</t>
  </si>
  <si>
    <t>1 AÑOS 3 MESES</t>
  </si>
  <si>
    <t>1 AÑOS 4 MESES</t>
  </si>
  <si>
    <t>AGROINDUSTRIA</t>
  </si>
  <si>
    <t>NEGOCIOS INTERNACIONALES</t>
  </si>
  <si>
    <t>11 AÑOS 6 MESES</t>
  </si>
  <si>
    <t>EDUCACIÓN INICIAL</t>
  </si>
  <si>
    <t>4 AÑOS 3 MESES</t>
  </si>
  <si>
    <t>0 AÑOS 3 MESES</t>
  </si>
  <si>
    <t>ENFERMERÍA (TECNOLOGÍA)</t>
  </si>
  <si>
    <t>7 AÑOS 4 MESES</t>
  </si>
  <si>
    <t>2 AÑOS 8 MESES</t>
  </si>
  <si>
    <t>0 AÑOS 5 MESES</t>
  </si>
  <si>
    <t>ESPECIALISTA AREA SALUD</t>
  </si>
  <si>
    <t>MEDICINA</t>
  </si>
  <si>
    <t>13 AÑOS 10 MESES</t>
  </si>
  <si>
    <t>17 AÑOS 3 MESES</t>
  </si>
  <si>
    <t>GESTIÓN CULINARIA (TECNOLOGÍA)</t>
  </si>
  <si>
    <t>4 AÑOS 8 MESES</t>
  </si>
  <si>
    <t>ENFERMERIA</t>
  </si>
  <si>
    <t>ADMINISTRACIÓN DE EMPRESAS</t>
  </si>
  <si>
    <t>4 AÑOS 2 MESES</t>
  </si>
  <si>
    <t>MAESTRÍA EN INNOVACIÓN EN EDUCACIÓN</t>
  </si>
  <si>
    <t>14 AÑOS 3 MESES</t>
  </si>
  <si>
    <t>MAESTRÍA EN GESTIÓN DEL TALENTO HUMANO</t>
  </si>
  <si>
    <t>0 AÑOS 8 MESES</t>
  </si>
  <si>
    <t>1 AÑOS 10 MESES</t>
  </si>
  <si>
    <t>12 AÑOS 10 MESES</t>
  </si>
  <si>
    <t>FISIOTERAPIA</t>
  </si>
  <si>
    <t>7 AÑOS 9 MESES</t>
  </si>
  <si>
    <t>0 AÑOS 7 MESES</t>
  </si>
  <si>
    <t>2 AÑOS 4 MESES</t>
  </si>
  <si>
    <t>6 AÑOS 5 MESES</t>
  </si>
  <si>
    <t>desconocido</t>
  </si>
  <si>
    <t>0 AÑOS 4 MESES</t>
  </si>
  <si>
    <t>0 AÑOS 0 MESES</t>
  </si>
  <si>
    <t>6 AÑOS 7 MESES</t>
  </si>
  <si>
    <t>0 AÑOS 10 MESES</t>
  </si>
  <si>
    <t>3 AÑOS 8 MESES</t>
  </si>
  <si>
    <t>1 AÑOS 0 MESES</t>
  </si>
  <si>
    <t>7 AÑOS 3 MESES</t>
  </si>
  <si>
    <t>DISEÑO GRAFICO</t>
  </si>
  <si>
    <t>TURISMO</t>
  </si>
  <si>
    <t>1 AÑOS 9 MESES</t>
  </si>
  <si>
    <t>2 AÑOS 0 MESES</t>
  </si>
  <si>
    <t>3 AÑOS 3 MESES</t>
  </si>
  <si>
    <t>14 AÑOS 6 MESES</t>
  </si>
  <si>
    <t>3 AÑOS 4 MESES</t>
  </si>
  <si>
    <t>2 AÑOS 3 MESES</t>
  </si>
  <si>
    <t>PEDAGOGÍA DE LOS IDIOMAS NACIONALES Y EXTRANJEROS</t>
  </si>
  <si>
    <t>14 AÑOS 4 MESES</t>
  </si>
  <si>
    <t>6 AÑOS 4 MESES</t>
  </si>
  <si>
    <t>GESTIÓN AMBIENTAL</t>
  </si>
  <si>
    <t>6 AÑOS 9 MESES</t>
  </si>
  <si>
    <t>5 AÑOS 8 MESES</t>
  </si>
  <si>
    <t>11 AÑOS 5 MESES</t>
  </si>
  <si>
    <t>6 AÑOS 3 MESES</t>
  </si>
  <si>
    <t>5 AÑOS 9 MESES</t>
  </si>
  <si>
    <t>MAESTRÍA EN SALUD PÚBLICA</t>
  </si>
  <si>
    <t>10 AÑOS 8 MESES</t>
  </si>
  <si>
    <t>8 AÑOS 3 MESES</t>
  </si>
  <si>
    <t>15 AÑOS 9 MESES</t>
  </si>
  <si>
    <t>12 AÑOS 9 MESES</t>
  </si>
  <si>
    <t>24 AÑOS 11 MESES</t>
  </si>
  <si>
    <t>0 AÑOS 6 MESES</t>
  </si>
  <si>
    <t>15 AÑOS 11 MESES</t>
  </si>
  <si>
    <t>1 AÑOS 6 MESES</t>
  </si>
  <si>
    <t>12 AÑOS 8 MESES</t>
  </si>
  <si>
    <t>13 AÑOS 9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</si>
</sst>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0" fillId="4" borderId="0" xfId="0" applyFill="1"/>
    <xf numFmtId="0" fontId="0" fillId="3" borderId="0" xfId="0" applyFill="1"/>
    <xf numFmtId="0" fontId="1" fillId="5" borderId="0" xfId="0" applyFont="1" applyFill="1" applyAlignment="1">
      <alignment horizontal="left" vertical="top" wrapText="1"/>
    </xf>
    <xf numFmtId="0" fontId="1" fillId="5" borderId="0" xfId="0" applyFont="1" applyFill="1"/>
    <xf numFmtId="0" fontId="1" fillId="4" borderId="0" xfId="0" applyFont="1" applyFill="1"/>
    <xf numFmtId="2" fontId="0" fillId="0" borderId="0" xfId="0" applyNumberFormat="1"/>
    <xf numFmtId="2" fontId="0" fillId="4" borderId="0" xfId="0" applyNumberFormat="1" applyFill="1"/>
    <xf numFmtId="2" fontId="0" fillId="3" borderId="0" xfId="0" applyNumberFormat="1" applyFill="1"/>
    <xf numFmtId="2" fontId="2" fillId="4" borderId="0" xfId="0" applyNumberFormat="1" applyFont="1" applyFill="1"/>
    <xf numFmtId="2" fontId="0" fillId="0" borderId="0" xfId="0" applyNumberFormat="1" applyAlignment="1">
      <alignment wrapText="1"/>
    </xf>
    <xf numFmtId="0" fontId="0" fillId="2" borderId="0" xfId="0" applyFill="1"/>
    <xf numFmtId="2" fontId="0" fillId="2" borderId="0" xfId="0" applyNumberFormat="1" applyFill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left" vertical="top" wrapText="1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2" fontId="2" fillId="0" borderId="0" xfId="0" applyNumberFormat="1" applyFont="1"/>
    <xf numFmtId="2" fontId="2" fillId="3" borderId="0" xfId="0" applyNumberFormat="1" applyFont="1" applyFill="1"/>
    <xf numFmtId="0" fontId="2" fillId="3" borderId="0" xfId="0" applyFont="1" applyFill="1"/>
    <xf numFmtId="0" fontId="3" fillId="5" borderId="0" xfId="0" applyFont="1" applyFill="1"/>
    <xf numFmtId="164" fontId="0" fillId="0" borderId="0" xfId="0" applyNumberFormat="1"/>
    <xf numFmtId="164" fontId="0" fillId="6" borderId="0" xfId="0" applyNumberFormat="1" applyFill="1"/>
    <xf numFmtId="0" fontId="0" fillId="7" borderId="0" xfId="0" applyFill="1"/>
    <xf numFmtId="0" fontId="4" fillId="0" borderId="0" xfId="0" applyFont="1"/>
    <xf numFmtId="0" fontId="5" fillId="7" borderId="0" xfId="0" applyFont="1" applyFill="1"/>
    <xf numFmtId="165" fontId="0" fillId="0" borderId="0" xfId="0" applyNumberFormat="1"/>
    <xf numFmtId="2" fontId="0" fillId="6" borderId="0" xfId="0" applyNumberFormat="1" applyFill="1"/>
    <xf numFmtId="164" fontId="2" fillId="0" borderId="0" xfId="0" applyNumberFormat="1" applyFont="1"/>
    <xf numFmtId="2" fontId="1" fillId="0" borderId="0" xfId="0" applyNumberFormat="1" applyFont="1"/>
    <xf numFmtId="0" fontId="5" fillId="0" borderId="0" xfId="0" applyFont="1"/>
    <xf numFmtId="2" fontId="5" fillId="0" borderId="0" xfId="0" applyNumberFormat="1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0" fontId="0" fillId="8" borderId="0" xfId="0" applyFill="1"/>
    <xf numFmtId="0" fontId="1" fillId="8" borderId="0" xfId="0" applyFont="1" applyFill="1"/>
    <xf numFmtId="0" fontId="0" fillId="8" borderId="0" xfId="0" applyFill="1" applyAlignment="1">
      <alignment horizontal="left" vertical="top" wrapText="1"/>
    </xf>
    <xf numFmtId="0" fontId="0" fillId="8" borderId="4" xfId="0" applyFill="1" applyBorder="1" applyAlignment="1">
      <alignment horizontal="left" vertical="top" wrapText="1"/>
    </xf>
    <xf numFmtId="0" fontId="1" fillId="8" borderId="4" xfId="0" applyFont="1" applyFill="1" applyBorder="1" applyAlignment="1">
      <alignment horizontal="left" vertical="top" wrapText="1"/>
    </xf>
    <xf numFmtId="0" fontId="1" fillId="8" borderId="0" xfId="0" applyFont="1" applyFill="1" applyAlignment="1">
      <alignment horizontal="left" vertical="top" wrapText="1"/>
    </xf>
    <xf numFmtId="2" fontId="0" fillId="8" borderId="0" xfId="0" applyNumberFormat="1" applyFill="1" applyAlignment="1">
      <alignment horizontal="left" vertical="top" wrapText="1"/>
    </xf>
    <xf numFmtId="2" fontId="0" fillId="9" borderId="0" xfId="0" applyNumberFormat="1" applyFill="1"/>
    <xf numFmtId="2" fontId="5" fillId="9" borderId="0" xfId="0" applyNumberFormat="1" applyFont="1" applyFill="1"/>
    <xf numFmtId="0" fontId="0" fillId="9" borderId="0" xfId="0" applyFill="1"/>
    <xf numFmtId="0" fontId="5" fillId="9" borderId="0" xfId="0" applyFont="1" applyFill="1"/>
    <xf numFmtId="0" fontId="0" fillId="9" borderId="0" xfId="0" applyFill="1" applyAlignment="1">
      <alignment horizontal="left"/>
    </xf>
    <xf numFmtId="0" fontId="5" fillId="9" borderId="0" xfId="0" applyFont="1" applyFill="1" applyAlignment="1">
      <alignment horizontal="left"/>
    </xf>
    <xf numFmtId="0" fontId="0" fillId="0" borderId="4" xfId="0" applyBorder="1"/>
    <xf numFmtId="0" fontId="1" fillId="8" borderId="1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93"/>
  <sheetViews>
    <sheetView tabSelected="1" zoomScale="70" zoomScaleNormal="70" workbookViewId="0">
      <selection activeCell="H15" sqref="H15"/>
    </sheetView>
  </sheetViews>
  <sheetFormatPr baseColWidth="10" defaultRowHeight="15.75" x14ac:dyDescent="0.25"/>
  <cols>
    <col min="1" max="1" width="16.875" customWidth="1"/>
    <col min="3" max="3" width="22" customWidth="1"/>
    <col min="4" max="11" width="19.75" customWidth="1"/>
    <col min="17" max="17" width="9" customWidth="1"/>
    <col min="34" max="42" width="11" customWidth="1"/>
    <col min="43" max="45" width="11" style="11" customWidth="1"/>
    <col min="46" max="46" width="11" customWidth="1"/>
  </cols>
  <sheetData>
    <row r="1" spans="1:53" x14ac:dyDescent="0.25">
      <c r="AC1">
        <v>10</v>
      </c>
      <c r="AD1">
        <v>20</v>
      </c>
      <c r="AE1">
        <v>50</v>
      </c>
      <c r="AF1">
        <v>20</v>
      </c>
    </row>
    <row r="3" spans="1:53" s="43" customFormat="1" x14ac:dyDescent="0.25">
      <c r="L3" s="57" t="s">
        <v>52</v>
      </c>
      <c r="M3" s="58"/>
      <c r="N3" s="58"/>
      <c r="O3" s="58"/>
      <c r="P3" s="59"/>
      <c r="Q3" s="57" t="s">
        <v>923</v>
      </c>
      <c r="R3" s="58"/>
      <c r="S3" s="58"/>
      <c r="T3" s="59"/>
      <c r="U3" s="57" t="s">
        <v>924</v>
      </c>
      <c r="V3" s="58"/>
      <c r="W3" s="58"/>
      <c r="X3" s="58"/>
      <c r="Y3" s="59"/>
      <c r="Z3" s="57" t="s">
        <v>925</v>
      </c>
      <c r="AA3" s="58"/>
      <c r="AB3" s="59"/>
      <c r="AC3" s="57" t="s">
        <v>926</v>
      </c>
      <c r="AD3" s="58"/>
      <c r="AE3" s="58"/>
      <c r="AF3" s="58"/>
      <c r="AG3" s="59"/>
      <c r="AH3" s="57" t="s">
        <v>927</v>
      </c>
      <c r="AI3" s="58"/>
      <c r="AJ3" s="58"/>
      <c r="AK3" s="58"/>
      <c r="AL3" s="59"/>
      <c r="AM3" s="57" t="s">
        <v>928</v>
      </c>
      <c r="AN3" s="58"/>
      <c r="AO3" s="58"/>
      <c r="AP3" s="59"/>
      <c r="AQ3" s="57" t="s">
        <v>929</v>
      </c>
      <c r="AR3" s="58"/>
      <c r="AS3" s="58"/>
      <c r="AT3" s="59"/>
      <c r="AU3" s="57" t="s">
        <v>930</v>
      </c>
      <c r="AV3" s="58"/>
      <c r="AW3" s="58"/>
      <c r="AX3" s="58"/>
      <c r="AY3" s="59"/>
      <c r="BA3" s="44"/>
    </row>
    <row r="4" spans="1:53" s="45" customFormat="1" ht="31.5" customHeight="1" x14ac:dyDescent="0.25">
      <c r="A4" s="45" t="s">
        <v>0</v>
      </c>
      <c r="B4" s="45" t="s">
        <v>1</v>
      </c>
      <c r="C4" s="45" t="s">
        <v>2</v>
      </c>
      <c r="D4" s="45" t="s">
        <v>3</v>
      </c>
      <c r="E4" s="45" t="s">
        <v>935</v>
      </c>
      <c r="F4" s="45" t="s">
        <v>936</v>
      </c>
      <c r="G4" s="45" t="s">
        <v>937</v>
      </c>
      <c r="H4" s="45" t="s">
        <v>938</v>
      </c>
      <c r="I4" s="45" t="s">
        <v>939</v>
      </c>
      <c r="J4" s="45" t="s">
        <v>940</v>
      </c>
      <c r="K4" s="45" t="s">
        <v>941</v>
      </c>
      <c r="L4" s="46" t="s">
        <v>4</v>
      </c>
      <c r="M4" s="46" t="s">
        <v>5</v>
      </c>
      <c r="N4" s="46" t="s">
        <v>6</v>
      </c>
      <c r="O4" s="46" t="s">
        <v>7</v>
      </c>
      <c r="P4" s="47" t="s">
        <v>8</v>
      </c>
      <c r="Q4" s="46" t="s">
        <v>9</v>
      </c>
      <c r="R4" s="46" t="s">
        <v>10</v>
      </c>
      <c r="S4" s="46" t="s">
        <v>11</v>
      </c>
      <c r="T4" s="47" t="s">
        <v>12</v>
      </c>
      <c r="U4" s="45" t="s">
        <v>13</v>
      </c>
      <c r="V4" s="45" t="s">
        <v>14</v>
      </c>
      <c r="W4" s="45" t="s">
        <v>15</v>
      </c>
      <c r="X4" s="45" t="s">
        <v>16</v>
      </c>
      <c r="Y4" s="48" t="s">
        <v>17</v>
      </c>
      <c r="Z4" s="45" t="s">
        <v>18</v>
      </c>
      <c r="AA4" s="45" t="s">
        <v>19</v>
      </c>
      <c r="AB4" s="48" t="s">
        <v>20</v>
      </c>
      <c r="AC4" s="45" t="s">
        <v>21</v>
      </c>
      <c r="AD4" s="45" t="s">
        <v>22</v>
      </c>
      <c r="AE4" s="45" t="s">
        <v>23</v>
      </c>
      <c r="AF4" s="45" t="s">
        <v>24</v>
      </c>
      <c r="AG4" s="48" t="s">
        <v>25</v>
      </c>
      <c r="AH4" s="45" t="s">
        <v>26</v>
      </c>
      <c r="AI4" s="45" t="s">
        <v>27</v>
      </c>
      <c r="AJ4" s="45" t="s">
        <v>28</v>
      </c>
      <c r="AK4" s="45" t="s">
        <v>29</v>
      </c>
      <c r="AL4" s="48" t="s">
        <v>30</v>
      </c>
      <c r="AM4" s="45" t="s">
        <v>31</v>
      </c>
      <c r="AN4" s="45" t="s">
        <v>32</v>
      </c>
      <c r="AO4" s="45" t="s">
        <v>33</v>
      </c>
      <c r="AP4" s="48" t="s">
        <v>34</v>
      </c>
      <c r="AQ4" s="49" t="s">
        <v>35</v>
      </c>
      <c r="AR4" s="49" t="s">
        <v>36</v>
      </c>
      <c r="AS4" s="49" t="s">
        <v>37</v>
      </c>
      <c r="AT4" s="48" t="s">
        <v>38</v>
      </c>
      <c r="AU4" s="45" t="s">
        <v>39</v>
      </c>
      <c r="AV4" s="45" t="s">
        <v>40</v>
      </c>
      <c r="AW4" s="45" t="s">
        <v>41</v>
      </c>
      <c r="AX4" s="45" t="s">
        <v>42</v>
      </c>
      <c r="AY4" s="45" t="s">
        <v>43</v>
      </c>
      <c r="AZ4" s="45" t="s">
        <v>44</v>
      </c>
      <c r="BA4" s="48" t="s">
        <v>45</v>
      </c>
    </row>
    <row r="5" spans="1:53" x14ac:dyDescent="0.25">
      <c r="A5" s="39" t="s">
        <v>46</v>
      </c>
      <c r="B5" s="56" t="s">
        <v>47</v>
      </c>
      <c r="C5" t="s">
        <v>48</v>
      </c>
      <c r="D5" t="s">
        <v>49</v>
      </c>
      <c r="E5">
        <v>62</v>
      </c>
      <c r="F5" t="s">
        <v>942</v>
      </c>
      <c r="G5" t="s">
        <v>943</v>
      </c>
      <c r="H5" t="s">
        <v>944</v>
      </c>
      <c r="I5" t="s">
        <v>945</v>
      </c>
      <c r="J5" t="s">
        <v>946</v>
      </c>
      <c r="K5" t="s">
        <v>947</v>
      </c>
      <c r="L5" s="11">
        <v>19.670000000000002</v>
      </c>
      <c r="M5" s="11">
        <v>20</v>
      </c>
      <c r="N5" s="11">
        <v>48.16</v>
      </c>
      <c r="O5" s="11">
        <v>9</v>
      </c>
      <c r="P5" s="50">
        <v>96.83</v>
      </c>
      <c r="Q5" s="11">
        <v>0</v>
      </c>
      <c r="R5" s="11">
        <v>0</v>
      </c>
      <c r="S5" s="11">
        <v>0</v>
      </c>
      <c r="T5" s="50">
        <v>0</v>
      </c>
      <c r="U5" s="11">
        <v>0</v>
      </c>
      <c r="V5" s="11">
        <v>0</v>
      </c>
      <c r="W5" s="11">
        <v>0</v>
      </c>
      <c r="X5" s="11">
        <v>0</v>
      </c>
      <c r="Y5" s="50">
        <v>0</v>
      </c>
      <c r="Z5">
        <v>0</v>
      </c>
      <c r="AA5">
        <v>0</v>
      </c>
      <c r="AB5" s="52">
        <v>0</v>
      </c>
      <c r="AC5">
        <v>0</v>
      </c>
      <c r="AD5">
        <v>0</v>
      </c>
      <c r="AE5">
        <v>0</v>
      </c>
      <c r="AF5">
        <v>0</v>
      </c>
      <c r="AG5" s="50">
        <v>0</v>
      </c>
      <c r="AH5">
        <v>3.75</v>
      </c>
      <c r="AI5">
        <v>12.5</v>
      </c>
      <c r="AJ5">
        <v>9</v>
      </c>
      <c r="AK5">
        <v>20</v>
      </c>
      <c r="AL5" s="50">
        <v>45.25</v>
      </c>
      <c r="AM5">
        <v>0</v>
      </c>
      <c r="AN5">
        <v>0</v>
      </c>
      <c r="AO5">
        <v>0</v>
      </c>
      <c r="AP5" s="50">
        <v>0</v>
      </c>
      <c r="AQ5" s="11" t="s">
        <v>51</v>
      </c>
      <c r="AR5" s="11" t="s">
        <v>51</v>
      </c>
      <c r="AS5" s="11" t="s">
        <v>51</v>
      </c>
      <c r="AT5" s="50">
        <v>0</v>
      </c>
      <c r="AU5" s="18">
        <v>30.5</v>
      </c>
      <c r="AV5" s="18">
        <v>9.5</v>
      </c>
      <c r="AW5" s="18">
        <v>0</v>
      </c>
      <c r="AX5" s="18">
        <v>0</v>
      </c>
      <c r="AY5" s="54">
        <f>+SUM(AU5:AX5)</f>
        <v>40</v>
      </c>
      <c r="AZ5" t="s">
        <v>52</v>
      </c>
      <c r="BA5" s="38">
        <v>84.579750000000004</v>
      </c>
    </row>
    <row r="6" spans="1:53" x14ac:dyDescent="0.25">
      <c r="A6" s="39" t="s">
        <v>46</v>
      </c>
      <c r="B6" t="s">
        <v>54</v>
      </c>
      <c r="C6" t="s">
        <v>55</v>
      </c>
      <c r="D6" t="s">
        <v>56</v>
      </c>
      <c r="E6">
        <v>29</v>
      </c>
      <c r="F6" t="s">
        <v>948</v>
      </c>
      <c r="G6" t="s">
        <v>949</v>
      </c>
      <c r="H6" t="s">
        <v>944</v>
      </c>
      <c r="I6" t="s">
        <v>950</v>
      </c>
      <c r="J6" t="s">
        <v>946</v>
      </c>
      <c r="K6" t="s">
        <v>951</v>
      </c>
      <c r="L6" s="11">
        <v>20</v>
      </c>
      <c r="M6" s="11">
        <v>20</v>
      </c>
      <c r="N6" s="11">
        <v>42.66</v>
      </c>
      <c r="O6" s="11">
        <v>5.5</v>
      </c>
      <c r="P6" s="50">
        <v>88.16</v>
      </c>
      <c r="Q6" s="11">
        <v>0</v>
      </c>
      <c r="R6" s="11">
        <v>0</v>
      </c>
      <c r="S6" s="11">
        <v>0</v>
      </c>
      <c r="T6" s="50">
        <v>0</v>
      </c>
      <c r="U6" s="11">
        <v>0</v>
      </c>
      <c r="V6" s="11">
        <v>0</v>
      </c>
      <c r="W6" s="11">
        <v>0</v>
      </c>
      <c r="X6" s="11">
        <v>0</v>
      </c>
      <c r="Y6" s="50">
        <v>0</v>
      </c>
      <c r="Z6">
        <v>0</v>
      </c>
      <c r="AA6">
        <v>0</v>
      </c>
      <c r="AB6" s="52">
        <v>0</v>
      </c>
      <c r="AC6">
        <v>0</v>
      </c>
      <c r="AD6">
        <v>0</v>
      </c>
      <c r="AE6">
        <v>0</v>
      </c>
      <c r="AF6">
        <v>0</v>
      </c>
      <c r="AG6" s="50">
        <v>0</v>
      </c>
      <c r="AH6">
        <v>0</v>
      </c>
      <c r="AI6">
        <v>0</v>
      </c>
      <c r="AJ6">
        <v>0</v>
      </c>
      <c r="AK6">
        <v>0</v>
      </c>
      <c r="AL6" s="50">
        <v>0</v>
      </c>
      <c r="AM6">
        <v>0</v>
      </c>
      <c r="AN6">
        <v>0</v>
      </c>
      <c r="AO6">
        <v>0</v>
      </c>
      <c r="AP6" s="50">
        <v>0</v>
      </c>
      <c r="AQ6" s="11" t="s">
        <v>51</v>
      </c>
      <c r="AR6" s="11" t="s">
        <v>51</v>
      </c>
      <c r="AS6" s="11" t="s">
        <v>51</v>
      </c>
      <c r="AT6" s="50">
        <v>0</v>
      </c>
      <c r="AU6" s="18">
        <v>40</v>
      </c>
      <c r="AV6" s="18">
        <v>0</v>
      </c>
      <c r="AW6" s="18">
        <v>0</v>
      </c>
      <c r="AX6" s="18">
        <v>0</v>
      </c>
      <c r="AY6" s="54">
        <f t="shared" ref="AY6:AY52" si="0">+SUM(AU6:AX6)</f>
        <v>40</v>
      </c>
      <c r="AZ6" t="s">
        <v>52</v>
      </c>
      <c r="BA6" s="38">
        <v>88.16</v>
      </c>
    </row>
    <row r="7" spans="1:53" x14ac:dyDescent="0.25">
      <c r="A7" s="39" t="s">
        <v>46</v>
      </c>
      <c r="B7" t="s">
        <v>58</v>
      </c>
      <c r="C7" t="s">
        <v>59</v>
      </c>
      <c r="D7" t="s">
        <v>60</v>
      </c>
      <c r="E7">
        <v>36</v>
      </c>
      <c r="F7" t="s">
        <v>952</v>
      </c>
      <c r="G7" t="s">
        <v>943</v>
      </c>
      <c r="H7" t="s">
        <v>944</v>
      </c>
      <c r="I7" t="s">
        <v>950</v>
      </c>
      <c r="J7" t="s">
        <v>946</v>
      </c>
      <c r="K7" t="s">
        <v>951</v>
      </c>
      <c r="L7" s="11">
        <v>20</v>
      </c>
      <c r="M7" s="11">
        <v>20</v>
      </c>
      <c r="N7" s="11">
        <v>45.28</v>
      </c>
      <c r="O7" s="11">
        <v>4</v>
      </c>
      <c r="P7" s="50">
        <v>89.28</v>
      </c>
      <c r="Q7" s="11">
        <v>0</v>
      </c>
      <c r="R7" s="11">
        <v>0</v>
      </c>
      <c r="S7" s="11">
        <v>0</v>
      </c>
      <c r="T7" s="50">
        <v>0</v>
      </c>
      <c r="U7" s="11">
        <v>0</v>
      </c>
      <c r="V7" s="11">
        <v>0</v>
      </c>
      <c r="W7" s="11">
        <v>0</v>
      </c>
      <c r="X7" s="11">
        <v>0</v>
      </c>
      <c r="Y7" s="50">
        <v>0</v>
      </c>
      <c r="Z7">
        <v>0</v>
      </c>
      <c r="AA7">
        <v>0</v>
      </c>
      <c r="AB7" s="52">
        <v>0</v>
      </c>
      <c r="AC7">
        <v>0</v>
      </c>
      <c r="AD7">
        <v>0</v>
      </c>
      <c r="AE7">
        <v>0</v>
      </c>
      <c r="AF7">
        <v>0</v>
      </c>
      <c r="AG7" s="50">
        <v>0</v>
      </c>
      <c r="AH7">
        <v>0</v>
      </c>
      <c r="AI7">
        <v>0</v>
      </c>
      <c r="AJ7">
        <v>0</v>
      </c>
      <c r="AK7">
        <v>0</v>
      </c>
      <c r="AL7" s="50">
        <v>0</v>
      </c>
      <c r="AM7">
        <v>50</v>
      </c>
      <c r="AN7">
        <v>20</v>
      </c>
      <c r="AO7">
        <v>26</v>
      </c>
      <c r="AP7" s="50">
        <v>96</v>
      </c>
      <c r="AQ7" s="11" t="s">
        <v>51</v>
      </c>
      <c r="AR7" s="11" t="s">
        <v>51</v>
      </c>
      <c r="AS7" s="11" t="s">
        <v>51</v>
      </c>
      <c r="AT7" s="50">
        <v>0</v>
      </c>
      <c r="AU7" s="18">
        <v>28</v>
      </c>
      <c r="AV7" s="18">
        <v>0</v>
      </c>
      <c r="AW7" s="18">
        <v>0</v>
      </c>
      <c r="AX7" s="18">
        <v>12</v>
      </c>
      <c r="AY7" s="54">
        <f t="shared" si="0"/>
        <v>40</v>
      </c>
      <c r="AZ7" t="s">
        <v>52</v>
      </c>
      <c r="BA7" s="38">
        <v>91.296000000000006</v>
      </c>
    </row>
    <row r="8" spans="1:53" x14ac:dyDescent="0.25">
      <c r="A8" s="39" t="s">
        <v>46</v>
      </c>
      <c r="B8" t="s">
        <v>63</v>
      </c>
      <c r="C8" t="s">
        <v>64</v>
      </c>
      <c r="D8" t="s">
        <v>65</v>
      </c>
      <c r="E8">
        <v>40</v>
      </c>
      <c r="F8" t="s">
        <v>953</v>
      </c>
      <c r="G8" t="s">
        <v>943</v>
      </c>
      <c r="H8" t="s">
        <v>944</v>
      </c>
      <c r="I8" t="s">
        <v>950</v>
      </c>
      <c r="J8" t="s">
        <v>946</v>
      </c>
      <c r="K8" t="s">
        <v>947</v>
      </c>
      <c r="L8" s="11">
        <v>17.670000000000002</v>
      </c>
      <c r="M8" s="11">
        <v>20</v>
      </c>
      <c r="N8" s="11">
        <v>41.38</v>
      </c>
      <c r="O8" s="11">
        <v>2.5</v>
      </c>
      <c r="P8" s="50">
        <v>81.550000000000011</v>
      </c>
      <c r="Q8" s="11">
        <v>0</v>
      </c>
      <c r="R8" s="11">
        <v>0</v>
      </c>
      <c r="S8" s="11">
        <v>0</v>
      </c>
      <c r="T8" s="50">
        <v>0</v>
      </c>
      <c r="U8" s="11">
        <v>0</v>
      </c>
      <c r="V8" s="11">
        <v>0</v>
      </c>
      <c r="W8" s="11">
        <v>0</v>
      </c>
      <c r="X8" s="11">
        <v>0</v>
      </c>
      <c r="Y8" s="50">
        <v>0</v>
      </c>
      <c r="Z8">
        <v>0</v>
      </c>
      <c r="AA8">
        <v>0</v>
      </c>
      <c r="AB8" s="52">
        <v>0</v>
      </c>
      <c r="AC8">
        <v>0</v>
      </c>
      <c r="AD8">
        <v>0</v>
      </c>
      <c r="AE8">
        <v>0</v>
      </c>
      <c r="AF8">
        <v>0</v>
      </c>
      <c r="AG8" s="50">
        <v>0</v>
      </c>
      <c r="AH8">
        <v>0</v>
      </c>
      <c r="AI8">
        <v>0</v>
      </c>
      <c r="AJ8">
        <v>0</v>
      </c>
      <c r="AK8">
        <v>0</v>
      </c>
      <c r="AL8" s="50">
        <v>0</v>
      </c>
      <c r="AM8">
        <v>0</v>
      </c>
      <c r="AN8">
        <v>0</v>
      </c>
      <c r="AO8">
        <v>0</v>
      </c>
      <c r="AP8" s="50">
        <v>0</v>
      </c>
      <c r="AQ8" s="11" t="s">
        <v>51</v>
      </c>
      <c r="AR8" s="11" t="s">
        <v>51</v>
      </c>
      <c r="AS8" s="11" t="s">
        <v>51</v>
      </c>
      <c r="AT8" s="50">
        <v>0</v>
      </c>
      <c r="AU8" s="18">
        <v>40</v>
      </c>
      <c r="AV8" s="18">
        <v>0</v>
      </c>
      <c r="AW8" s="18">
        <v>0</v>
      </c>
      <c r="AX8" s="18">
        <v>0</v>
      </c>
      <c r="AY8" s="54">
        <f t="shared" si="0"/>
        <v>40</v>
      </c>
      <c r="AZ8" t="s">
        <v>52</v>
      </c>
      <c r="BA8" s="38">
        <v>81.550000000000011</v>
      </c>
    </row>
    <row r="9" spans="1:53" x14ac:dyDescent="0.25">
      <c r="A9" s="39" t="s">
        <v>46</v>
      </c>
      <c r="B9" t="s">
        <v>68</v>
      </c>
      <c r="C9" t="s">
        <v>69</v>
      </c>
      <c r="D9" t="s">
        <v>70</v>
      </c>
      <c r="E9">
        <v>42</v>
      </c>
      <c r="F9" t="s">
        <v>942</v>
      </c>
      <c r="G9" t="s">
        <v>949</v>
      </c>
      <c r="H9" t="s">
        <v>944</v>
      </c>
      <c r="I9" t="s">
        <v>950</v>
      </c>
      <c r="J9" t="s">
        <v>946</v>
      </c>
      <c r="K9" t="s">
        <v>947</v>
      </c>
      <c r="L9" s="11">
        <v>20</v>
      </c>
      <c r="M9" s="11">
        <v>19</v>
      </c>
      <c r="N9" s="11">
        <v>44.95</v>
      </c>
      <c r="O9" s="11">
        <v>5</v>
      </c>
      <c r="P9" s="50">
        <v>88.95</v>
      </c>
      <c r="Q9" s="11">
        <v>0</v>
      </c>
      <c r="R9" s="11">
        <v>0</v>
      </c>
      <c r="S9" s="11">
        <v>0</v>
      </c>
      <c r="T9" s="50">
        <v>0</v>
      </c>
      <c r="U9" s="11">
        <v>0</v>
      </c>
      <c r="V9" s="11">
        <v>0</v>
      </c>
      <c r="W9" s="11">
        <v>0</v>
      </c>
      <c r="X9" s="11">
        <v>0</v>
      </c>
      <c r="Y9" s="50">
        <v>0</v>
      </c>
      <c r="Z9">
        <v>0</v>
      </c>
      <c r="AA9">
        <v>0</v>
      </c>
      <c r="AB9" s="52">
        <v>0</v>
      </c>
      <c r="AC9">
        <v>0</v>
      </c>
      <c r="AD9">
        <v>0</v>
      </c>
      <c r="AE9">
        <v>0</v>
      </c>
      <c r="AF9">
        <v>0</v>
      </c>
      <c r="AG9" s="50">
        <v>0</v>
      </c>
      <c r="AH9">
        <v>0</v>
      </c>
      <c r="AI9">
        <v>0</v>
      </c>
      <c r="AJ9">
        <v>0</v>
      </c>
      <c r="AK9">
        <v>0</v>
      </c>
      <c r="AL9" s="50">
        <v>0</v>
      </c>
      <c r="AM9">
        <v>50</v>
      </c>
      <c r="AN9">
        <v>20</v>
      </c>
      <c r="AO9">
        <v>29</v>
      </c>
      <c r="AP9" s="50">
        <v>99</v>
      </c>
      <c r="AQ9" s="11" t="s">
        <v>51</v>
      </c>
      <c r="AR9" s="11" t="s">
        <v>51</v>
      </c>
      <c r="AS9" s="11" t="s">
        <v>51</v>
      </c>
      <c r="AT9" s="50">
        <v>0</v>
      </c>
      <c r="AU9" s="18">
        <v>32</v>
      </c>
      <c r="AV9" s="18">
        <v>0</v>
      </c>
      <c r="AW9" s="18">
        <v>0</v>
      </c>
      <c r="AX9" s="18">
        <v>8</v>
      </c>
      <c r="AY9" s="54">
        <f t="shared" si="0"/>
        <v>40</v>
      </c>
      <c r="AZ9" t="s">
        <v>52</v>
      </c>
      <c r="BA9" s="38">
        <v>90.960000000000008</v>
      </c>
    </row>
    <row r="10" spans="1:53" x14ac:dyDescent="0.25">
      <c r="A10" s="39" t="s">
        <v>46</v>
      </c>
      <c r="B10" t="s">
        <v>74</v>
      </c>
      <c r="C10" t="s">
        <v>75</v>
      </c>
      <c r="D10" t="s">
        <v>76</v>
      </c>
      <c r="E10">
        <v>44</v>
      </c>
      <c r="F10" t="s">
        <v>954</v>
      </c>
      <c r="G10" t="s">
        <v>943</v>
      </c>
      <c r="H10" t="s">
        <v>944</v>
      </c>
      <c r="I10" t="s">
        <v>950</v>
      </c>
      <c r="J10" t="s">
        <v>955</v>
      </c>
      <c r="K10" t="s">
        <v>956</v>
      </c>
      <c r="L10" s="11">
        <v>20</v>
      </c>
      <c r="M10" s="11">
        <v>18.329999999999998</v>
      </c>
      <c r="N10" s="11">
        <v>46.05</v>
      </c>
      <c r="O10" s="11">
        <v>5.5</v>
      </c>
      <c r="P10" s="50">
        <v>89.88</v>
      </c>
      <c r="Q10" s="11">
        <v>0</v>
      </c>
      <c r="R10" s="11">
        <v>0</v>
      </c>
      <c r="S10" s="11">
        <v>0</v>
      </c>
      <c r="T10" s="50">
        <v>0</v>
      </c>
      <c r="U10" s="11">
        <v>0</v>
      </c>
      <c r="V10" s="11">
        <v>0</v>
      </c>
      <c r="W10" s="11">
        <v>0</v>
      </c>
      <c r="X10" s="11">
        <v>0</v>
      </c>
      <c r="Y10" s="50">
        <v>0</v>
      </c>
      <c r="Z10">
        <v>0</v>
      </c>
      <c r="AA10">
        <v>0</v>
      </c>
      <c r="AB10" s="52">
        <v>0</v>
      </c>
      <c r="AC10">
        <v>0</v>
      </c>
      <c r="AD10">
        <v>0</v>
      </c>
      <c r="AE10">
        <v>0</v>
      </c>
      <c r="AF10">
        <v>0</v>
      </c>
      <c r="AG10" s="50">
        <v>0</v>
      </c>
      <c r="AH10">
        <v>0</v>
      </c>
      <c r="AI10">
        <v>0</v>
      </c>
      <c r="AJ10">
        <v>0</v>
      </c>
      <c r="AK10">
        <v>0</v>
      </c>
      <c r="AL10" s="50">
        <v>0</v>
      </c>
      <c r="AM10">
        <v>0</v>
      </c>
      <c r="AN10">
        <v>0</v>
      </c>
      <c r="AO10">
        <v>0</v>
      </c>
      <c r="AP10" s="50">
        <v>0</v>
      </c>
      <c r="AQ10" s="11" t="s">
        <v>51</v>
      </c>
      <c r="AR10" s="11" t="s">
        <v>51</v>
      </c>
      <c r="AS10" s="11" t="s">
        <v>51</v>
      </c>
      <c r="AT10" s="50">
        <v>0</v>
      </c>
      <c r="AU10" s="18">
        <v>2</v>
      </c>
      <c r="AV10" s="18">
        <v>0</v>
      </c>
      <c r="AW10" s="18">
        <v>0</v>
      </c>
      <c r="AX10" s="18">
        <v>0</v>
      </c>
      <c r="AY10" s="54">
        <f t="shared" si="0"/>
        <v>2</v>
      </c>
      <c r="AZ10" t="s">
        <v>52</v>
      </c>
      <c r="BA10" s="38">
        <v>89.88</v>
      </c>
    </row>
    <row r="11" spans="1:53" x14ac:dyDescent="0.25">
      <c r="A11" s="39" t="s">
        <v>46</v>
      </c>
      <c r="B11" t="s">
        <v>78</v>
      </c>
      <c r="C11" t="s">
        <v>79</v>
      </c>
      <c r="D11" t="s">
        <v>80</v>
      </c>
      <c r="E11">
        <v>33</v>
      </c>
      <c r="F11" t="s">
        <v>957</v>
      </c>
      <c r="G11" t="s">
        <v>949</v>
      </c>
      <c r="H11" t="s">
        <v>944</v>
      </c>
      <c r="I11" t="s">
        <v>950</v>
      </c>
      <c r="J11" t="s">
        <v>955</v>
      </c>
      <c r="K11" t="s">
        <v>958</v>
      </c>
      <c r="L11" s="11">
        <v>20</v>
      </c>
      <c r="M11" s="11">
        <v>19.329999999999998</v>
      </c>
      <c r="N11" s="11">
        <v>47.25</v>
      </c>
      <c r="O11" s="11">
        <v>2.5</v>
      </c>
      <c r="P11" s="50">
        <v>89.08</v>
      </c>
      <c r="Q11" s="11">
        <v>0</v>
      </c>
      <c r="R11" s="11">
        <v>0</v>
      </c>
      <c r="S11" s="11">
        <v>0</v>
      </c>
      <c r="T11" s="50">
        <v>0</v>
      </c>
      <c r="U11" s="11">
        <v>0</v>
      </c>
      <c r="V11" s="11">
        <v>0</v>
      </c>
      <c r="W11" s="11">
        <v>0</v>
      </c>
      <c r="X11" s="11">
        <v>0</v>
      </c>
      <c r="Y11" s="50">
        <v>0</v>
      </c>
      <c r="Z11">
        <v>0</v>
      </c>
      <c r="AA11">
        <v>0</v>
      </c>
      <c r="AB11" s="52">
        <v>0</v>
      </c>
      <c r="AC11">
        <v>0</v>
      </c>
      <c r="AD11">
        <v>0</v>
      </c>
      <c r="AE11">
        <v>0</v>
      </c>
      <c r="AF11">
        <v>0</v>
      </c>
      <c r="AG11" s="50">
        <v>0</v>
      </c>
      <c r="AH11">
        <v>0</v>
      </c>
      <c r="AI11">
        <v>0</v>
      </c>
      <c r="AJ11">
        <v>0</v>
      </c>
      <c r="AK11">
        <v>0</v>
      </c>
      <c r="AL11" s="50">
        <v>0</v>
      </c>
      <c r="AM11">
        <v>0</v>
      </c>
      <c r="AN11">
        <v>0</v>
      </c>
      <c r="AO11">
        <v>0</v>
      </c>
      <c r="AP11" s="50">
        <v>0</v>
      </c>
      <c r="AQ11" s="11" t="s">
        <v>51</v>
      </c>
      <c r="AR11" s="11" t="s">
        <v>51</v>
      </c>
      <c r="AS11" s="11" t="s">
        <v>51</v>
      </c>
      <c r="AT11" s="50">
        <v>0</v>
      </c>
      <c r="AU11" s="18">
        <v>3</v>
      </c>
      <c r="AV11" s="18">
        <v>0</v>
      </c>
      <c r="AW11" s="18">
        <v>0</v>
      </c>
      <c r="AX11" s="18">
        <v>0</v>
      </c>
      <c r="AY11" s="54">
        <f t="shared" si="0"/>
        <v>3</v>
      </c>
      <c r="AZ11" t="s">
        <v>52</v>
      </c>
      <c r="BA11" s="38">
        <v>89.08</v>
      </c>
    </row>
    <row r="12" spans="1:53" x14ac:dyDescent="0.25">
      <c r="A12" s="39" t="s">
        <v>46</v>
      </c>
      <c r="B12" t="s">
        <v>88</v>
      </c>
      <c r="C12" t="s">
        <v>89</v>
      </c>
      <c r="D12" t="s">
        <v>90</v>
      </c>
      <c r="E12">
        <v>67</v>
      </c>
      <c r="F12" t="s">
        <v>957</v>
      </c>
      <c r="G12" t="s">
        <v>949</v>
      </c>
      <c r="H12" t="s">
        <v>944</v>
      </c>
      <c r="I12" t="s">
        <v>950</v>
      </c>
      <c r="J12" t="s">
        <v>959</v>
      </c>
      <c r="K12" t="s">
        <v>960</v>
      </c>
      <c r="L12" s="11">
        <v>20</v>
      </c>
      <c r="M12" s="11">
        <v>18.329999999999998</v>
      </c>
      <c r="N12" s="11">
        <v>45.72</v>
      </c>
      <c r="O12" s="11">
        <v>3.5</v>
      </c>
      <c r="P12" s="50">
        <v>87.55</v>
      </c>
      <c r="Q12" s="11">
        <v>0</v>
      </c>
      <c r="R12" s="11">
        <v>0</v>
      </c>
      <c r="S12" s="11">
        <v>0</v>
      </c>
      <c r="T12" s="50">
        <v>0</v>
      </c>
      <c r="U12" s="11">
        <v>0</v>
      </c>
      <c r="V12" s="11">
        <v>0</v>
      </c>
      <c r="W12" s="11">
        <v>0</v>
      </c>
      <c r="X12" s="11">
        <v>0</v>
      </c>
      <c r="Y12" s="50">
        <v>0</v>
      </c>
      <c r="Z12">
        <v>0</v>
      </c>
      <c r="AA12">
        <v>0</v>
      </c>
      <c r="AB12" s="52">
        <v>0</v>
      </c>
      <c r="AC12">
        <v>0</v>
      </c>
      <c r="AD12">
        <v>0</v>
      </c>
      <c r="AE12">
        <v>0</v>
      </c>
      <c r="AF12">
        <v>0</v>
      </c>
      <c r="AG12" s="50">
        <v>0</v>
      </c>
      <c r="AH12">
        <v>0</v>
      </c>
      <c r="AI12">
        <v>0</v>
      </c>
      <c r="AJ12">
        <v>0</v>
      </c>
      <c r="AK12">
        <v>0</v>
      </c>
      <c r="AL12" s="50">
        <v>0</v>
      </c>
      <c r="AM12">
        <v>0</v>
      </c>
      <c r="AN12">
        <v>0</v>
      </c>
      <c r="AO12">
        <v>0</v>
      </c>
      <c r="AP12" s="50">
        <v>0</v>
      </c>
      <c r="AQ12" s="11" t="s">
        <v>51</v>
      </c>
      <c r="AR12" s="11" t="s">
        <v>51</v>
      </c>
      <c r="AS12" s="11" t="s">
        <v>51</v>
      </c>
      <c r="AT12" s="50">
        <v>0</v>
      </c>
      <c r="AU12" s="18">
        <v>20</v>
      </c>
      <c r="AV12" s="18">
        <v>0</v>
      </c>
      <c r="AW12" s="18">
        <v>0</v>
      </c>
      <c r="AX12" s="18">
        <v>0</v>
      </c>
      <c r="AY12" s="54">
        <f t="shared" si="0"/>
        <v>20</v>
      </c>
      <c r="AZ12" t="s">
        <v>52</v>
      </c>
      <c r="BA12" s="38">
        <v>87.55</v>
      </c>
    </row>
    <row r="13" spans="1:53" x14ac:dyDescent="0.25">
      <c r="A13" s="39" t="s">
        <v>46</v>
      </c>
      <c r="B13" t="s">
        <v>96</v>
      </c>
      <c r="C13" t="s">
        <v>97</v>
      </c>
      <c r="D13" t="s">
        <v>98</v>
      </c>
      <c r="E13">
        <v>56</v>
      </c>
      <c r="F13" t="s">
        <v>961</v>
      </c>
      <c r="G13" t="s">
        <v>943</v>
      </c>
      <c r="H13" t="s">
        <v>944</v>
      </c>
      <c r="I13" t="s">
        <v>950</v>
      </c>
      <c r="J13" t="s">
        <v>946</v>
      </c>
      <c r="K13" t="s">
        <v>962</v>
      </c>
      <c r="L13" s="11">
        <v>17.47</v>
      </c>
      <c r="M13" s="11">
        <v>20</v>
      </c>
      <c r="N13" s="11">
        <v>42.71</v>
      </c>
      <c r="O13" s="11">
        <v>4</v>
      </c>
      <c r="P13" s="50">
        <v>84.18</v>
      </c>
      <c r="Q13" s="11">
        <v>0</v>
      </c>
      <c r="R13" s="11">
        <v>0</v>
      </c>
      <c r="S13" s="11">
        <v>0</v>
      </c>
      <c r="T13" s="50">
        <v>0</v>
      </c>
      <c r="U13" s="11">
        <v>0</v>
      </c>
      <c r="V13" s="11">
        <v>0</v>
      </c>
      <c r="W13" s="11">
        <v>0</v>
      </c>
      <c r="X13" s="11">
        <v>0</v>
      </c>
      <c r="Y13" s="50">
        <v>0</v>
      </c>
      <c r="Z13">
        <v>0</v>
      </c>
      <c r="AA13">
        <v>0</v>
      </c>
      <c r="AB13" s="52">
        <v>0</v>
      </c>
      <c r="AC13">
        <v>0</v>
      </c>
      <c r="AD13">
        <v>0</v>
      </c>
      <c r="AE13">
        <v>0</v>
      </c>
      <c r="AF13">
        <v>0</v>
      </c>
      <c r="AG13" s="50">
        <v>0</v>
      </c>
      <c r="AH13">
        <v>0</v>
      </c>
      <c r="AI13">
        <v>0</v>
      </c>
      <c r="AJ13">
        <v>0</v>
      </c>
      <c r="AK13">
        <v>0</v>
      </c>
      <c r="AL13" s="50">
        <v>0</v>
      </c>
      <c r="AM13">
        <v>0</v>
      </c>
      <c r="AN13">
        <v>0</v>
      </c>
      <c r="AO13">
        <v>0</v>
      </c>
      <c r="AP13" s="50">
        <v>0</v>
      </c>
      <c r="AQ13" s="11" t="s">
        <v>51</v>
      </c>
      <c r="AR13" s="11" t="s">
        <v>51</v>
      </c>
      <c r="AS13" s="11" t="s">
        <v>51</v>
      </c>
      <c r="AT13" s="50">
        <v>0</v>
      </c>
      <c r="AU13" s="18">
        <v>40</v>
      </c>
      <c r="AV13" s="18">
        <v>0</v>
      </c>
      <c r="AW13" s="18">
        <v>0</v>
      </c>
      <c r="AX13" s="18">
        <v>0</v>
      </c>
      <c r="AY13" s="54">
        <f t="shared" si="0"/>
        <v>40</v>
      </c>
      <c r="AZ13" t="s">
        <v>52</v>
      </c>
      <c r="BA13" s="38">
        <v>84.18</v>
      </c>
    </row>
    <row r="14" spans="1:53" x14ac:dyDescent="0.25">
      <c r="A14" s="39" t="s">
        <v>46</v>
      </c>
      <c r="B14" t="s">
        <v>100</v>
      </c>
      <c r="C14" t="s">
        <v>101</v>
      </c>
      <c r="D14" t="s">
        <v>102</v>
      </c>
      <c r="E14">
        <v>50</v>
      </c>
      <c r="F14" t="s">
        <v>963</v>
      </c>
      <c r="G14" t="s">
        <v>943</v>
      </c>
      <c r="H14" t="s">
        <v>944</v>
      </c>
      <c r="I14" t="s">
        <v>950</v>
      </c>
      <c r="J14" t="s">
        <v>946</v>
      </c>
      <c r="K14" t="s">
        <v>964</v>
      </c>
      <c r="L14" s="11">
        <v>20</v>
      </c>
      <c r="M14" s="11">
        <v>20</v>
      </c>
      <c r="N14" s="11">
        <v>45.8</v>
      </c>
      <c r="O14" s="11">
        <v>5.5</v>
      </c>
      <c r="P14" s="50">
        <v>91.3</v>
      </c>
      <c r="Q14" s="11">
        <v>0</v>
      </c>
      <c r="R14" s="11">
        <v>0</v>
      </c>
      <c r="S14" s="11">
        <v>0</v>
      </c>
      <c r="T14" s="50">
        <v>0</v>
      </c>
      <c r="U14" s="11">
        <v>0</v>
      </c>
      <c r="V14" s="11">
        <v>0</v>
      </c>
      <c r="W14" s="11">
        <v>0</v>
      </c>
      <c r="X14" s="11">
        <v>0</v>
      </c>
      <c r="Y14" s="50">
        <v>0</v>
      </c>
      <c r="Z14">
        <v>0</v>
      </c>
      <c r="AA14">
        <v>0</v>
      </c>
      <c r="AB14" s="52">
        <v>0</v>
      </c>
      <c r="AC14">
        <v>0</v>
      </c>
      <c r="AD14">
        <v>0</v>
      </c>
      <c r="AE14">
        <v>0</v>
      </c>
      <c r="AF14">
        <v>0</v>
      </c>
      <c r="AG14" s="50">
        <v>0</v>
      </c>
      <c r="AH14">
        <v>0</v>
      </c>
      <c r="AI14">
        <v>0</v>
      </c>
      <c r="AJ14">
        <v>0</v>
      </c>
      <c r="AK14">
        <v>0</v>
      </c>
      <c r="AL14" s="50">
        <v>0</v>
      </c>
      <c r="AM14">
        <v>45</v>
      </c>
      <c r="AN14">
        <v>20</v>
      </c>
      <c r="AO14">
        <v>28.25</v>
      </c>
      <c r="AP14" s="50">
        <v>93.25</v>
      </c>
      <c r="AQ14" s="11" t="s">
        <v>51</v>
      </c>
      <c r="AR14" s="11" t="s">
        <v>51</v>
      </c>
      <c r="AS14" s="11" t="s">
        <v>51</v>
      </c>
      <c r="AT14" s="50">
        <v>0</v>
      </c>
      <c r="AU14" s="18">
        <v>32</v>
      </c>
      <c r="AV14" s="18">
        <v>0</v>
      </c>
      <c r="AW14" s="18">
        <v>0</v>
      </c>
      <c r="AX14" s="18">
        <v>8</v>
      </c>
      <c r="AY14" s="54">
        <f t="shared" si="0"/>
        <v>40</v>
      </c>
      <c r="AZ14" t="s">
        <v>52</v>
      </c>
      <c r="BA14" s="38">
        <v>91.69</v>
      </c>
    </row>
    <row r="15" spans="1:53" x14ac:dyDescent="0.25">
      <c r="A15" s="39" t="s">
        <v>46</v>
      </c>
      <c r="B15" t="s">
        <v>104</v>
      </c>
      <c r="C15" t="s">
        <v>105</v>
      </c>
      <c r="D15" t="s">
        <v>106</v>
      </c>
      <c r="E15">
        <v>34</v>
      </c>
      <c r="F15" t="s">
        <v>957</v>
      </c>
      <c r="G15" t="s">
        <v>943</v>
      </c>
      <c r="H15" t="s">
        <v>944</v>
      </c>
      <c r="I15" t="s">
        <v>950</v>
      </c>
      <c r="J15" t="s">
        <v>959</v>
      </c>
      <c r="K15" t="s">
        <v>956</v>
      </c>
      <c r="L15" s="11">
        <v>20</v>
      </c>
      <c r="M15" s="11">
        <v>20</v>
      </c>
      <c r="N15" s="11">
        <v>46.28</v>
      </c>
      <c r="O15" s="11">
        <v>5.5</v>
      </c>
      <c r="P15" s="50">
        <v>91.78</v>
      </c>
      <c r="Q15" s="11">
        <v>0</v>
      </c>
      <c r="R15" s="11">
        <v>0</v>
      </c>
      <c r="S15" s="11">
        <v>0</v>
      </c>
      <c r="T15" s="50">
        <v>0</v>
      </c>
      <c r="U15" s="11">
        <v>0</v>
      </c>
      <c r="V15" s="11">
        <v>0</v>
      </c>
      <c r="W15" s="11">
        <v>0</v>
      </c>
      <c r="X15" s="11">
        <v>0</v>
      </c>
      <c r="Y15" s="50">
        <v>0</v>
      </c>
      <c r="Z15">
        <v>0</v>
      </c>
      <c r="AA15">
        <v>0</v>
      </c>
      <c r="AB15" s="52">
        <v>0</v>
      </c>
      <c r="AC15">
        <v>0</v>
      </c>
      <c r="AD15">
        <v>0</v>
      </c>
      <c r="AE15">
        <v>0</v>
      </c>
      <c r="AF15">
        <v>0</v>
      </c>
      <c r="AG15" s="50">
        <v>0</v>
      </c>
      <c r="AH15">
        <v>0</v>
      </c>
      <c r="AI15">
        <v>0</v>
      </c>
      <c r="AJ15">
        <v>0</v>
      </c>
      <c r="AK15">
        <v>0</v>
      </c>
      <c r="AL15" s="50">
        <v>0</v>
      </c>
      <c r="AM15">
        <v>0</v>
      </c>
      <c r="AN15">
        <v>0</v>
      </c>
      <c r="AO15">
        <v>0</v>
      </c>
      <c r="AP15" s="50">
        <v>0</v>
      </c>
      <c r="AQ15" s="11" t="s">
        <v>51</v>
      </c>
      <c r="AR15" s="11" t="s">
        <v>51</v>
      </c>
      <c r="AS15" s="11" t="s">
        <v>51</v>
      </c>
      <c r="AT15" s="50">
        <v>0</v>
      </c>
      <c r="AU15" s="18">
        <v>20</v>
      </c>
      <c r="AV15" s="18">
        <v>0</v>
      </c>
      <c r="AW15" s="18">
        <v>0</v>
      </c>
      <c r="AX15" s="18">
        <v>0</v>
      </c>
      <c r="AY15" s="54">
        <f t="shared" si="0"/>
        <v>20</v>
      </c>
      <c r="AZ15" t="s">
        <v>52</v>
      </c>
      <c r="BA15" s="38">
        <v>91.78</v>
      </c>
    </row>
    <row r="16" spans="1:53" x14ac:dyDescent="0.25">
      <c r="A16" s="39" t="s">
        <v>46</v>
      </c>
      <c r="B16" t="s">
        <v>108</v>
      </c>
      <c r="C16" t="s">
        <v>109</v>
      </c>
      <c r="D16" t="s">
        <v>110</v>
      </c>
      <c r="E16">
        <v>47</v>
      </c>
      <c r="F16" t="s">
        <v>965</v>
      </c>
      <c r="G16" t="s">
        <v>943</v>
      </c>
      <c r="H16" t="s">
        <v>944</v>
      </c>
      <c r="I16" t="s">
        <v>950</v>
      </c>
      <c r="J16" t="s">
        <v>955</v>
      </c>
      <c r="K16" t="s">
        <v>958</v>
      </c>
      <c r="L16" s="11">
        <v>18.329999999999998</v>
      </c>
      <c r="M16" s="11">
        <v>13.330000000000002</v>
      </c>
      <c r="N16" s="11">
        <v>50</v>
      </c>
      <c r="O16" s="11">
        <v>6.5</v>
      </c>
      <c r="P16" s="50">
        <v>88.16</v>
      </c>
      <c r="Q16" s="11">
        <v>0</v>
      </c>
      <c r="R16" s="11">
        <v>0</v>
      </c>
      <c r="S16" s="11">
        <v>0</v>
      </c>
      <c r="T16" s="50">
        <v>0</v>
      </c>
      <c r="U16" s="11">
        <v>0</v>
      </c>
      <c r="V16" s="11">
        <v>0</v>
      </c>
      <c r="W16" s="11">
        <v>0</v>
      </c>
      <c r="X16" s="11">
        <v>0</v>
      </c>
      <c r="Y16" s="50">
        <v>0</v>
      </c>
      <c r="Z16">
        <v>0</v>
      </c>
      <c r="AA16">
        <v>0</v>
      </c>
      <c r="AB16" s="52">
        <v>0</v>
      </c>
      <c r="AC16">
        <v>0</v>
      </c>
      <c r="AD16">
        <v>0</v>
      </c>
      <c r="AE16">
        <v>0</v>
      </c>
      <c r="AF16">
        <v>0</v>
      </c>
      <c r="AG16" s="50">
        <v>0</v>
      </c>
      <c r="AH16">
        <v>0</v>
      </c>
      <c r="AI16">
        <v>0</v>
      </c>
      <c r="AJ16">
        <v>0</v>
      </c>
      <c r="AK16">
        <v>0</v>
      </c>
      <c r="AL16" s="50">
        <v>0</v>
      </c>
      <c r="AM16">
        <v>0</v>
      </c>
      <c r="AN16">
        <v>0</v>
      </c>
      <c r="AO16">
        <v>0</v>
      </c>
      <c r="AP16" s="50">
        <v>0</v>
      </c>
      <c r="AQ16" s="11" t="s">
        <v>51</v>
      </c>
      <c r="AR16" s="11" t="s">
        <v>51</v>
      </c>
      <c r="AS16" s="11" t="s">
        <v>51</v>
      </c>
      <c r="AT16" s="50">
        <v>0</v>
      </c>
      <c r="AU16" s="18">
        <v>3</v>
      </c>
      <c r="AV16" s="18">
        <v>0</v>
      </c>
      <c r="AW16" s="18">
        <v>0</v>
      </c>
      <c r="AX16" s="18">
        <v>0</v>
      </c>
      <c r="AY16" s="54">
        <f t="shared" si="0"/>
        <v>3</v>
      </c>
      <c r="AZ16" t="s">
        <v>52</v>
      </c>
      <c r="BA16" s="38">
        <v>88.160000000000011</v>
      </c>
    </row>
    <row r="17" spans="1:53" s="39" customFormat="1" x14ac:dyDescent="0.25">
      <c r="A17" s="39" t="s">
        <v>46</v>
      </c>
      <c r="B17" s="39" t="s">
        <v>126</v>
      </c>
      <c r="C17" s="39" t="s">
        <v>127</v>
      </c>
      <c r="D17" s="39" t="s">
        <v>128</v>
      </c>
      <c r="E17">
        <v>33</v>
      </c>
      <c r="F17" t="s">
        <v>966</v>
      </c>
      <c r="G17" t="s">
        <v>949</v>
      </c>
      <c r="H17" t="s">
        <v>944</v>
      </c>
      <c r="I17" t="s">
        <v>950</v>
      </c>
      <c r="J17" t="s">
        <v>946</v>
      </c>
      <c r="K17" t="s">
        <v>967</v>
      </c>
      <c r="L17" s="40">
        <v>18.07</v>
      </c>
      <c r="M17" s="40">
        <v>20</v>
      </c>
      <c r="N17" s="40">
        <v>44.59</v>
      </c>
      <c r="O17" s="40">
        <v>2.5</v>
      </c>
      <c r="P17" s="51">
        <v>85.16</v>
      </c>
      <c r="Q17" s="40">
        <v>0</v>
      </c>
      <c r="R17" s="40">
        <v>0</v>
      </c>
      <c r="S17" s="40">
        <v>0</v>
      </c>
      <c r="T17" s="51">
        <v>0</v>
      </c>
      <c r="U17" s="40">
        <v>0</v>
      </c>
      <c r="V17" s="40">
        <v>0</v>
      </c>
      <c r="W17" s="40">
        <v>0</v>
      </c>
      <c r="X17" s="40">
        <v>0</v>
      </c>
      <c r="Y17" s="51">
        <v>0</v>
      </c>
      <c r="Z17" s="39">
        <v>0</v>
      </c>
      <c r="AA17" s="39">
        <v>0</v>
      </c>
      <c r="AB17" s="53">
        <v>0</v>
      </c>
      <c r="AC17" s="39">
        <v>0</v>
      </c>
      <c r="AD17" s="39">
        <v>0</v>
      </c>
      <c r="AE17" s="39">
        <v>0</v>
      </c>
      <c r="AF17" s="39">
        <v>0</v>
      </c>
      <c r="AG17" s="51">
        <v>0</v>
      </c>
      <c r="AH17" s="40">
        <v>17.647058823529413</v>
      </c>
      <c r="AI17" s="40">
        <v>58.82352941176471</v>
      </c>
      <c r="AJ17" s="40">
        <v>0</v>
      </c>
      <c r="AK17" s="40">
        <v>22.058823529411761</v>
      </c>
      <c r="AL17" s="51">
        <v>98.529411764705884</v>
      </c>
      <c r="AM17" s="39">
        <v>35</v>
      </c>
      <c r="AN17" s="39">
        <v>20</v>
      </c>
      <c r="AO17" s="39">
        <v>25.14</v>
      </c>
      <c r="AP17" s="51">
        <v>80.14</v>
      </c>
      <c r="AQ17" s="40">
        <v>0</v>
      </c>
      <c r="AR17" s="40" t="s">
        <v>51</v>
      </c>
      <c r="AS17" s="40" t="s">
        <v>51</v>
      </c>
      <c r="AT17" s="51">
        <v>0</v>
      </c>
      <c r="AU17" s="41">
        <v>26.25</v>
      </c>
      <c r="AV17" s="41">
        <v>5</v>
      </c>
      <c r="AW17" s="41">
        <v>0</v>
      </c>
      <c r="AX17" s="41">
        <v>6.75</v>
      </c>
      <c r="AY17" s="55">
        <f t="shared" si="0"/>
        <v>38</v>
      </c>
      <c r="AZ17" s="39" t="s">
        <v>52</v>
      </c>
      <c r="BA17" s="42">
        <v>86.02742260061919</v>
      </c>
    </row>
    <row r="18" spans="1:53" x14ac:dyDescent="0.25">
      <c r="A18" s="39" t="s">
        <v>46</v>
      </c>
      <c r="B18" t="s">
        <v>130</v>
      </c>
      <c r="C18" t="s">
        <v>131</v>
      </c>
      <c r="D18" t="s">
        <v>132</v>
      </c>
      <c r="E18">
        <v>36</v>
      </c>
      <c r="F18" t="s">
        <v>963</v>
      </c>
      <c r="G18" t="s">
        <v>949</v>
      </c>
      <c r="H18" t="s">
        <v>944</v>
      </c>
      <c r="I18" t="s">
        <v>950</v>
      </c>
      <c r="J18" t="s">
        <v>946</v>
      </c>
      <c r="K18" t="s">
        <v>968</v>
      </c>
      <c r="L18" s="11">
        <v>19.670000000000002</v>
      </c>
      <c r="M18" s="11">
        <v>20</v>
      </c>
      <c r="N18" s="11">
        <v>47.38</v>
      </c>
      <c r="O18" s="11">
        <v>4.5</v>
      </c>
      <c r="P18" s="50">
        <v>91.550000000000011</v>
      </c>
      <c r="Q18" s="11">
        <v>0</v>
      </c>
      <c r="R18" s="11">
        <v>0</v>
      </c>
      <c r="S18" s="11">
        <v>0</v>
      </c>
      <c r="T18" s="50">
        <v>0</v>
      </c>
      <c r="U18" s="11">
        <v>0</v>
      </c>
      <c r="V18" s="11">
        <v>0</v>
      </c>
      <c r="W18" s="11">
        <v>0</v>
      </c>
      <c r="X18" s="11">
        <v>0</v>
      </c>
      <c r="Y18" s="50">
        <v>0</v>
      </c>
      <c r="Z18">
        <v>0</v>
      </c>
      <c r="AA18">
        <v>0</v>
      </c>
      <c r="AB18" s="52">
        <v>0</v>
      </c>
      <c r="AC18">
        <v>0</v>
      </c>
      <c r="AD18">
        <v>0</v>
      </c>
      <c r="AE18">
        <v>0</v>
      </c>
      <c r="AF18">
        <v>0</v>
      </c>
      <c r="AG18" s="50">
        <v>0</v>
      </c>
      <c r="AH18">
        <v>0</v>
      </c>
      <c r="AI18">
        <v>0</v>
      </c>
      <c r="AJ18">
        <v>0</v>
      </c>
      <c r="AK18">
        <v>0</v>
      </c>
      <c r="AL18" s="50">
        <v>0</v>
      </c>
      <c r="AM18">
        <v>0</v>
      </c>
      <c r="AN18">
        <v>0</v>
      </c>
      <c r="AO18">
        <v>0</v>
      </c>
      <c r="AP18" s="50">
        <v>0</v>
      </c>
      <c r="AQ18" s="11" t="s">
        <v>51</v>
      </c>
      <c r="AR18" s="11" t="s">
        <v>51</v>
      </c>
      <c r="AS18" s="11" t="s">
        <v>51</v>
      </c>
      <c r="AT18" s="50">
        <v>0</v>
      </c>
      <c r="AU18" s="18">
        <v>40</v>
      </c>
      <c r="AV18" s="18">
        <v>0</v>
      </c>
      <c r="AW18" s="18">
        <v>0</v>
      </c>
      <c r="AX18" s="18">
        <v>0</v>
      </c>
      <c r="AY18" s="54">
        <f t="shared" si="0"/>
        <v>40</v>
      </c>
      <c r="AZ18" t="s">
        <v>52</v>
      </c>
      <c r="BA18" s="38">
        <v>91.550000000000011</v>
      </c>
    </row>
    <row r="19" spans="1:53" x14ac:dyDescent="0.25">
      <c r="A19" s="39" t="s">
        <v>46</v>
      </c>
      <c r="B19" t="s">
        <v>134</v>
      </c>
      <c r="C19" t="s">
        <v>135</v>
      </c>
      <c r="D19" t="s">
        <v>136</v>
      </c>
      <c r="E19">
        <v>43</v>
      </c>
      <c r="F19" t="s">
        <v>969</v>
      </c>
      <c r="G19" t="s">
        <v>943</v>
      </c>
      <c r="H19" t="s">
        <v>944</v>
      </c>
      <c r="I19" t="s">
        <v>950</v>
      </c>
      <c r="J19" t="s">
        <v>946</v>
      </c>
      <c r="K19" t="s">
        <v>970</v>
      </c>
      <c r="L19" s="11">
        <v>20</v>
      </c>
      <c r="M19" s="11">
        <v>20</v>
      </c>
      <c r="N19" s="11">
        <v>44.73</v>
      </c>
      <c r="O19" s="11">
        <v>5.5</v>
      </c>
      <c r="P19" s="50">
        <v>90.22999999999999</v>
      </c>
      <c r="Q19" s="11">
        <v>0</v>
      </c>
      <c r="R19" s="11">
        <v>0</v>
      </c>
      <c r="S19" s="11">
        <v>0</v>
      </c>
      <c r="T19" s="50">
        <v>0</v>
      </c>
      <c r="U19" s="11">
        <v>0</v>
      </c>
      <c r="V19" s="11">
        <v>0</v>
      </c>
      <c r="W19" s="11">
        <v>0</v>
      </c>
      <c r="X19" s="11">
        <v>0</v>
      </c>
      <c r="Y19" s="50">
        <v>0</v>
      </c>
      <c r="Z19">
        <v>0</v>
      </c>
      <c r="AA19">
        <v>0</v>
      </c>
      <c r="AB19" s="52">
        <v>0</v>
      </c>
      <c r="AC19">
        <v>0</v>
      </c>
      <c r="AD19">
        <v>0</v>
      </c>
      <c r="AE19">
        <v>0</v>
      </c>
      <c r="AF19">
        <v>0</v>
      </c>
      <c r="AG19" s="50">
        <v>0</v>
      </c>
      <c r="AH19">
        <v>15</v>
      </c>
      <c r="AI19">
        <v>50</v>
      </c>
      <c r="AJ19">
        <v>15</v>
      </c>
      <c r="AK19">
        <v>20</v>
      </c>
      <c r="AL19" s="50">
        <v>100</v>
      </c>
      <c r="AM19">
        <v>0</v>
      </c>
      <c r="AN19">
        <v>0</v>
      </c>
      <c r="AO19">
        <v>0</v>
      </c>
      <c r="AP19" s="50">
        <v>0</v>
      </c>
      <c r="AQ19" s="11" t="s">
        <v>51</v>
      </c>
      <c r="AR19" s="11" t="s">
        <v>51</v>
      </c>
      <c r="AS19" s="11" t="s">
        <v>51</v>
      </c>
      <c r="AT19" s="50">
        <v>0</v>
      </c>
      <c r="AU19" s="18">
        <v>35</v>
      </c>
      <c r="AV19" s="18">
        <v>5</v>
      </c>
      <c r="AW19" s="18">
        <v>0</v>
      </c>
      <c r="AX19" s="18">
        <v>0</v>
      </c>
      <c r="AY19" s="54">
        <f t="shared" si="0"/>
        <v>40</v>
      </c>
      <c r="AZ19" t="s">
        <v>52</v>
      </c>
      <c r="BA19" s="38">
        <v>91.451249999999987</v>
      </c>
    </row>
    <row r="20" spans="1:53" x14ac:dyDescent="0.25">
      <c r="A20" s="39" t="s">
        <v>46</v>
      </c>
      <c r="B20" t="s">
        <v>138</v>
      </c>
      <c r="C20" t="s">
        <v>139</v>
      </c>
      <c r="D20" t="s">
        <v>140</v>
      </c>
      <c r="E20">
        <v>49</v>
      </c>
      <c r="F20" t="s">
        <v>971</v>
      </c>
      <c r="G20" t="s">
        <v>949</v>
      </c>
      <c r="H20" t="s">
        <v>944</v>
      </c>
      <c r="I20" t="s">
        <v>950</v>
      </c>
      <c r="J20" t="s">
        <v>955</v>
      </c>
      <c r="K20" t="s">
        <v>962</v>
      </c>
      <c r="L20" s="11">
        <v>0</v>
      </c>
      <c r="M20" s="11">
        <v>22.912500000000001</v>
      </c>
      <c r="N20" s="11">
        <v>55.962499999999999</v>
      </c>
      <c r="O20" s="11">
        <v>5</v>
      </c>
      <c r="P20" s="50">
        <v>83.875</v>
      </c>
      <c r="Q20" s="11">
        <v>0</v>
      </c>
      <c r="R20" s="11">
        <v>0</v>
      </c>
      <c r="S20" s="11">
        <v>0</v>
      </c>
      <c r="T20" s="50">
        <v>0</v>
      </c>
      <c r="U20" s="11">
        <v>0</v>
      </c>
      <c r="V20" s="11">
        <v>0</v>
      </c>
      <c r="W20" s="11">
        <v>0</v>
      </c>
      <c r="X20" s="11">
        <v>0</v>
      </c>
      <c r="Y20" s="50">
        <v>0</v>
      </c>
      <c r="Z20">
        <v>0</v>
      </c>
      <c r="AA20">
        <v>0</v>
      </c>
      <c r="AB20" s="52">
        <v>0</v>
      </c>
      <c r="AC20">
        <v>0</v>
      </c>
      <c r="AD20">
        <v>0</v>
      </c>
      <c r="AE20">
        <v>0</v>
      </c>
      <c r="AF20">
        <v>0</v>
      </c>
      <c r="AG20" s="50">
        <v>0</v>
      </c>
      <c r="AH20">
        <v>0</v>
      </c>
      <c r="AI20">
        <v>0</v>
      </c>
      <c r="AJ20">
        <v>0</v>
      </c>
      <c r="AK20">
        <v>0</v>
      </c>
      <c r="AL20" s="50">
        <v>0</v>
      </c>
      <c r="AM20">
        <v>0</v>
      </c>
      <c r="AN20">
        <v>0</v>
      </c>
      <c r="AO20">
        <v>0</v>
      </c>
      <c r="AP20" s="50">
        <v>0</v>
      </c>
      <c r="AQ20" s="11" t="s">
        <v>51</v>
      </c>
      <c r="AR20" s="11" t="s">
        <v>51</v>
      </c>
      <c r="AS20" s="11" t="s">
        <v>51</v>
      </c>
      <c r="AT20" s="50">
        <v>0</v>
      </c>
      <c r="AU20" s="18">
        <v>10</v>
      </c>
      <c r="AV20" s="18">
        <v>0</v>
      </c>
      <c r="AW20" s="18">
        <v>0</v>
      </c>
      <c r="AX20" s="18">
        <v>0</v>
      </c>
      <c r="AY20" s="54">
        <f t="shared" si="0"/>
        <v>10</v>
      </c>
      <c r="AZ20" t="s">
        <v>52</v>
      </c>
      <c r="BA20" s="38">
        <v>83.875</v>
      </c>
    </row>
    <row r="21" spans="1:53" x14ac:dyDescent="0.25">
      <c r="A21" s="39" t="s">
        <v>46</v>
      </c>
      <c r="B21" t="s">
        <v>142</v>
      </c>
      <c r="C21" t="s">
        <v>143</v>
      </c>
      <c r="D21" t="s">
        <v>144</v>
      </c>
      <c r="E21">
        <v>51</v>
      </c>
      <c r="F21" t="s">
        <v>972</v>
      </c>
      <c r="G21" t="s">
        <v>949</v>
      </c>
      <c r="H21" t="s">
        <v>944</v>
      </c>
      <c r="I21" t="s">
        <v>945</v>
      </c>
      <c r="J21" t="s">
        <v>946</v>
      </c>
      <c r="K21" t="s">
        <v>973</v>
      </c>
      <c r="L21" s="11">
        <v>20</v>
      </c>
      <c r="M21" s="11">
        <v>13.330000000000002</v>
      </c>
      <c r="N21" s="11">
        <v>47.3</v>
      </c>
      <c r="O21" s="11">
        <v>3</v>
      </c>
      <c r="P21" s="50">
        <v>83.63</v>
      </c>
      <c r="Q21" s="11">
        <v>0</v>
      </c>
      <c r="R21" s="11">
        <v>0</v>
      </c>
      <c r="S21" s="11">
        <v>0</v>
      </c>
      <c r="T21" s="50">
        <v>0</v>
      </c>
      <c r="U21" s="11">
        <v>0</v>
      </c>
      <c r="V21" s="11">
        <v>0</v>
      </c>
      <c r="W21" s="11">
        <v>0</v>
      </c>
      <c r="X21" s="11">
        <v>0</v>
      </c>
      <c r="Y21" s="50">
        <v>0</v>
      </c>
      <c r="Z21">
        <v>0</v>
      </c>
      <c r="AA21">
        <v>0</v>
      </c>
      <c r="AB21" s="52">
        <v>0</v>
      </c>
      <c r="AC21">
        <v>0</v>
      </c>
      <c r="AD21">
        <v>0</v>
      </c>
      <c r="AE21">
        <v>0</v>
      </c>
      <c r="AF21">
        <v>0</v>
      </c>
      <c r="AG21" s="50">
        <v>0</v>
      </c>
      <c r="AH21">
        <v>0</v>
      </c>
      <c r="AI21">
        <v>0</v>
      </c>
      <c r="AJ21">
        <v>0</v>
      </c>
      <c r="AK21">
        <v>0</v>
      </c>
      <c r="AL21" s="50">
        <v>0</v>
      </c>
      <c r="AM21">
        <v>0</v>
      </c>
      <c r="AN21">
        <v>0</v>
      </c>
      <c r="AO21">
        <v>0</v>
      </c>
      <c r="AP21" s="50">
        <v>0</v>
      </c>
      <c r="AQ21" s="11" t="s">
        <v>51</v>
      </c>
      <c r="AR21" s="11" t="s">
        <v>51</v>
      </c>
      <c r="AS21" s="11" t="s">
        <v>51</v>
      </c>
      <c r="AT21" s="50">
        <v>0</v>
      </c>
      <c r="AU21" s="18">
        <v>40</v>
      </c>
      <c r="AV21" s="18">
        <v>0</v>
      </c>
      <c r="AW21" s="18">
        <v>0</v>
      </c>
      <c r="AX21" s="18">
        <v>0</v>
      </c>
      <c r="AY21" s="54">
        <f t="shared" si="0"/>
        <v>40</v>
      </c>
      <c r="AZ21" t="s">
        <v>52</v>
      </c>
      <c r="BA21" s="38">
        <v>83.63</v>
      </c>
    </row>
    <row r="22" spans="1:53" x14ac:dyDescent="0.25">
      <c r="A22" s="39" t="s">
        <v>46</v>
      </c>
      <c r="B22" t="s">
        <v>158</v>
      </c>
      <c r="C22" t="s">
        <v>159</v>
      </c>
      <c r="D22" t="s">
        <v>160</v>
      </c>
      <c r="E22">
        <v>52</v>
      </c>
      <c r="F22" t="s">
        <v>974</v>
      </c>
      <c r="G22" t="s">
        <v>949</v>
      </c>
      <c r="H22" t="s">
        <v>944</v>
      </c>
      <c r="I22" t="s">
        <v>950</v>
      </c>
      <c r="J22" t="s">
        <v>955</v>
      </c>
      <c r="K22" t="s">
        <v>956</v>
      </c>
      <c r="L22" s="11">
        <v>0</v>
      </c>
      <c r="M22" s="11">
        <v>0</v>
      </c>
      <c r="N22" s="11">
        <v>74.783333333333346</v>
      </c>
      <c r="O22" s="11">
        <v>5.8333333333333321</v>
      </c>
      <c r="P22" s="50">
        <v>80.616666666666674</v>
      </c>
      <c r="Q22" s="11">
        <v>0</v>
      </c>
      <c r="R22" s="11">
        <v>0</v>
      </c>
      <c r="S22" s="11">
        <v>0</v>
      </c>
      <c r="T22" s="50">
        <v>0</v>
      </c>
      <c r="U22" s="11">
        <v>0</v>
      </c>
      <c r="V22" s="11">
        <v>0</v>
      </c>
      <c r="W22" s="11">
        <v>0</v>
      </c>
      <c r="X22" s="11">
        <v>0</v>
      </c>
      <c r="Y22" s="50">
        <v>0</v>
      </c>
      <c r="Z22">
        <v>0</v>
      </c>
      <c r="AA22">
        <v>0</v>
      </c>
      <c r="AB22" s="52">
        <v>0</v>
      </c>
      <c r="AC22">
        <v>0</v>
      </c>
      <c r="AD22">
        <v>0</v>
      </c>
      <c r="AE22">
        <v>0</v>
      </c>
      <c r="AF22">
        <v>0</v>
      </c>
      <c r="AG22" s="50">
        <v>0</v>
      </c>
      <c r="AH22">
        <v>0</v>
      </c>
      <c r="AI22">
        <v>0</v>
      </c>
      <c r="AJ22">
        <v>0</v>
      </c>
      <c r="AK22">
        <v>0</v>
      </c>
      <c r="AL22" s="50">
        <v>0</v>
      </c>
      <c r="AM22">
        <v>0</v>
      </c>
      <c r="AN22">
        <v>0</v>
      </c>
      <c r="AO22">
        <v>0</v>
      </c>
      <c r="AP22" s="50">
        <v>0</v>
      </c>
      <c r="AQ22" s="11" t="s">
        <v>51</v>
      </c>
      <c r="AR22" s="11" t="s">
        <v>51</v>
      </c>
      <c r="AS22" s="11" t="s">
        <v>51</v>
      </c>
      <c r="AT22" s="50">
        <v>0</v>
      </c>
      <c r="AU22" s="18">
        <v>6</v>
      </c>
      <c r="AV22" s="18">
        <v>0</v>
      </c>
      <c r="AW22" s="18">
        <v>0</v>
      </c>
      <c r="AX22" s="18">
        <v>0</v>
      </c>
      <c r="AY22" s="54">
        <f t="shared" si="0"/>
        <v>6</v>
      </c>
      <c r="AZ22" t="s">
        <v>52</v>
      </c>
      <c r="BA22" s="38">
        <v>80.616666666666674</v>
      </c>
    </row>
    <row r="23" spans="1:53" x14ac:dyDescent="0.25">
      <c r="A23" s="39" t="s">
        <v>46</v>
      </c>
      <c r="B23" t="s">
        <v>162</v>
      </c>
      <c r="C23" t="s">
        <v>163</v>
      </c>
      <c r="D23" t="s">
        <v>164</v>
      </c>
      <c r="E23">
        <v>34</v>
      </c>
      <c r="F23" t="s">
        <v>954</v>
      </c>
      <c r="G23" t="s">
        <v>943</v>
      </c>
      <c r="H23" t="s">
        <v>944</v>
      </c>
      <c r="I23" t="s">
        <v>950</v>
      </c>
      <c r="J23" t="s">
        <v>955</v>
      </c>
      <c r="K23" t="s">
        <v>956</v>
      </c>
      <c r="L23" s="11">
        <v>25</v>
      </c>
      <c r="M23" s="11">
        <v>0</v>
      </c>
      <c r="N23" s="11">
        <v>53.55</v>
      </c>
      <c r="O23" s="11">
        <v>10</v>
      </c>
      <c r="P23" s="50">
        <v>88.55</v>
      </c>
      <c r="Q23" s="11">
        <v>0</v>
      </c>
      <c r="R23" s="11">
        <v>0</v>
      </c>
      <c r="S23" s="11">
        <v>0</v>
      </c>
      <c r="T23" s="50">
        <v>0</v>
      </c>
      <c r="U23" s="11">
        <v>0</v>
      </c>
      <c r="V23" s="11">
        <v>0</v>
      </c>
      <c r="W23" s="11">
        <v>0</v>
      </c>
      <c r="X23" s="11">
        <v>0</v>
      </c>
      <c r="Y23" s="50">
        <v>0</v>
      </c>
      <c r="Z23">
        <v>0</v>
      </c>
      <c r="AA23">
        <v>0</v>
      </c>
      <c r="AB23" s="52">
        <v>0</v>
      </c>
      <c r="AC23">
        <v>0</v>
      </c>
      <c r="AD23">
        <v>0</v>
      </c>
      <c r="AE23">
        <v>0</v>
      </c>
      <c r="AF23">
        <v>0</v>
      </c>
      <c r="AG23" s="50">
        <v>0</v>
      </c>
      <c r="AH23">
        <v>0</v>
      </c>
      <c r="AI23">
        <v>0</v>
      </c>
      <c r="AJ23">
        <v>0</v>
      </c>
      <c r="AK23">
        <v>0</v>
      </c>
      <c r="AL23" s="50">
        <v>0</v>
      </c>
      <c r="AM23">
        <v>0</v>
      </c>
      <c r="AN23">
        <v>0</v>
      </c>
      <c r="AO23">
        <v>0</v>
      </c>
      <c r="AP23" s="50">
        <v>0</v>
      </c>
      <c r="AQ23" s="11" t="s">
        <v>51</v>
      </c>
      <c r="AR23" s="11" t="s">
        <v>51</v>
      </c>
      <c r="AS23" s="11" t="s">
        <v>51</v>
      </c>
      <c r="AT23" s="50">
        <v>0</v>
      </c>
      <c r="AU23" s="18">
        <v>8</v>
      </c>
      <c r="AV23" s="18">
        <v>0</v>
      </c>
      <c r="AW23" s="18">
        <v>0</v>
      </c>
      <c r="AX23" s="18">
        <v>0</v>
      </c>
      <c r="AY23" s="54">
        <f t="shared" si="0"/>
        <v>8</v>
      </c>
      <c r="AZ23" t="s">
        <v>52</v>
      </c>
      <c r="BA23" s="38">
        <v>88.55</v>
      </c>
    </row>
    <row r="24" spans="1:53" x14ac:dyDescent="0.25">
      <c r="A24" s="39" t="s">
        <v>46</v>
      </c>
      <c r="B24" t="s">
        <v>170</v>
      </c>
      <c r="C24" t="s">
        <v>171</v>
      </c>
      <c r="D24" t="s">
        <v>172</v>
      </c>
      <c r="E24">
        <v>31</v>
      </c>
      <c r="F24" t="s">
        <v>975</v>
      </c>
      <c r="G24" t="s">
        <v>943</v>
      </c>
      <c r="H24" t="s">
        <v>944</v>
      </c>
      <c r="I24" t="s">
        <v>950</v>
      </c>
      <c r="J24" t="s">
        <v>955</v>
      </c>
      <c r="K24" t="s">
        <v>962</v>
      </c>
      <c r="L24" s="11">
        <v>20</v>
      </c>
      <c r="M24" s="11">
        <v>16.670000000000002</v>
      </c>
      <c r="N24" s="11">
        <v>47.3</v>
      </c>
      <c r="O24" s="11">
        <v>5</v>
      </c>
      <c r="P24" s="50">
        <v>88.97</v>
      </c>
      <c r="Q24" s="11">
        <v>0</v>
      </c>
      <c r="R24" s="11">
        <v>0</v>
      </c>
      <c r="S24" s="11">
        <v>0</v>
      </c>
      <c r="T24" s="50">
        <v>0</v>
      </c>
      <c r="U24" s="11">
        <v>0</v>
      </c>
      <c r="V24" s="11">
        <v>0</v>
      </c>
      <c r="W24" s="11">
        <v>0</v>
      </c>
      <c r="X24" s="11">
        <v>0</v>
      </c>
      <c r="Y24" s="50">
        <v>0</v>
      </c>
      <c r="Z24">
        <v>0</v>
      </c>
      <c r="AA24">
        <v>0</v>
      </c>
      <c r="AB24" s="52">
        <v>0</v>
      </c>
      <c r="AC24">
        <v>0</v>
      </c>
      <c r="AD24">
        <v>0</v>
      </c>
      <c r="AE24">
        <v>0</v>
      </c>
      <c r="AF24">
        <v>0</v>
      </c>
      <c r="AG24" s="50">
        <v>0</v>
      </c>
      <c r="AH24">
        <v>0</v>
      </c>
      <c r="AI24">
        <v>0</v>
      </c>
      <c r="AJ24">
        <v>0</v>
      </c>
      <c r="AK24">
        <v>0</v>
      </c>
      <c r="AL24" s="50">
        <v>0</v>
      </c>
      <c r="AM24">
        <v>0</v>
      </c>
      <c r="AN24">
        <v>0</v>
      </c>
      <c r="AO24">
        <v>0</v>
      </c>
      <c r="AP24" s="50">
        <v>0</v>
      </c>
      <c r="AQ24" s="11" t="s">
        <v>51</v>
      </c>
      <c r="AR24" s="11" t="s">
        <v>51</v>
      </c>
      <c r="AS24" s="11" t="s">
        <v>51</v>
      </c>
      <c r="AT24" s="50">
        <v>0</v>
      </c>
      <c r="AU24" s="18">
        <v>8</v>
      </c>
      <c r="AV24" s="18">
        <v>0</v>
      </c>
      <c r="AW24" s="18">
        <v>0</v>
      </c>
      <c r="AX24" s="18">
        <v>0</v>
      </c>
      <c r="AY24" s="54">
        <f t="shared" si="0"/>
        <v>8</v>
      </c>
      <c r="AZ24" t="s">
        <v>52</v>
      </c>
      <c r="BA24" s="38">
        <v>88.97</v>
      </c>
    </row>
    <row r="25" spans="1:53" x14ac:dyDescent="0.25">
      <c r="A25" s="39" t="s">
        <v>46</v>
      </c>
      <c r="B25" t="s">
        <v>174</v>
      </c>
      <c r="C25" t="s">
        <v>175</v>
      </c>
      <c r="D25" t="s">
        <v>176</v>
      </c>
      <c r="E25">
        <v>39</v>
      </c>
      <c r="F25" t="s">
        <v>976</v>
      </c>
      <c r="G25" t="s">
        <v>949</v>
      </c>
      <c r="H25" t="s">
        <v>944</v>
      </c>
      <c r="I25" t="s">
        <v>977</v>
      </c>
      <c r="J25" t="s">
        <v>955</v>
      </c>
      <c r="K25" t="s">
        <v>978</v>
      </c>
      <c r="L25" s="11">
        <v>0</v>
      </c>
      <c r="M25" s="11">
        <v>0</v>
      </c>
      <c r="N25" s="11">
        <v>0</v>
      </c>
      <c r="O25" s="11">
        <v>0</v>
      </c>
      <c r="P25" s="50">
        <v>0</v>
      </c>
      <c r="Q25" s="11">
        <v>0</v>
      </c>
      <c r="R25" s="11">
        <v>0</v>
      </c>
      <c r="S25" s="11">
        <v>0</v>
      </c>
      <c r="T25" s="50">
        <v>0</v>
      </c>
      <c r="U25" s="11">
        <v>0</v>
      </c>
      <c r="V25" s="11">
        <v>0</v>
      </c>
      <c r="W25" s="11">
        <v>0</v>
      </c>
      <c r="X25" s="11">
        <v>0</v>
      </c>
      <c r="Y25" s="50">
        <v>0</v>
      </c>
      <c r="Z25">
        <v>0</v>
      </c>
      <c r="AA25">
        <v>0</v>
      </c>
      <c r="AB25" s="52">
        <v>0</v>
      </c>
      <c r="AC25">
        <v>2.5</v>
      </c>
      <c r="AD25">
        <v>19.329999999999998</v>
      </c>
      <c r="AE25">
        <v>37.6</v>
      </c>
      <c r="AF25">
        <v>18.670000000000002</v>
      </c>
      <c r="AG25" s="50">
        <v>78.099999999999994</v>
      </c>
      <c r="AH25">
        <v>0</v>
      </c>
      <c r="AI25">
        <v>0</v>
      </c>
      <c r="AJ25">
        <v>0</v>
      </c>
      <c r="AK25">
        <v>0</v>
      </c>
      <c r="AL25" s="50">
        <v>0</v>
      </c>
      <c r="AM25">
        <v>0</v>
      </c>
      <c r="AN25">
        <v>0</v>
      </c>
      <c r="AO25">
        <v>0</v>
      </c>
      <c r="AP25" s="50">
        <v>0</v>
      </c>
      <c r="AQ25" s="11" t="s">
        <v>51</v>
      </c>
      <c r="AR25" s="11" t="s">
        <v>51</v>
      </c>
      <c r="AS25" s="11" t="s">
        <v>51</v>
      </c>
      <c r="AT25" s="50">
        <v>0</v>
      </c>
      <c r="AU25" s="18">
        <v>8</v>
      </c>
      <c r="AV25" s="18">
        <v>0</v>
      </c>
      <c r="AW25" s="18">
        <v>0</v>
      </c>
      <c r="AX25" s="18">
        <v>0</v>
      </c>
      <c r="AY25" s="54">
        <f t="shared" si="0"/>
        <v>8</v>
      </c>
      <c r="AZ25" t="s">
        <v>52</v>
      </c>
      <c r="BA25" s="38">
        <v>78.099999999999994</v>
      </c>
    </row>
    <row r="26" spans="1:53" x14ac:dyDescent="0.25">
      <c r="A26" s="39" t="s">
        <v>46</v>
      </c>
      <c r="B26" t="s">
        <v>178</v>
      </c>
      <c r="C26" t="s">
        <v>179</v>
      </c>
      <c r="D26" t="s">
        <v>180</v>
      </c>
      <c r="E26">
        <v>55</v>
      </c>
      <c r="F26" t="s">
        <v>979</v>
      </c>
      <c r="G26" t="s">
        <v>943</v>
      </c>
      <c r="H26" t="s">
        <v>944</v>
      </c>
      <c r="I26" t="s">
        <v>950</v>
      </c>
      <c r="J26" t="s">
        <v>946</v>
      </c>
      <c r="K26" t="s">
        <v>956</v>
      </c>
      <c r="L26" s="11">
        <v>20.274999999999999</v>
      </c>
      <c r="M26" s="11">
        <v>0</v>
      </c>
      <c r="N26" s="11">
        <v>56.987499999999997</v>
      </c>
      <c r="O26" s="11">
        <v>6.875</v>
      </c>
      <c r="P26" s="50">
        <v>84.137499999999989</v>
      </c>
      <c r="Q26" s="11">
        <v>0</v>
      </c>
      <c r="R26" s="11">
        <v>0</v>
      </c>
      <c r="S26" s="11">
        <v>0</v>
      </c>
      <c r="T26" s="50">
        <v>0</v>
      </c>
      <c r="U26" s="11">
        <v>0</v>
      </c>
      <c r="V26" s="11">
        <v>0</v>
      </c>
      <c r="W26" s="11">
        <v>0</v>
      </c>
      <c r="X26" s="11">
        <v>0</v>
      </c>
      <c r="Y26" s="50">
        <v>0</v>
      </c>
      <c r="Z26">
        <v>0</v>
      </c>
      <c r="AA26">
        <v>0</v>
      </c>
      <c r="AB26" s="52">
        <v>0</v>
      </c>
      <c r="AC26">
        <v>0</v>
      </c>
      <c r="AD26">
        <v>0</v>
      </c>
      <c r="AE26">
        <v>0</v>
      </c>
      <c r="AF26">
        <v>0</v>
      </c>
      <c r="AG26" s="50">
        <v>0</v>
      </c>
      <c r="AH26" s="35">
        <v>0</v>
      </c>
      <c r="AI26" s="35">
        <v>71.428571428571431</v>
      </c>
      <c r="AJ26" s="35">
        <v>0</v>
      </c>
      <c r="AK26" s="35">
        <v>28.571428571428569</v>
      </c>
      <c r="AL26" s="50">
        <v>100</v>
      </c>
      <c r="AM26">
        <v>0</v>
      </c>
      <c r="AN26">
        <v>0</v>
      </c>
      <c r="AO26">
        <v>0</v>
      </c>
      <c r="AP26" s="50">
        <v>0</v>
      </c>
      <c r="AQ26" s="11" t="s">
        <v>51</v>
      </c>
      <c r="AR26" s="11" t="s">
        <v>51</v>
      </c>
      <c r="AS26" s="11" t="s">
        <v>51</v>
      </c>
      <c r="AT26" s="50">
        <v>0</v>
      </c>
      <c r="AU26" s="18">
        <v>32</v>
      </c>
      <c r="AV26" s="18">
        <v>8</v>
      </c>
      <c r="AW26" s="18">
        <v>0</v>
      </c>
      <c r="AX26" s="18">
        <v>0</v>
      </c>
      <c r="AY26" s="54">
        <f t="shared" si="0"/>
        <v>40</v>
      </c>
      <c r="AZ26" t="s">
        <v>52</v>
      </c>
      <c r="BA26" s="38">
        <v>87.309999999999988</v>
      </c>
    </row>
    <row r="27" spans="1:53" x14ac:dyDescent="0.25">
      <c r="A27" s="39" t="s">
        <v>46</v>
      </c>
      <c r="B27" t="s">
        <v>182</v>
      </c>
      <c r="C27" t="s">
        <v>183</v>
      </c>
      <c r="D27" t="s">
        <v>184</v>
      </c>
      <c r="E27">
        <v>51</v>
      </c>
      <c r="F27" t="s">
        <v>980</v>
      </c>
      <c r="G27" t="s">
        <v>949</v>
      </c>
      <c r="H27" t="s">
        <v>944</v>
      </c>
      <c r="I27" t="s">
        <v>950</v>
      </c>
      <c r="J27" t="s">
        <v>946</v>
      </c>
      <c r="K27" t="s">
        <v>981</v>
      </c>
      <c r="L27" s="11">
        <v>17.75</v>
      </c>
      <c r="M27" s="11">
        <v>18</v>
      </c>
      <c r="N27" s="11">
        <v>45.5</v>
      </c>
      <c r="O27" s="11">
        <v>4.5</v>
      </c>
      <c r="P27" s="50">
        <v>85.75</v>
      </c>
      <c r="Q27" s="11">
        <v>0</v>
      </c>
      <c r="R27" s="11">
        <v>0</v>
      </c>
      <c r="S27" s="11">
        <v>0</v>
      </c>
      <c r="T27" s="50">
        <v>0</v>
      </c>
      <c r="U27" s="11">
        <v>46.97</v>
      </c>
      <c r="V27" s="11">
        <v>4.5</v>
      </c>
      <c r="W27" s="11">
        <v>18</v>
      </c>
      <c r="X27" s="11">
        <v>18.170000000000002</v>
      </c>
      <c r="Y27" s="50">
        <v>87.64</v>
      </c>
      <c r="Z27">
        <v>0</v>
      </c>
      <c r="AA27">
        <v>0</v>
      </c>
      <c r="AB27" s="52">
        <v>0</v>
      </c>
      <c r="AC27">
        <v>0</v>
      </c>
      <c r="AD27">
        <v>0</v>
      </c>
      <c r="AE27">
        <v>0</v>
      </c>
      <c r="AF27">
        <v>0</v>
      </c>
      <c r="AG27" s="50">
        <v>0</v>
      </c>
      <c r="AH27">
        <v>0</v>
      </c>
      <c r="AI27">
        <v>0</v>
      </c>
      <c r="AJ27">
        <v>0</v>
      </c>
      <c r="AK27">
        <v>0</v>
      </c>
      <c r="AL27" s="50">
        <v>0</v>
      </c>
      <c r="AM27">
        <v>0</v>
      </c>
      <c r="AN27">
        <v>0</v>
      </c>
      <c r="AO27">
        <v>0</v>
      </c>
      <c r="AP27" s="50">
        <v>0</v>
      </c>
      <c r="AQ27" s="11">
        <v>19.329999999999998</v>
      </c>
      <c r="AR27" s="11">
        <v>18</v>
      </c>
      <c r="AS27" s="11">
        <v>45.94</v>
      </c>
      <c r="AT27" s="50">
        <v>83.27</v>
      </c>
      <c r="AU27" s="18">
        <v>34</v>
      </c>
      <c r="AV27" s="18">
        <v>0</v>
      </c>
      <c r="AW27" s="18">
        <v>3</v>
      </c>
      <c r="AX27" s="18">
        <v>0</v>
      </c>
      <c r="AY27" s="54">
        <f t="shared" si="0"/>
        <v>37</v>
      </c>
      <c r="AZ27" t="s">
        <v>52</v>
      </c>
      <c r="BA27" s="38">
        <v>85.548918918918915</v>
      </c>
    </row>
    <row r="28" spans="1:53" x14ac:dyDescent="0.25">
      <c r="A28" s="39" t="s">
        <v>46</v>
      </c>
      <c r="B28" t="s">
        <v>182</v>
      </c>
      <c r="C28" t="s">
        <v>183</v>
      </c>
      <c r="D28" t="s">
        <v>184</v>
      </c>
      <c r="E28">
        <v>51</v>
      </c>
      <c r="F28" t="s">
        <v>980</v>
      </c>
      <c r="G28" t="s">
        <v>949</v>
      </c>
      <c r="H28" t="s">
        <v>944</v>
      </c>
      <c r="I28" t="s">
        <v>950</v>
      </c>
      <c r="J28" t="s">
        <v>946</v>
      </c>
      <c r="K28" t="s">
        <v>981</v>
      </c>
      <c r="L28" s="11">
        <v>17.75</v>
      </c>
      <c r="M28" s="11">
        <v>18</v>
      </c>
      <c r="N28" s="11">
        <v>45.5</v>
      </c>
      <c r="O28" s="11">
        <v>4.5</v>
      </c>
      <c r="P28" s="50">
        <v>85.75</v>
      </c>
      <c r="Q28" s="11">
        <v>0</v>
      </c>
      <c r="R28" s="11">
        <v>0</v>
      </c>
      <c r="S28" s="11">
        <v>0</v>
      </c>
      <c r="T28" s="50">
        <v>0</v>
      </c>
      <c r="U28" s="11">
        <v>46.97</v>
      </c>
      <c r="V28" s="11">
        <v>4.5</v>
      </c>
      <c r="W28" s="11">
        <v>18</v>
      </c>
      <c r="X28" s="11">
        <v>18.170000000000002</v>
      </c>
      <c r="Y28" s="50">
        <v>87.64</v>
      </c>
      <c r="Z28">
        <v>0</v>
      </c>
      <c r="AA28">
        <v>0</v>
      </c>
      <c r="AB28" s="52">
        <v>0</v>
      </c>
      <c r="AC28">
        <v>0</v>
      </c>
      <c r="AD28">
        <v>0</v>
      </c>
      <c r="AE28">
        <v>0</v>
      </c>
      <c r="AF28">
        <v>0</v>
      </c>
      <c r="AG28" s="50">
        <v>0</v>
      </c>
      <c r="AH28">
        <v>0</v>
      </c>
      <c r="AI28">
        <v>0</v>
      </c>
      <c r="AJ28">
        <v>0</v>
      </c>
      <c r="AK28">
        <v>0</v>
      </c>
      <c r="AL28" s="50">
        <v>0</v>
      </c>
      <c r="AM28">
        <v>0</v>
      </c>
      <c r="AN28">
        <v>0</v>
      </c>
      <c r="AO28">
        <v>0</v>
      </c>
      <c r="AP28" s="50">
        <v>0</v>
      </c>
      <c r="AQ28" s="11">
        <v>19.329999999999998</v>
      </c>
      <c r="AR28" s="11">
        <v>18</v>
      </c>
      <c r="AS28" s="11">
        <v>45.94</v>
      </c>
      <c r="AT28" s="50">
        <v>83.27</v>
      </c>
      <c r="AU28" s="18">
        <v>3</v>
      </c>
      <c r="AV28" s="18">
        <v>0</v>
      </c>
      <c r="AW28" s="18">
        <v>0</v>
      </c>
      <c r="AX28" s="18">
        <v>0</v>
      </c>
      <c r="AY28" s="54">
        <f t="shared" si="0"/>
        <v>3</v>
      </c>
      <c r="AZ28" t="s">
        <v>117</v>
      </c>
      <c r="BA28" s="38">
        <v>87.64</v>
      </c>
    </row>
    <row r="29" spans="1:53" x14ac:dyDescent="0.25">
      <c r="A29" s="39" t="s">
        <v>46</v>
      </c>
      <c r="B29" t="s">
        <v>188</v>
      </c>
      <c r="C29" t="s">
        <v>189</v>
      </c>
      <c r="D29" t="s">
        <v>190</v>
      </c>
      <c r="E29">
        <v>52</v>
      </c>
      <c r="F29" t="s">
        <v>982</v>
      </c>
      <c r="G29" t="s">
        <v>943</v>
      </c>
      <c r="H29" t="s">
        <v>944</v>
      </c>
      <c r="I29" t="s">
        <v>950</v>
      </c>
      <c r="J29" t="s">
        <v>955</v>
      </c>
      <c r="K29" t="s">
        <v>983</v>
      </c>
      <c r="L29" s="11">
        <v>20</v>
      </c>
      <c r="M29" s="11">
        <v>18.670000000000002</v>
      </c>
      <c r="N29" s="11">
        <v>45.01</v>
      </c>
      <c r="O29" s="11">
        <v>4</v>
      </c>
      <c r="P29" s="50">
        <v>87.68</v>
      </c>
      <c r="Q29" s="11">
        <v>0</v>
      </c>
      <c r="R29" s="11">
        <v>0</v>
      </c>
      <c r="S29" s="11">
        <v>0</v>
      </c>
      <c r="T29" s="50">
        <v>0</v>
      </c>
      <c r="U29">
        <v>48.5</v>
      </c>
      <c r="V29">
        <v>4</v>
      </c>
      <c r="W29">
        <v>18.670000000000002</v>
      </c>
      <c r="X29">
        <v>20</v>
      </c>
      <c r="Y29" s="50">
        <v>91.17</v>
      </c>
      <c r="Z29">
        <v>0</v>
      </c>
      <c r="AA29">
        <v>0</v>
      </c>
      <c r="AB29" s="52">
        <v>0</v>
      </c>
      <c r="AC29">
        <v>0</v>
      </c>
      <c r="AD29">
        <v>0</v>
      </c>
      <c r="AE29">
        <v>0</v>
      </c>
      <c r="AF29">
        <v>0</v>
      </c>
      <c r="AG29" s="50">
        <v>0</v>
      </c>
      <c r="AH29">
        <v>0</v>
      </c>
      <c r="AI29">
        <v>0</v>
      </c>
      <c r="AJ29">
        <v>0</v>
      </c>
      <c r="AK29">
        <v>0</v>
      </c>
      <c r="AL29" s="50">
        <v>0</v>
      </c>
      <c r="AM29">
        <v>0</v>
      </c>
      <c r="AN29">
        <v>0</v>
      </c>
      <c r="AO29">
        <v>0</v>
      </c>
      <c r="AP29" s="50">
        <v>0</v>
      </c>
      <c r="AQ29" s="11" t="s">
        <v>51</v>
      </c>
      <c r="AR29" s="11" t="s">
        <v>51</v>
      </c>
      <c r="AS29" s="11" t="s">
        <v>51</v>
      </c>
      <c r="AT29" s="50">
        <v>0</v>
      </c>
      <c r="AU29" s="18">
        <v>8</v>
      </c>
      <c r="AV29" s="18">
        <v>0</v>
      </c>
      <c r="AW29" s="18">
        <v>0</v>
      </c>
      <c r="AX29" s="18">
        <v>0</v>
      </c>
      <c r="AY29" s="54">
        <f t="shared" si="0"/>
        <v>8</v>
      </c>
      <c r="AZ29" t="s">
        <v>52</v>
      </c>
      <c r="BA29" s="38">
        <v>87.68</v>
      </c>
    </row>
    <row r="30" spans="1:53" x14ac:dyDescent="0.25">
      <c r="A30" s="39" t="s">
        <v>46</v>
      </c>
      <c r="B30" t="s">
        <v>188</v>
      </c>
      <c r="C30" t="s">
        <v>189</v>
      </c>
      <c r="D30" t="s">
        <v>190</v>
      </c>
      <c r="E30">
        <v>52</v>
      </c>
      <c r="F30" t="s">
        <v>982</v>
      </c>
      <c r="G30" t="s">
        <v>943</v>
      </c>
      <c r="H30" t="s">
        <v>944</v>
      </c>
      <c r="I30" t="s">
        <v>950</v>
      </c>
      <c r="J30" t="s">
        <v>955</v>
      </c>
      <c r="K30" t="s">
        <v>983</v>
      </c>
      <c r="L30" s="11">
        <v>20</v>
      </c>
      <c r="M30" s="11">
        <v>18.670000000000002</v>
      </c>
      <c r="N30" s="11">
        <v>45.01</v>
      </c>
      <c r="O30" s="11">
        <v>4</v>
      </c>
      <c r="P30" s="50">
        <v>87.68</v>
      </c>
      <c r="Q30" s="11">
        <v>0</v>
      </c>
      <c r="R30" s="11">
        <v>0</v>
      </c>
      <c r="S30" s="11">
        <v>0</v>
      </c>
      <c r="T30" s="50">
        <v>0</v>
      </c>
      <c r="U30">
        <v>48.5</v>
      </c>
      <c r="V30">
        <v>4</v>
      </c>
      <c r="W30">
        <v>18.670000000000002</v>
      </c>
      <c r="X30">
        <v>20</v>
      </c>
      <c r="Y30" s="50">
        <v>91.17</v>
      </c>
      <c r="Z30">
        <v>0</v>
      </c>
      <c r="AA30">
        <v>0</v>
      </c>
      <c r="AB30" s="52">
        <v>0</v>
      </c>
      <c r="AC30">
        <v>0</v>
      </c>
      <c r="AD30">
        <v>0</v>
      </c>
      <c r="AE30">
        <v>0</v>
      </c>
      <c r="AF30">
        <v>0</v>
      </c>
      <c r="AG30" s="50">
        <v>0</v>
      </c>
      <c r="AH30">
        <v>0</v>
      </c>
      <c r="AI30">
        <v>0</v>
      </c>
      <c r="AJ30">
        <v>0</v>
      </c>
      <c r="AK30">
        <v>0</v>
      </c>
      <c r="AL30" s="50">
        <v>0</v>
      </c>
      <c r="AM30">
        <v>0</v>
      </c>
      <c r="AN30">
        <v>0</v>
      </c>
      <c r="AO30">
        <v>0</v>
      </c>
      <c r="AP30" s="50">
        <v>0</v>
      </c>
      <c r="AQ30" s="11" t="s">
        <v>51</v>
      </c>
      <c r="AR30" s="11" t="s">
        <v>51</v>
      </c>
      <c r="AS30" s="11" t="s">
        <v>51</v>
      </c>
      <c r="AT30" s="50">
        <v>0</v>
      </c>
      <c r="AU30" s="18">
        <v>2</v>
      </c>
      <c r="AV30" s="18">
        <v>0</v>
      </c>
      <c r="AW30" s="18">
        <v>0</v>
      </c>
      <c r="AX30" s="18">
        <v>0</v>
      </c>
      <c r="AY30" s="54">
        <f t="shared" si="0"/>
        <v>2</v>
      </c>
      <c r="AZ30" t="s">
        <v>117</v>
      </c>
      <c r="BA30" s="38">
        <v>91.17</v>
      </c>
    </row>
    <row r="31" spans="1:53" x14ac:dyDescent="0.25">
      <c r="A31" s="39" t="s">
        <v>46</v>
      </c>
      <c r="B31" t="s">
        <v>192</v>
      </c>
      <c r="C31" t="s">
        <v>193</v>
      </c>
      <c r="D31" t="s">
        <v>194</v>
      </c>
      <c r="E31">
        <v>36</v>
      </c>
      <c r="F31" t="s">
        <v>957</v>
      </c>
      <c r="G31" t="s">
        <v>949</v>
      </c>
      <c r="H31" t="s">
        <v>944</v>
      </c>
      <c r="I31" t="s">
        <v>945</v>
      </c>
      <c r="J31" t="s">
        <v>955</v>
      </c>
      <c r="K31" t="s">
        <v>984</v>
      </c>
      <c r="L31" s="11">
        <v>0</v>
      </c>
      <c r="M31" s="11">
        <v>20</v>
      </c>
      <c r="N31" s="11">
        <v>60.35</v>
      </c>
      <c r="O31" s="11">
        <v>5.625</v>
      </c>
      <c r="P31" s="50">
        <v>85.974999999999994</v>
      </c>
      <c r="Q31" s="11">
        <v>0</v>
      </c>
      <c r="R31" s="11">
        <v>0</v>
      </c>
      <c r="S31" s="11">
        <v>0</v>
      </c>
      <c r="T31" s="50">
        <v>0</v>
      </c>
      <c r="U31" s="11">
        <v>0</v>
      </c>
      <c r="V31" s="11">
        <v>0</v>
      </c>
      <c r="W31" s="11">
        <v>0</v>
      </c>
      <c r="X31" s="11">
        <v>0</v>
      </c>
      <c r="Y31" s="50">
        <v>0</v>
      </c>
      <c r="Z31">
        <v>0</v>
      </c>
      <c r="AA31">
        <v>0</v>
      </c>
      <c r="AB31" s="52">
        <v>0</v>
      </c>
      <c r="AC31">
        <v>0</v>
      </c>
      <c r="AD31">
        <v>0</v>
      </c>
      <c r="AE31">
        <v>0</v>
      </c>
      <c r="AF31">
        <v>0</v>
      </c>
      <c r="AG31" s="50">
        <v>0</v>
      </c>
      <c r="AH31">
        <v>0</v>
      </c>
      <c r="AI31">
        <v>0</v>
      </c>
      <c r="AJ31">
        <v>0</v>
      </c>
      <c r="AK31">
        <v>0</v>
      </c>
      <c r="AL31" s="50">
        <v>0</v>
      </c>
      <c r="AM31">
        <v>0</v>
      </c>
      <c r="AN31">
        <v>0</v>
      </c>
      <c r="AO31">
        <v>0</v>
      </c>
      <c r="AP31" s="50">
        <v>0</v>
      </c>
      <c r="AQ31" s="11" t="s">
        <v>51</v>
      </c>
      <c r="AR31" s="11" t="s">
        <v>51</v>
      </c>
      <c r="AS31" s="11" t="s">
        <v>51</v>
      </c>
      <c r="AT31" s="50">
        <v>0</v>
      </c>
      <c r="AU31" s="18">
        <v>3</v>
      </c>
      <c r="AV31" s="18">
        <v>0</v>
      </c>
      <c r="AW31" s="18">
        <v>0</v>
      </c>
      <c r="AX31" s="18">
        <v>0</v>
      </c>
      <c r="AY31" s="54">
        <f t="shared" si="0"/>
        <v>3</v>
      </c>
      <c r="AZ31" t="s">
        <v>52</v>
      </c>
      <c r="BA31" s="38">
        <v>85.97499999999998</v>
      </c>
    </row>
    <row r="32" spans="1:53" x14ac:dyDescent="0.25">
      <c r="A32" s="39" t="s">
        <v>46</v>
      </c>
      <c r="B32" t="s">
        <v>196</v>
      </c>
      <c r="C32" t="s">
        <v>197</v>
      </c>
      <c r="D32" t="s">
        <v>198</v>
      </c>
      <c r="E32">
        <v>38</v>
      </c>
      <c r="F32" t="s">
        <v>985</v>
      </c>
      <c r="G32" t="s">
        <v>949</v>
      </c>
      <c r="H32" t="s">
        <v>944</v>
      </c>
      <c r="I32" t="s">
        <v>950</v>
      </c>
      <c r="J32" t="s">
        <v>955</v>
      </c>
      <c r="K32" t="s">
        <v>986</v>
      </c>
      <c r="L32" s="11">
        <v>20</v>
      </c>
      <c r="M32" s="11">
        <v>17.329999999999998</v>
      </c>
      <c r="N32" s="11">
        <v>43.88</v>
      </c>
      <c r="O32" s="11">
        <v>6</v>
      </c>
      <c r="P32" s="50">
        <v>87.210000000000008</v>
      </c>
      <c r="Q32" s="11">
        <v>0</v>
      </c>
      <c r="R32" s="11">
        <v>0</v>
      </c>
      <c r="S32" s="11">
        <v>0</v>
      </c>
      <c r="T32" s="50">
        <v>0</v>
      </c>
      <c r="U32" s="11">
        <v>0</v>
      </c>
      <c r="V32" s="11">
        <v>0</v>
      </c>
      <c r="W32" s="11">
        <v>0</v>
      </c>
      <c r="X32" s="11">
        <v>0</v>
      </c>
      <c r="Y32" s="50">
        <v>0</v>
      </c>
      <c r="Z32">
        <v>0</v>
      </c>
      <c r="AA32">
        <v>0</v>
      </c>
      <c r="AB32" s="52">
        <v>0</v>
      </c>
      <c r="AC32">
        <v>0</v>
      </c>
      <c r="AD32">
        <v>0</v>
      </c>
      <c r="AE32">
        <v>0</v>
      </c>
      <c r="AF32">
        <v>0</v>
      </c>
      <c r="AG32" s="50">
        <v>0</v>
      </c>
      <c r="AH32">
        <v>0</v>
      </c>
      <c r="AI32">
        <v>0</v>
      </c>
      <c r="AJ32">
        <v>0</v>
      </c>
      <c r="AK32">
        <v>0</v>
      </c>
      <c r="AL32" s="50">
        <v>0</v>
      </c>
      <c r="AM32">
        <v>0</v>
      </c>
      <c r="AN32">
        <v>0</v>
      </c>
      <c r="AO32">
        <v>0</v>
      </c>
      <c r="AP32" s="50">
        <v>0</v>
      </c>
      <c r="AQ32" s="11" t="s">
        <v>51</v>
      </c>
      <c r="AR32" s="11" t="s">
        <v>51</v>
      </c>
      <c r="AS32" s="11" t="s">
        <v>51</v>
      </c>
      <c r="AT32" s="50">
        <v>0</v>
      </c>
      <c r="AU32" s="18">
        <v>4</v>
      </c>
      <c r="AV32" s="18">
        <v>0</v>
      </c>
      <c r="AW32" s="18">
        <v>0</v>
      </c>
      <c r="AX32" s="18">
        <v>0</v>
      </c>
      <c r="AY32" s="54">
        <f t="shared" si="0"/>
        <v>4</v>
      </c>
      <c r="AZ32" t="s">
        <v>52</v>
      </c>
      <c r="BA32" s="38">
        <v>87.210000000000008</v>
      </c>
    </row>
    <row r="33" spans="1:53" x14ac:dyDescent="0.25">
      <c r="A33" s="39" t="s">
        <v>46</v>
      </c>
      <c r="B33" t="s">
        <v>204</v>
      </c>
      <c r="C33" t="s">
        <v>205</v>
      </c>
      <c r="D33" t="s">
        <v>206</v>
      </c>
      <c r="E33">
        <v>42</v>
      </c>
      <c r="F33" t="s">
        <v>957</v>
      </c>
      <c r="G33" t="s">
        <v>943</v>
      </c>
      <c r="H33" t="s">
        <v>944</v>
      </c>
      <c r="I33" t="s">
        <v>977</v>
      </c>
      <c r="J33" t="s">
        <v>955</v>
      </c>
      <c r="K33" t="s">
        <v>983</v>
      </c>
      <c r="L33" s="11">
        <v>20</v>
      </c>
      <c r="M33" s="11">
        <v>20</v>
      </c>
      <c r="N33" s="11">
        <v>42.49</v>
      </c>
      <c r="O33" s="11">
        <v>5.5</v>
      </c>
      <c r="P33" s="50">
        <v>87.990000000000009</v>
      </c>
      <c r="Q33" s="11">
        <v>0</v>
      </c>
      <c r="R33" s="11">
        <v>0</v>
      </c>
      <c r="S33" s="11">
        <v>0</v>
      </c>
      <c r="T33" s="50">
        <v>0</v>
      </c>
      <c r="U33" s="11">
        <v>0</v>
      </c>
      <c r="V33" s="11">
        <v>0</v>
      </c>
      <c r="W33" s="11">
        <v>0</v>
      </c>
      <c r="X33" s="11">
        <v>0</v>
      </c>
      <c r="Y33" s="50">
        <v>0</v>
      </c>
      <c r="Z33">
        <v>0</v>
      </c>
      <c r="AA33">
        <v>0</v>
      </c>
      <c r="AB33" s="52">
        <v>0</v>
      </c>
      <c r="AC33">
        <v>0</v>
      </c>
      <c r="AD33">
        <v>0</v>
      </c>
      <c r="AE33">
        <v>0</v>
      </c>
      <c r="AF33">
        <v>0</v>
      </c>
      <c r="AG33" s="50">
        <v>0</v>
      </c>
      <c r="AH33">
        <v>0</v>
      </c>
      <c r="AI33">
        <v>0</v>
      </c>
      <c r="AJ33">
        <v>0</v>
      </c>
      <c r="AK33">
        <v>0</v>
      </c>
      <c r="AL33" s="50">
        <v>0</v>
      </c>
      <c r="AM33">
        <v>0</v>
      </c>
      <c r="AN33">
        <v>0</v>
      </c>
      <c r="AO33">
        <v>0</v>
      </c>
      <c r="AP33" s="50">
        <v>0</v>
      </c>
      <c r="AQ33" s="11" t="s">
        <v>51</v>
      </c>
      <c r="AR33" s="11" t="s">
        <v>51</v>
      </c>
      <c r="AS33" s="11" t="s">
        <v>51</v>
      </c>
      <c r="AT33" s="50">
        <v>0</v>
      </c>
      <c r="AU33" s="18">
        <v>8</v>
      </c>
      <c r="AV33" s="18">
        <v>0</v>
      </c>
      <c r="AW33" s="18">
        <v>0</v>
      </c>
      <c r="AX33" s="18">
        <v>0</v>
      </c>
      <c r="AY33" s="54">
        <f t="shared" si="0"/>
        <v>8</v>
      </c>
      <c r="AZ33" t="s">
        <v>52</v>
      </c>
      <c r="BA33" s="38">
        <v>87.990000000000009</v>
      </c>
    </row>
    <row r="34" spans="1:53" x14ac:dyDescent="0.25">
      <c r="A34" s="39" t="s">
        <v>46</v>
      </c>
      <c r="B34" t="s">
        <v>208</v>
      </c>
      <c r="C34" t="s">
        <v>209</v>
      </c>
      <c r="D34" t="s">
        <v>210</v>
      </c>
      <c r="E34">
        <v>65</v>
      </c>
      <c r="F34" t="s">
        <v>954</v>
      </c>
      <c r="G34" t="s">
        <v>943</v>
      </c>
      <c r="H34" t="s">
        <v>944</v>
      </c>
      <c r="I34" t="s">
        <v>945</v>
      </c>
      <c r="J34" t="s">
        <v>946</v>
      </c>
      <c r="K34" t="s">
        <v>951</v>
      </c>
      <c r="L34" s="11">
        <v>0</v>
      </c>
      <c r="M34" s="11">
        <v>25</v>
      </c>
      <c r="N34" s="11">
        <v>55.8</v>
      </c>
      <c r="O34" s="11">
        <v>3.125</v>
      </c>
      <c r="P34" s="50">
        <v>83.924999999999997</v>
      </c>
      <c r="Q34" s="11">
        <v>0</v>
      </c>
      <c r="R34" s="11">
        <v>0</v>
      </c>
      <c r="S34" s="11">
        <v>0</v>
      </c>
      <c r="T34" s="50">
        <v>0</v>
      </c>
      <c r="U34" s="11">
        <v>0</v>
      </c>
      <c r="V34" s="11">
        <v>0</v>
      </c>
      <c r="W34" s="11">
        <v>0</v>
      </c>
      <c r="X34" s="11">
        <v>0</v>
      </c>
      <c r="Y34" s="50">
        <v>0</v>
      </c>
      <c r="Z34">
        <v>0</v>
      </c>
      <c r="AA34">
        <v>0</v>
      </c>
      <c r="AB34" s="52">
        <v>0</v>
      </c>
      <c r="AC34">
        <v>0</v>
      </c>
      <c r="AD34">
        <v>0</v>
      </c>
      <c r="AE34">
        <v>0</v>
      </c>
      <c r="AF34">
        <v>0</v>
      </c>
      <c r="AG34" s="50">
        <v>0</v>
      </c>
      <c r="AH34">
        <v>0</v>
      </c>
      <c r="AI34">
        <v>0</v>
      </c>
      <c r="AJ34">
        <v>0</v>
      </c>
      <c r="AK34">
        <v>0</v>
      </c>
      <c r="AL34" s="50">
        <v>0</v>
      </c>
      <c r="AM34">
        <v>0</v>
      </c>
      <c r="AN34">
        <v>0</v>
      </c>
      <c r="AO34">
        <v>0</v>
      </c>
      <c r="AP34" s="50">
        <v>0</v>
      </c>
      <c r="AQ34" s="11" t="s">
        <v>51</v>
      </c>
      <c r="AR34" s="11" t="s">
        <v>51</v>
      </c>
      <c r="AS34" s="11" t="s">
        <v>51</v>
      </c>
      <c r="AT34" s="50">
        <v>0</v>
      </c>
      <c r="AU34" s="18">
        <v>2</v>
      </c>
      <c r="AV34" s="18">
        <v>0</v>
      </c>
      <c r="AW34" s="18">
        <v>0</v>
      </c>
      <c r="AX34" s="18">
        <v>0</v>
      </c>
      <c r="AY34" s="54">
        <f t="shared" si="0"/>
        <v>2</v>
      </c>
      <c r="AZ34" t="s">
        <v>52</v>
      </c>
      <c r="BA34" s="38">
        <v>83.924999999999997</v>
      </c>
    </row>
    <row r="35" spans="1:53" x14ac:dyDescent="0.25">
      <c r="A35" s="39" t="s">
        <v>46</v>
      </c>
      <c r="B35" t="s">
        <v>212</v>
      </c>
      <c r="C35" t="s">
        <v>213</v>
      </c>
      <c r="D35" t="s">
        <v>214</v>
      </c>
      <c r="E35">
        <v>41</v>
      </c>
      <c r="F35" t="s">
        <v>976</v>
      </c>
      <c r="G35" t="s">
        <v>943</v>
      </c>
      <c r="H35" t="s">
        <v>944</v>
      </c>
      <c r="I35" t="s">
        <v>950</v>
      </c>
      <c r="J35" t="s">
        <v>955</v>
      </c>
      <c r="K35" t="s">
        <v>978</v>
      </c>
      <c r="L35" s="11">
        <v>0</v>
      </c>
      <c r="M35" s="11">
        <v>0</v>
      </c>
      <c r="N35" s="11">
        <v>0</v>
      </c>
      <c r="O35" s="11">
        <v>0</v>
      </c>
      <c r="P35" s="50">
        <v>0</v>
      </c>
      <c r="Q35" s="11">
        <v>0</v>
      </c>
      <c r="R35" s="11">
        <v>0</v>
      </c>
      <c r="S35" s="11">
        <v>0</v>
      </c>
      <c r="T35" s="50">
        <v>0</v>
      </c>
      <c r="U35" s="11">
        <v>0</v>
      </c>
      <c r="V35" s="11">
        <v>0</v>
      </c>
      <c r="W35" s="11">
        <v>0</v>
      </c>
      <c r="X35" s="11">
        <v>0</v>
      </c>
      <c r="Y35" s="50">
        <v>0</v>
      </c>
      <c r="Z35">
        <v>0</v>
      </c>
      <c r="AA35">
        <v>0</v>
      </c>
      <c r="AB35" s="52">
        <v>0</v>
      </c>
      <c r="AC35" s="11">
        <v>3.125</v>
      </c>
      <c r="AD35">
        <v>25</v>
      </c>
      <c r="AE35">
        <v>57.1</v>
      </c>
      <c r="AF35">
        <v>0</v>
      </c>
      <c r="AG35" s="50">
        <v>85.224999999999994</v>
      </c>
      <c r="AH35">
        <v>0</v>
      </c>
      <c r="AI35">
        <v>0</v>
      </c>
      <c r="AJ35">
        <v>0</v>
      </c>
      <c r="AK35">
        <v>0</v>
      </c>
      <c r="AL35" s="50">
        <v>0</v>
      </c>
      <c r="AM35">
        <v>0</v>
      </c>
      <c r="AN35">
        <v>0</v>
      </c>
      <c r="AO35">
        <v>0</v>
      </c>
      <c r="AP35" s="50">
        <v>0</v>
      </c>
      <c r="AQ35" s="11" t="s">
        <v>51</v>
      </c>
      <c r="AR35" s="11" t="s">
        <v>51</v>
      </c>
      <c r="AS35" s="11" t="s">
        <v>51</v>
      </c>
      <c r="AT35" s="50">
        <v>0</v>
      </c>
      <c r="AU35" s="18">
        <v>10</v>
      </c>
      <c r="AV35" s="18">
        <v>0</v>
      </c>
      <c r="AW35" s="18">
        <v>0</v>
      </c>
      <c r="AX35" s="18">
        <v>0</v>
      </c>
      <c r="AY35" s="54">
        <f t="shared" si="0"/>
        <v>10</v>
      </c>
      <c r="AZ35" t="s">
        <v>52</v>
      </c>
      <c r="BA35" s="38">
        <v>85.224999999999994</v>
      </c>
    </row>
    <row r="36" spans="1:53" x14ac:dyDescent="0.25">
      <c r="A36" s="39" t="s">
        <v>46</v>
      </c>
      <c r="B36" t="s">
        <v>220</v>
      </c>
      <c r="C36" t="s">
        <v>221</v>
      </c>
      <c r="D36" t="s">
        <v>222</v>
      </c>
      <c r="E36">
        <v>42</v>
      </c>
      <c r="F36" t="s">
        <v>987</v>
      </c>
      <c r="G36" t="s">
        <v>949</v>
      </c>
      <c r="H36" t="s">
        <v>944</v>
      </c>
      <c r="I36" t="s">
        <v>950</v>
      </c>
      <c r="J36" t="s">
        <v>946</v>
      </c>
      <c r="K36" t="s">
        <v>960</v>
      </c>
      <c r="L36" s="11">
        <v>20</v>
      </c>
      <c r="M36" s="11">
        <v>18</v>
      </c>
      <c r="N36" s="11">
        <v>38.89</v>
      </c>
      <c r="O36" s="11">
        <v>5.5</v>
      </c>
      <c r="P36" s="50">
        <v>82.39</v>
      </c>
      <c r="Q36" s="11">
        <v>0</v>
      </c>
      <c r="R36" s="11">
        <v>0</v>
      </c>
      <c r="S36" s="11">
        <v>0</v>
      </c>
      <c r="T36" s="50">
        <v>0</v>
      </c>
      <c r="U36" s="11">
        <v>39.47</v>
      </c>
      <c r="V36" s="11">
        <v>5.5</v>
      </c>
      <c r="W36" s="11">
        <v>18</v>
      </c>
      <c r="X36" s="11">
        <v>20</v>
      </c>
      <c r="Y36" s="50">
        <v>82.97</v>
      </c>
      <c r="Z36">
        <v>0</v>
      </c>
      <c r="AA36">
        <v>0</v>
      </c>
      <c r="AB36" s="52">
        <v>0</v>
      </c>
      <c r="AC36">
        <v>0</v>
      </c>
      <c r="AD36">
        <v>0</v>
      </c>
      <c r="AE36">
        <v>0</v>
      </c>
      <c r="AF36">
        <v>0</v>
      </c>
      <c r="AG36" s="50">
        <v>0</v>
      </c>
      <c r="AH36">
        <v>0</v>
      </c>
      <c r="AI36">
        <v>0</v>
      </c>
      <c r="AJ36">
        <v>0</v>
      </c>
      <c r="AK36">
        <v>0</v>
      </c>
      <c r="AL36" s="50">
        <v>0</v>
      </c>
      <c r="AM36">
        <v>0</v>
      </c>
      <c r="AN36">
        <v>0</v>
      </c>
      <c r="AO36">
        <v>0</v>
      </c>
      <c r="AP36" s="50">
        <v>0</v>
      </c>
      <c r="AQ36" s="11" t="s">
        <v>51</v>
      </c>
      <c r="AR36" s="11" t="s">
        <v>51</v>
      </c>
      <c r="AS36" s="11" t="s">
        <v>51</v>
      </c>
      <c r="AT36" s="50">
        <v>0</v>
      </c>
      <c r="AU36" s="18">
        <v>36.836874999999999</v>
      </c>
      <c r="AV36" s="18">
        <v>0</v>
      </c>
      <c r="AW36" s="18">
        <v>0</v>
      </c>
      <c r="AX36" s="18">
        <v>0</v>
      </c>
      <c r="AY36" s="54">
        <f t="shared" si="0"/>
        <v>36.836874999999999</v>
      </c>
      <c r="AZ36" t="s">
        <v>52</v>
      </c>
      <c r="BA36" s="38">
        <v>82.39</v>
      </c>
    </row>
    <row r="37" spans="1:53" x14ac:dyDescent="0.25">
      <c r="A37" s="39" t="s">
        <v>46</v>
      </c>
      <c r="B37" t="s">
        <v>220</v>
      </c>
      <c r="C37" t="s">
        <v>221</v>
      </c>
      <c r="D37" t="s">
        <v>222</v>
      </c>
      <c r="E37">
        <v>42</v>
      </c>
      <c r="F37" t="s">
        <v>987</v>
      </c>
      <c r="G37" t="s">
        <v>949</v>
      </c>
      <c r="H37" t="s">
        <v>944</v>
      </c>
      <c r="I37" t="s">
        <v>950</v>
      </c>
      <c r="J37" t="s">
        <v>946</v>
      </c>
      <c r="K37" t="s">
        <v>960</v>
      </c>
      <c r="L37" s="11">
        <v>20</v>
      </c>
      <c r="M37" s="11">
        <v>18</v>
      </c>
      <c r="N37" s="11">
        <v>38.89</v>
      </c>
      <c r="O37" s="11">
        <v>5.5</v>
      </c>
      <c r="P37" s="50">
        <v>82.39</v>
      </c>
      <c r="Q37" s="11">
        <v>0</v>
      </c>
      <c r="R37" s="11">
        <v>0</v>
      </c>
      <c r="S37" s="11">
        <v>0</v>
      </c>
      <c r="T37" s="50">
        <v>0</v>
      </c>
      <c r="U37" s="11">
        <v>39.47</v>
      </c>
      <c r="V37" s="11">
        <v>5.5</v>
      </c>
      <c r="W37" s="11">
        <v>18</v>
      </c>
      <c r="X37" s="11">
        <v>20</v>
      </c>
      <c r="Y37" s="50">
        <v>82.97</v>
      </c>
      <c r="Z37">
        <v>0</v>
      </c>
      <c r="AA37">
        <v>0</v>
      </c>
      <c r="AB37" s="52">
        <v>0</v>
      </c>
      <c r="AC37">
        <v>0</v>
      </c>
      <c r="AD37">
        <v>0</v>
      </c>
      <c r="AE37">
        <v>0</v>
      </c>
      <c r="AF37">
        <v>0</v>
      </c>
      <c r="AG37" s="50">
        <v>0</v>
      </c>
      <c r="AH37">
        <v>0</v>
      </c>
      <c r="AI37">
        <v>0</v>
      </c>
      <c r="AJ37">
        <v>0</v>
      </c>
      <c r="AK37">
        <v>0</v>
      </c>
      <c r="AL37" s="50">
        <v>0</v>
      </c>
      <c r="AM37">
        <v>0</v>
      </c>
      <c r="AN37">
        <v>0</v>
      </c>
      <c r="AO37">
        <v>0</v>
      </c>
      <c r="AP37" s="50">
        <v>0</v>
      </c>
      <c r="AQ37" s="11" t="s">
        <v>51</v>
      </c>
      <c r="AR37" s="11" t="s">
        <v>51</v>
      </c>
      <c r="AS37" s="11" t="s">
        <v>51</v>
      </c>
      <c r="AT37" s="50">
        <v>0</v>
      </c>
      <c r="AU37" s="18">
        <v>3</v>
      </c>
      <c r="AV37" s="18">
        <v>0</v>
      </c>
      <c r="AW37" s="18">
        <v>0</v>
      </c>
      <c r="AX37" s="18">
        <v>0</v>
      </c>
      <c r="AY37" s="54">
        <f t="shared" si="0"/>
        <v>3</v>
      </c>
      <c r="AZ37" t="s">
        <v>117</v>
      </c>
      <c r="BA37" s="38">
        <v>82.97</v>
      </c>
    </row>
    <row r="38" spans="1:53" x14ac:dyDescent="0.25">
      <c r="A38" s="39" t="s">
        <v>46</v>
      </c>
      <c r="B38" t="s">
        <v>228</v>
      </c>
      <c r="C38" t="s">
        <v>229</v>
      </c>
      <c r="D38" t="s">
        <v>230</v>
      </c>
      <c r="E38">
        <v>39</v>
      </c>
      <c r="F38" t="s">
        <v>948</v>
      </c>
      <c r="G38" t="s">
        <v>949</v>
      </c>
      <c r="H38" t="s">
        <v>944</v>
      </c>
      <c r="I38" t="s">
        <v>950</v>
      </c>
      <c r="J38" t="s">
        <v>955</v>
      </c>
      <c r="K38" t="s">
        <v>988</v>
      </c>
      <c r="L38" s="11">
        <v>20</v>
      </c>
      <c r="M38" s="11">
        <v>12</v>
      </c>
      <c r="N38" s="11">
        <v>46.18</v>
      </c>
      <c r="O38" s="11">
        <v>6.5</v>
      </c>
      <c r="P38" s="50">
        <v>84.68</v>
      </c>
      <c r="Q38" s="11">
        <v>0</v>
      </c>
      <c r="R38" s="11">
        <v>0</v>
      </c>
      <c r="S38" s="11">
        <v>0</v>
      </c>
      <c r="T38" s="50">
        <v>0</v>
      </c>
      <c r="U38" s="11">
        <v>0</v>
      </c>
      <c r="V38" s="11">
        <v>0</v>
      </c>
      <c r="W38" s="11">
        <v>0</v>
      </c>
      <c r="X38" s="11">
        <v>0</v>
      </c>
      <c r="Y38" s="50">
        <v>0</v>
      </c>
      <c r="Z38">
        <v>0</v>
      </c>
      <c r="AA38">
        <v>0</v>
      </c>
      <c r="AB38" s="52">
        <v>0</v>
      </c>
      <c r="AC38">
        <v>0</v>
      </c>
      <c r="AD38">
        <v>0</v>
      </c>
      <c r="AE38">
        <v>0</v>
      </c>
      <c r="AF38">
        <v>0</v>
      </c>
      <c r="AG38" s="50">
        <v>0</v>
      </c>
      <c r="AH38">
        <v>0</v>
      </c>
      <c r="AI38">
        <v>0</v>
      </c>
      <c r="AJ38">
        <v>0</v>
      </c>
      <c r="AK38">
        <v>0</v>
      </c>
      <c r="AL38" s="50">
        <v>0</v>
      </c>
      <c r="AM38">
        <v>0</v>
      </c>
      <c r="AN38">
        <v>0</v>
      </c>
      <c r="AO38">
        <v>0</v>
      </c>
      <c r="AP38" s="50">
        <v>0</v>
      </c>
      <c r="AQ38" s="11" t="s">
        <v>51</v>
      </c>
      <c r="AR38" s="11" t="s">
        <v>51</v>
      </c>
      <c r="AS38" s="11" t="s">
        <v>51</v>
      </c>
      <c r="AT38" s="50">
        <v>0</v>
      </c>
      <c r="AU38" s="18">
        <v>6</v>
      </c>
      <c r="AV38" s="18">
        <v>0</v>
      </c>
      <c r="AW38" s="18">
        <v>0</v>
      </c>
      <c r="AX38" s="18">
        <v>0</v>
      </c>
      <c r="AY38" s="54">
        <f t="shared" si="0"/>
        <v>6</v>
      </c>
      <c r="AZ38" t="s">
        <v>52</v>
      </c>
      <c r="BA38" s="38">
        <v>84.68</v>
      </c>
    </row>
    <row r="39" spans="1:53" x14ac:dyDescent="0.25">
      <c r="A39" s="39" t="s">
        <v>46</v>
      </c>
      <c r="B39" t="s">
        <v>232</v>
      </c>
      <c r="C39" t="s">
        <v>233</v>
      </c>
      <c r="D39" t="s">
        <v>234</v>
      </c>
      <c r="E39">
        <v>26</v>
      </c>
      <c r="F39" t="s">
        <v>989</v>
      </c>
      <c r="G39" t="s">
        <v>943</v>
      </c>
      <c r="H39" t="s">
        <v>944</v>
      </c>
      <c r="I39" t="s">
        <v>950</v>
      </c>
      <c r="J39" t="s">
        <v>946</v>
      </c>
      <c r="K39" t="s">
        <v>983</v>
      </c>
      <c r="L39" s="11">
        <v>25</v>
      </c>
      <c r="M39" s="11">
        <v>0</v>
      </c>
      <c r="N39" s="11">
        <v>53.3</v>
      </c>
      <c r="O39" s="11">
        <v>4.375</v>
      </c>
      <c r="P39" s="50">
        <v>82.674999999999997</v>
      </c>
      <c r="Q39" s="11">
        <v>0</v>
      </c>
      <c r="R39" s="11">
        <v>0</v>
      </c>
      <c r="S39" s="11">
        <v>0</v>
      </c>
      <c r="T39" s="50">
        <v>0</v>
      </c>
      <c r="U39" s="11">
        <v>0</v>
      </c>
      <c r="V39" s="11">
        <v>0</v>
      </c>
      <c r="W39" s="11">
        <v>0</v>
      </c>
      <c r="X39" s="11">
        <v>0</v>
      </c>
      <c r="Y39" s="50">
        <v>0</v>
      </c>
      <c r="Z39">
        <v>0</v>
      </c>
      <c r="AA39">
        <v>0</v>
      </c>
      <c r="AB39" s="52">
        <v>0</v>
      </c>
      <c r="AC39">
        <v>0</v>
      </c>
      <c r="AD39">
        <v>0</v>
      </c>
      <c r="AE39">
        <v>0</v>
      </c>
      <c r="AF39">
        <v>0</v>
      </c>
      <c r="AG39" s="50">
        <v>0</v>
      </c>
      <c r="AH39">
        <v>0</v>
      </c>
      <c r="AI39">
        <v>0</v>
      </c>
      <c r="AJ39">
        <v>0</v>
      </c>
      <c r="AK39">
        <v>0</v>
      </c>
      <c r="AL39" s="50">
        <v>0</v>
      </c>
      <c r="AM39">
        <v>41.66</v>
      </c>
      <c r="AN39">
        <v>20</v>
      </c>
      <c r="AO39">
        <v>23.04</v>
      </c>
      <c r="AP39" s="50">
        <v>84.699999999999989</v>
      </c>
      <c r="AQ39" s="11" t="s">
        <v>51</v>
      </c>
      <c r="AR39" s="11" t="s">
        <v>51</v>
      </c>
      <c r="AS39" s="11" t="s">
        <v>51</v>
      </c>
      <c r="AT39" s="50">
        <v>0</v>
      </c>
      <c r="AU39" s="18">
        <v>28</v>
      </c>
      <c r="AV39" s="18">
        <v>0</v>
      </c>
      <c r="AW39" s="18">
        <v>0</v>
      </c>
      <c r="AX39" s="18">
        <v>12</v>
      </c>
      <c r="AY39" s="54">
        <f t="shared" si="0"/>
        <v>40</v>
      </c>
      <c r="AZ39" t="s">
        <v>52</v>
      </c>
      <c r="BA39" s="38">
        <v>83.282499999999999</v>
      </c>
    </row>
    <row r="40" spans="1:53" x14ac:dyDescent="0.25">
      <c r="A40" s="39" t="s">
        <v>46</v>
      </c>
      <c r="B40" t="s">
        <v>236</v>
      </c>
      <c r="C40" t="s">
        <v>237</v>
      </c>
      <c r="D40" t="s">
        <v>238</v>
      </c>
      <c r="E40">
        <v>33</v>
      </c>
      <c r="F40" t="s">
        <v>990</v>
      </c>
      <c r="G40" t="s">
        <v>949</v>
      </c>
      <c r="H40" t="s">
        <v>944</v>
      </c>
      <c r="I40" t="s">
        <v>950</v>
      </c>
      <c r="J40" t="s">
        <v>955</v>
      </c>
      <c r="K40" t="s">
        <v>956</v>
      </c>
      <c r="L40" s="11">
        <v>22.5</v>
      </c>
      <c r="M40" s="11">
        <v>0</v>
      </c>
      <c r="N40" s="11">
        <v>59.85</v>
      </c>
      <c r="O40" s="11">
        <v>3.75</v>
      </c>
      <c r="P40" s="50">
        <v>86.1</v>
      </c>
      <c r="Q40" s="11">
        <v>0</v>
      </c>
      <c r="R40" s="11">
        <v>0</v>
      </c>
      <c r="S40" s="11">
        <v>0</v>
      </c>
      <c r="T40" s="50">
        <v>0</v>
      </c>
      <c r="U40" s="11">
        <v>0</v>
      </c>
      <c r="V40" s="11">
        <v>0</v>
      </c>
      <c r="W40" s="11">
        <v>0</v>
      </c>
      <c r="X40" s="11">
        <v>0</v>
      </c>
      <c r="Y40" s="50">
        <v>0</v>
      </c>
      <c r="Z40">
        <v>0</v>
      </c>
      <c r="AA40">
        <v>0</v>
      </c>
      <c r="AB40" s="52">
        <v>0</v>
      </c>
      <c r="AC40">
        <v>0</v>
      </c>
      <c r="AD40">
        <v>0</v>
      </c>
      <c r="AE40">
        <v>0</v>
      </c>
      <c r="AF40">
        <v>0</v>
      </c>
      <c r="AG40" s="50">
        <v>0</v>
      </c>
      <c r="AH40">
        <v>0</v>
      </c>
      <c r="AI40">
        <v>0</v>
      </c>
      <c r="AJ40">
        <v>0</v>
      </c>
      <c r="AK40">
        <v>0</v>
      </c>
      <c r="AL40" s="50">
        <v>0</v>
      </c>
      <c r="AM40">
        <v>0</v>
      </c>
      <c r="AN40">
        <v>0</v>
      </c>
      <c r="AO40">
        <v>0</v>
      </c>
      <c r="AP40" s="50">
        <v>0</v>
      </c>
      <c r="AQ40" s="11" t="s">
        <v>51</v>
      </c>
      <c r="AR40" s="11" t="s">
        <v>51</v>
      </c>
      <c r="AS40" s="11" t="s">
        <v>51</v>
      </c>
      <c r="AT40" s="50">
        <v>0</v>
      </c>
      <c r="AU40" s="18">
        <v>8</v>
      </c>
      <c r="AV40" s="18">
        <v>0</v>
      </c>
      <c r="AW40" s="18">
        <v>0</v>
      </c>
      <c r="AX40" s="18">
        <v>0</v>
      </c>
      <c r="AY40" s="54">
        <f t="shared" si="0"/>
        <v>8</v>
      </c>
      <c r="AZ40" t="s">
        <v>52</v>
      </c>
      <c r="BA40" s="38">
        <v>86.1</v>
      </c>
    </row>
    <row r="41" spans="1:53" x14ac:dyDescent="0.25">
      <c r="A41" s="39" t="s">
        <v>46</v>
      </c>
      <c r="B41" t="s">
        <v>240</v>
      </c>
      <c r="C41" t="s">
        <v>241</v>
      </c>
      <c r="D41" t="s">
        <v>242</v>
      </c>
      <c r="E41">
        <v>36</v>
      </c>
      <c r="F41" t="s">
        <v>991</v>
      </c>
      <c r="G41" t="s">
        <v>943</v>
      </c>
      <c r="H41" t="s">
        <v>944</v>
      </c>
      <c r="I41" t="s">
        <v>950</v>
      </c>
      <c r="J41" t="s">
        <v>946</v>
      </c>
      <c r="K41" t="s">
        <v>947</v>
      </c>
      <c r="L41" s="11">
        <v>19.329999999999998</v>
      </c>
      <c r="M41" s="11">
        <v>18.329999999999998</v>
      </c>
      <c r="N41" s="11">
        <v>46.91</v>
      </c>
      <c r="O41" s="11">
        <v>3</v>
      </c>
      <c r="P41" s="50">
        <v>87.57</v>
      </c>
      <c r="Q41" s="11">
        <v>0</v>
      </c>
      <c r="R41" s="11">
        <v>0</v>
      </c>
      <c r="S41" s="11">
        <v>0</v>
      </c>
      <c r="T41" s="50">
        <v>0</v>
      </c>
      <c r="U41" s="11">
        <v>0</v>
      </c>
      <c r="V41" s="11">
        <v>0</v>
      </c>
      <c r="W41" s="11">
        <v>0</v>
      </c>
      <c r="X41" s="11">
        <v>0</v>
      </c>
      <c r="Y41" s="50">
        <v>0</v>
      </c>
      <c r="Z41">
        <v>0</v>
      </c>
      <c r="AA41">
        <v>0</v>
      </c>
      <c r="AB41" s="52">
        <v>0</v>
      </c>
      <c r="AC41">
        <v>0</v>
      </c>
      <c r="AD41">
        <v>0</v>
      </c>
      <c r="AE41">
        <v>0</v>
      </c>
      <c r="AF41">
        <v>0</v>
      </c>
      <c r="AG41" s="50">
        <v>0</v>
      </c>
      <c r="AH41">
        <v>0</v>
      </c>
      <c r="AI41">
        <v>0</v>
      </c>
      <c r="AJ41">
        <v>0</v>
      </c>
      <c r="AK41">
        <v>0</v>
      </c>
      <c r="AL41" s="50">
        <v>0</v>
      </c>
      <c r="AM41">
        <v>0</v>
      </c>
      <c r="AN41">
        <v>0</v>
      </c>
      <c r="AO41">
        <v>0</v>
      </c>
      <c r="AP41" s="50">
        <v>0</v>
      </c>
      <c r="AQ41" s="11" t="s">
        <v>51</v>
      </c>
      <c r="AR41" s="11" t="s">
        <v>51</v>
      </c>
      <c r="AS41" s="11" t="s">
        <v>51</v>
      </c>
      <c r="AT41" s="50">
        <v>0</v>
      </c>
      <c r="AU41" s="18">
        <v>40</v>
      </c>
      <c r="AV41" s="18">
        <v>0</v>
      </c>
      <c r="AW41" s="18">
        <v>0</v>
      </c>
      <c r="AX41" s="18">
        <v>0</v>
      </c>
      <c r="AY41" s="54">
        <f t="shared" si="0"/>
        <v>40</v>
      </c>
      <c r="AZ41" t="s">
        <v>52</v>
      </c>
      <c r="BA41" s="38">
        <v>87.57</v>
      </c>
    </row>
    <row r="42" spans="1:53" x14ac:dyDescent="0.25">
      <c r="A42" s="39" t="s">
        <v>46</v>
      </c>
      <c r="B42" t="s">
        <v>244</v>
      </c>
      <c r="C42" t="s">
        <v>245</v>
      </c>
      <c r="D42" t="s">
        <v>246</v>
      </c>
      <c r="E42">
        <v>27</v>
      </c>
      <c r="F42" t="s">
        <v>976</v>
      </c>
      <c r="G42" t="s">
        <v>943</v>
      </c>
      <c r="H42" t="s">
        <v>944</v>
      </c>
      <c r="I42" t="s">
        <v>950</v>
      </c>
      <c r="J42" t="s">
        <v>946</v>
      </c>
      <c r="K42" t="s">
        <v>992</v>
      </c>
      <c r="L42" s="11">
        <v>20</v>
      </c>
      <c r="M42" s="11">
        <v>13.67</v>
      </c>
      <c r="N42" s="11">
        <v>43.17</v>
      </c>
      <c r="O42" s="11">
        <v>3</v>
      </c>
      <c r="P42" s="50">
        <v>79.84</v>
      </c>
      <c r="Q42" s="11">
        <v>0</v>
      </c>
      <c r="R42" s="11">
        <v>0</v>
      </c>
      <c r="S42" s="11">
        <v>0</v>
      </c>
      <c r="T42" s="50">
        <v>0</v>
      </c>
      <c r="U42" s="11">
        <v>0</v>
      </c>
      <c r="V42" s="11">
        <v>0</v>
      </c>
      <c r="W42" s="11">
        <v>0</v>
      </c>
      <c r="X42" s="11">
        <v>0</v>
      </c>
      <c r="Y42" s="50">
        <v>0</v>
      </c>
      <c r="Z42">
        <v>0</v>
      </c>
      <c r="AA42">
        <v>0</v>
      </c>
      <c r="AB42" s="52">
        <v>0</v>
      </c>
      <c r="AC42">
        <v>0</v>
      </c>
      <c r="AD42">
        <v>0</v>
      </c>
      <c r="AE42">
        <v>0</v>
      </c>
      <c r="AF42">
        <v>0</v>
      </c>
      <c r="AG42" s="50">
        <v>0</v>
      </c>
      <c r="AH42">
        <v>0</v>
      </c>
      <c r="AI42">
        <v>0</v>
      </c>
      <c r="AJ42">
        <v>0</v>
      </c>
      <c r="AK42">
        <v>0</v>
      </c>
      <c r="AL42" s="50">
        <v>0</v>
      </c>
      <c r="AM42">
        <v>33.340000000000003</v>
      </c>
      <c r="AN42">
        <v>20</v>
      </c>
      <c r="AO42">
        <v>26.72</v>
      </c>
      <c r="AP42" s="50">
        <v>80.06</v>
      </c>
      <c r="AQ42" s="11" t="s">
        <v>51</v>
      </c>
      <c r="AR42" s="11" t="s">
        <v>51</v>
      </c>
      <c r="AS42" s="11" t="s">
        <v>51</v>
      </c>
      <c r="AT42" s="50">
        <v>0</v>
      </c>
      <c r="AU42" s="18">
        <v>32</v>
      </c>
      <c r="AV42" s="18">
        <v>0</v>
      </c>
      <c r="AW42" s="18">
        <v>0</v>
      </c>
      <c r="AX42" s="18">
        <v>8</v>
      </c>
      <c r="AY42" s="54">
        <f t="shared" si="0"/>
        <v>40</v>
      </c>
      <c r="AZ42" t="s">
        <v>52</v>
      </c>
      <c r="BA42" s="38">
        <v>79.884</v>
      </c>
    </row>
    <row r="43" spans="1:53" x14ac:dyDescent="0.25">
      <c r="A43" s="39" t="s">
        <v>46</v>
      </c>
      <c r="B43" t="s">
        <v>248</v>
      </c>
      <c r="C43" t="s">
        <v>249</v>
      </c>
      <c r="D43" t="s">
        <v>250</v>
      </c>
      <c r="E43">
        <v>66</v>
      </c>
      <c r="F43" t="s">
        <v>971</v>
      </c>
      <c r="G43" t="s">
        <v>949</v>
      </c>
      <c r="H43" t="s">
        <v>944</v>
      </c>
      <c r="I43" t="s">
        <v>950</v>
      </c>
      <c r="J43" t="s">
        <v>955</v>
      </c>
      <c r="K43" t="s">
        <v>962</v>
      </c>
      <c r="L43" s="11">
        <v>20</v>
      </c>
      <c r="M43" s="11">
        <v>18</v>
      </c>
      <c r="N43" s="11">
        <v>36.450000000000003</v>
      </c>
      <c r="O43" s="11">
        <v>6.5</v>
      </c>
      <c r="P43" s="50">
        <v>80.95</v>
      </c>
      <c r="Q43" s="11">
        <v>0</v>
      </c>
      <c r="R43" s="11">
        <v>0</v>
      </c>
      <c r="S43" s="11">
        <v>0</v>
      </c>
      <c r="T43" s="50">
        <v>0</v>
      </c>
      <c r="U43" s="11">
        <v>0</v>
      </c>
      <c r="V43" s="11">
        <v>0</v>
      </c>
      <c r="W43" s="11">
        <v>0</v>
      </c>
      <c r="X43" s="11">
        <v>0</v>
      </c>
      <c r="Y43" s="50">
        <v>0</v>
      </c>
      <c r="Z43">
        <v>0</v>
      </c>
      <c r="AA43">
        <v>0</v>
      </c>
      <c r="AB43" s="52">
        <v>0</v>
      </c>
      <c r="AC43">
        <v>0</v>
      </c>
      <c r="AD43">
        <v>0</v>
      </c>
      <c r="AE43">
        <v>0</v>
      </c>
      <c r="AF43">
        <v>0</v>
      </c>
      <c r="AG43" s="50">
        <v>0</v>
      </c>
      <c r="AH43">
        <v>0</v>
      </c>
      <c r="AI43">
        <v>0</v>
      </c>
      <c r="AJ43">
        <v>0</v>
      </c>
      <c r="AK43">
        <v>0</v>
      </c>
      <c r="AL43" s="50">
        <v>0</v>
      </c>
      <c r="AM43">
        <v>0</v>
      </c>
      <c r="AN43">
        <v>0</v>
      </c>
      <c r="AO43">
        <v>0</v>
      </c>
      <c r="AP43" s="50">
        <v>0</v>
      </c>
      <c r="AQ43" s="11" t="s">
        <v>51</v>
      </c>
      <c r="AR43" s="11" t="s">
        <v>51</v>
      </c>
      <c r="AS43" s="11" t="s">
        <v>51</v>
      </c>
      <c r="AT43" s="50">
        <v>0</v>
      </c>
      <c r="AU43" s="18">
        <v>11</v>
      </c>
      <c r="AV43" s="18">
        <v>0</v>
      </c>
      <c r="AW43" s="18">
        <v>0</v>
      </c>
      <c r="AX43" s="18">
        <v>0</v>
      </c>
      <c r="AY43" s="54">
        <f t="shared" si="0"/>
        <v>11</v>
      </c>
      <c r="AZ43" t="s">
        <v>52</v>
      </c>
      <c r="BA43" s="38">
        <v>80.95</v>
      </c>
    </row>
    <row r="44" spans="1:53" x14ac:dyDescent="0.25">
      <c r="A44" s="39" t="s">
        <v>46</v>
      </c>
      <c r="B44" t="s">
        <v>252</v>
      </c>
      <c r="C44" t="s">
        <v>253</v>
      </c>
      <c r="D44" t="s">
        <v>254</v>
      </c>
      <c r="E44">
        <v>62</v>
      </c>
      <c r="F44" t="s">
        <v>957</v>
      </c>
      <c r="G44" t="s">
        <v>949</v>
      </c>
      <c r="H44" t="s">
        <v>944</v>
      </c>
      <c r="I44" t="s">
        <v>977</v>
      </c>
      <c r="J44" t="s">
        <v>955</v>
      </c>
      <c r="K44" t="s">
        <v>960</v>
      </c>
      <c r="L44" s="11">
        <v>20</v>
      </c>
      <c r="M44" s="11">
        <v>18.670000000000002</v>
      </c>
      <c r="N44" s="11">
        <v>44.23</v>
      </c>
      <c r="O44" s="11">
        <v>2.5</v>
      </c>
      <c r="P44" s="50">
        <v>85.4</v>
      </c>
      <c r="Q44" s="11">
        <v>0</v>
      </c>
      <c r="R44" s="11">
        <v>0</v>
      </c>
      <c r="S44" s="11">
        <v>0</v>
      </c>
      <c r="T44" s="50">
        <v>0</v>
      </c>
      <c r="U44" s="11">
        <v>0</v>
      </c>
      <c r="V44" s="11">
        <v>0</v>
      </c>
      <c r="W44" s="11">
        <v>0</v>
      </c>
      <c r="X44" s="11">
        <v>0</v>
      </c>
      <c r="Y44" s="50">
        <v>0</v>
      </c>
      <c r="Z44">
        <v>0</v>
      </c>
      <c r="AA44">
        <v>0</v>
      </c>
      <c r="AB44" s="52">
        <v>0</v>
      </c>
      <c r="AC44">
        <v>0</v>
      </c>
      <c r="AD44">
        <v>0</v>
      </c>
      <c r="AE44">
        <v>0</v>
      </c>
      <c r="AF44">
        <v>0</v>
      </c>
      <c r="AG44" s="50">
        <v>0</v>
      </c>
      <c r="AH44">
        <v>0</v>
      </c>
      <c r="AI44">
        <v>0</v>
      </c>
      <c r="AJ44">
        <v>0</v>
      </c>
      <c r="AK44">
        <v>0</v>
      </c>
      <c r="AL44" s="50">
        <v>0</v>
      </c>
      <c r="AM44">
        <v>0</v>
      </c>
      <c r="AN44">
        <v>0</v>
      </c>
      <c r="AO44">
        <v>0</v>
      </c>
      <c r="AP44" s="50">
        <v>0</v>
      </c>
      <c r="AQ44" s="11" t="s">
        <v>51</v>
      </c>
      <c r="AR44" s="11" t="s">
        <v>51</v>
      </c>
      <c r="AS44" s="11" t="s">
        <v>51</v>
      </c>
      <c r="AT44" s="50">
        <v>0</v>
      </c>
      <c r="AU44" s="18">
        <v>10</v>
      </c>
      <c r="AV44" s="18">
        <v>0</v>
      </c>
      <c r="AW44" s="18">
        <v>0</v>
      </c>
      <c r="AX44" s="18">
        <v>0</v>
      </c>
      <c r="AY44" s="54">
        <f t="shared" si="0"/>
        <v>10</v>
      </c>
      <c r="AZ44" t="s">
        <v>52</v>
      </c>
      <c r="BA44" s="38">
        <v>85.4</v>
      </c>
    </row>
    <row r="45" spans="1:53" x14ac:dyDescent="0.25">
      <c r="A45" s="39" t="s">
        <v>46</v>
      </c>
      <c r="B45" t="s">
        <v>260</v>
      </c>
      <c r="C45" t="s">
        <v>261</v>
      </c>
      <c r="D45" t="s">
        <v>262</v>
      </c>
      <c r="E45">
        <v>47</v>
      </c>
      <c r="F45" t="s">
        <v>993</v>
      </c>
      <c r="G45" t="s">
        <v>949</v>
      </c>
      <c r="H45" t="s">
        <v>944</v>
      </c>
      <c r="I45" t="s">
        <v>950</v>
      </c>
      <c r="J45" t="s">
        <v>946</v>
      </c>
      <c r="K45" t="s">
        <v>951</v>
      </c>
      <c r="L45" s="11">
        <v>0</v>
      </c>
      <c r="M45" s="11">
        <v>25</v>
      </c>
      <c r="N45" s="11">
        <v>41.8125</v>
      </c>
      <c r="O45" s="11">
        <v>9.375</v>
      </c>
      <c r="P45" s="50">
        <v>76.1875</v>
      </c>
      <c r="Q45" s="11">
        <v>0</v>
      </c>
      <c r="R45" s="11">
        <v>0</v>
      </c>
      <c r="S45" s="11">
        <v>0</v>
      </c>
      <c r="T45" s="50">
        <v>0</v>
      </c>
      <c r="U45" s="11">
        <v>0</v>
      </c>
      <c r="V45" s="11">
        <v>0</v>
      </c>
      <c r="W45" s="11">
        <v>0</v>
      </c>
      <c r="X45" s="11">
        <v>0</v>
      </c>
      <c r="Y45" s="50">
        <v>0</v>
      </c>
      <c r="Z45">
        <v>0</v>
      </c>
      <c r="AA45">
        <v>0</v>
      </c>
      <c r="AB45" s="52">
        <v>0</v>
      </c>
      <c r="AC45">
        <v>0</v>
      </c>
      <c r="AD45">
        <v>0</v>
      </c>
      <c r="AE45">
        <v>0</v>
      </c>
      <c r="AF45">
        <v>0</v>
      </c>
      <c r="AG45" s="50">
        <v>0</v>
      </c>
      <c r="AH45">
        <v>0</v>
      </c>
      <c r="AI45">
        <v>0</v>
      </c>
      <c r="AJ45">
        <v>0</v>
      </c>
      <c r="AK45">
        <v>0</v>
      </c>
      <c r="AL45" s="50">
        <v>0</v>
      </c>
      <c r="AM45">
        <v>0</v>
      </c>
      <c r="AN45">
        <v>0</v>
      </c>
      <c r="AO45">
        <v>0</v>
      </c>
      <c r="AP45" s="50">
        <v>0</v>
      </c>
      <c r="AQ45" s="11" t="s">
        <v>51</v>
      </c>
      <c r="AR45" s="11" t="s">
        <v>51</v>
      </c>
      <c r="AS45" s="11" t="s">
        <v>51</v>
      </c>
      <c r="AT45" s="50">
        <v>0</v>
      </c>
      <c r="AU45" s="18">
        <v>3</v>
      </c>
      <c r="AV45" s="18">
        <v>0</v>
      </c>
      <c r="AW45" s="18">
        <v>0</v>
      </c>
      <c r="AX45" s="18">
        <v>0</v>
      </c>
      <c r="AY45" s="54">
        <f t="shared" si="0"/>
        <v>3</v>
      </c>
      <c r="AZ45" t="s">
        <v>52</v>
      </c>
      <c r="BA45" s="38">
        <v>76.1875</v>
      </c>
    </row>
    <row r="46" spans="1:53" x14ac:dyDescent="0.25">
      <c r="A46" s="39" t="s">
        <v>46</v>
      </c>
      <c r="B46" t="s">
        <v>269</v>
      </c>
      <c r="C46" t="s">
        <v>270</v>
      </c>
      <c r="D46" t="s">
        <v>271</v>
      </c>
      <c r="E46">
        <v>32</v>
      </c>
      <c r="F46" t="s">
        <v>972</v>
      </c>
      <c r="G46" t="s">
        <v>943</v>
      </c>
      <c r="H46" t="s">
        <v>944</v>
      </c>
      <c r="I46" t="s">
        <v>950</v>
      </c>
      <c r="J46" t="s">
        <v>946</v>
      </c>
      <c r="K46" t="s">
        <v>951</v>
      </c>
      <c r="L46" s="11">
        <v>20</v>
      </c>
      <c r="M46" s="11">
        <v>18.670000000000002</v>
      </c>
      <c r="N46" s="11">
        <v>44.46</v>
      </c>
      <c r="O46" s="11">
        <v>6</v>
      </c>
      <c r="P46" s="50">
        <v>89.13</v>
      </c>
      <c r="Q46" s="11">
        <v>0</v>
      </c>
      <c r="R46" s="11">
        <v>0</v>
      </c>
      <c r="S46" s="11">
        <v>0</v>
      </c>
      <c r="T46" s="50">
        <v>0</v>
      </c>
      <c r="U46" s="11">
        <v>0</v>
      </c>
      <c r="V46" s="11">
        <v>0</v>
      </c>
      <c r="W46" s="11">
        <v>0</v>
      </c>
      <c r="X46" s="11">
        <v>0</v>
      </c>
      <c r="Y46" s="50">
        <v>0</v>
      </c>
      <c r="Z46">
        <v>0</v>
      </c>
      <c r="AA46">
        <v>0</v>
      </c>
      <c r="AB46" s="52">
        <v>0</v>
      </c>
      <c r="AC46">
        <v>0</v>
      </c>
      <c r="AD46">
        <v>0</v>
      </c>
      <c r="AE46">
        <v>0</v>
      </c>
      <c r="AF46">
        <v>0</v>
      </c>
      <c r="AG46" s="50">
        <v>0</v>
      </c>
      <c r="AH46">
        <v>3.75</v>
      </c>
      <c r="AI46">
        <v>50</v>
      </c>
      <c r="AJ46">
        <v>15</v>
      </c>
      <c r="AK46">
        <v>20</v>
      </c>
      <c r="AL46" s="50">
        <v>88.75</v>
      </c>
      <c r="AM46">
        <v>0</v>
      </c>
      <c r="AN46">
        <v>0</v>
      </c>
      <c r="AO46">
        <v>0</v>
      </c>
      <c r="AP46" s="50">
        <v>0</v>
      </c>
      <c r="AQ46" s="11">
        <v>19.329999999999998</v>
      </c>
      <c r="AR46" s="11">
        <v>29</v>
      </c>
      <c r="AS46" s="11">
        <v>43.19</v>
      </c>
      <c r="AT46" s="50">
        <v>91.52</v>
      </c>
      <c r="AU46" s="18">
        <v>29</v>
      </c>
      <c r="AV46" s="18">
        <v>8</v>
      </c>
      <c r="AW46" s="18">
        <v>3</v>
      </c>
      <c r="AX46" s="18">
        <v>0</v>
      </c>
      <c r="AY46" s="54">
        <f t="shared" si="0"/>
        <v>40</v>
      </c>
      <c r="AZ46" t="s">
        <v>52</v>
      </c>
      <c r="BA46" s="38">
        <v>89.233249999999998</v>
      </c>
    </row>
    <row r="47" spans="1:53" x14ac:dyDescent="0.25">
      <c r="A47" s="39" t="s">
        <v>46</v>
      </c>
      <c r="B47" t="s">
        <v>273</v>
      </c>
      <c r="C47" t="s">
        <v>274</v>
      </c>
      <c r="D47" t="s">
        <v>275</v>
      </c>
      <c r="E47">
        <v>44</v>
      </c>
      <c r="F47" t="s">
        <v>994</v>
      </c>
      <c r="G47" t="s">
        <v>949</v>
      </c>
      <c r="H47" t="s">
        <v>944</v>
      </c>
      <c r="I47" t="s">
        <v>977</v>
      </c>
      <c r="J47" t="s">
        <v>955</v>
      </c>
      <c r="K47" t="s">
        <v>960</v>
      </c>
      <c r="L47" s="11">
        <v>17.670000000000002</v>
      </c>
      <c r="M47" s="11">
        <v>19.329999999999998</v>
      </c>
      <c r="N47" s="11">
        <v>44.48</v>
      </c>
      <c r="O47" s="11">
        <v>5.5</v>
      </c>
      <c r="P47" s="50">
        <v>86.97999999999999</v>
      </c>
      <c r="Q47" s="11">
        <v>0</v>
      </c>
      <c r="R47" s="11">
        <v>0</v>
      </c>
      <c r="S47" s="11">
        <v>0</v>
      </c>
      <c r="T47" s="50">
        <v>0</v>
      </c>
      <c r="U47" s="11">
        <v>0</v>
      </c>
      <c r="V47" s="11">
        <v>0</v>
      </c>
      <c r="W47" s="11">
        <v>0</v>
      </c>
      <c r="X47" s="11">
        <v>0</v>
      </c>
      <c r="Y47" s="50">
        <v>0</v>
      </c>
      <c r="Z47">
        <v>0</v>
      </c>
      <c r="AA47">
        <v>0</v>
      </c>
      <c r="AB47" s="52">
        <v>0</v>
      </c>
      <c r="AC47">
        <v>0</v>
      </c>
      <c r="AD47">
        <v>0</v>
      </c>
      <c r="AE47">
        <v>0</v>
      </c>
      <c r="AF47">
        <v>0</v>
      </c>
      <c r="AG47" s="50">
        <v>0</v>
      </c>
      <c r="AH47">
        <v>0</v>
      </c>
      <c r="AI47">
        <v>0</v>
      </c>
      <c r="AJ47">
        <v>0</v>
      </c>
      <c r="AK47">
        <v>0</v>
      </c>
      <c r="AL47" s="50">
        <v>0</v>
      </c>
      <c r="AM47">
        <v>0</v>
      </c>
      <c r="AN47">
        <v>0</v>
      </c>
      <c r="AO47">
        <v>0</v>
      </c>
      <c r="AP47" s="50">
        <v>0</v>
      </c>
      <c r="AQ47" s="11" t="s">
        <v>51</v>
      </c>
      <c r="AR47" s="11" t="s">
        <v>51</v>
      </c>
      <c r="AS47" s="11" t="s">
        <v>51</v>
      </c>
      <c r="AT47" s="50">
        <v>0</v>
      </c>
      <c r="AU47" s="18">
        <v>8</v>
      </c>
      <c r="AV47" s="18">
        <v>0</v>
      </c>
      <c r="AW47" s="18">
        <v>0</v>
      </c>
      <c r="AX47" s="18">
        <v>0</v>
      </c>
      <c r="AY47" s="54">
        <f t="shared" si="0"/>
        <v>8</v>
      </c>
      <c r="AZ47" t="s">
        <v>52</v>
      </c>
      <c r="BA47" s="38">
        <v>86.97999999999999</v>
      </c>
    </row>
    <row r="48" spans="1:53" x14ac:dyDescent="0.25">
      <c r="A48" s="39" t="s">
        <v>46</v>
      </c>
      <c r="B48" t="s">
        <v>277</v>
      </c>
      <c r="C48" t="s">
        <v>278</v>
      </c>
      <c r="D48" t="s">
        <v>279</v>
      </c>
      <c r="E48">
        <v>35</v>
      </c>
      <c r="F48" t="s">
        <v>976</v>
      </c>
      <c r="G48" t="s">
        <v>949</v>
      </c>
      <c r="H48" t="s">
        <v>944</v>
      </c>
      <c r="I48" t="s">
        <v>950</v>
      </c>
      <c r="J48" t="s">
        <v>955</v>
      </c>
      <c r="K48" t="s">
        <v>983</v>
      </c>
      <c r="L48" s="11">
        <v>20</v>
      </c>
      <c r="M48" s="11">
        <v>17.329999999999998</v>
      </c>
      <c r="N48" s="11">
        <v>46.27</v>
      </c>
      <c r="O48" s="11">
        <v>3</v>
      </c>
      <c r="P48" s="50">
        <v>86.6</v>
      </c>
      <c r="Q48" s="11">
        <v>0</v>
      </c>
      <c r="R48" s="11">
        <v>0</v>
      </c>
      <c r="S48" s="11">
        <v>0</v>
      </c>
      <c r="T48" s="50">
        <v>0</v>
      </c>
      <c r="U48" s="11">
        <v>0</v>
      </c>
      <c r="V48" s="11">
        <v>0</v>
      </c>
      <c r="W48" s="11">
        <v>0</v>
      </c>
      <c r="X48" s="11">
        <v>0</v>
      </c>
      <c r="Y48" s="50">
        <v>0</v>
      </c>
      <c r="Z48">
        <v>0</v>
      </c>
      <c r="AA48">
        <v>0</v>
      </c>
      <c r="AB48" s="52">
        <v>0</v>
      </c>
      <c r="AC48">
        <v>0</v>
      </c>
      <c r="AD48">
        <v>0</v>
      </c>
      <c r="AE48">
        <v>0</v>
      </c>
      <c r="AF48">
        <v>0</v>
      </c>
      <c r="AG48" s="50">
        <v>0</v>
      </c>
      <c r="AH48">
        <v>0</v>
      </c>
      <c r="AI48">
        <v>0</v>
      </c>
      <c r="AJ48">
        <v>0</v>
      </c>
      <c r="AK48">
        <v>0</v>
      </c>
      <c r="AL48" s="50">
        <v>0</v>
      </c>
      <c r="AM48">
        <v>0</v>
      </c>
      <c r="AN48">
        <v>0</v>
      </c>
      <c r="AO48">
        <v>0</v>
      </c>
      <c r="AP48" s="50">
        <v>0</v>
      </c>
      <c r="AQ48" s="11" t="s">
        <v>51</v>
      </c>
      <c r="AR48" s="11" t="s">
        <v>51</v>
      </c>
      <c r="AS48" s="11" t="s">
        <v>51</v>
      </c>
      <c r="AT48" s="50">
        <v>0</v>
      </c>
      <c r="AU48" s="18">
        <v>7</v>
      </c>
      <c r="AV48" s="18">
        <v>0</v>
      </c>
      <c r="AW48" s="18">
        <v>0</v>
      </c>
      <c r="AX48" s="18">
        <v>0</v>
      </c>
      <c r="AY48" s="54">
        <f t="shared" si="0"/>
        <v>7</v>
      </c>
      <c r="AZ48" t="s">
        <v>52</v>
      </c>
      <c r="BA48" s="38">
        <v>86.6</v>
      </c>
    </row>
    <row r="49" spans="1:53" x14ac:dyDescent="0.25">
      <c r="A49" s="39" t="s">
        <v>46</v>
      </c>
      <c r="B49" t="s">
        <v>281</v>
      </c>
      <c r="C49" t="s">
        <v>282</v>
      </c>
      <c r="D49" t="s">
        <v>283</v>
      </c>
      <c r="E49">
        <v>35</v>
      </c>
      <c r="F49" t="s">
        <v>975</v>
      </c>
      <c r="G49" t="s">
        <v>943</v>
      </c>
      <c r="H49" t="s">
        <v>944</v>
      </c>
      <c r="I49" t="s">
        <v>950</v>
      </c>
      <c r="J49" t="s">
        <v>955</v>
      </c>
      <c r="K49" t="s">
        <v>964</v>
      </c>
      <c r="L49" s="11">
        <v>19.670000000000002</v>
      </c>
      <c r="M49" s="11">
        <v>20</v>
      </c>
      <c r="N49" s="11">
        <v>48.45</v>
      </c>
      <c r="O49" s="11">
        <v>2.5</v>
      </c>
      <c r="P49" s="50">
        <v>90.62</v>
      </c>
      <c r="Q49" s="11">
        <v>0</v>
      </c>
      <c r="R49" s="11">
        <v>0</v>
      </c>
      <c r="S49" s="11">
        <v>0</v>
      </c>
      <c r="T49" s="50">
        <v>0</v>
      </c>
      <c r="U49" s="11">
        <v>0</v>
      </c>
      <c r="V49" s="11">
        <v>0</v>
      </c>
      <c r="W49" s="11">
        <v>0</v>
      </c>
      <c r="X49" s="11">
        <v>0</v>
      </c>
      <c r="Y49" s="50">
        <v>0</v>
      </c>
      <c r="Z49">
        <v>0</v>
      </c>
      <c r="AA49">
        <v>0</v>
      </c>
      <c r="AB49" s="52">
        <v>0</v>
      </c>
      <c r="AC49">
        <v>0</v>
      </c>
      <c r="AD49">
        <v>0</v>
      </c>
      <c r="AE49">
        <v>0</v>
      </c>
      <c r="AF49">
        <v>0</v>
      </c>
      <c r="AG49" s="50">
        <v>0</v>
      </c>
      <c r="AH49">
        <v>0</v>
      </c>
      <c r="AI49">
        <v>0</v>
      </c>
      <c r="AJ49">
        <v>0</v>
      </c>
      <c r="AK49">
        <v>0</v>
      </c>
      <c r="AL49" s="50">
        <v>0</v>
      </c>
      <c r="AM49">
        <v>0</v>
      </c>
      <c r="AN49">
        <v>0</v>
      </c>
      <c r="AO49">
        <v>0</v>
      </c>
      <c r="AP49" s="50">
        <v>0</v>
      </c>
      <c r="AQ49" s="11" t="s">
        <v>51</v>
      </c>
      <c r="AR49" s="11" t="s">
        <v>51</v>
      </c>
      <c r="AS49" s="11" t="s">
        <v>51</v>
      </c>
      <c r="AT49" s="50">
        <v>0</v>
      </c>
      <c r="AU49" s="18">
        <v>7</v>
      </c>
      <c r="AV49" s="18">
        <v>0</v>
      </c>
      <c r="AW49" s="18">
        <v>0</v>
      </c>
      <c r="AX49" s="18">
        <v>0</v>
      </c>
      <c r="AY49" s="54">
        <f t="shared" si="0"/>
        <v>7</v>
      </c>
      <c r="AZ49" t="s">
        <v>52</v>
      </c>
      <c r="BA49" s="38">
        <v>90.62</v>
      </c>
    </row>
    <row r="50" spans="1:53" x14ac:dyDescent="0.25">
      <c r="A50" s="39" t="s">
        <v>46</v>
      </c>
      <c r="B50" t="s">
        <v>285</v>
      </c>
      <c r="C50" t="s">
        <v>286</v>
      </c>
      <c r="D50" t="s">
        <v>287</v>
      </c>
      <c r="E50">
        <v>46</v>
      </c>
      <c r="F50" t="s">
        <v>954</v>
      </c>
      <c r="G50" t="s">
        <v>943</v>
      </c>
      <c r="H50" t="s">
        <v>944</v>
      </c>
      <c r="I50" t="s">
        <v>950</v>
      </c>
      <c r="J50" t="s">
        <v>955</v>
      </c>
      <c r="K50" t="s">
        <v>964</v>
      </c>
      <c r="L50" s="11">
        <v>0</v>
      </c>
      <c r="M50" s="11">
        <v>0</v>
      </c>
      <c r="N50" s="11">
        <v>56.033333333333339</v>
      </c>
      <c r="O50" s="11">
        <v>9.1666666666666643</v>
      </c>
      <c r="P50" s="50">
        <v>65.2</v>
      </c>
      <c r="Q50" s="11">
        <v>0</v>
      </c>
      <c r="R50" s="11">
        <v>0</v>
      </c>
      <c r="S50" s="11">
        <v>0</v>
      </c>
      <c r="T50" s="50">
        <v>0</v>
      </c>
      <c r="U50" s="11">
        <v>0</v>
      </c>
      <c r="V50" s="11">
        <v>0</v>
      </c>
      <c r="W50" s="11">
        <v>0</v>
      </c>
      <c r="X50" s="11">
        <v>0</v>
      </c>
      <c r="Y50" s="50">
        <v>0</v>
      </c>
      <c r="Z50">
        <v>0</v>
      </c>
      <c r="AA50">
        <v>0</v>
      </c>
      <c r="AB50" s="52">
        <v>0</v>
      </c>
      <c r="AC50">
        <v>0</v>
      </c>
      <c r="AD50">
        <v>0</v>
      </c>
      <c r="AE50">
        <v>0</v>
      </c>
      <c r="AF50">
        <v>0</v>
      </c>
      <c r="AG50" s="50">
        <v>0</v>
      </c>
      <c r="AH50">
        <v>0</v>
      </c>
      <c r="AI50">
        <v>0</v>
      </c>
      <c r="AJ50">
        <v>0</v>
      </c>
      <c r="AK50">
        <v>0</v>
      </c>
      <c r="AL50" s="50">
        <v>0</v>
      </c>
      <c r="AM50">
        <v>0</v>
      </c>
      <c r="AN50">
        <v>0</v>
      </c>
      <c r="AO50">
        <v>0</v>
      </c>
      <c r="AP50" s="50">
        <v>0</v>
      </c>
      <c r="AQ50" s="11" t="s">
        <v>51</v>
      </c>
      <c r="AR50" s="11" t="s">
        <v>51</v>
      </c>
      <c r="AS50" s="11" t="s">
        <v>51</v>
      </c>
      <c r="AT50" s="50">
        <v>0</v>
      </c>
      <c r="AU50" s="18">
        <v>6</v>
      </c>
      <c r="AV50" s="18">
        <v>0</v>
      </c>
      <c r="AW50" s="18">
        <v>0</v>
      </c>
      <c r="AX50" s="18">
        <v>0</v>
      </c>
      <c r="AY50" s="54">
        <f t="shared" si="0"/>
        <v>6</v>
      </c>
      <c r="AZ50" t="s">
        <v>52</v>
      </c>
      <c r="BA50" s="38">
        <v>65.2</v>
      </c>
    </row>
    <row r="51" spans="1:53" x14ac:dyDescent="0.25">
      <c r="A51" s="39" t="s">
        <v>46</v>
      </c>
      <c r="B51" t="s">
        <v>296</v>
      </c>
      <c r="C51" t="s">
        <v>297</v>
      </c>
      <c r="D51" t="s">
        <v>298</v>
      </c>
      <c r="E51">
        <v>31</v>
      </c>
      <c r="F51" t="s">
        <v>976</v>
      </c>
      <c r="G51" t="s">
        <v>943</v>
      </c>
      <c r="H51" t="s">
        <v>944</v>
      </c>
      <c r="I51" t="s">
        <v>950</v>
      </c>
      <c r="J51" t="s">
        <v>946</v>
      </c>
      <c r="K51" t="s">
        <v>968</v>
      </c>
      <c r="L51" s="11">
        <v>20</v>
      </c>
      <c r="M51" s="11">
        <v>12.33</v>
      </c>
      <c r="N51" s="11">
        <v>39.46</v>
      </c>
      <c r="O51" s="11">
        <v>2.5</v>
      </c>
      <c r="P51" s="50">
        <v>74.289999999999992</v>
      </c>
      <c r="Q51" s="11">
        <v>0</v>
      </c>
      <c r="R51" s="11">
        <v>0</v>
      </c>
      <c r="S51" s="11">
        <v>0</v>
      </c>
      <c r="T51" s="50">
        <v>0</v>
      </c>
      <c r="U51" s="11">
        <v>0</v>
      </c>
      <c r="V51" s="11">
        <v>0</v>
      </c>
      <c r="W51" s="11">
        <v>0</v>
      </c>
      <c r="X51" s="11">
        <v>0</v>
      </c>
      <c r="Y51" s="50">
        <v>0</v>
      </c>
      <c r="Z51">
        <v>0</v>
      </c>
      <c r="AA51">
        <v>0</v>
      </c>
      <c r="AB51" s="52">
        <v>0</v>
      </c>
      <c r="AC51">
        <v>0</v>
      </c>
      <c r="AD51">
        <v>0</v>
      </c>
      <c r="AE51">
        <v>0</v>
      </c>
      <c r="AF51">
        <v>0</v>
      </c>
      <c r="AG51" s="50">
        <v>0</v>
      </c>
      <c r="AH51">
        <v>3.75</v>
      </c>
      <c r="AI51">
        <v>12.5</v>
      </c>
      <c r="AJ51">
        <v>4.88</v>
      </c>
      <c r="AK51">
        <v>10</v>
      </c>
      <c r="AL51" s="50">
        <v>31.13</v>
      </c>
      <c r="AM51">
        <v>0</v>
      </c>
      <c r="AN51">
        <v>0</v>
      </c>
      <c r="AO51">
        <v>0</v>
      </c>
      <c r="AP51" s="50">
        <v>0</v>
      </c>
      <c r="AQ51" s="11" t="s">
        <v>51</v>
      </c>
      <c r="AR51" s="11" t="s">
        <v>51</v>
      </c>
      <c r="AS51" s="11" t="s">
        <v>51</v>
      </c>
      <c r="AT51" s="50">
        <v>0</v>
      </c>
      <c r="AU51" s="18">
        <v>25</v>
      </c>
      <c r="AV51" s="18">
        <v>15</v>
      </c>
      <c r="AW51" s="18">
        <v>0</v>
      </c>
      <c r="AX51" s="18">
        <v>0</v>
      </c>
      <c r="AY51" s="54">
        <f t="shared" si="0"/>
        <v>40</v>
      </c>
      <c r="AZ51" t="s">
        <v>52</v>
      </c>
      <c r="BA51" s="38">
        <v>58.104999999999997</v>
      </c>
    </row>
    <row r="52" spans="1:53" x14ac:dyDescent="0.25">
      <c r="A52" s="39" t="s">
        <v>46</v>
      </c>
      <c r="B52" t="s">
        <v>305</v>
      </c>
      <c r="C52" t="s">
        <v>306</v>
      </c>
      <c r="D52" t="s">
        <v>307</v>
      </c>
      <c r="E52">
        <v>35</v>
      </c>
      <c r="F52" t="s">
        <v>995</v>
      </c>
      <c r="G52" t="s">
        <v>943</v>
      </c>
      <c r="H52" t="s">
        <v>944</v>
      </c>
      <c r="I52" t="s">
        <v>950</v>
      </c>
      <c r="J52" t="s">
        <v>946</v>
      </c>
      <c r="K52" t="s">
        <v>968</v>
      </c>
      <c r="L52" s="11">
        <v>19.730000000000004</v>
      </c>
      <c r="M52" s="11">
        <v>20</v>
      </c>
      <c r="N52" s="11">
        <v>46.9</v>
      </c>
      <c r="O52" s="11">
        <v>2.5</v>
      </c>
      <c r="P52" s="50">
        <v>89.13</v>
      </c>
      <c r="Q52" s="11">
        <v>0</v>
      </c>
      <c r="R52" s="11">
        <v>0</v>
      </c>
      <c r="S52" s="11">
        <v>0</v>
      </c>
      <c r="T52" s="50">
        <v>0</v>
      </c>
      <c r="U52" s="11">
        <v>0</v>
      </c>
      <c r="V52" s="11">
        <v>0</v>
      </c>
      <c r="W52" s="11">
        <v>0</v>
      </c>
      <c r="X52" s="11">
        <v>0</v>
      </c>
      <c r="Y52" s="50">
        <v>0</v>
      </c>
      <c r="Z52">
        <v>0</v>
      </c>
      <c r="AA52">
        <v>0</v>
      </c>
      <c r="AB52" s="52">
        <v>0</v>
      </c>
      <c r="AC52">
        <v>0</v>
      </c>
      <c r="AD52">
        <v>0</v>
      </c>
      <c r="AE52">
        <v>0</v>
      </c>
      <c r="AF52">
        <v>0</v>
      </c>
      <c r="AG52" s="50">
        <v>0</v>
      </c>
      <c r="AH52">
        <v>0</v>
      </c>
      <c r="AI52">
        <v>0</v>
      </c>
      <c r="AJ52">
        <v>0</v>
      </c>
      <c r="AK52">
        <v>0</v>
      </c>
      <c r="AL52" s="50">
        <v>0</v>
      </c>
      <c r="AM52">
        <v>50</v>
      </c>
      <c r="AN52">
        <v>17.329999999999998</v>
      </c>
      <c r="AO52">
        <v>29</v>
      </c>
      <c r="AP52" s="50">
        <v>96.33</v>
      </c>
      <c r="AQ52" s="11" t="s">
        <v>51</v>
      </c>
      <c r="AR52" s="11" t="s">
        <v>51</v>
      </c>
      <c r="AS52" s="11" t="s">
        <v>51</v>
      </c>
      <c r="AT52" s="50">
        <v>0</v>
      </c>
      <c r="AU52" s="18">
        <v>32</v>
      </c>
      <c r="AV52" s="18">
        <v>0</v>
      </c>
      <c r="AW52" s="18">
        <v>0</v>
      </c>
      <c r="AX52" s="18">
        <v>8</v>
      </c>
      <c r="AY52" s="54">
        <f t="shared" si="0"/>
        <v>40</v>
      </c>
      <c r="AZ52" t="s">
        <v>52</v>
      </c>
      <c r="BA52" s="38">
        <v>90.57</v>
      </c>
    </row>
    <row r="53" spans="1:53" x14ac:dyDescent="0.25">
      <c r="A53" s="39" t="s">
        <v>46</v>
      </c>
      <c r="B53" t="s">
        <v>309</v>
      </c>
      <c r="C53" t="s">
        <v>310</v>
      </c>
      <c r="D53" t="s">
        <v>311</v>
      </c>
      <c r="E53">
        <v>37</v>
      </c>
      <c r="F53" t="s">
        <v>954</v>
      </c>
      <c r="G53" t="s">
        <v>943</v>
      </c>
      <c r="H53" t="s">
        <v>944</v>
      </c>
      <c r="I53" t="s">
        <v>950</v>
      </c>
      <c r="J53" t="s">
        <v>955</v>
      </c>
      <c r="K53" t="s">
        <v>958</v>
      </c>
      <c r="L53" s="11">
        <v>20</v>
      </c>
      <c r="M53" s="11">
        <v>20</v>
      </c>
      <c r="N53" s="11">
        <v>49.43</v>
      </c>
      <c r="O53" s="11">
        <v>6</v>
      </c>
      <c r="P53" s="50">
        <v>95.43</v>
      </c>
      <c r="Q53" s="11">
        <v>0</v>
      </c>
      <c r="R53" s="11">
        <v>0</v>
      </c>
      <c r="S53" s="11">
        <v>0</v>
      </c>
      <c r="T53" s="50">
        <v>0</v>
      </c>
      <c r="U53" s="11">
        <v>0</v>
      </c>
      <c r="V53" s="11">
        <v>0</v>
      </c>
      <c r="W53" s="11">
        <v>0</v>
      </c>
      <c r="X53" s="11">
        <v>0</v>
      </c>
      <c r="Y53" s="50">
        <v>0</v>
      </c>
      <c r="Z53">
        <v>0</v>
      </c>
      <c r="AA53">
        <v>0</v>
      </c>
      <c r="AB53" s="52">
        <v>0</v>
      </c>
      <c r="AC53">
        <v>0</v>
      </c>
      <c r="AD53">
        <v>0</v>
      </c>
      <c r="AE53">
        <v>0</v>
      </c>
      <c r="AF53">
        <v>0</v>
      </c>
      <c r="AG53" s="50">
        <v>0</v>
      </c>
      <c r="AH53">
        <v>0</v>
      </c>
      <c r="AI53">
        <v>0</v>
      </c>
      <c r="AJ53">
        <v>0</v>
      </c>
      <c r="AK53">
        <v>0</v>
      </c>
      <c r="AL53" s="50">
        <v>0</v>
      </c>
      <c r="AM53">
        <v>0</v>
      </c>
      <c r="AN53">
        <v>0</v>
      </c>
      <c r="AO53">
        <v>0</v>
      </c>
      <c r="AP53" s="50">
        <v>0</v>
      </c>
      <c r="AQ53" s="11" t="s">
        <v>51</v>
      </c>
      <c r="AR53" s="11" t="s">
        <v>51</v>
      </c>
      <c r="AS53" s="11" t="s">
        <v>51</v>
      </c>
      <c r="AT53" s="50">
        <v>0</v>
      </c>
      <c r="AU53" s="18">
        <v>3</v>
      </c>
      <c r="AV53" s="18">
        <v>0</v>
      </c>
      <c r="AW53" s="18">
        <v>0</v>
      </c>
      <c r="AX53" s="18">
        <v>0</v>
      </c>
      <c r="AY53" s="54">
        <f t="shared" ref="AY53:AY104" si="1">+SUM(AU53:AX53)</f>
        <v>3</v>
      </c>
      <c r="AZ53" t="s">
        <v>52</v>
      </c>
      <c r="BA53" s="38">
        <v>95.43</v>
      </c>
    </row>
    <row r="54" spans="1:53" x14ac:dyDescent="0.25">
      <c r="A54" s="39" t="s">
        <v>46</v>
      </c>
      <c r="B54" t="s">
        <v>313</v>
      </c>
      <c r="C54" t="s">
        <v>310</v>
      </c>
      <c r="D54" t="s">
        <v>314</v>
      </c>
      <c r="E54">
        <v>31</v>
      </c>
      <c r="F54" t="s">
        <v>954</v>
      </c>
      <c r="G54" t="s">
        <v>943</v>
      </c>
      <c r="H54" t="s">
        <v>944</v>
      </c>
      <c r="I54" t="s">
        <v>950</v>
      </c>
      <c r="J54" t="s">
        <v>955</v>
      </c>
      <c r="K54" t="s">
        <v>958</v>
      </c>
      <c r="L54" s="11">
        <v>25</v>
      </c>
      <c r="M54" s="11">
        <v>0</v>
      </c>
      <c r="N54" s="11">
        <v>56.4</v>
      </c>
      <c r="O54" s="11">
        <v>4.375</v>
      </c>
      <c r="P54" s="50">
        <v>85.775000000000006</v>
      </c>
      <c r="Q54" s="11">
        <v>0</v>
      </c>
      <c r="R54" s="11">
        <v>0</v>
      </c>
      <c r="S54" s="11">
        <v>0</v>
      </c>
      <c r="T54" s="50">
        <v>0</v>
      </c>
      <c r="U54" s="11">
        <v>0</v>
      </c>
      <c r="V54" s="11">
        <v>0</v>
      </c>
      <c r="W54" s="11">
        <v>0</v>
      </c>
      <c r="X54" s="11">
        <v>0</v>
      </c>
      <c r="Y54" s="50">
        <v>0</v>
      </c>
      <c r="Z54">
        <v>0</v>
      </c>
      <c r="AA54">
        <v>0</v>
      </c>
      <c r="AB54" s="52">
        <v>0</v>
      </c>
      <c r="AC54">
        <v>0</v>
      </c>
      <c r="AD54">
        <v>0</v>
      </c>
      <c r="AE54">
        <v>0</v>
      </c>
      <c r="AF54">
        <v>0</v>
      </c>
      <c r="AG54" s="50">
        <v>0</v>
      </c>
      <c r="AH54">
        <v>0</v>
      </c>
      <c r="AI54">
        <v>0</v>
      </c>
      <c r="AJ54">
        <v>0</v>
      </c>
      <c r="AK54">
        <v>0</v>
      </c>
      <c r="AL54" s="50">
        <v>0</v>
      </c>
      <c r="AM54">
        <v>0</v>
      </c>
      <c r="AN54">
        <v>0</v>
      </c>
      <c r="AO54">
        <v>0</v>
      </c>
      <c r="AP54" s="50">
        <v>0</v>
      </c>
      <c r="AQ54" s="11" t="s">
        <v>51</v>
      </c>
      <c r="AR54" s="11" t="s">
        <v>51</v>
      </c>
      <c r="AS54" s="11" t="s">
        <v>51</v>
      </c>
      <c r="AT54" s="50">
        <v>0</v>
      </c>
      <c r="AU54" s="18">
        <v>3</v>
      </c>
      <c r="AV54" s="18">
        <v>0</v>
      </c>
      <c r="AW54" s="18">
        <v>0</v>
      </c>
      <c r="AX54" s="18">
        <v>0</v>
      </c>
      <c r="AY54" s="54">
        <f t="shared" si="1"/>
        <v>3</v>
      </c>
      <c r="AZ54" t="s">
        <v>52</v>
      </c>
      <c r="BA54" s="38">
        <v>85.77500000000002</v>
      </c>
    </row>
    <row r="55" spans="1:53" x14ac:dyDescent="0.25">
      <c r="A55" s="39" t="s">
        <v>46</v>
      </c>
      <c r="B55" t="s">
        <v>324</v>
      </c>
      <c r="C55" t="s">
        <v>325</v>
      </c>
      <c r="D55" t="s">
        <v>326</v>
      </c>
      <c r="E55">
        <v>30</v>
      </c>
      <c r="F55" t="s">
        <v>976</v>
      </c>
      <c r="G55" t="s">
        <v>949</v>
      </c>
      <c r="H55" t="s">
        <v>944</v>
      </c>
      <c r="I55" t="s">
        <v>945</v>
      </c>
      <c r="J55" t="s">
        <v>955</v>
      </c>
      <c r="K55" t="s">
        <v>958</v>
      </c>
      <c r="L55" s="11">
        <v>20</v>
      </c>
      <c r="M55" s="11">
        <v>19.329999999999998</v>
      </c>
      <c r="N55" s="11">
        <v>37.72</v>
      </c>
      <c r="O55" s="11">
        <v>3.5</v>
      </c>
      <c r="P55" s="50">
        <v>80.55</v>
      </c>
      <c r="Q55" s="11">
        <v>0</v>
      </c>
      <c r="R55" s="11">
        <v>0</v>
      </c>
      <c r="S55" s="11">
        <v>0</v>
      </c>
      <c r="T55" s="50">
        <v>0</v>
      </c>
      <c r="U55" s="11">
        <v>0</v>
      </c>
      <c r="V55" s="11">
        <v>0</v>
      </c>
      <c r="W55" s="11">
        <v>0</v>
      </c>
      <c r="X55" s="11">
        <v>0</v>
      </c>
      <c r="Y55" s="50">
        <v>0</v>
      </c>
      <c r="Z55">
        <v>0</v>
      </c>
      <c r="AA55">
        <v>0</v>
      </c>
      <c r="AB55" s="52">
        <v>0</v>
      </c>
      <c r="AC55">
        <v>0</v>
      </c>
      <c r="AD55">
        <v>0</v>
      </c>
      <c r="AE55">
        <v>0</v>
      </c>
      <c r="AF55">
        <v>0</v>
      </c>
      <c r="AG55" s="50">
        <v>0</v>
      </c>
      <c r="AH55">
        <v>0</v>
      </c>
      <c r="AI55">
        <v>0</v>
      </c>
      <c r="AJ55">
        <v>0</v>
      </c>
      <c r="AK55">
        <v>0</v>
      </c>
      <c r="AL55" s="50">
        <v>0</v>
      </c>
      <c r="AM55">
        <v>0</v>
      </c>
      <c r="AN55">
        <v>0</v>
      </c>
      <c r="AO55">
        <v>0</v>
      </c>
      <c r="AP55" s="50">
        <v>0</v>
      </c>
      <c r="AQ55" s="11" t="s">
        <v>51</v>
      </c>
      <c r="AR55" s="11" t="s">
        <v>51</v>
      </c>
      <c r="AS55" s="11" t="s">
        <v>51</v>
      </c>
      <c r="AT55" s="50">
        <v>0</v>
      </c>
      <c r="AU55" s="18">
        <v>3</v>
      </c>
      <c r="AV55" s="18">
        <v>0</v>
      </c>
      <c r="AW55" s="18">
        <v>0</v>
      </c>
      <c r="AX55" s="18">
        <v>0</v>
      </c>
      <c r="AY55" s="54">
        <f t="shared" si="1"/>
        <v>3</v>
      </c>
      <c r="AZ55" t="s">
        <v>52</v>
      </c>
      <c r="BA55" s="38">
        <v>80.55</v>
      </c>
    </row>
    <row r="56" spans="1:53" x14ac:dyDescent="0.25">
      <c r="A56" s="39" t="s">
        <v>46</v>
      </c>
      <c r="B56" t="s">
        <v>328</v>
      </c>
      <c r="C56" t="s">
        <v>329</v>
      </c>
      <c r="D56" t="s">
        <v>330</v>
      </c>
      <c r="E56">
        <v>62</v>
      </c>
      <c r="F56" t="s">
        <v>972</v>
      </c>
      <c r="G56" t="s">
        <v>949</v>
      </c>
      <c r="H56" t="s">
        <v>944</v>
      </c>
      <c r="I56" t="s">
        <v>945</v>
      </c>
      <c r="J56" t="s">
        <v>955</v>
      </c>
      <c r="K56" t="s">
        <v>968</v>
      </c>
      <c r="L56" s="11">
        <v>0</v>
      </c>
      <c r="M56" s="11">
        <v>25</v>
      </c>
      <c r="N56" s="11">
        <v>55.287500000000001</v>
      </c>
      <c r="O56" s="11">
        <v>3.125</v>
      </c>
      <c r="P56" s="50">
        <v>83.412499999999994</v>
      </c>
      <c r="Q56" s="11">
        <v>0</v>
      </c>
      <c r="R56" s="11">
        <v>0</v>
      </c>
      <c r="S56" s="11">
        <v>0</v>
      </c>
      <c r="T56" s="50">
        <v>0</v>
      </c>
      <c r="U56" s="11">
        <v>0</v>
      </c>
      <c r="V56" s="11">
        <v>0</v>
      </c>
      <c r="W56" s="11">
        <v>0</v>
      </c>
      <c r="X56" s="11">
        <v>0</v>
      </c>
      <c r="Y56" s="50">
        <v>0</v>
      </c>
      <c r="Z56">
        <v>0</v>
      </c>
      <c r="AA56">
        <v>0</v>
      </c>
      <c r="AB56" s="52">
        <v>0</v>
      </c>
      <c r="AC56">
        <v>0</v>
      </c>
      <c r="AD56">
        <v>0</v>
      </c>
      <c r="AE56">
        <v>0</v>
      </c>
      <c r="AF56">
        <v>0</v>
      </c>
      <c r="AG56" s="50">
        <v>0</v>
      </c>
      <c r="AH56">
        <v>0</v>
      </c>
      <c r="AI56">
        <v>0</v>
      </c>
      <c r="AJ56">
        <v>0</v>
      </c>
      <c r="AK56">
        <v>0</v>
      </c>
      <c r="AL56" s="50">
        <v>0</v>
      </c>
      <c r="AM56">
        <v>0</v>
      </c>
      <c r="AN56">
        <v>0</v>
      </c>
      <c r="AO56">
        <v>0</v>
      </c>
      <c r="AP56" s="50">
        <v>0</v>
      </c>
      <c r="AQ56" s="11" t="s">
        <v>51</v>
      </c>
      <c r="AR56" s="11" t="s">
        <v>51</v>
      </c>
      <c r="AS56" s="11" t="s">
        <v>51</v>
      </c>
      <c r="AT56" s="50">
        <v>0</v>
      </c>
      <c r="AU56" s="18">
        <v>3</v>
      </c>
      <c r="AV56" s="18">
        <v>0</v>
      </c>
      <c r="AW56" s="18">
        <v>0</v>
      </c>
      <c r="AX56" s="18">
        <v>0</v>
      </c>
      <c r="AY56" s="54">
        <f t="shared" si="1"/>
        <v>3</v>
      </c>
      <c r="AZ56" t="s">
        <v>52</v>
      </c>
      <c r="BA56" s="38">
        <v>83.412499999999994</v>
      </c>
    </row>
    <row r="57" spans="1:53" x14ac:dyDescent="0.25">
      <c r="A57" s="39" t="s">
        <v>46</v>
      </c>
      <c r="B57" t="s">
        <v>332</v>
      </c>
      <c r="C57" t="s">
        <v>333</v>
      </c>
      <c r="D57" t="s">
        <v>334</v>
      </c>
      <c r="E57">
        <v>30</v>
      </c>
      <c r="F57" t="s">
        <v>996</v>
      </c>
      <c r="G57" t="s">
        <v>943</v>
      </c>
      <c r="H57" t="s">
        <v>944</v>
      </c>
      <c r="I57" t="s">
        <v>950</v>
      </c>
      <c r="J57" t="s">
        <v>946</v>
      </c>
      <c r="K57" t="s">
        <v>947</v>
      </c>
      <c r="L57">
        <v>19.329999999999998</v>
      </c>
      <c r="M57">
        <v>20</v>
      </c>
      <c r="N57">
        <v>50</v>
      </c>
      <c r="O57" s="11">
        <v>0</v>
      </c>
      <c r="P57" s="50">
        <v>89.33</v>
      </c>
      <c r="Q57" s="11">
        <v>0</v>
      </c>
      <c r="R57" s="11">
        <v>0</v>
      </c>
      <c r="S57" s="11">
        <v>0</v>
      </c>
      <c r="T57" s="50">
        <v>0</v>
      </c>
      <c r="U57" s="11">
        <v>0</v>
      </c>
      <c r="V57" s="11">
        <v>0</v>
      </c>
      <c r="W57" s="11">
        <v>0</v>
      </c>
      <c r="X57" s="11">
        <v>0</v>
      </c>
      <c r="Y57" s="50">
        <v>0</v>
      </c>
      <c r="Z57">
        <v>0</v>
      </c>
      <c r="AA57">
        <v>0</v>
      </c>
      <c r="AB57" s="52">
        <v>0</v>
      </c>
      <c r="AC57">
        <v>0</v>
      </c>
      <c r="AD57">
        <v>0</v>
      </c>
      <c r="AE57">
        <v>0</v>
      </c>
      <c r="AF57">
        <v>0</v>
      </c>
      <c r="AG57" s="50">
        <v>0</v>
      </c>
      <c r="AH57">
        <v>0</v>
      </c>
      <c r="AI57">
        <v>0</v>
      </c>
      <c r="AJ57">
        <v>0</v>
      </c>
      <c r="AK57">
        <v>0</v>
      </c>
      <c r="AL57" s="50">
        <v>0</v>
      </c>
      <c r="AM57">
        <v>0</v>
      </c>
      <c r="AN57">
        <v>0</v>
      </c>
      <c r="AO57">
        <v>0</v>
      </c>
      <c r="AP57" s="50">
        <v>0</v>
      </c>
      <c r="AQ57" s="11" t="s">
        <v>51</v>
      </c>
      <c r="AR57" s="11" t="s">
        <v>51</v>
      </c>
      <c r="AS57" s="11" t="s">
        <v>51</v>
      </c>
      <c r="AT57" s="50">
        <v>0</v>
      </c>
      <c r="AU57" s="18">
        <v>3</v>
      </c>
      <c r="AV57" s="18">
        <v>0</v>
      </c>
      <c r="AW57" s="18">
        <v>0</v>
      </c>
      <c r="AX57" s="18">
        <v>0</v>
      </c>
      <c r="AY57" s="54">
        <v>3</v>
      </c>
      <c r="AZ57" t="s">
        <v>52</v>
      </c>
      <c r="BA57" s="38">
        <v>89.33</v>
      </c>
    </row>
    <row r="58" spans="1:53" x14ac:dyDescent="0.25">
      <c r="A58" s="39" t="s">
        <v>46</v>
      </c>
      <c r="B58" t="s">
        <v>335</v>
      </c>
      <c r="C58" t="s">
        <v>336</v>
      </c>
      <c r="D58" t="s">
        <v>337</v>
      </c>
      <c r="E58">
        <v>43</v>
      </c>
      <c r="F58" t="s">
        <v>957</v>
      </c>
      <c r="G58" t="s">
        <v>949</v>
      </c>
      <c r="H58" t="s">
        <v>944</v>
      </c>
      <c r="I58" t="s">
        <v>950</v>
      </c>
      <c r="J58" t="s">
        <v>946</v>
      </c>
      <c r="K58" t="s">
        <v>951</v>
      </c>
      <c r="L58" s="11">
        <v>20</v>
      </c>
      <c r="M58" s="11">
        <v>20</v>
      </c>
      <c r="N58" s="11">
        <v>46.06</v>
      </c>
      <c r="O58" s="11">
        <v>3</v>
      </c>
      <c r="P58" s="50">
        <v>89.06</v>
      </c>
      <c r="Q58" s="11">
        <v>0</v>
      </c>
      <c r="R58" s="11">
        <v>0</v>
      </c>
      <c r="S58" s="11">
        <v>0</v>
      </c>
      <c r="T58" s="50">
        <v>0</v>
      </c>
      <c r="U58" s="11">
        <v>0</v>
      </c>
      <c r="V58" s="11">
        <v>0</v>
      </c>
      <c r="W58" s="11">
        <v>0</v>
      </c>
      <c r="X58" s="11">
        <v>0</v>
      </c>
      <c r="Y58" s="50">
        <v>0</v>
      </c>
      <c r="Z58">
        <v>0</v>
      </c>
      <c r="AA58">
        <v>0</v>
      </c>
      <c r="AB58" s="52">
        <v>0</v>
      </c>
      <c r="AC58">
        <v>0</v>
      </c>
      <c r="AD58">
        <v>0</v>
      </c>
      <c r="AE58">
        <v>0</v>
      </c>
      <c r="AF58">
        <v>0</v>
      </c>
      <c r="AG58" s="50">
        <v>0</v>
      </c>
      <c r="AH58" s="11">
        <v>0</v>
      </c>
      <c r="AI58" s="11">
        <v>14.705882352941178</v>
      </c>
      <c r="AJ58" s="11">
        <v>14.564705882352941</v>
      </c>
      <c r="AK58" s="11">
        <v>22.058823529411761</v>
      </c>
      <c r="AL58" s="50">
        <v>51.329411764705881</v>
      </c>
      <c r="AM58">
        <v>0</v>
      </c>
      <c r="AN58">
        <v>0</v>
      </c>
      <c r="AO58">
        <v>0</v>
      </c>
      <c r="AP58" s="50">
        <v>0</v>
      </c>
      <c r="AQ58" s="11" t="s">
        <v>51</v>
      </c>
      <c r="AR58" s="11" t="s">
        <v>51</v>
      </c>
      <c r="AS58" s="11" t="s">
        <v>51</v>
      </c>
      <c r="AT58" s="50">
        <v>0</v>
      </c>
      <c r="AU58" s="18">
        <v>35</v>
      </c>
      <c r="AV58" s="18">
        <v>5</v>
      </c>
      <c r="AW58" s="18">
        <v>0</v>
      </c>
      <c r="AX58" s="18">
        <v>0</v>
      </c>
      <c r="AY58" s="54">
        <f t="shared" si="1"/>
        <v>40</v>
      </c>
      <c r="AZ58" t="s">
        <v>52</v>
      </c>
      <c r="BA58" s="38">
        <v>84.343676470588235</v>
      </c>
    </row>
    <row r="59" spans="1:53" x14ac:dyDescent="0.25">
      <c r="A59" s="39" t="s">
        <v>46</v>
      </c>
      <c r="B59" t="s">
        <v>339</v>
      </c>
      <c r="C59" t="s">
        <v>340</v>
      </c>
      <c r="D59" t="s">
        <v>341</v>
      </c>
      <c r="E59">
        <v>59</v>
      </c>
      <c r="F59" t="s">
        <v>961</v>
      </c>
      <c r="G59" t="s">
        <v>943</v>
      </c>
      <c r="H59" t="s">
        <v>944</v>
      </c>
      <c r="I59" t="s">
        <v>950</v>
      </c>
      <c r="J59" t="s">
        <v>946</v>
      </c>
      <c r="K59" t="s">
        <v>962</v>
      </c>
      <c r="L59" s="11">
        <v>19.670000000000002</v>
      </c>
      <c r="M59" s="11">
        <v>19.329999999999998</v>
      </c>
      <c r="N59" s="11">
        <v>44.53</v>
      </c>
      <c r="O59" s="11">
        <v>4.5</v>
      </c>
      <c r="P59" s="50">
        <v>88.03</v>
      </c>
      <c r="Q59" s="11">
        <v>54.27</v>
      </c>
      <c r="R59" s="11">
        <v>30</v>
      </c>
      <c r="S59" s="11">
        <v>4.5</v>
      </c>
      <c r="T59" s="50">
        <v>88.77000000000001</v>
      </c>
      <c r="U59" s="11">
        <v>0</v>
      </c>
      <c r="V59" s="11">
        <v>0</v>
      </c>
      <c r="W59" s="11">
        <v>0</v>
      </c>
      <c r="X59" s="11">
        <v>0</v>
      </c>
      <c r="Y59" s="50">
        <v>0</v>
      </c>
      <c r="Z59">
        <v>0</v>
      </c>
      <c r="AA59">
        <v>0</v>
      </c>
      <c r="AB59" s="52">
        <v>0</v>
      </c>
      <c r="AC59">
        <v>0</v>
      </c>
      <c r="AD59">
        <v>0</v>
      </c>
      <c r="AE59">
        <v>0</v>
      </c>
      <c r="AF59">
        <v>0</v>
      </c>
      <c r="AG59" s="50">
        <v>0</v>
      </c>
      <c r="AH59">
        <v>0</v>
      </c>
      <c r="AI59">
        <v>0</v>
      </c>
      <c r="AJ59">
        <v>0</v>
      </c>
      <c r="AK59">
        <v>0</v>
      </c>
      <c r="AL59" s="50">
        <v>0</v>
      </c>
      <c r="AM59">
        <v>46.66</v>
      </c>
      <c r="AN59">
        <v>18</v>
      </c>
      <c r="AO59">
        <v>29</v>
      </c>
      <c r="AP59" s="50">
        <v>93.66</v>
      </c>
      <c r="AQ59" s="11" t="s">
        <v>51</v>
      </c>
      <c r="AR59" s="11" t="s">
        <v>51</v>
      </c>
      <c r="AS59" s="11" t="s">
        <v>51</v>
      </c>
      <c r="AT59" s="50">
        <v>0</v>
      </c>
      <c r="AU59" s="18">
        <v>17.25</v>
      </c>
      <c r="AV59" s="18">
        <v>0</v>
      </c>
      <c r="AW59" s="18">
        <v>0</v>
      </c>
      <c r="AX59" s="18">
        <v>0</v>
      </c>
      <c r="AY59" s="54">
        <f t="shared" si="1"/>
        <v>17.25</v>
      </c>
      <c r="AZ59" t="s">
        <v>52</v>
      </c>
      <c r="BA59" s="38">
        <v>88.03</v>
      </c>
    </row>
    <row r="60" spans="1:53" x14ac:dyDescent="0.25">
      <c r="A60" s="39" t="s">
        <v>46</v>
      </c>
      <c r="B60" t="s">
        <v>339</v>
      </c>
      <c r="C60" t="s">
        <v>340</v>
      </c>
      <c r="D60" t="s">
        <v>341</v>
      </c>
      <c r="E60">
        <v>59</v>
      </c>
      <c r="F60" t="s">
        <v>961</v>
      </c>
      <c r="G60" t="s">
        <v>943</v>
      </c>
      <c r="H60" t="s">
        <v>944</v>
      </c>
      <c r="I60" t="s">
        <v>950</v>
      </c>
      <c r="J60" t="s">
        <v>946</v>
      </c>
      <c r="K60" t="s">
        <v>962</v>
      </c>
      <c r="L60" s="11">
        <v>19.670000000000002</v>
      </c>
      <c r="M60" s="11">
        <v>19.329999999999998</v>
      </c>
      <c r="N60" s="11">
        <v>44.53</v>
      </c>
      <c r="O60" s="11">
        <v>4.5</v>
      </c>
      <c r="P60" s="50">
        <v>88.03</v>
      </c>
      <c r="Q60" s="11">
        <v>54.27</v>
      </c>
      <c r="R60" s="11">
        <v>30</v>
      </c>
      <c r="S60" s="11">
        <v>4.5</v>
      </c>
      <c r="T60" s="50">
        <v>88.77000000000001</v>
      </c>
      <c r="U60" s="11">
        <v>0</v>
      </c>
      <c r="V60" s="11">
        <v>0</v>
      </c>
      <c r="W60" s="11">
        <v>0</v>
      </c>
      <c r="X60" s="11">
        <v>0</v>
      </c>
      <c r="Y60" s="50">
        <v>0</v>
      </c>
      <c r="Z60">
        <v>0</v>
      </c>
      <c r="AA60">
        <v>0</v>
      </c>
      <c r="AB60" s="52">
        <v>0</v>
      </c>
      <c r="AC60">
        <v>0</v>
      </c>
      <c r="AD60">
        <v>0</v>
      </c>
      <c r="AE60">
        <v>0</v>
      </c>
      <c r="AF60">
        <v>0</v>
      </c>
      <c r="AG60" s="50">
        <v>0</v>
      </c>
      <c r="AH60">
        <v>0</v>
      </c>
      <c r="AI60">
        <v>0</v>
      </c>
      <c r="AJ60">
        <v>0</v>
      </c>
      <c r="AK60">
        <v>0</v>
      </c>
      <c r="AL60" s="50">
        <v>0</v>
      </c>
      <c r="AM60">
        <v>46.66</v>
      </c>
      <c r="AN60">
        <v>18</v>
      </c>
      <c r="AO60">
        <v>29</v>
      </c>
      <c r="AP60" s="50">
        <v>93.66</v>
      </c>
      <c r="AQ60" s="11" t="s">
        <v>51</v>
      </c>
      <c r="AR60" s="11" t="s">
        <v>51</v>
      </c>
      <c r="AS60" s="11" t="s">
        <v>51</v>
      </c>
      <c r="AT60" s="50">
        <v>0</v>
      </c>
      <c r="AU60" s="18">
        <v>5</v>
      </c>
      <c r="AV60" s="18">
        <v>0</v>
      </c>
      <c r="AW60" s="18">
        <v>0</v>
      </c>
      <c r="AX60" s="18">
        <v>17.75</v>
      </c>
      <c r="AY60" s="54">
        <f t="shared" si="1"/>
        <v>22.75</v>
      </c>
      <c r="AZ60" t="s">
        <v>87</v>
      </c>
      <c r="BA60" s="38">
        <v>92.42263736263736</v>
      </c>
    </row>
    <row r="61" spans="1:53" x14ac:dyDescent="0.25">
      <c r="A61" s="39" t="s">
        <v>46</v>
      </c>
      <c r="B61" t="s">
        <v>345</v>
      </c>
      <c r="C61" t="s">
        <v>346</v>
      </c>
      <c r="D61" t="s">
        <v>347</v>
      </c>
      <c r="E61">
        <v>39</v>
      </c>
      <c r="F61" t="s">
        <v>976</v>
      </c>
      <c r="G61" t="s">
        <v>997</v>
      </c>
      <c r="H61" t="s">
        <v>944</v>
      </c>
      <c r="I61" t="s">
        <v>977</v>
      </c>
      <c r="J61" t="s">
        <v>955</v>
      </c>
      <c r="K61" t="s">
        <v>958</v>
      </c>
      <c r="L61" s="11">
        <v>0</v>
      </c>
      <c r="M61" s="11">
        <v>0</v>
      </c>
      <c r="N61" s="11">
        <v>0</v>
      </c>
      <c r="O61" s="11">
        <v>0</v>
      </c>
      <c r="P61" s="50">
        <v>0</v>
      </c>
      <c r="Q61" s="11">
        <v>0</v>
      </c>
      <c r="R61" s="11">
        <v>0</v>
      </c>
      <c r="S61" s="11">
        <v>0</v>
      </c>
      <c r="T61" s="50">
        <v>0</v>
      </c>
      <c r="U61" s="11">
        <v>0</v>
      </c>
      <c r="V61" s="11">
        <v>0</v>
      </c>
      <c r="W61" s="11">
        <v>0</v>
      </c>
      <c r="X61" s="11">
        <v>0</v>
      </c>
      <c r="Y61" s="50">
        <v>0</v>
      </c>
      <c r="Z61">
        <v>65.62</v>
      </c>
      <c r="AA61">
        <v>29.5</v>
      </c>
      <c r="AB61" s="52">
        <v>95.12</v>
      </c>
      <c r="AC61">
        <v>0</v>
      </c>
      <c r="AD61">
        <v>0</v>
      </c>
      <c r="AE61">
        <v>0</v>
      </c>
      <c r="AF61">
        <v>0</v>
      </c>
      <c r="AG61" s="50">
        <v>0</v>
      </c>
      <c r="AH61">
        <v>0</v>
      </c>
      <c r="AI61">
        <v>0</v>
      </c>
      <c r="AJ61">
        <v>0</v>
      </c>
      <c r="AK61">
        <v>0</v>
      </c>
      <c r="AL61" s="50">
        <v>0</v>
      </c>
      <c r="AM61">
        <v>0</v>
      </c>
      <c r="AN61">
        <v>0</v>
      </c>
      <c r="AO61">
        <v>0</v>
      </c>
      <c r="AP61" s="50">
        <v>0</v>
      </c>
      <c r="AQ61" s="11" t="s">
        <v>51</v>
      </c>
      <c r="AR61" s="11" t="s">
        <v>51</v>
      </c>
      <c r="AS61" s="11" t="s">
        <v>51</v>
      </c>
      <c r="AT61" s="50">
        <v>0</v>
      </c>
      <c r="AU61" s="18">
        <v>4</v>
      </c>
      <c r="AV61" s="18">
        <v>0</v>
      </c>
      <c r="AW61" s="18">
        <v>0</v>
      </c>
      <c r="AX61" s="18">
        <v>0</v>
      </c>
      <c r="AY61" s="54">
        <f t="shared" si="1"/>
        <v>4</v>
      </c>
      <c r="AZ61" t="s">
        <v>52</v>
      </c>
      <c r="BA61" s="38">
        <v>95.12</v>
      </c>
    </row>
    <row r="62" spans="1:53" x14ac:dyDescent="0.25">
      <c r="A62" s="39" t="s">
        <v>46</v>
      </c>
      <c r="B62" t="s">
        <v>352</v>
      </c>
      <c r="C62" t="s">
        <v>353</v>
      </c>
      <c r="D62" t="s">
        <v>354</v>
      </c>
      <c r="E62">
        <v>42</v>
      </c>
      <c r="F62" t="s">
        <v>976</v>
      </c>
      <c r="G62" t="s">
        <v>949</v>
      </c>
      <c r="H62" t="s">
        <v>944</v>
      </c>
      <c r="I62" t="s">
        <v>950</v>
      </c>
      <c r="J62" t="s">
        <v>946</v>
      </c>
      <c r="K62" t="s">
        <v>958</v>
      </c>
      <c r="L62" s="11">
        <v>25</v>
      </c>
      <c r="M62" s="11">
        <v>0</v>
      </c>
      <c r="N62" s="11">
        <v>54.4375</v>
      </c>
      <c r="O62" s="11">
        <v>5.625</v>
      </c>
      <c r="P62" s="50">
        <v>85.0625</v>
      </c>
      <c r="Q62" s="11">
        <v>0</v>
      </c>
      <c r="R62" s="11">
        <v>0</v>
      </c>
      <c r="S62" s="11">
        <v>0</v>
      </c>
      <c r="T62" s="50">
        <v>0</v>
      </c>
      <c r="U62" s="11">
        <v>0</v>
      </c>
      <c r="V62" s="11">
        <v>0</v>
      </c>
      <c r="W62" s="11">
        <v>0</v>
      </c>
      <c r="X62" s="11">
        <v>0</v>
      </c>
      <c r="Y62" s="50">
        <v>0</v>
      </c>
      <c r="Z62">
        <v>0</v>
      </c>
      <c r="AA62">
        <v>0</v>
      </c>
      <c r="AB62" s="52">
        <v>0</v>
      </c>
      <c r="AC62">
        <v>0</v>
      </c>
      <c r="AD62">
        <v>0</v>
      </c>
      <c r="AE62">
        <v>0</v>
      </c>
      <c r="AF62">
        <v>0</v>
      </c>
      <c r="AG62" s="50">
        <v>0</v>
      </c>
      <c r="AH62">
        <v>15</v>
      </c>
      <c r="AI62">
        <v>50</v>
      </c>
      <c r="AJ62">
        <v>15</v>
      </c>
      <c r="AK62">
        <v>13.75</v>
      </c>
      <c r="AL62" s="50">
        <v>93.75</v>
      </c>
      <c r="AM62">
        <v>0</v>
      </c>
      <c r="AN62">
        <v>0</v>
      </c>
      <c r="AO62">
        <v>0</v>
      </c>
      <c r="AP62" s="50">
        <v>0</v>
      </c>
      <c r="AQ62" s="11" t="s">
        <v>51</v>
      </c>
      <c r="AR62" s="11" t="s">
        <v>51</v>
      </c>
      <c r="AS62" s="11" t="s">
        <v>51</v>
      </c>
      <c r="AT62" s="50">
        <v>0</v>
      </c>
      <c r="AU62" s="18">
        <v>35</v>
      </c>
      <c r="AV62" s="18">
        <v>5</v>
      </c>
      <c r="AW62" s="18">
        <v>0</v>
      </c>
      <c r="AX62" s="18">
        <v>0</v>
      </c>
      <c r="AY62" s="54">
        <f t="shared" si="1"/>
        <v>40</v>
      </c>
      <c r="AZ62" t="s">
        <v>52</v>
      </c>
      <c r="BA62" s="38">
        <v>86.1484375</v>
      </c>
    </row>
    <row r="63" spans="1:53" x14ac:dyDescent="0.25">
      <c r="A63" s="39" t="s">
        <v>46</v>
      </c>
      <c r="B63" t="s">
        <v>356</v>
      </c>
      <c r="C63" t="s">
        <v>357</v>
      </c>
      <c r="D63" t="s">
        <v>358</v>
      </c>
      <c r="E63">
        <v>34</v>
      </c>
      <c r="F63" t="s">
        <v>976</v>
      </c>
      <c r="G63" t="s">
        <v>943</v>
      </c>
      <c r="H63" t="s">
        <v>944</v>
      </c>
      <c r="I63" t="s">
        <v>977</v>
      </c>
      <c r="J63" t="s">
        <v>946</v>
      </c>
      <c r="K63" t="s">
        <v>978</v>
      </c>
      <c r="L63" s="11">
        <v>0</v>
      </c>
      <c r="M63" s="11">
        <v>0</v>
      </c>
      <c r="N63" s="11">
        <v>0</v>
      </c>
      <c r="O63" s="11">
        <v>0</v>
      </c>
      <c r="P63" s="50">
        <v>0</v>
      </c>
      <c r="Q63" s="11">
        <v>0</v>
      </c>
      <c r="R63" s="11">
        <v>0</v>
      </c>
      <c r="S63" s="11">
        <v>0</v>
      </c>
      <c r="T63" s="50">
        <v>0</v>
      </c>
      <c r="U63" s="11">
        <v>0</v>
      </c>
      <c r="V63" s="11">
        <v>0</v>
      </c>
      <c r="W63" s="11">
        <v>0</v>
      </c>
      <c r="X63" s="11">
        <v>0</v>
      </c>
      <c r="Y63" s="50">
        <v>0</v>
      </c>
      <c r="Z63">
        <v>0</v>
      </c>
      <c r="AA63">
        <v>0</v>
      </c>
      <c r="AB63" s="52">
        <v>0</v>
      </c>
      <c r="AC63">
        <v>5</v>
      </c>
      <c r="AD63">
        <v>14.67</v>
      </c>
      <c r="AE63">
        <v>42.78</v>
      </c>
      <c r="AF63">
        <v>17.579999999999998</v>
      </c>
      <c r="AG63" s="50">
        <v>80.03</v>
      </c>
      <c r="AH63">
        <v>0</v>
      </c>
      <c r="AI63">
        <v>0</v>
      </c>
      <c r="AJ63">
        <v>0</v>
      </c>
      <c r="AK63">
        <v>0</v>
      </c>
      <c r="AL63" s="50">
        <v>0</v>
      </c>
      <c r="AM63">
        <v>50</v>
      </c>
      <c r="AN63">
        <v>18.670000000000002</v>
      </c>
      <c r="AO63">
        <v>29.25</v>
      </c>
      <c r="AP63" s="50">
        <v>97.92</v>
      </c>
      <c r="AQ63" s="11" t="s">
        <v>51</v>
      </c>
      <c r="AR63" s="11" t="s">
        <v>51</v>
      </c>
      <c r="AS63" s="11" t="s">
        <v>51</v>
      </c>
      <c r="AT63" s="50">
        <v>0</v>
      </c>
      <c r="AU63" s="18">
        <v>32</v>
      </c>
      <c r="AV63" s="18">
        <v>0</v>
      </c>
      <c r="AW63" s="18">
        <v>0</v>
      </c>
      <c r="AX63" s="18">
        <v>8</v>
      </c>
      <c r="AY63" s="54">
        <f t="shared" si="1"/>
        <v>40</v>
      </c>
      <c r="AZ63" t="s">
        <v>52</v>
      </c>
      <c r="BA63" s="38">
        <v>83.608000000000004</v>
      </c>
    </row>
    <row r="64" spans="1:53" x14ac:dyDescent="0.25">
      <c r="A64" s="39" t="s">
        <v>46</v>
      </c>
      <c r="B64" t="s">
        <v>360</v>
      </c>
      <c r="C64" t="s">
        <v>361</v>
      </c>
      <c r="D64" t="s">
        <v>362</v>
      </c>
      <c r="E64">
        <v>36</v>
      </c>
      <c r="F64" t="s">
        <v>998</v>
      </c>
      <c r="G64" t="s">
        <v>949</v>
      </c>
      <c r="H64" t="s">
        <v>944</v>
      </c>
      <c r="I64" t="s">
        <v>977</v>
      </c>
      <c r="J64" t="s">
        <v>955</v>
      </c>
      <c r="K64" t="s">
        <v>978</v>
      </c>
      <c r="L64" s="11">
        <v>0</v>
      </c>
      <c r="M64" s="11">
        <v>0</v>
      </c>
      <c r="N64" s="11">
        <v>0</v>
      </c>
      <c r="O64" s="11">
        <v>0</v>
      </c>
      <c r="P64" s="50">
        <v>0</v>
      </c>
      <c r="Q64" s="11">
        <v>0</v>
      </c>
      <c r="R64" s="11">
        <v>0</v>
      </c>
      <c r="S64" s="11">
        <v>0</v>
      </c>
      <c r="T64" s="50">
        <v>0</v>
      </c>
      <c r="U64" s="11">
        <v>0</v>
      </c>
      <c r="V64" s="11">
        <v>0</v>
      </c>
      <c r="W64" s="11">
        <v>0</v>
      </c>
      <c r="X64" s="11">
        <v>0</v>
      </c>
      <c r="Y64" s="50">
        <v>0</v>
      </c>
      <c r="Z64">
        <v>0</v>
      </c>
      <c r="AA64">
        <v>0</v>
      </c>
      <c r="AB64" s="52">
        <v>0</v>
      </c>
      <c r="AC64">
        <v>3.5</v>
      </c>
      <c r="AD64">
        <v>20</v>
      </c>
      <c r="AE64">
        <v>46.96</v>
      </c>
      <c r="AF64">
        <v>20</v>
      </c>
      <c r="AG64" s="50">
        <v>90.460000000000008</v>
      </c>
      <c r="AH64">
        <v>0</v>
      </c>
      <c r="AI64">
        <v>0</v>
      </c>
      <c r="AJ64">
        <v>0</v>
      </c>
      <c r="AK64">
        <v>0</v>
      </c>
      <c r="AL64" s="50">
        <v>0</v>
      </c>
      <c r="AM64">
        <v>0</v>
      </c>
      <c r="AN64">
        <v>0</v>
      </c>
      <c r="AO64">
        <v>0</v>
      </c>
      <c r="AP64" s="50">
        <v>0</v>
      </c>
      <c r="AQ64" s="11" t="s">
        <v>51</v>
      </c>
      <c r="AR64" s="11" t="s">
        <v>51</v>
      </c>
      <c r="AS64" s="11" t="s">
        <v>51</v>
      </c>
      <c r="AT64" s="50">
        <v>0</v>
      </c>
      <c r="AU64" s="18">
        <v>10</v>
      </c>
      <c r="AV64" s="18">
        <v>0</v>
      </c>
      <c r="AW64" s="18">
        <v>0</v>
      </c>
      <c r="AX64" s="18">
        <v>0</v>
      </c>
      <c r="AY64" s="54">
        <f t="shared" si="1"/>
        <v>10</v>
      </c>
      <c r="AZ64" t="s">
        <v>52</v>
      </c>
      <c r="BA64" s="38">
        <v>90.460000000000008</v>
      </c>
    </row>
    <row r="65" spans="1:53" x14ac:dyDescent="0.25">
      <c r="A65" s="39" t="s">
        <v>46</v>
      </c>
      <c r="B65" t="s">
        <v>368</v>
      </c>
      <c r="C65" t="s">
        <v>369</v>
      </c>
      <c r="D65" t="s">
        <v>370</v>
      </c>
      <c r="E65">
        <v>29</v>
      </c>
      <c r="F65" t="s">
        <v>976</v>
      </c>
      <c r="G65" t="s">
        <v>943</v>
      </c>
      <c r="H65" t="s">
        <v>944</v>
      </c>
      <c r="I65" t="s">
        <v>950</v>
      </c>
      <c r="J65" t="s">
        <v>946</v>
      </c>
      <c r="K65" t="s">
        <v>960</v>
      </c>
      <c r="L65" s="11">
        <v>0</v>
      </c>
      <c r="M65" s="11">
        <v>17.087499999999999</v>
      </c>
      <c r="N65" s="11">
        <v>51.912500000000001</v>
      </c>
      <c r="O65" s="11">
        <v>3.125</v>
      </c>
      <c r="P65" s="50">
        <v>72.125</v>
      </c>
      <c r="Q65" s="11">
        <v>0</v>
      </c>
      <c r="R65" s="11">
        <v>0</v>
      </c>
      <c r="S65" s="11">
        <v>0</v>
      </c>
      <c r="T65" s="50">
        <v>0</v>
      </c>
      <c r="U65" s="11">
        <v>52.36</v>
      </c>
      <c r="V65" s="11">
        <v>3.125</v>
      </c>
      <c r="W65" s="11">
        <v>17.087499999999999</v>
      </c>
      <c r="X65" s="11">
        <v>0</v>
      </c>
      <c r="Y65" s="50">
        <v>72.572499999999991</v>
      </c>
      <c r="Z65">
        <v>0</v>
      </c>
      <c r="AA65">
        <v>0</v>
      </c>
      <c r="AB65" s="52">
        <v>0</v>
      </c>
      <c r="AC65">
        <v>0</v>
      </c>
      <c r="AD65">
        <v>0</v>
      </c>
      <c r="AE65">
        <v>0</v>
      </c>
      <c r="AF65">
        <v>0</v>
      </c>
      <c r="AG65" s="50">
        <v>0</v>
      </c>
      <c r="AH65">
        <v>15</v>
      </c>
      <c r="AI65">
        <v>21.25</v>
      </c>
      <c r="AJ65">
        <v>14.25</v>
      </c>
      <c r="AK65">
        <v>18.75</v>
      </c>
      <c r="AL65" s="50">
        <v>69.25</v>
      </c>
      <c r="AM65">
        <v>0</v>
      </c>
      <c r="AN65">
        <v>0</v>
      </c>
      <c r="AO65">
        <v>0</v>
      </c>
      <c r="AP65" s="50">
        <v>0</v>
      </c>
      <c r="AQ65" s="11" t="s">
        <v>51</v>
      </c>
      <c r="AR65" s="11" t="s">
        <v>51</v>
      </c>
      <c r="AS65" s="11" t="s">
        <v>51</v>
      </c>
      <c r="AT65" s="50">
        <v>0</v>
      </c>
      <c r="AU65" s="18">
        <v>23</v>
      </c>
      <c r="AV65" s="18">
        <v>10</v>
      </c>
      <c r="AW65" s="18">
        <v>0</v>
      </c>
      <c r="AX65" s="18">
        <v>0</v>
      </c>
      <c r="AY65" s="54">
        <f t="shared" si="1"/>
        <v>33</v>
      </c>
      <c r="AZ65" t="s">
        <v>52</v>
      </c>
      <c r="BA65" s="38">
        <v>71.253787878787875</v>
      </c>
    </row>
    <row r="66" spans="1:53" x14ac:dyDescent="0.25">
      <c r="A66" s="39" t="s">
        <v>46</v>
      </c>
      <c r="B66" t="s">
        <v>368</v>
      </c>
      <c r="C66" t="s">
        <v>369</v>
      </c>
      <c r="D66" t="s">
        <v>370</v>
      </c>
      <c r="E66">
        <v>29</v>
      </c>
      <c r="F66" t="s">
        <v>976</v>
      </c>
      <c r="G66" t="s">
        <v>943</v>
      </c>
      <c r="H66" t="s">
        <v>944</v>
      </c>
      <c r="I66" t="s">
        <v>950</v>
      </c>
      <c r="J66" t="s">
        <v>946</v>
      </c>
      <c r="K66" t="s">
        <v>960</v>
      </c>
      <c r="L66" s="11">
        <v>0</v>
      </c>
      <c r="M66" s="11">
        <v>17.087499999999999</v>
      </c>
      <c r="N66" s="11">
        <v>51.912500000000001</v>
      </c>
      <c r="O66" s="11">
        <v>3.125</v>
      </c>
      <c r="P66" s="50">
        <v>72.125</v>
      </c>
      <c r="Q66" s="11">
        <v>0</v>
      </c>
      <c r="R66" s="11">
        <v>0</v>
      </c>
      <c r="S66" s="11">
        <v>0</v>
      </c>
      <c r="T66" s="50">
        <v>0</v>
      </c>
      <c r="U66" s="11">
        <v>52.36</v>
      </c>
      <c r="V66" s="11">
        <v>3.125</v>
      </c>
      <c r="W66" s="11">
        <v>17.087499999999999</v>
      </c>
      <c r="X66" s="11">
        <v>0</v>
      </c>
      <c r="Y66" s="50">
        <v>72.572499999999991</v>
      </c>
      <c r="Z66">
        <v>0</v>
      </c>
      <c r="AA66">
        <v>0</v>
      </c>
      <c r="AB66" s="52">
        <v>0</v>
      </c>
      <c r="AC66">
        <v>0</v>
      </c>
      <c r="AD66">
        <v>0</v>
      </c>
      <c r="AE66">
        <v>0</v>
      </c>
      <c r="AF66">
        <v>0</v>
      </c>
      <c r="AG66" s="50">
        <v>0</v>
      </c>
      <c r="AH66">
        <v>15</v>
      </c>
      <c r="AI66">
        <v>21.25</v>
      </c>
      <c r="AJ66">
        <v>14.25</v>
      </c>
      <c r="AK66">
        <v>18.75</v>
      </c>
      <c r="AL66" s="50">
        <v>69.25</v>
      </c>
      <c r="AM66">
        <v>0</v>
      </c>
      <c r="AN66">
        <v>0</v>
      </c>
      <c r="AO66">
        <v>0</v>
      </c>
      <c r="AP66" s="50">
        <v>0</v>
      </c>
      <c r="AQ66" s="11" t="s">
        <v>51</v>
      </c>
      <c r="AR66" s="11" t="s">
        <v>51</v>
      </c>
      <c r="AS66" s="11" t="s">
        <v>51</v>
      </c>
      <c r="AT66" s="50">
        <v>0</v>
      </c>
      <c r="AU66" s="18">
        <v>7</v>
      </c>
      <c r="AV66" s="18">
        <v>0</v>
      </c>
      <c r="AW66" s="18">
        <v>0</v>
      </c>
      <c r="AX66" s="18">
        <v>0</v>
      </c>
      <c r="AY66" s="54">
        <f t="shared" si="1"/>
        <v>7</v>
      </c>
      <c r="AZ66" t="s">
        <v>117</v>
      </c>
      <c r="BA66" s="38">
        <v>72.572499999999991</v>
      </c>
    </row>
    <row r="67" spans="1:53" x14ac:dyDescent="0.25">
      <c r="A67" s="39" t="s">
        <v>46</v>
      </c>
      <c r="B67" t="s">
        <v>373</v>
      </c>
      <c r="C67" t="s">
        <v>374</v>
      </c>
      <c r="D67" t="s">
        <v>375</v>
      </c>
      <c r="E67">
        <v>44</v>
      </c>
      <c r="F67" t="s">
        <v>957</v>
      </c>
      <c r="G67" t="s">
        <v>943</v>
      </c>
      <c r="H67" t="s">
        <v>944</v>
      </c>
      <c r="I67" t="s">
        <v>950</v>
      </c>
      <c r="J67" t="s">
        <v>955</v>
      </c>
      <c r="K67" t="s">
        <v>967</v>
      </c>
      <c r="L67" s="11">
        <v>19</v>
      </c>
      <c r="M67" s="11">
        <v>17.329999999999998</v>
      </c>
      <c r="N67" s="11">
        <v>50</v>
      </c>
      <c r="O67" s="11">
        <v>2.5</v>
      </c>
      <c r="P67" s="50">
        <v>88.83</v>
      </c>
      <c r="Q67" s="11">
        <v>0</v>
      </c>
      <c r="R67" s="11">
        <v>0</v>
      </c>
      <c r="S67" s="11">
        <v>0</v>
      </c>
      <c r="T67" s="50">
        <v>0</v>
      </c>
      <c r="U67" s="11">
        <v>0</v>
      </c>
      <c r="V67" s="11">
        <v>0</v>
      </c>
      <c r="W67" s="11">
        <v>0</v>
      </c>
      <c r="X67" s="11">
        <v>0</v>
      </c>
      <c r="Y67" s="50">
        <v>0</v>
      </c>
      <c r="Z67">
        <v>0</v>
      </c>
      <c r="AA67">
        <v>0</v>
      </c>
      <c r="AB67" s="52">
        <v>0</v>
      </c>
      <c r="AC67">
        <v>0</v>
      </c>
      <c r="AD67">
        <v>0</v>
      </c>
      <c r="AE67">
        <v>0</v>
      </c>
      <c r="AF67">
        <v>0</v>
      </c>
      <c r="AG67" s="50">
        <v>0</v>
      </c>
      <c r="AH67">
        <v>0</v>
      </c>
      <c r="AI67">
        <v>0</v>
      </c>
      <c r="AJ67">
        <v>0</v>
      </c>
      <c r="AK67">
        <v>0</v>
      </c>
      <c r="AL67" s="50">
        <v>0</v>
      </c>
      <c r="AM67">
        <v>0</v>
      </c>
      <c r="AN67">
        <v>0</v>
      </c>
      <c r="AO67">
        <v>0</v>
      </c>
      <c r="AP67" s="50">
        <v>0</v>
      </c>
      <c r="AQ67" s="11" t="s">
        <v>51</v>
      </c>
      <c r="AR67" s="11" t="s">
        <v>51</v>
      </c>
      <c r="AS67" s="11" t="s">
        <v>51</v>
      </c>
      <c r="AT67" s="50">
        <v>0</v>
      </c>
      <c r="AU67" s="18">
        <v>3</v>
      </c>
      <c r="AV67" s="18">
        <v>0</v>
      </c>
      <c r="AW67" s="18">
        <v>0</v>
      </c>
      <c r="AX67" s="18">
        <v>0</v>
      </c>
      <c r="AY67" s="54">
        <f t="shared" si="1"/>
        <v>3</v>
      </c>
      <c r="AZ67" t="s">
        <v>52</v>
      </c>
      <c r="BA67" s="38">
        <v>88.83</v>
      </c>
    </row>
    <row r="68" spans="1:53" ht="16.5" customHeight="1" x14ac:dyDescent="0.25">
      <c r="A68" s="39" t="s">
        <v>46</v>
      </c>
      <c r="B68" t="s">
        <v>377</v>
      </c>
      <c r="C68" t="s">
        <v>378</v>
      </c>
      <c r="D68" t="s">
        <v>379</v>
      </c>
      <c r="E68">
        <v>34</v>
      </c>
      <c r="F68" t="s">
        <v>999</v>
      </c>
      <c r="G68" t="s">
        <v>943</v>
      </c>
      <c r="H68" t="s">
        <v>944</v>
      </c>
      <c r="I68" t="s">
        <v>950</v>
      </c>
      <c r="J68" t="s">
        <v>946</v>
      </c>
      <c r="K68" t="s">
        <v>983</v>
      </c>
      <c r="L68" s="11">
        <v>20</v>
      </c>
      <c r="M68" s="11">
        <v>17.670000000000002</v>
      </c>
      <c r="N68" s="11">
        <v>46.5</v>
      </c>
      <c r="O68" s="11">
        <v>7</v>
      </c>
      <c r="P68" s="50">
        <v>91.17</v>
      </c>
      <c r="Q68" s="11">
        <v>0</v>
      </c>
      <c r="R68" s="11">
        <v>0</v>
      </c>
      <c r="S68" s="11">
        <v>0</v>
      </c>
      <c r="T68" s="50">
        <v>0</v>
      </c>
      <c r="U68" s="11">
        <v>0</v>
      </c>
      <c r="V68" s="11">
        <v>0</v>
      </c>
      <c r="W68" s="11">
        <v>0</v>
      </c>
      <c r="X68" s="11">
        <v>0</v>
      </c>
      <c r="Y68" s="50">
        <v>0</v>
      </c>
      <c r="Z68">
        <v>0</v>
      </c>
      <c r="AA68">
        <v>0</v>
      </c>
      <c r="AB68" s="52">
        <v>0</v>
      </c>
      <c r="AC68">
        <v>0</v>
      </c>
      <c r="AD68">
        <v>0</v>
      </c>
      <c r="AE68">
        <v>0</v>
      </c>
      <c r="AF68">
        <v>0</v>
      </c>
      <c r="AG68" s="50">
        <v>0</v>
      </c>
      <c r="AH68">
        <v>15</v>
      </c>
      <c r="AI68">
        <v>50</v>
      </c>
      <c r="AJ68">
        <v>15</v>
      </c>
      <c r="AK68">
        <v>18.75</v>
      </c>
      <c r="AL68" s="50">
        <v>98.75</v>
      </c>
      <c r="AM68">
        <v>0</v>
      </c>
      <c r="AN68">
        <v>0</v>
      </c>
      <c r="AO68">
        <v>0</v>
      </c>
      <c r="AP68" s="50">
        <v>0</v>
      </c>
      <c r="AQ68" s="11" t="s">
        <v>51</v>
      </c>
      <c r="AR68" s="11" t="s">
        <v>51</v>
      </c>
      <c r="AS68" s="11" t="s">
        <v>51</v>
      </c>
      <c r="AT68" s="50">
        <v>0</v>
      </c>
      <c r="AU68" s="18">
        <v>29.25</v>
      </c>
      <c r="AV68" s="18">
        <v>10.75</v>
      </c>
      <c r="AW68" s="18">
        <v>0</v>
      </c>
      <c r="AX68" s="18">
        <v>0</v>
      </c>
      <c r="AY68" s="54">
        <f t="shared" si="1"/>
        <v>40</v>
      </c>
      <c r="AZ68" t="s">
        <v>52</v>
      </c>
      <c r="BA68" s="38">
        <v>93.207124999999991</v>
      </c>
    </row>
    <row r="69" spans="1:53" x14ac:dyDescent="0.25">
      <c r="A69" s="39" t="s">
        <v>46</v>
      </c>
      <c r="B69" t="s">
        <v>381</v>
      </c>
      <c r="C69" t="s">
        <v>382</v>
      </c>
      <c r="D69" t="s">
        <v>383</v>
      </c>
      <c r="E69">
        <v>37</v>
      </c>
      <c r="F69" t="s">
        <v>989</v>
      </c>
      <c r="G69" t="s">
        <v>943</v>
      </c>
      <c r="H69" t="s">
        <v>944</v>
      </c>
      <c r="I69" t="s">
        <v>950</v>
      </c>
      <c r="J69" t="s">
        <v>946</v>
      </c>
      <c r="K69" t="s">
        <v>983</v>
      </c>
      <c r="L69" s="11">
        <v>20</v>
      </c>
      <c r="M69" s="11">
        <v>20</v>
      </c>
      <c r="N69" s="11">
        <v>47.38</v>
      </c>
      <c r="O69" s="11">
        <v>4.5</v>
      </c>
      <c r="P69" s="50">
        <v>91.88</v>
      </c>
      <c r="Q69" s="11">
        <v>0</v>
      </c>
      <c r="R69" s="11">
        <v>0</v>
      </c>
      <c r="S69" s="11">
        <v>0</v>
      </c>
      <c r="T69" s="50">
        <v>0</v>
      </c>
      <c r="U69" s="11">
        <v>46.46</v>
      </c>
      <c r="V69" s="11">
        <v>4.5</v>
      </c>
      <c r="W69" s="11">
        <v>20</v>
      </c>
      <c r="X69" s="11">
        <v>20</v>
      </c>
      <c r="Y69" s="50">
        <v>90.960000000000008</v>
      </c>
      <c r="Z69">
        <v>0</v>
      </c>
      <c r="AA69">
        <v>0</v>
      </c>
      <c r="AB69" s="52">
        <v>0</v>
      </c>
      <c r="AC69">
        <v>0</v>
      </c>
      <c r="AD69">
        <v>0</v>
      </c>
      <c r="AE69">
        <v>0</v>
      </c>
      <c r="AF69">
        <v>0</v>
      </c>
      <c r="AG69" s="50">
        <v>0</v>
      </c>
      <c r="AH69" s="11">
        <v>0</v>
      </c>
      <c r="AI69" s="11">
        <v>58.82352941176471</v>
      </c>
      <c r="AJ69" s="11">
        <v>17.647058823529413</v>
      </c>
      <c r="AK69" s="11">
        <v>23.529411764705877</v>
      </c>
      <c r="AL69" s="50">
        <v>100</v>
      </c>
      <c r="AM69">
        <v>50</v>
      </c>
      <c r="AN69">
        <v>20</v>
      </c>
      <c r="AO69">
        <v>26.19</v>
      </c>
      <c r="AP69" s="50">
        <v>96.19</v>
      </c>
      <c r="AQ69" s="11" t="s">
        <v>51</v>
      </c>
      <c r="AR69" s="11" t="s">
        <v>51</v>
      </c>
      <c r="AS69" s="11" t="s">
        <v>51</v>
      </c>
      <c r="AT69" s="50">
        <v>0</v>
      </c>
      <c r="AU69" s="18">
        <v>16.25</v>
      </c>
      <c r="AV69" s="18">
        <v>8.75</v>
      </c>
      <c r="AW69" s="18">
        <v>0</v>
      </c>
      <c r="AX69" s="18">
        <v>0</v>
      </c>
      <c r="AY69" s="54">
        <f t="shared" si="1"/>
        <v>25</v>
      </c>
      <c r="AZ69" t="s">
        <v>52</v>
      </c>
      <c r="BA69" s="38">
        <v>94.722000000000008</v>
      </c>
    </row>
    <row r="70" spans="1:53" x14ac:dyDescent="0.25">
      <c r="A70" s="39" t="s">
        <v>46</v>
      </c>
      <c r="B70" t="s">
        <v>381</v>
      </c>
      <c r="C70" t="s">
        <v>382</v>
      </c>
      <c r="D70" t="s">
        <v>383</v>
      </c>
      <c r="E70">
        <v>37</v>
      </c>
      <c r="F70" t="s">
        <v>989</v>
      </c>
      <c r="G70" t="s">
        <v>943</v>
      </c>
      <c r="H70" t="s">
        <v>944</v>
      </c>
      <c r="I70" t="s">
        <v>950</v>
      </c>
      <c r="J70" t="s">
        <v>946</v>
      </c>
      <c r="K70" t="s">
        <v>983</v>
      </c>
      <c r="L70" s="11">
        <v>20</v>
      </c>
      <c r="M70" s="11">
        <v>20</v>
      </c>
      <c r="N70" s="11">
        <v>47.38</v>
      </c>
      <c r="O70" s="11">
        <v>4.5</v>
      </c>
      <c r="P70" s="50">
        <v>91.88</v>
      </c>
      <c r="Q70" s="11">
        <v>0</v>
      </c>
      <c r="R70" s="11">
        <v>0</v>
      </c>
      <c r="S70" s="11">
        <v>0</v>
      </c>
      <c r="T70" s="50">
        <v>0</v>
      </c>
      <c r="U70" s="11">
        <v>46.46</v>
      </c>
      <c r="V70" s="11">
        <v>4.5</v>
      </c>
      <c r="W70" s="11">
        <v>20</v>
      </c>
      <c r="X70" s="11">
        <v>20</v>
      </c>
      <c r="Y70" s="50">
        <v>90.960000000000008</v>
      </c>
      <c r="Z70">
        <v>0</v>
      </c>
      <c r="AA70">
        <v>0</v>
      </c>
      <c r="AB70" s="52">
        <v>0</v>
      </c>
      <c r="AC70">
        <v>0</v>
      </c>
      <c r="AD70">
        <v>0</v>
      </c>
      <c r="AE70">
        <v>0</v>
      </c>
      <c r="AF70">
        <v>0</v>
      </c>
      <c r="AG70" s="50">
        <v>0</v>
      </c>
      <c r="AH70" s="11">
        <v>0</v>
      </c>
      <c r="AI70" s="11">
        <v>58.82352941176471</v>
      </c>
      <c r="AJ70" s="11">
        <v>17.647058823529413</v>
      </c>
      <c r="AK70" s="11">
        <v>23.529411764705877</v>
      </c>
      <c r="AL70" s="50">
        <v>100</v>
      </c>
      <c r="AM70">
        <v>50</v>
      </c>
      <c r="AN70">
        <v>20</v>
      </c>
      <c r="AO70">
        <v>26.19</v>
      </c>
      <c r="AP70" s="50">
        <v>96.19</v>
      </c>
      <c r="AQ70" s="11" t="s">
        <v>51</v>
      </c>
      <c r="AR70" s="11" t="s">
        <v>51</v>
      </c>
      <c r="AS70" s="11" t="s">
        <v>51</v>
      </c>
      <c r="AT70" s="50">
        <v>0</v>
      </c>
      <c r="AU70" s="18">
        <v>7</v>
      </c>
      <c r="AV70" s="18">
        <v>0</v>
      </c>
      <c r="AW70" s="18">
        <v>0</v>
      </c>
      <c r="AX70" s="18">
        <v>8</v>
      </c>
      <c r="AY70" s="54">
        <f t="shared" si="1"/>
        <v>15</v>
      </c>
      <c r="AZ70" t="s">
        <v>117</v>
      </c>
      <c r="BA70" s="38">
        <v>93.74933333333334</v>
      </c>
    </row>
    <row r="71" spans="1:53" x14ac:dyDescent="0.25">
      <c r="A71" s="39" t="s">
        <v>46</v>
      </c>
      <c r="B71" t="s">
        <v>386</v>
      </c>
      <c r="C71" t="s">
        <v>387</v>
      </c>
      <c r="D71" t="s">
        <v>388</v>
      </c>
      <c r="E71">
        <v>64</v>
      </c>
      <c r="F71" t="s">
        <v>1000</v>
      </c>
      <c r="G71" t="s">
        <v>949</v>
      </c>
      <c r="H71" t="s">
        <v>944</v>
      </c>
      <c r="I71" t="s">
        <v>950</v>
      </c>
      <c r="J71" t="s">
        <v>946</v>
      </c>
      <c r="K71" t="s">
        <v>958</v>
      </c>
      <c r="L71" s="11">
        <v>19</v>
      </c>
      <c r="M71" s="11">
        <v>19.670000000000002</v>
      </c>
      <c r="N71" s="11">
        <v>44.56</v>
      </c>
      <c r="O71" s="11">
        <v>5.5</v>
      </c>
      <c r="P71" s="50">
        <v>88.73</v>
      </c>
      <c r="Q71" s="11">
        <v>0</v>
      </c>
      <c r="R71" s="11">
        <v>0</v>
      </c>
      <c r="S71" s="11">
        <v>0</v>
      </c>
      <c r="T71" s="50">
        <v>0</v>
      </c>
      <c r="U71" s="11">
        <v>0</v>
      </c>
      <c r="V71" s="11">
        <v>0</v>
      </c>
      <c r="W71" s="11">
        <v>0</v>
      </c>
      <c r="X71" s="11">
        <v>0</v>
      </c>
      <c r="Y71" s="50">
        <v>0</v>
      </c>
      <c r="Z71">
        <v>0</v>
      </c>
      <c r="AA71">
        <v>0</v>
      </c>
      <c r="AB71" s="52">
        <v>0</v>
      </c>
      <c r="AC71">
        <v>0</v>
      </c>
      <c r="AD71">
        <v>0</v>
      </c>
      <c r="AE71">
        <v>0</v>
      </c>
      <c r="AF71">
        <v>0</v>
      </c>
      <c r="AG71" s="50">
        <v>0</v>
      </c>
      <c r="AH71">
        <v>0</v>
      </c>
      <c r="AI71">
        <v>0</v>
      </c>
      <c r="AJ71">
        <v>0</v>
      </c>
      <c r="AK71">
        <v>0</v>
      </c>
      <c r="AL71" s="50">
        <v>0</v>
      </c>
      <c r="AM71">
        <v>0</v>
      </c>
      <c r="AN71">
        <v>0</v>
      </c>
      <c r="AO71">
        <v>0</v>
      </c>
      <c r="AP71" s="50">
        <v>0</v>
      </c>
      <c r="AQ71" s="11" t="s">
        <v>51</v>
      </c>
      <c r="AR71" s="11" t="s">
        <v>51</v>
      </c>
      <c r="AS71" s="11" t="s">
        <v>51</v>
      </c>
      <c r="AT71" s="50">
        <v>0</v>
      </c>
      <c r="AU71" s="18">
        <v>40</v>
      </c>
      <c r="AV71" s="18">
        <v>0</v>
      </c>
      <c r="AW71" s="18">
        <v>0</v>
      </c>
      <c r="AX71" s="18">
        <v>0</v>
      </c>
      <c r="AY71" s="54">
        <f t="shared" si="1"/>
        <v>40</v>
      </c>
      <c r="AZ71" t="s">
        <v>52</v>
      </c>
      <c r="BA71" s="38">
        <v>88.73</v>
      </c>
    </row>
    <row r="72" spans="1:53" x14ac:dyDescent="0.25">
      <c r="A72" s="39" t="s">
        <v>46</v>
      </c>
      <c r="B72" t="s">
        <v>390</v>
      </c>
      <c r="C72" t="s">
        <v>391</v>
      </c>
      <c r="D72" t="s">
        <v>392</v>
      </c>
      <c r="E72">
        <v>34</v>
      </c>
      <c r="F72" t="s">
        <v>1001</v>
      </c>
      <c r="G72" t="s">
        <v>949</v>
      </c>
      <c r="H72" t="s">
        <v>944</v>
      </c>
      <c r="I72" t="s">
        <v>950</v>
      </c>
      <c r="J72" t="s">
        <v>959</v>
      </c>
      <c r="K72" t="s">
        <v>958</v>
      </c>
      <c r="L72" s="11">
        <v>19.829999999999998</v>
      </c>
      <c r="M72" s="11">
        <v>15.67</v>
      </c>
      <c r="N72" s="11">
        <v>47.21</v>
      </c>
      <c r="O72" s="11">
        <v>4</v>
      </c>
      <c r="P72" s="50">
        <v>86.710000000000008</v>
      </c>
      <c r="Q72" s="11">
        <v>0</v>
      </c>
      <c r="R72" s="11">
        <v>0</v>
      </c>
      <c r="S72" s="11">
        <v>0</v>
      </c>
      <c r="T72" s="50">
        <v>0</v>
      </c>
      <c r="U72" s="11">
        <v>0</v>
      </c>
      <c r="V72" s="11">
        <v>0</v>
      </c>
      <c r="W72" s="11">
        <v>0</v>
      </c>
      <c r="X72" s="11">
        <v>0</v>
      </c>
      <c r="Y72" s="50">
        <v>0</v>
      </c>
      <c r="Z72">
        <v>0</v>
      </c>
      <c r="AA72">
        <v>0</v>
      </c>
      <c r="AB72" s="52">
        <v>0</v>
      </c>
      <c r="AC72">
        <v>0</v>
      </c>
      <c r="AD72">
        <v>0</v>
      </c>
      <c r="AE72">
        <v>0</v>
      </c>
      <c r="AF72">
        <v>0</v>
      </c>
      <c r="AG72" s="50">
        <v>0</v>
      </c>
      <c r="AH72">
        <v>0</v>
      </c>
      <c r="AI72">
        <v>0</v>
      </c>
      <c r="AJ72">
        <v>0</v>
      </c>
      <c r="AK72">
        <v>0</v>
      </c>
      <c r="AL72" s="50">
        <v>0</v>
      </c>
      <c r="AM72">
        <v>0</v>
      </c>
      <c r="AN72">
        <v>0</v>
      </c>
      <c r="AO72">
        <v>0</v>
      </c>
      <c r="AP72" s="50">
        <v>0</v>
      </c>
      <c r="AQ72" s="11" t="s">
        <v>51</v>
      </c>
      <c r="AR72" s="11" t="s">
        <v>51</v>
      </c>
      <c r="AS72" s="11" t="s">
        <v>51</v>
      </c>
      <c r="AT72" s="50">
        <v>0</v>
      </c>
      <c r="AU72" s="18">
        <v>20</v>
      </c>
      <c r="AV72" s="18">
        <v>0</v>
      </c>
      <c r="AW72" s="18">
        <v>0</v>
      </c>
      <c r="AX72" s="18">
        <v>0</v>
      </c>
      <c r="AY72" s="54">
        <f t="shared" si="1"/>
        <v>20</v>
      </c>
      <c r="AZ72" t="s">
        <v>52</v>
      </c>
      <c r="BA72" s="38">
        <v>86.710000000000008</v>
      </c>
    </row>
    <row r="73" spans="1:53" x14ac:dyDescent="0.25">
      <c r="A73" s="39" t="s">
        <v>46</v>
      </c>
      <c r="B73" t="s">
        <v>394</v>
      </c>
      <c r="C73" t="s">
        <v>395</v>
      </c>
      <c r="D73" t="s">
        <v>396</v>
      </c>
      <c r="E73">
        <v>37</v>
      </c>
      <c r="F73" t="s">
        <v>990</v>
      </c>
      <c r="G73" t="s">
        <v>949</v>
      </c>
      <c r="H73" t="s">
        <v>944</v>
      </c>
      <c r="I73" t="s">
        <v>950</v>
      </c>
      <c r="J73" t="s">
        <v>946</v>
      </c>
      <c r="K73" t="s">
        <v>958</v>
      </c>
      <c r="L73" s="11">
        <v>20</v>
      </c>
      <c r="M73" s="11">
        <v>16.670000000000002</v>
      </c>
      <c r="N73" s="11">
        <v>43.94</v>
      </c>
      <c r="O73" s="11">
        <v>5</v>
      </c>
      <c r="P73" s="50">
        <v>85.61</v>
      </c>
      <c r="Q73" s="11">
        <v>0</v>
      </c>
      <c r="R73" s="11">
        <v>0</v>
      </c>
      <c r="S73" s="11">
        <v>0</v>
      </c>
      <c r="T73" s="50">
        <v>0</v>
      </c>
      <c r="U73" s="11">
        <v>0</v>
      </c>
      <c r="V73" s="11">
        <v>0</v>
      </c>
      <c r="W73" s="11">
        <v>0</v>
      </c>
      <c r="X73" s="11">
        <v>0</v>
      </c>
      <c r="Y73" s="50">
        <v>0</v>
      </c>
      <c r="Z73">
        <v>0</v>
      </c>
      <c r="AA73">
        <v>0</v>
      </c>
      <c r="AB73" s="52">
        <v>0</v>
      </c>
      <c r="AC73">
        <v>0</v>
      </c>
      <c r="AD73">
        <v>0</v>
      </c>
      <c r="AE73">
        <v>0</v>
      </c>
      <c r="AF73">
        <v>0</v>
      </c>
      <c r="AG73" s="50">
        <v>0</v>
      </c>
      <c r="AH73">
        <v>0</v>
      </c>
      <c r="AI73">
        <v>0</v>
      </c>
      <c r="AJ73">
        <v>0</v>
      </c>
      <c r="AK73">
        <v>0</v>
      </c>
      <c r="AL73" s="50">
        <v>0</v>
      </c>
      <c r="AM73">
        <v>50</v>
      </c>
      <c r="AN73">
        <v>16.670000000000002</v>
      </c>
      <c r="AO73">
        <v>26.83</v>
      </c>
      <c r="AP73" s="50">
        <v>93.5</v>
      </c>
      <c r="AQ73" s="11" t="s">
        <v>51</v>
      </c>
      <c r="AR73" s="11" t="s">
        <v>51</v>
      </c>
      <c r="AS73" s="11" t="s">
        <v>51</v>
      </c>
      <c r="AT73" s="50">
        <v>0</v>
      </c>
      <c r="AU73" s="18">
        <v>32</v>
      </c>
      <c r="AV73" s="18">
        <v>0</v>
      </c>
      <c r="AW73" s="18">
        <v>0</v>
      </c>
      <c r="AX73" s="18">
        <v>8</v>
      </c>
      <c r="AY73" s="54">
        <f t="shared" si="1"/>
        <v>40</v>
      </c>
      <c r="AZ73" t="s">
        <v>52</v>
      </c>
      <c r="BA73" s="38">
        <v>87.188000000000002</v>
      </c>
    </row>
    <row r="74" spans="1:53" x14ac:dyDescent="0.25">
      <c r="A74" s="39" t="s">
        <v>46</v>
      </c>
      <c r="B74" t="s">
        <v>397</v>
      </c>
      <c r="C74" t="s">
        <v>398</v>
      </c>
      <c r="D74" t="s">
        <v>399</v>
      </c>
      <c r="E74">
        <v>49</v>
      </c>
      <c r="F74" t="s">
        <v>985</v>
      </c>
      <c r="G74" t="s">
        <v>949</v>
      </c>
      <c r="H74" t="s">
        <v>944</v>
      </c>
      <c r="I74" t="s">
        <v>950</v>
      </c>
      <c r="J74" t="s">
        <v>955</v>
      </c>
      <c r="K74" t="s">
        <v>958</v>
      </c>
      <c r="L74" s="11">
        <v>20</v>
      </c>
      <c r="M74" s="11">
        <v>20</v>
      </c>
      <c r="N74" s="11">
        <v>42.07</v>
      </c>
      <c r="O74" s="11">
        <v>2.5</v>
      </c>
      <c r="P74" s="50">
        <v>84.57</v>
      </c>
      <c r="Q74" s="11">
        <v>0</v>
      </c>
      <c r="R74" s="11">
        <v>0</v>
      </c>
      <c r="S74" s="11">
        <v>0</v>
      </c>
      <c r="T74" s="50">
        <v>0</v>
      </c>
      <c r="U74" s="11">
        <v>0</v>
      </c>
      <c r="V74" s="11">
        <v>0</v>
      </c>
      <c r="W74" s="11">
        <v>0</v>
      </c>
      <c r="X74" s="11">
        <v>0</v>
      </c>
      <c r="Y74" s="50">
        <v>0</v>
      </c>
      <c r="Z74">
        <v>0</v>
      </c>
      <c r="AA74">
        <v>0</v>
      </c>
      <c r="AB74" s="52">
        <v>0</v>
      </c>
      <c r="AC74">
        <v>0</v>
      </c>
      <c r="AD74">
        <v>0</v>
      </c>
      <c r="AE74">
        <v>0</v>
      </c>
      <c r="AF74">
        <v>0</v>
      </c>
      <c r="AG74" s="50">
        <v>0</v>
      </c>
      <c r="AH74">
        <v>0</v>
      </c>
      <c r="AI74">
        <v>0</v>
      </c>
      <c r="AJ74">
        <v>0</v>
      </c>
      <c r="AK74">
        <v>0</v>
      </c>
      <c r="AL74" s="50">
        <v>0</v>
      </c>
      <c r="AM74">
        <v>0</v>
      </c>
      <c r="AN74">
        <v>0</v>
      </c>
      <c r="AO74">
        <v>0</v>
      </c>
      <c r="AP74" s="50">
        <v>0</v>
      </c>
      <c r="AQ74" s="11" t="s">
        <v>51</v>
      </c>
      <c r="AR74" s="11" t="s">
        <v>51</v>
      </c>
      <c r="AS74" s="11" t="s">
        <v>51</v>
      </c>
      <c r="AT74" s="50">
        <v>0</v>
      </c>
      <c r="AU74" s="18">
        <v>4</v>
      </c>
      <c r="AV74" s="18">
        <v>0</v>
      </c>
      <c r="AW74" s="18">
        <v>0</v>
      </c>
      <c r="AX74" s="18">
        <v>0</v>
      </c>
      <c r="AY74" s="54">
        <f t="shared" si="1"/>
        <v>4</v>
      </c>
      <c r="AZ74" t="s">
        <v>52</v>
      </c>
      <c r="BA74" s="38">
        <v>84.57</v>
      </c>
    </row>
    <row r="75" spans="1:53" x14ac:dyDescent="0.25">
      <c r="A75" s="39" t="s">
        <v>46</v>
      </c>
      <c r="B75" t="s">
        <v>401</v>
      </c>
      <c r="C75" t="s">
        <v>402</v>
      </c>
      <c r="D75" t="s">
        <v>403</v>
      </c>
      <c r="E75">
        <v>48</v>
      </c>
      <c r="F75" t="s">
        <v>975</v>
      </c>
      <c r="G75" t="s">
        <v>949</v>
      </c>
      <c r="H75" t="s">
        <v>944</v>
      </c>
      <c r="I75" t="s">
        <v>950</v>
      </c>
      <c r="J75" t="s">
        <v>959</v>
      </c>
      <c r="K75" t="s">
        <v>960</v>
      </c>
      <c r="L75" s="11">
        <v>20</v>
      </c>
      <c r="M75" s="11">
        <v>20</v>
      </c>
      <c r="N75" s="11">
        <v>41.52</v>
      </c>
      <c r="O75" s="11">
        <v>4.5</v>
      </c>
      <c r="P75" s="50">
        <v>86.02000000000001</v>
      </c>
      <c r="Q75" s="11">
        <v>0</v>
      </c>
      <c r="R75" s="11">
        <v>0</v>
      </c>
      <c r="S75" s="11">
        <v>0</v>
      </c>
      <c r="T75" s="50">
        <v>0</v>
      </c>
      <c r="U75" s="11">
        <v>0</v>
      </c>
      <c r="V75" s="11">
        <v>0</v>
      </c>
      <c r="W75" s="11">
        <v>0</v>
      </c>
      <c r="X75" s="11">
        <v>0</v>
      </c>
      <c r="Y75" s="50">
        <v>0</v>
      </c>
      <c r="Z75">
        <v>0</v>
      </c>
      <c r="AA75">
        <v>0</v>
      </c>
      <c r="AB75" s="52">
        <v>0</v>
      </c>
      <c r="AC75">
        <v>0</v>
      </c>
      <c r="AD75">
        <v>0</v>
      </c>
      <c r="AE75">
        <v>0</v>
      </c>
      <c r="AF75">
        <v>0</v>
      </c>
      <c r="AG75" s="50">
        <v>0</v>
      </c>
      <c r="AH75">
        <v>0</v>
      </c>
      <c r="AI75">
        <v>0</v>
      </c>
      <c r="AJ75">
        <v>0</v>
      </c>
      <c r="AK75">
        <v>0</v>
      </c>
      <c r="AL75" s="50">
        <v>0</v>
      </c>
      <c r="AM75">
        <v>0</v>
      </c>
      <c r="AN75">
        <v>0</v>
      </c>
      <c r="AO75">
        <v>0</v>
      </c>
      <c r="AP75" s="50">
        <v>0</v>
      </c>
      <c r="AQ75" s="11" t="s">
        <v>51</v>
      </c>
      <c r="AR75" s="11" t="s">
        <v>51</v>
      </c>
      <c r="AS75" s="11" t="s">
        <v>51</v>
      </c>
      <c r="AT75" s="50">
        <v>0</v>
      </c>
      <c r="AU75" s="18">
        <v>20</v>
      </c>
      <c r="AV75" s="18">
        <v>0</v>
      </c>
      <c r="AW75" s="18">
        <v>0</v>
      </c>
      <c r="AX75" s="18">
        <v>0</v>
      </c>
      <c r="AY75" s="54">
        <f t="shared" si="1"/>
        <v>20</v>
      </c>
      <c r="AZ75" t="s">
        <v>52</v>
      </c>
      <c r="BA75" s="38">
        <v>86.02000000000001</v>
      </c>
    </row>
    <row r="76" spans="1:53" x14ac:dyDescent="0.25">
      <c r="A76" s="39" t="s">
        <v>46</v>
      </c>
      <c r="B76" t="s">
        <v>405</v>
      </c>
      <c r="C76" t="s">
        <v>406</v>
      </c>
      <c r="D76" t="s">
        <v>407</v>
      </c>
      <c r="E76">
        <v>40</v>
      </c>
      <c r="F76" t="s">
        <v>1002</v>
      </c>
      <c r="G76" t="s">
        <v>949</v>
      </c>
      <c r="H76" t="s">
        <v>944</v>
      </c>
      <c r="I76" t="s">
        <v>950</v>
      </c>
      <c r="J76" t="s">
        <v>946</v>
      </c>
      <c r="K76" t="s">
        <v>951</v>
      </c>
      <c r="L76" s="11">
        <v>20</v>
      </c>
      <c r="M76" s="11">
        <v>20</v>
      </c>
      <c r="N76" s="11">
        <v>44.63</v>
      </c>
      <c r="O76" s="11">
        <v>3.5</v>
      </c>
      <c r="P76" s="50">
        <v>88.13</v>
      </c>
      <c r="Q76" s="11">
        <v>0</v>
      </c>
      <c r="R76" s="11">
        <v>0</v>
      </c>
      <c r="S76" s="11">
        <v>0</v>
      </c>
      <c r="T76" s="50">
        <v>0</v>
      </c>
      <c r="U76" s="11">
        <v>0</v>
      </c>
      <c r="V76" s="11">
        <v>0</v>
      </c>
      <c r="W76" s="11">
        <v>0</v>
      </c>
      <c r="X76" s="11">
        <v>0</v>
      </c>
      <c r="Y76" s="50">
        <v>0</v>
      </c>
      <c r="Z76">
        <v>0</v>
      </c>
      <c r="AA76">
        <v>0</v>
      </c>
      <c r="AB76" s="52">
        <v>0</v>
      </c>
      <c r="AC76">
        <v>0</v>
      </c>
      <c r="AD76">
        <v>0</v>
      </c>
      <c r="AE76">
        <v>0</v>
      </c>
      <c r="AF76">
        <v>0</v>
      </c>
      <c r="AG76" s="50">
        <v>0</v>
      </c>
      <c r="AH76">
        <v>3.75</v>
      </c>
      <c r="AI76">
        <v>12.5</v>
      </c>
      <c r="AJ76">
        <v>13.12</v>
      </c>
      <c r="AK76">
        <v>15</v>
      </c>
      <c r="AL76" s="50">
        <v>44.37</v>
      </c>
      <c r="AM76">
        <v>0</v>
      </c>
      <c r="AN76">
        <v>0</v>
      </c>
      <c r="AO76">
        <v>0</v>
      </c>
      <c r="AP76" s="50">
        <v>0</v>
      </c>
      <c r="AQ76" s="11" t="s">
        <v>51</v>
      </c>
      <c r="AR76" s="11" t="s">
        <v>51</v>
      </c>
      <c r="AS76" s="11" t="s">
        <v>51</v>
      </c>
      <c r="AT76" s="50">
        <v>0</v>
      </c>
      <c r="AU76" s="18">
        <v>35</v>
      </c>
      <c r="AV76" s="18">
        <v>5</v>
      </c>
      <c r="AW76" s="18">
        <v>0</v>
      </c>
      <c r="AX76" s="18">
        <v>0</v>
      </c>
      <c r="AY76" s="54">
        <f t="shared" si="1"/>
        <v>40</v>
      </c>
      <c r="AZ76" t="s">
        <v>52</v>
      </c>
      <c r="BA76" s="38">
        <v>82.66</v>
      </c>
    </row>
    <row r="77" spans="1:53" x14ac:dyDescent="0.25">
      <c r="A77" s="39" t="s">
        <v>46</v>
      </c>
      <c r="B77" t="s">
        <v>409</v>
      </c>
      <c r="C77" t="s">
        <v>410</v>
      </c>
      <c r="D77" t="s">
        <v>411</v>
      </c>
      <c r="E77">
        <v>40</v>
      </c>
      <c r="F77" t="s">
        <v>1003</v>
      </c>
      <c r="G77" t="s">
        <v>949</v>
      </c>
      <c r="H77" t="s">
        <v>944</v>
      </c>
      <c r="I77" t="s">
        <v>950</v>
      </c>
      <c r="J77" t="s">
        <v>946</v>
      </c>
      <c r="K77" t="s">
        <v>958</v>
      </c>
      <c r="L77" s="11">
        <v>25</v>
      </c>
      <c r="M77" s="11">
        <v>0</v>
      </c>
      <c r="N77" s="11">
        <v>59.15</v>
      </c>
      <c r="O77" s="11">
        <v>6.25</v>
      </c>
      <c r="P77" s="50">
        <v>90.4</v>
      </c>
      <c r="Q77" s="11">
        <v>0</v>
      </c>
      <c r="R77" s="11">
        <v>0</v>
      </c>
      <c r="S77" s="11">
        <v>0</v>
      </c>
      <c r="T77" s="50">
        <v>0</v>
      </c>
      <c r="U77" s="11">
        <v>0</v>
      </c>
      <c r="V77" s="11">
        <v>0</v>
      </c>
      <c r="W77" s="11">
        <v>0</v>
      </c>
      <c r="X77" s="11">
        <v>0</v>
      </c>
      <c r="Y77" s="50">
        <v>0</v>
      </c>
      <c r="Z77">
        <v>0</v>
      </c>
      <c r="AA77">
        <v>0</v>
      </c>
      <c r="AB77" s="52">
        <v>0</v>
      </c>
      <c r="AC77">
        <v>0</v>
      </c>
      <c r="AD77">
        <v>0</v>
      </c>
      <c r="AE77">
        <v>0</v>
      </c>
      <c r="AF77">
        <v>0</v>
      </c>
      <c r="AG77" s="50">
        <v>0</v>
      </c>
      <c r="AH77">
        <v>0</v>
      </c>
      <c r="AI77">
        <v>0</v>
      </c>
      <c r="AJ77">
        <v>0</v>
      </c>
      <c r="AK77">
        <v>0</v>
      </c>
      <c r="AL77" s="50">
        <v>0</v>
      </c>
      <c r="AM77">
        <v>0</v>
      </c>
      <c r="AN77">
        <v>0</v>
      </c>
      <c r="AO77">
        <v>0</v>
      </c>
      <c r="AP77" s="50">
        <v>0</v>
      </c>
      <c r="AQ77" s="11" t="s">
        <v>51</v>
      </c>
      <c r="AR77" s="11" t="s">
        <v>51</v>
      </c>
      <c r="AS77" s="11" t="s">
        <v>51</v>
      </c>
      <c r="AT77" s="50">
        <v>0</v>
      </c>
      <c r="AU77" s="18">
        <v>40</v>
      </c>
      <c r="AV77" s="18">
        <v>0</v>
      </c>
      <c r="AW77" s="18">
        <v>0</v>
      </c>
      <c r="AX77" s="18">
        <v>0</v>
      </c>
      <c r="AY77" s="54">
        <f t="shared" si="1"/>
        <v>40</v>
      </c>
      <c r="AZ77" t="s">
        <v>52</v>
      </c>
      <c r="BA77" s="38">
        <v>90.4</v>
      </c>
    </row>
    <row r="78" spans="1:53" x14ac:dyDescent="0.25">
      <c r="A78" s="39" t="s">
        <v>46</v>
      </c>
      <c r="B78" t="s">
        <v>414</v>
      </c>
      <c r="C78" t="s">
        <v>415</v>
      </c>
      <c r="D78" t="s">
        <v>416</v>
      </c>
      <c r="E78">
        <v>50</v>
      </c>
      <c r="F78" t="s">
        <v>942</v>
      </c>
      <c r="G78" t="s">
        <v>943</v>
      </c>
      <c r="H78" t="s">
        <v>944</v>
      </c>
      <c r="I78" t="s">
        <v>950</v>
      </c>
      <c r="J78" t="s">
        <v>959</v>
      </c>
      <c r="K78" t="s">
        <v>956</v>
      </c>
      <c r="L78" s="11">
        <v>0</v>
      </c>
      <c r="M78" s="11">
        <v>0</v>
      </c>
      <c r="N78" s="11">
        <v>57.300000000000011</v>
      </c>
      <c r="O78" s="11">
        <v>6.6666666666666652</v>
      </c>
      <c r="P78" s="50">
        <v>63.966666666666676</v>
      </c>
      <c r="Q78" s="11">
        <v>0</v>
      </c>
      <c r="R78" s="11">
        <v>0</v>
      </c>
      <c r="S78" s="11">
        <v>0</v>
      </c>
      <c r="T78" s="50">
        <v>0</v>
      </c>
      <c r="U78" s="11">
        <v>0</v>
      </c>
      <c r="V78" s="11">
        <v>0</v>
      </c>
      <c r="W78" s="11">
        <v>0</v>
      </c>
      <c r="X78" s="11">
        <v>0</v>
      </c>
      <c r="Y78" s="50">
        <v>0</v>
      </c>
      <c r="Z78">
        <v>0</v>
      </c>
      <c r="AA78">
        <v>0</v>
      </c>
      <c r="AB78" s="52">
        <v>0</v>
      </c>
      <c r="AC78">
        <v>0</v>
      </c>
      <c r="AD78">
        <v>0</v>
      </c>
      <c r="AE78">
        <v>0</v>
      </c>
      <c r="AF78">
        <v>0</v>
      </c>
      <c r="AG78" s="50">
        <v>0</v>
      </c>
      <c r="AH78">
        <v>0</v>
      </c>
      <c r="AI78">
        <v>0</v>
      </c>
      <c r="AJ78">
        <v>0</v>
      </c>
      <c r="AK78">
        <v>0</v>
      </c>
      <c r="AL78" s="50">
        <v>0</v>
      </c>
      <c r="AM78">
        <v>0</v>
      </c>
      <c r="AN78">
        <v>0</v>
      </c>
      <c r="AO78">
        <v>0</v>
      </c>
      <c r="AP78" s="50">
        <v>0</v>
      </c>
      <c r="AQ78" s="11" t="s">
        <v>51</v>
      </c>
      <c r="AR78" s="11" t="s">
        <v>51</v>
      </c>
      <c r="AS78" s="11" t="s">
        <v>51</v>
      </c>
      <c r="AT78" s="50">
        <v>0</v>
      </c>
      <c r="AU78" s="18">
        <v>2</v>
      </c>
      <c r="AV78" s="18">
        <v>0</v>
      </c>
      <c r="AW78" s="18">
        <v>0</v>
      </c>
      <c r="AX78" s="18">
        <v>0</v>
      </c>
      <c r="AY78" s="54">
        <f t="shared" si="1"/>
        <v>2</v>
      </c>
      <c r="AZ78" t="s">
        <v>52</v>
      </c>
      <c r="BA78" s="38">
        <v>63.966666666666676</v>
      </c>
    </row>
    <row r="79" spans="1:53" x14ac:dyDescent="0.25">
      <c r="A79" s="39" t="s">
        <v>46</v>
      </c>
      <c r="B79" t="s">
        <v>421</v>
      </c>
      <c r="C79" t="s">
        <v>422</v>
      </c>
      <c r="D79" t="s">
        <v>423</v>
      </c>
      <c r="E79">
        <v>48</v>
      </c>
      <c r="F79" t="s">
        <v>1004</v>
      </c>
      <c r="G79" t="s">
        <v>949</v>
      </c>
      <c r="H79" t="s">
        <v>944</v>
      </c>
      <c r="I79" t="s">
        <v>950</v>
      </c>
      <c r="J79" t="s">
        <v>946</v>
      </c>
      <c r="K79" t="s">
        <v>1005</v>
      </c>
      <c r="L79" s="11">
        <v>15.92</v>
      </c>
      <c r="M79" s="11">
        <v>19</v>
      </c>
      <c r="N79" s="11">
        <v>32.35</v>
      </c>
      <c r="O79" s="11">
        <v>4.5</v>
      </c>
      <c r="P79" s="50">
        <v>71.77000000000001</v>
      </c>
      <c r="Q79" s="11">
        <v>0</v>
      </c>
      <c r="R79" s="11">
        <v>0</v>
      </c>
      <c r="S79" s="11">
        <v>0</v>
      </c>
      <c r="T79" s="50">
        <v>0</v>
      </c>
      <c r="U79" s="11">
        <v>0</v>
      </c>
      <c r="V79" s="11">
        <v>0</v>
      </c>
      <c r="W79" s="11">
        <v>0</v>
      </c>
      <c r="X79" s="11">
        <v>0</v>
      </c>
      <c r="Y79" s="50">
        <v>0</v>
      </c>
      <c r="Z79">
        <v>0</v>
      </c>
      <c r="AA79">
        <v>0</v>
      </c>
      <c r="AB79" s="52">
        <v>0</v>
      </c>
      <c r="AC79">
        <v>0</v>
      </c>
      <c r="AD79">
        <v>0</v>
      </c>
      <c r="AE79">
        <v>0</v>
      </c>
      <c r="AF79">
        <v>0</v>
      </c>
      <c r="AG79" s="50">
        <v>0</v>
      </c>
      <c r="AH79">
        <v>11.25</v>
      </c>
      <c r="AI79">
        <v>12.5</v>
      </c>
      <c r="AJ79">
        <v>12.75</v>
      </c>
      <c r="AK79">
        <v>12.5</v>
      </c>
      <c r="AL79" s="50">
        <v>49</v>
      </c>
      <c r="AM79">
        <v>0</v>
      </c>
      <c r="AN79">
        <v>0</v>
      </c>
      <c r="AO79">
        <v>0</v>
      </c>
      <c r="AP79" s="50">
        <v>0</v>
      </c>
      <c r="AQ79" s="11" t="s">
        <v>51</v>
      </c>
      <c r="AR79" s="11" t="s">
        <v>51</v>
      </c>
      <c r="AS79" s="11" t="s">
        <v>51</v>
      </c>
      <c r="AT79" s="50">
        <v>0</v>
      </c>
      <c r="AU79" s="18">
        <v>35</v>
      </c>
      <c r="AV79" s="18">
        <v>5</v>
      </c>
      <c r="AW79" s="18">
        <v>0</v>
      </c>
      <c r="AX79" s="18">
        <v>0</v>
      </c>
      <c r="AY79" s="54">
        <f t="shared" si="1"/>
        <v>40</v>
      </c>
      <c r="AZ79" t="s">
        <v>52</v>
      </c>
      <c r="BA79" s="38">
        <v>68.923750000000013</v>
      </c>
    </row>
    <row r="80" spans="1:53" x14ac:dyDescent="0.25">
      <c r="A80" s="39" t="s">
        <v>46</v>
      </c>
      <c r="B80" t="s">
        <v>425</v>
      </c>
      <c r="C80" t="s">
        <v>426</v>
      </c>
      <c r="D80" t="s">
        <v>427</v>
      </c>
      <c r="E80">
        <v>40</v>
      </c>
      <c r="F80" t="s">
        <v>976</v>
      </c>
      <c r="G80" t="s">
        <v>997</v>
      </c>
      <c r="H80" t="s">
        <v>944</v>
      </c>
      <c r="I80" t="s">
        <v>977</v>
      </c>
      <c r="J80" t="s">
        <v>955</v>
      </c>
      <c r="K80" t="s">
        <v>978</v>
      </c>
      <c r="L80" s="11">
        <v>0</v>
      </c>
      <c r="M80" s="11">
        <v>0</v>
      </c>
      <c r="N80" s="11">
        <v>0</v>
      </c>
      <c r="O80" s="11">
        <v>0</v>
      </c>
      <c r="P80" s="50">
        <v>0</v>
      </c>
      <c r="Q80" s="11">
        <v>0</v>
      </c>
      <c r="R80" s="11">
        <v>0</v>
      </c>
      <c r="S80" s="11">
        <v>0</v>
      </c>
      <c r="T80" s="50">
        <v>0</v>
      </c>
      <c r="U80" s="11">
        <v>0</v>
      </c>
      <c r="V80" s="11">
        <v>0</v>
      </c>
      <c r="W80" s="11">
        <v>0</v>
      </c>
      <c r="X80" s="11">
        <v>0</v>
      </c>
      <c r="Y80" s="50">
        <v>0</v>
      </c>
      <c r="Z80">
        <v>55.11</v>
      </c>
      <c r="AA80">
        <v>30</v>
      </c>
      <c r="AB80" s="52">
        <v>85.11</v>
      </c>
      <c r="AC80">
        <v>0</v>
      </c>
      <c r="AD80">
        <v>0</v>
      </c>
      <c r="AE80">
        <v>0</v>
      </c>
      <c r="AF80">
        <v>0</v>
      </c>
      <c r="AG80" s="50">
        <v>0</v>
      </c>
      <c r="AH80">
        <v>0</v>
      </c>
      <c r="AI80">
        <v>0</v>
      </c>
      <c r="AJ80">
        <v>0</v>
      </c>
      <c r="AK80">
        <v>0</v>
      </c>
      <c r="AL80" s="50">
        <v>0</v>
      </c>
      <c r="AM80">
        <v>0</v>
      </c>
      <c r="AN80">
        <v>0</v>
      </c>
      <c r="AO80">
        <v>0</v>
      </c>
      <c r="AP80" s="50">
        <v>0</v>
      </c>
      <c r="AQ80" s="11" t="s">
        <v>51</v>
      </c>
      <c r="AR80" s="11" t="s">
        <v>51</v>
      </c>
      <c r="AS80" s="11" t="s">
        <v>51</v>
      </c>
      <c r="AT80" s="50">
        <v>0</v>
      </c>
      <c r="AU80" s="18">
        <v>4</v>
      </c>
      <c r="AV80" s="18">
        <v>0</v>
      </c>
      <c r="AW80" s="18">
        <v>0</v>
      </c>
      <c r="AX80" s="18">
        <v>0</v>
      </c>
      <c r="AY80" s="54">
        <f t="shared" si="1"/>
        <v>4</v>
      </c>
      <c r="AZ80" t="s">
        <v>52</v>
      </c>
      <c r="BA80" s="38">
        <v>85.11</v>
      </c>
    </row>
    <row r="81" spans="1:53" s="39" customFormat="1" x14ac:dyDescent="0.25">
      <c r="A81" s="39" t="s">
        <v>46</v>
      </c>
      <c r="B81" s="39" t="s">
        <v>429</v>
      </c>
      <c r="C81" s="39" t="s">
        <v>430</v>
      </c>
      <c r="D81" s="39" t="s">
        <v>431</v>
      </c>
      <c r="E81">
        <v>57</v>
      </c>
      <c r="F81" t="s">
        <v>995</v>
      </c>
      <c r="G81" t="s">
        <v>943</v>
      </c>
      <c r="H81" t="s">
        <v>944</v>
      </c>
      <c r="I81" t="s">
        <v>950</v>
      </c>
      <c r="J81" t="s">
        <v>946</v>
      </c>
      <c r="K81" t="s">
        <v>1006</v>
      </c>
      <c r="L81" s="40">
        <v>0</v>
      </c>
      <c r="M81" s="40">
        <v>0</v>
      </c>
      <c r="N81" s="40">
        <v>0</v>
      </c>
      <c r="O81" s="40">
        <v>0</v>
      </c>
      <c r="P81" s="51">
        <v>0</v>
      </c>
      <c r="Q81" s="40">
        <v>0</v>
      </c>
      <c r="R81" s="40">
        <v>0</v>
      </c>
      <c r="S81" s="40">
        <v>0</v>
      </c>
      <c r="T81" s="51">
        <v>0</v>
      </c>
      <c r="U81" s="40">
        <v>48.94</v>
      </c>
      <c r="V81" s="40">
        <v>3</v>
      </c>
      <c r="W81" s="40">
        <v>17.5</v>
      </c>
      <c r="X81" s="40">
        <v>20</v>
      </c>
      <c r="Y81" s="51">
        <v>89.44</v>
      </c>
      <c r="Z81" s="39">
        <v>0</v>
      </c>
      <c r="AA81" s="39">
        <v>0</v>
      </c>
      <c r="AB81" s="53">
        <v>0</v>
      </c>
      <c r="AC81" s="39">
        <v>3</v>
      </c>
      <c r="AD81" s="39">
        <v>17.5</v>
      </c>
      <c r="AE81" s="39">
        <v>43.99</v>
      </c>
      <c r="AF81" s="39">
        <v>20</v>
      </c>
      <c r="AG81" s="51">
        <v>84.490000000000009</v>
      </c>
      <c r="AH81" s="39">
        <v>0</v>
      </c>
      <c r="AI81" s="39">
        <v>0</v>
      </c>
      <c r="AJ81" s="39">
        <v>0</v>
      </c>
      <c r="AK81" s="39">
        <v>0</v>
      </c>
      <c r="AL81" s="51">
        <v>0</v>
      </c>
      <c r="AM81" s="39">
        <v>0</v>
      </c>
      <c r="AN81" s="39">
        <v>0</v>
      </c>
      <c r="AO81" s="39">
        <v>0</v>
      </c>
      <c r="AP81" s="51">
        <v>0</v>
      </c>
      <c r="AQ81" s="40" t="s">
        <v>51</v>
      </c>
      <c r="AR81" s="40" t="s">
        <v>51</v>
      </c>
      <c r="AS81" s="40" t="s">
        <v>51</v>
      </c>
      <c r="AT81" s="51">
        <v>0</v>
      </c>
      <c r="AU81" s="41">
        <v>37</v>
      </c>
      <c r="AV81" s="41">
        <v>0</v>
      </c>
      <c r="AW81" s="41">
        <v>0</v>
      </c>
      <c r="AX81" s="41">
        <v>0</v>
      </c>
      <c r="AY81" s="55">
        <f t="shared" si="1"/>
        <v>37</v>
      </c>
      <c r="AZ81" s="39" t="s">
        <v>52</v>
      </c>
      <c r="BA81" s="42">
        <v>84.490000000000009</v>
      </c>
    </row>
    <row r="82" spans="1:53" s="39" customFormat="1" x14ac:dyDescent="0.25">
      <c r="A82" s="39" t="s">
        <v>46</v>
      </c>
      <c r="B82" s="39" t="s">
        <v>429</v>
      </c>
      <c r="C82" s="39" t="s">
        <v>430</v>
      </c>
      <c r="D82" s="39" t="s">
        <v>431</v>
      </c>
      <c r="E82">
        <v>57</v>
      </c>
      <c r="F82" t="s">
        <v>995</v>
      </c>
      <c r="G82" t="s">
        <v>943</v>
      </c>
      <c r="H82" t="s">
        <v>944</v>
      </c>
      <c r="I82" t="s">
        <v>950</v>
      </c>
      <c r="J82" t="s">
        <v>946</v>
      </c>
      <c r="K82" t="s">
        <v>1006</v>
      </c>
      <c r="L82" s="40">
        <v>0</v>
      </c>
      <c r="M82" s="40">
        <v>0</v>
      </c>
      <c r="N82" s="40">
        <v>0</v>
      </c>
      <c r="O82" s="40">
        <v>0</v>
      </c>
      <c r="P82" s="51">
        <v>0</v>
      </c>
      <c r="Q82" s="40">
        <v>0</v>
      </c>
      <c r="R82" s="40">
        <v>0</v>
      </c>
      <c r="S82" s="40">
        <v>0</v>
      </c>
      <c r="T82" s="51">
        <v>0</v>
      </c>
      <c r="U82" s="40">
        <v>48.94</v>
      </c>
      <c r="V82" s="40">
        <v>3</v>
      </c>
      <c r="W82" s="40">
        <v>17.5</v>
      </c>
      <c r="X82" s="40">
        <v>20</v>
      </c>
      <c r="Y82" s="51">
        <v>89.44</v>
      </c>
      <c r="Z82" s="39">
        <v>0</v>
      </c>
      <c r="AA82" s="39">
        <v>0</v>
      </c>
      <c r="AB82" s="53">
        <v>0</v>
      </c>
      <c r="AC82" s="39">
        <v>3</v>
      </c>
      <c r="AD82" s="39">
        <v>17.5</v>
      </c>
      <c r="AE82" s="39">
        <v>43.99</v>
      </c>
      <c r="AF82" s="39">
        <v>20</v>
      </c>
      <c r="AG82" s="51">
        <v>84.490000000000009</v>
      </c>
      <c r="AH82" s="39">
        <v>0</v>
      </c>
      <c r="AI82" s="39">
        <v>0</v>
      </c>
      <c r="AJ82" s="39">
        <v>0</v>
      </c>
      <c r="AK82" s="39">
        <v>0</v>
      </c>
      <c r="AL82" s="51">
        <v>0</v>
      </c>
      <c r="AM82" s="39">
        <v>0</v>
      </c>
      <c r="AN82" s="39">
        <v>0</v>
      </c>
      <c r="AO82" s="39">
        <v>0</v>
      </c>
      <c r="AP82" s="51">
        <v>0</v>
      </c>
      <c r="AQ82" s="40" t="s">
        <v>51</v>
      </c>
      <c r="AR82" s="40" t="s">
        <v>51</v>
      </c>
      <c r="AS82" s="40" t="s">
        <v>51</v>
      </c>
      <c r="AT82" s="51">
        <v>0</v>
      </c>
      <c r="AU82" s="41">
        <v>3</v>
      </c>
      <c r="AV82" s="41">
        <v>0</v>
      </c>
      <c r="AW82" s="41">
        <v>0</v>
      </c>
      <c r="AX82" s="41">
        <v>0</v>
      </c>
      <c r="AY82" s="55">
        <f t="shared" si="1"/>
        <v>3</v>
      </c>
      <c r="AZ82" s="39" t="s">
        <v>117</v>
      </c>
      <c r="BA82" s="42">
        <v>89.44</v>
      </c>
    </row>
    <row r="83" spans="1:53" x14ac:dyDescent="0.25">
      <c r="A83" s="39" t="s">
        <v>46</v>
      </c>
      <c r="B83" t="s">
        <v>433</v>
      </c>
      <c r="C83" t="s">
        <v>434</v>
      </c>
      <c r="D83" t="s">
        <v>435</v>
      </c>
      <c r="E83">
        <v>43</v>
      </c>
      <c r="F83" t="s">
        <v>1007</v>
      </c>
      <c r="G83" t="s">
        <v>943</v>
      </c>
      <c r="H83" t="s">
        <v>944</v>
      </c>
      <c r="I83" t="s">
        <v>950</v>
      </c>
      <c r="J83" t="s">
        <v>955</v>
      </c>
      <c r="K83" t="s">
        <v>962</v>
      </c>
      <c r="L83" s="11">
        <v>20</v>
      </c>
      <c r="M83" s="11">
        <v>20</v>
      </c>
      <c r="N83" s="11">
        <v>43.31</v>
      </c>
      <c r="O83" s="11">
        <v>7</v>
      </c>
      <c r="P83" s="50">
        <v>90.31</v>
      </c>
      <c r="Q83" s="11">
        <v>0</v>
      </c>
      <c r="R83" s="11">
        <v>0</v>
      </c>
      <c r="S83" s="11">
        <v>0</v>
      </c>
      <c r="T83" s="50">
        <v>0</v>
      </c>
      <c r="U83" s="11">
        <v>43.31</v>
      </c>
      <c r="V83" s="11">
        <v>7</v>
      </c>
      <c r="W83" s="11">
        <v>20</v>
      </c>
      <c r="X83" s="11">
        <v>20</v>
      </c>
      <c r="Y83" s="50">
        <v>90.31</v>
      </c>
      <c r="Z83">
        <v>0</v>
      </c>
      <c r="AA83">
        <v>0</v>
      </c>
      <c r="AB83" s="52">
        <v>0</v>
      </c>
      <c r="AC83">
        <v>0</v>
      </c>
      <c r="AD83">
        <v>0</v>
      </c>
      <c r="AE83">
        <v>0</v>
      </c>
      <c r="AF83">
        <v>0</v>
      </c>
      <c r="AG83" s="50">
        <v>0</v>
      </c>
      <c r="AH83">
        <v>0</v>
      </c>
      <c r="AI83">
        <v>0</v>
      </c>
      <c r="AJ83">
        <v>0</v>
      </c>
      <c r="AK83">
        <v>0</v>
      </c>
      <c r="AL83" s="50">
        <v>0</v>
      </c>
      <c r="AM83">
        <v>0</v>
      </c>
      <c r="AN83">
        <v>0</v>
      </c>
      <c r="AO83">
        <v>0</v>
      </c>
      <c r="AP83" s="50">
        <v>0</v>
      </c>
      <c r="AQ83" s="11" t="s">
        <v>51</v>
      </c>
      <c r="AR83" s="11" t="s">
        <v>51</v>
      </c>
      <c r="AS83" s="11" t="s">
        <v>51</v>
      </c>
      <c r="AT83" s="50">
        <v>0</v>
      </c>
      <c r="AU83" s="18">
        <v>6</v>
      </c>
      <c r="AV83" s="18">
        <v>0</v>
      </c>
      <c r="AW83" s="18">
        <v>0</v>
      </c>
      <c r="AX83" s="18">
        <v>0</v>
      </c>
      <c r="AY83" s="54">
        <f t="shared" si="1"/>
        <v>6</v>
      </c>
      <c r="AZ83" t="s">
        <v>52</v>
      </c>
      <c r="BA83" s="38">
        <v>90.31</v>
      </c>
    </row>
    <row r="84" spans="1:53" x14ac:dyDescent="0.25">
      <c r="A84" s="39" t="s">
        <v>46</v>
      </c>
      <c r="B84" t="s">
        <v>433</v>
      </c>
      <c r="C84" t="s">
        <v>434</v>
      </c>
      <c r="D84" t="s">
        <v>435</v>
      </c>
      <c r="E84">
        <v>43</v>
      </c>
      <c r="F84" t="s">
        <v>1007</v>
      </c>
      <c r="G84" t="s">
        <v>943</v>
      </c>
      <c r="H84" t="s">
        <v>944</v>
      </c>
      <c r="I84" t="s">
        <v>950</v>
      </c>
      <c r="J84" t="s">
        <v>955</v>
      </c>
      <c r="K84" t="s">
        <v>962</v>
      </c>
      <c r="L84" s="11">
        <v>20</v>
      </c>
      <c r="M84" s="11">
        <v>20</v>
      </c>
      <c r="N84" s="11">
        <v>42.74</v>
      </c>
      <c r="O84" s="11">
        <v>7</v>
      </c>
      <c r="P84" s="50">
        <v>89.740000000000009</v>
      </c>
      <c r="Q84" s="11">
        <v>0</v>
      </c>
      <c r="R84" s="11">
        <v>0</v>
      </c>
      <c r="S84" s="11">
        <v>0</v>
      </c>
      <c r="T84" s="50">
        <v>0</v>
      </c>
      <c r="U84" s="11">
        <v>46.19</v>
      </c>
      <c r="V84" s="11">
        <v>7</v>
      </c>
      <c r="W84" s="11">
        <v>20</v>
      </c>
      <c r="X84" s="11">
        <v>20</v>
      </c>
      <c r="Y84" s="50">
        <v>93.19</v>
      </c>
      <c r="Z84">
        <v>0</v>
      </c>
      <c r="AA84">
        <v>0</v>
      </c>
      <c r="AB84" s="52">
        <v>0</v>
      </c>
      <c r="AC84">
        <v>0</v>
      </c>
      <c r="AD84">
        <v>0</v>
      </c>
      <c r="AE84">
        <v>0</v>
      </c>
      <c r="AF84">
        <v>0</v>
      </c>
      <c r="AG84" s="50">
        <v>0</v>
      </c>
      <c r="AH84">
        <v>0</v>
      </c>
      <c r="AI84">
        <v>0</v>
      </c>
      <c r="AJ84">
        <v>0</v>
      </c>
      <c r="AK84">
        <v>0</v>
      </c>
      <c r="AL84" s="50">
        <v>0</v>
      </c>
      <c r="AM84">
        <v>0</v>
      </c>
      <c r="AN84">
        <v>0</v>
      </c>
      <c r="AO84">
        <v>0</v>
      </c>
      <c r="AP84" s="50">
        <v>0</v>
      </c>
      <c r="AQ84" s="11" t="s">
        <v>51</v>
      </c>
      <c r="AR84" s="11" t="s">
        <v>51</v>
      </c>
      <c r="AS84" s="11" t="s">
        <v>51</v>
      </c>
      <c r="AT84" s="50">
        <v>0</v>
      </c>
      <c r="AU84" s="18">
        <v>2</v>
      </c>
      <c r="AV84" s="18">
        <v>0</v>
      </c>
      <c r="AW84" s="18">
        <v>0</v>
      </c>
      <c r="AX84" s="18">
        <v>0</v>
      </c>
      <c r="AY84" s="54">
        <f t="shared" si="1"/>
        <v>2</v>
      </c>
      <c r="AZ84" t="s">
        <v>117</v>
      </c>
      <c r="BA84" s="38">
        <v>93.19</v>
      </c>
    </row>
    <row r="85" spans="1:53" x14ac:dyDescent="0.25">
      <c r="A85" s="39" t="s">
        <v>46</v>
      </c>
      <c r="B85" t="s">
        <v>437</v>
      </c>
      <c r="C85" t="s">
        <v>438</v>
      </c>
      <c r="D85" t="s">
        <v>439</v>
      </c>
      <c r="E85">
        <v>26</v>
      </c>
      <c r="F85" t="s">
        <v>1008</v>
      </c>
      <c r="G85" t="s">
        <v>943</v>
      </c>
      <c r="H85" t="s">
        <v>944</v>
      </c>
      <c r="I85" t="s">
        <v>950</v>
      </c>
      <c r="J85" t="s">
        <v>946</v>
      </c>
      <c r="K85" t="s">
        <v>992</v>
      </c>
      <c r="L85" s="11">
        <v>19.670000000000002</v>
      </c>
      <c r="M85" s="11">
        <v>20</v>
      </c>
      <c r="N85" s="11">
        <v>47.58</v>
      </c>
      <c r="O85" s="11">
        <v>9.5</v>
      </c>
      <c r="P85" s="50">
        <v>96.75</v>
      </c>
      <c r="Q85" s="11">
        <v>0</v>
      </c>
      <c r="R85" s="11">
        <v>0</v>
      </c>
      <c r="S85" s="11">
        <v>0</v>
      </c>
      <c r="T85" s="50">
        <v>0</v>
      </c>
      <c r="U85" s="11">
        <v>0</v>
      </c>
      <c r="V85" s="11">
        <v>0</v>
      </c>
      <c r="W85" s="11">
        <v>0</v>
      </c>
      <c r="X85" s="11">
        <v>0</v>
      </c>
      <c r="Y85" s="50">
        <v>0</v>
      </c>
      <c r="Z85">
        <v>0</v>
      </c>
      <c r="AA85">
        <v>0</v>
      </c>
      <c r="AB85" s="52">
        <v>0</v>
      </c>
      <c r="AC85">
        <v>0</v>
      </c>
      <c r="AD85">
        <v>0</v>
      </c>
      <c r="AE85">
        <v>0</v>
      </c>
      <c r="AF85">
        <v>0</v>
      </c>
      <c r="AG85" s="50">
        <v>0</v>
      </c>
      <c r="AH85">
        <v>0</v>
      </c>
      <c r="AI85">
        <v>0</v>
      </c>
      <c r="AJ85">
        <v>0</v>
      </c>
      <c r="AK85">
        <v>0</v>
      </c>
      <c r="AL85" s="50">
        <v>0</v>
      </c>
      <c r="AM85">
        <v>0</v>
      </c>
      <c r="AN85">
        <v>0</v>
      </c>
      <c r="AO85">
        <v>0</v>
      </c>
      <c r="AP85" s="50">
        <v>0</v>
      </c>
      <c r="AQ85" s="11" t="s">
        <v>51</v>
      </c>
      <c r="AR85" s="11" t="s">
        <v>51</v>
      </c>
      <c r="AS85" s="11" t="s">
        <v>51</v>
      </c>
      <c r="AT85" s="50">
        <v>0</v>
      </c>
      <c r="AU85" s="18">
        <v>40</v>
      </c>
      <c r="AV85" s="18">
        <v>0</v>
      </c>
      <c r="AW85" s="18">
        <v>0</v>
      </c>
      <c r="AX85" s="18">
        <v>0</v>
      </c>
      <c r="AY85" s="54">
        <f t="shared" si="1"/>
        <v>40</v>
      </c>
      <c r="AZ85" t="s">
        <v>52</v>
      </c>
      <c r="BA85" s="38">
        <v>96.75</v>
      </c>
    </row>
    <row r="86" spans="1:53" x14ac:dyDescent="0.25">
      <c r="A86" s="39" t="s">
        <v>46</v>
      </c>
      <c r="B86" t="s">
        <v>441</v>
      </c>
      <c r="C86" t="s">
        <v>442</v>
      </c>
      <c r="D86" t="s">
        <v>443</v>
      </c>
      <c r="E86">
        <v>61</v>
      </c>
      <c r="F86" t="s">
        <v>1009</v>
      </c>
      <c r="G86" t="s">
        <v>943</v>
      </c>
      <c r="H86" t="s">
        <v>944</v>
      </c>
      <c r="I86" t="s">
        <v>950</v>
      </c>
      <c r="J86" t="s">
        <v>946</v>
      </c>
      <c r="K86" t="s">
        <v>962</v>
      </c>
      <c r="L86" s="11">
        <v>25</v>
      </c>
      <c r="M86" s="11">
        <v>0</v>
      </c>
      <c r="N86" s="11">
        <v>51.674999999999997</v>
      </c>
      <c r="O86" s="11">
        <v>8.75</v>
      </c>
      <c r="P86" s="50">
        <v>85.424999999999997</v>
      </c>
      <c r="Q86" s="11">
        <v>0</v>
      </c>
      <c r="R86" s="11">
        <v>0</v>
      </c>
      <c r="S86" s="11">
        <v>0</v>
      </c>
      <c r="T86" s="50">
        <v>0</v>
      </c>
      <c r="U86" s="11">
        <v>0</v>
      </c>
      <c r="V86" s="11">
        <v>0</v>
      </c>
      <c r="W86" s="11">
        <v>0</v>
      </c>
      <c r="X86" s="11">
        <v>0</v>
      </c>
      <c r="Y86" s="50">
        <v>0</v>
      </c>
      <c r="Z86">
        <v>0</v>
      </c>
      <c r="AA86">
        <v>0</v>
      </c>
      <c r="AB86" s="52">
        <v>0</v>
      </c>
      <c r="AC86">
        <v>0</v>
      </c>
      <c r="AD86">
        <v>0</v>
      </c>
      <c r="AE86">
        <v>0</v>
      </c>
      <c r="AF86">
        <v>0</v>
      </c>
      <c r="AG86" s="50">
        <v>0</v>
      </c>
      <c r="AH86">
        <v>0</v>
      </c>
      <c r="AI86">
        <v>0</v>
      </c>
      <c r="AJ86">
        <v>0</v>
      </c>
      <c r="AK86">
        <v>0</v>
      </c>
      <c r="AL86" s="50">
        <v>0</v>
      </c>
      <c r="AM86">
        <v>0</v>
      </c>
      <c r="AN86">
        <v>0</v>
      </c>
      <c r="AO86">
        <v>0</v>
      </c>
      <c r="AP86" s="50">
        <v>0</v>
      </c>
      <c r="AQ86" s="11" t="s">
        <v>51</v>
      </c>
      <c r="AR86" s="11" t="s">
        <v>51</v>
      </c>
      <c r="AS86" s="11" t="s">
        <v>51</v>
      </c>
      <c r="AT86" s="50">
        <v>0</v>
      </c>
      <c r="AU86" s="18">
        <v>40</v>
      </c>
      <c r="AV86" s="18">
        <v>0</v>
      </c>
      <c r="AW86" s="18">
        <v>0</v>
      </c>
      <c r="AX86" s="18">
        <v>0</v>
      </c>
      <c r="AY86" s="54">
        <f t="shared" si="1"/>
        <v>40</v>
      </c>
      <c r="AZ86" t="s">
        <v>52</v>
      </c>
      <c r="BA86" s="38">
        <v>85.424999999999997</v>
      </c>
    </row>
    <row r="87" spans="1:53" x14ac:dyDescent="0.25">
      <c r="A87" s="39" t="s">
        <v>46</v>
      </c>
      <c r="B87" t="s">
        <v>448</v>
      </c>
      <c r="C87" t="s">
        <v>449</v>
      </c>
      <c r="D87" t="s">
        <v>450</v>
      </c>
      <c r="E87">
        <v>45</v>
      </c>
      <c r="F87" t="s">
        <v>942</v>
      </c>
      <c r="G87" t="s">
        <v>943</v>
      </c>
      <c r="H87" t="s">
        <v>944</v>
      </c>
      <c r="I87" t="s">
        <v>950</v>
      </c>
      <c r="J87" t="s">
        <v>946</v>
      </c>
      <c r="K87" t="s">
        <v>1005</v>
      </c>
      <c r="L87" s="11">
        <v>17.5</v>
      </c>
      <c r="M87" s="11">
        <v>18.329999999999998</v>
      </c>
      <c r="N87" s="11">
        <v>39.520000000000003</v>
      </c>
      <c r="O87" s="11">
        <v>7</v>
      </c>
      <c r="P87" s="50">
        <v>82.35</v>
      </c>
      <c r="Q87" s="11">
        <v>0</v>
      </c>
      <c r="R87" s="11">
        <v>0</v>
      </c>
      <c r="S87" s="11">
        <v>0</v>
      </c>
      <c r="T87" s="50">
        <v>0</v>
      </c>
      <c r="U87" s="11">
        <v>0</v>
      </c>
      <c r="V87" s="11">
        <v>0</v>
      </c>
      <c r="W87" s="11">
        <v>0</v>
      </c>
      <c r="X87" s="11">
        <v>0</v>
      </c>
      <c r="Y87" s="50">
        <v>0</v>
      </c>
      <c r="Z87">
        <v>0</v>
      </c>
      <c r="AA87">
        <v>0</v>
      </c>
      <c r="AB87" s="52">
        <v>0</v>
      </c>
      <c r="AC87">
        <v>0</v>
      </c>
      <c r="AD87">
        <v>0</v>
      </c>
      <c r="AE87">
        <v>0</v>
      </c>
      <c r="AF87">
        <v>0</v>
      </c>
      <c r="AG87" s="50">
        <v>0</v>
      </c>
      <c r="AH87" s="11">
        <v>0</v>
      </c>
      <c r="AI87" s="11">
        <v>45.588235294117652</v>
      </c>
      <c r="AJ87" s="11">
        <v>17.647058823529413</v>
      </c>
      <c r="AK87" s="11">
        <v>23.529411764705877</v>
      </c>
      <c r="AL87" s="50">
        <v>86.764705882352942</v>
      </c>
      <c r="AM87">
        <v>50</v>
      </c>
      <c r="AN87">
        <v>17.329999999999998</v>
      </c>
      <c r="AO87">
        <v>25.57</v>
      </c>
      <c r="AP87" s="50">
        <v>92.9</v>
      </c>
      <c r="AQ87" s="11" t="s">
        <v>51</v>
      </c>
      <c r="AR87" s="11" t="s">
        <v>51</v>
      </c>
      <c r="AS87" s="11" t="s">
        <v>51</v>
      </c>
      <c r="AT87" s="50">
        <v>0</v>
      </c>
      <c r="AU87" s="18">
        <v>25.75</v>
      </c>
      <c r="AV87" s="18">
        <v>6.25</v>
      </c>
      <c r="AW87" s="18">
        <v>0</v>
      </c>
      <c r="AX87" s="18">
        <v>8</v>
      </c>
      <c r="AY87" s="54">
        <f t="shared" si="1"/>
        <v>40</v>
      </c>
      <c r="AZ87" t="s">
        <v>52</v>
      </c>
      <c r="BA87" s="38">
        <v>85.149797794117646</v>
      </c>
    </row>
    <row r="88" spans="1:53" x14ac:dyDescent="0.25">
      <c r="A88" s="39" t="s">
        <v>46</v>
      </c>
      <c r="B88" t="s">
        <v>452</v>
      </c>
      <c r="C88" t="s">
        <v>453</v>
      </c>
      <c r="D88" t="s">
        <v>454</v>
      </c>
      <c r="E88">
        <v>44</v>
      </c>
      <c r="F88" t="s">
        <v>971</v>
      </c>
      <c r="G88" t="s">
        <v>943</v>
      </c>
      <c r="H88" t="s">
        <v>944</v>
      </c>
      <c r="I88" t="s">
        <v>950</v>
      </c>
      <c r="J88" t="s">
        <v>946</v>
      </c>
      <c r="K88" t="s">
        <v>956</v>
      </c>
      <c r="L88" s="11">
        <v>20</v>
      </c>
      <c r="M88" s="11">
        <v>20</v>
      </c>
      <c r="N88" s="11">
        <v>41.36</v>
      </c>
      <c r="O88" s="11">
        <v>5.5</v>
      </c>
      <c r="P88" s="50">
        <v>86.86</v>
      </c>
      <c r="Q88" s="11">
        <v>0</v>
      </c>
      <c r="R88" s="11">
        <v>0</v>
      </c>
      <c r="S88" s="11">
        <v>0</v>
      </c>
      <c r="T88" s="50">
        <v>0</v>
      </c>
      <c r="U88" s="11">
        <v>0</v>
      </c>
      <c r="V88" s="11">
        <v>0</v>
      </c>
      <c r="W88" s="11">
        <v>0</v>
      </c>
      <c r="X88" s="11">
        <v>0</v>
      </c>
      <c r="Y88" s="50">
        <v>0</v>
      </c>
      <c r="Z88">
        <v>0</v>
      </c>
      <c r="AA88">
        <v>0</v>
      </c>
      <c r="AB88" s="52">
        <v>0</v>
      </c>
      <c r="AC88">
        <v>0</v>
      </c>
      <c r="AD88">
        <v>0</v>
      </c>
      <c r="AE88">
        <v>0</v>
      </c>
      <c r="AF88">
        <v>0</v>
      </c>
      <c r="AG88" s="50">
        <v>0</v>
      </c>
      <c r="AH88">
        <v>0</v>
      </c>
      <c r="AI88">
        <v>0</v>
      </c>
      <c r="AJ88">
        <v>0</v>
      </c>
      <c r="AK88">
        <v>0</v>
      </c>
      <c r="AL88" s="50">
        <v>0</v>
      </c>
      <c r="AM88">
        <v>50</v>
      </c>
      <c r="AN88">
        <v>0</v>
      </c>
      <c r="AO88" s="11">
        <v>36.66375</v>
      </c>
      <c r="AP88" s="50">
        <v>86.663749999999993</v>
      </c>
      <c r="AQ88" s="11" t="s">
        <v>51</v>
      </c>
      <c r="AR88" s="11" t="s">
        <v>51</v>
      </c>
      <c r="AS88" s="11" t="s">
        <v>51</v>
      </c>
      <c r="AT88" s="50">
        <v>0</v>
      </c>
      <c r="AU88" s="18">
        <v>35</v>
      </c>
      <c r="AV88" s="18">
        <v>0</v>
      </c>
      <c r="AW88" s="18">
        <v>0</v>
      </c>
      <c r="AX88" s="18">
        <v>5</v>
      </c>
      <c r="AY88" s="54">
        <f t="shared" si="1"/>
        <v>40</v>
      </c>
      <c r="AZ88" t="s">
        <v>52</v>
      </c>
      <c r="BA88" s="38">
        <v>86.83546874999999</v>
      </c>
    </row>
    <row r="89" spans="1:53" x14ac:dyDescent="0.25">
      <c r="A89" s="39" t="s">
        <v>46</v>
      </c>
      <c r="B89" t="s">
        <v>456</v>
      </c>
      <c r="C89" t="s">
        <v>457</v>
      </c>
      <c r="D89" t="s">
        <v>458</v>
      </c>
      <c r="E89">
        <v>55</v>
      </c>
      <c r="F89" t="s">
        <v>972</v>
      </c>
      <c r="G89" t="s">
        <v>949</v>
      </c>
      <c r="H89" t="s">
        <v>944</v>
      </c>
      <c r="I89" t="s">
        <v>945</v>
      </c>
      <c r="J89" t="s">
        <v>955</v>
      </c>
      <c r="K89" t="s">
        <v>986</v>
      </c>
      <c r="L89" s="11">
        <v>0</v>
      </c>
      <c r="M89" s="11">
        <v>0</v>
      </c>
      <c r="N89" s="11">
        <v>89.2</v>
      </c>
      <c r="O89" s="11">
        <v>0</v>
      </c>
      <c r="P89" s="50">
        <v>89.2</v>
      </c>
      <c r="Q89" s="11">
        <v>0</v>
      </c>
      <c r="R89" s="11">
        <v>0</v>
      </c>
      <c r="S89" s="11">
        <v>0</v>
      </c>
      <c r="T89" s="50">
        <v>0</v>
      </c>
      <c r="U89" s="11">
        <v>0</v>
      </c>
      <c r="V89" s="11">
        <v>0</v>
      </c>
      <c r="W89" s="11">
        <v>0</v>
      </c>
      <c r="X89" s="11">
        <v>0</v>
      </c>
      <c r="Y89" s="50">
        <v>0</v>
      </c>
      <c r="Z89">
        <v>0</v>
      </c>
      <c r="AA89">
        <v>0</v>
      </c>
      <c r="AB89" s="52">
        <v>0</v>
      </c>
      <c r="AC89">
        <v>0</v>
      </c>
      <c r="AD89">
        <v>0</v>
      </c>
      <c r="AE89">
        <v>0</v>
      </c>
      <c r="AF89">
        <v>0</v>
      </c>
      <c r="AG89" s="50">
        <v>0</v>
      </c>
      <c r="AH89">
        <v>0</v>
      </c>
      <c r="AI89">
        <v>0</v>
      </c>
      <c r="AJ89">
        <v>0</v>
      </c>
      <c r="AK89">
        <v>0</v>
      </c>
      <c r="AL89" s="50">
        <v>0</v>
      </c>
      <c r="AM89">
        <v>0</v>
      </c>
      <c r="AN89">
        <v>0</v>
      </c>
      <c r="AO89">
        <v>0</v>
      </c>
      <c r="AP89" s="50">
        <v>0</v>
      </c>
      <c r="AQ89" s="11" t="s">
        <v>51</v>
      </c>
      <c r="AR89" s="11" t="s">
        <v>51</v>
      </c>
      <c r="AS89" s="11" t="s">
        <v>51</v>
      </c>
      <c r="AT89" s="50">
        <v>0</v>
      </c>
      <c r="AU89" s="18">
        <v>7</v>
      </c>
      <c r="AV89" s="18">
        <v>0</v>
      </c>
      <c r="AW89" s="18">
        <v>0</v>
      </c>
      <c r="AX89" s="18">
        <v>0</v>
      </c>
      <c r="AY89" s="54">
        <f t="shared" si="1"/>
        <v>7</v>
      </c>
      <c r="AZ89" t="s">
        <v>52</v>
      </c>
      <c r="BA89" s="38">
        <v>89.2</v>
      </c>
    </row>
    <row r="90" spans="1:53" x14ac:dyDescent="0.25">
      <c r="A90" s="39" t="s">
        <v>46</v>
      </c>
      <c r="B90" t="s">
        <v>463</v>
      </c>
      <c r="C90" t="s">
        <v>464</v>
      </c>
      <c r="D90" t="s">
        <v>465</v>
      </c>
      <c r="E90">
        <v>47</v>
      </c>
      <c r="F90" t="s">
        <v>993</v>
      </c>
      <c r="G90" t="s">
        <v>943</v>
      </c>
      <c r="H90" t="s">
        <v>944</v>
      </c>
      <c r="I90" t="s">
        <v>950</v>
      </c>
      <c r="J90" t="s">
        <v>946</v>
      </c>
      <c r="K90" t="s">
        <v>970</v>
      </c>
      <c r="L90" s="11">
        <v>0</v>
      </c>
      <c r="M90" s="11">
        <v>0</v>
      </c>
      <c r="N90" s="11">
        <v>0</v>
      </c>
      <c r="O90" s="11">
        <v>0</v>
      </c>
      <c r="P90" s="50">
        <v>0</v>
      </c>
      <c r="Q90" s="11">
        <v>0</v>
      </c>
      <c r="R90" s="11">
        <v>0</v>
      </c>
      <c r="S90" s="11">
        <v>0</v>
      </c>
      <c r="T90" s="50">
        <v>0</v>
      </c>
      <c r="U90" s="11">
        <v>0</v>
      </c>
      <c r="V90" s="11">
        <v>0</v>
      </c>
      <c r="W90" s="11">
        <v>0</v>
      </c>
      <c r="X90" s="11">
        <v>0</v>
      </c>
      <c r="Y90" s="50">
        <v>0</v>
      </c>
      <c r="Z90">
        <v>0</v>
      </c>
      <c r="AA90">
        <v>0</v>
      </c>
      <c r="AB90" s="52">
        <v>0</v>
      </c>
      <c r="AC90">
        <v>4.5</v>
      </c>
      <c r="AD90">
        <v>20</v>
      </c>
      <c r="AE90">
        <v>44.97</v>
      </c>
      <c r="AF90">
        <v>20</v>
      </c>
      <c r="AG90" s="50">
        <v>89.47</v>
      </c>
      <c r="AH90">
        <v>0</v>
      </c>
      <c r="AI90">
        <v>0</v>
      </c>
      <c r="AJ90">
        <v>0</v>
      </c>
      <c r="AK90">
        <v>0</v>
      </c>
      <c r="AL90" s="50">
        <v>0</v>
      </c>
      <c r="AM90">
        <v>0</v>
      </c>
      <c r="AN90">
        <v>0</v>
      </c>
      <c r="AO90">
        <v>0</v>
      </c>
      <c r="AP90" s="50">
        <v>0</v>
      </c>
      <c r="AQ90" s="11" t="s">
        <v>51</v>
      </c>
      <c r="AR90" s="11" t="s">
        <v>51</v>
      </c>
      <c r="AS90" s="11" t="s">
        <v>51</v>
      </c>
      <c r="AT90" s="50">
        <v>0</v>
      </c>
      <c r="AU90" s="18">
        <v>37.75</v>
      </c>
      <c r="AV90" s="18">
        <v>0</v>
      </c>
      <c r="AW90" s="18">
        <v>0</v>
      </c>
      <c r="AX90" s="18">
        <v>0</v>
      </c>
      <c r="AY90" s="54">
        <f t="shared" si="1"/>
        <v>37.75</v>
      </c>
      <c r="AZ90" t="s">
        <v>52</v>
      </c>
      <c r="BA90" s="38">
        <v>89.47</v>
      </c>
    </row>
    <row r="91" spans="1:53" x14ac:dyDescent="0.25">
      <c r="A91" s="39" t="s">
        <v>46</v>
      </c>
      <c r="B91" t="s">
        <v>467</v>
      </c>
      <c r="C91" t="s">
        <v>464</v>
      </c>
      <c r="D91" t="s">
        <v>468</v>
      </c>
      <c r="E91">
        <v>50</v>
      </c>
      <c r="F91" t="s">
        <v>971</v>
      </c>
      <c r="G91" t="s">
        <v>943</v>
      </c>
      <c r="H91" t="s">
        <v>944</v>
      </c>
      <c r="I91" t="s">
        <v>950</v>
      </c>
      <c r="J91" t="s">
        <v>955</v>
      </c>
      <c r="K91" t="s">
        <v>956</v>
      </c>
      <c r="L91" s="11">
        <v>20</v>
      </c>
      <c r="M91" s="11">
        <v>19.329999999999998</v>
      </c>
      <c r="N91" s="11">
        <v>42.02</v>
      </c>
      <c r="O91" s="11">
        <v>4</v>
      </c>
      <c r="P91" s="50">
        <v>85.35</v>
      </c>
      <c r="Q91" s="11">
        <v>0</v>
      </c>
      <c r="R91" s="11">
        <v>0</v>
      </c>
      <c r="S91" s="11">
        <v>0</v>
      </c>
      <c r="T91" s="50">
        <v>0</v>
      </c>
      <c r="U91" s="11">
        <v>0</v>
      </c>
      <c r="V91" s="11">
        <v>0</v>
      </c>
      <c r="W91" s="11">
        <v>0</v>
      </c>
      <c r="X91" s="11">
        <v>0</v>
      </c>
      <c r="Y91" s="50">
        <v>0</v>
      </c>
      <c r="Z91">
        <v>0</v>
      </c>
      <c r="AA91">
        <v>0</v>
      </c>
      <c r="AB91" s="52">
        <v>0</v>
      </c>
      <c r="AC91">
        <v>0</v>
      </c>
      <c r="AD91">
        <v>0</v>
      </c>
      <c r="AE91">
        <v>0</v>
      </c>
      <c r="AF91">
        <v>0</v>
      </c>
      <c r="AG91" s="50">
        <v>0</v>
      </c>
      <c r="AH91">
        <v>0</v>
      </c>
      <c r="AI91">
        <v>0</v>
      </c>
      <c r="AJ91">
        <v>0</v>
      </c>
      <c r="AK91">
        <v>0</v>
      </c>
      <c r="AL91" s="50">
        <v>0</v>
      </c>
      <c r="AM91">
        <v>0</v>
      </c>
      <c r="AN91">
        <v>0</v>
      </c>
      <c r="AO91">
        <v>0</v>
      </c>
      <c r="AP91" s="50">
        <v>0</v>
      </c>
      <c r="AQ91" s="11" t="s">
        <v>51</v>
      </c>
      <c r="AR91" s="11" t="s">
        <v>51</v>
      </c>
      <c r="AS91" s="11" t="s">
        <v>51</v>
      </c>
      <c r="AT91" s="50">
        <v>0</v>
      </c>
      <c r="AU91" s="18">
        <v>4</v>
      </c>
      <c r="AV91" s="18">
        <v>0</v>
      </c>
      <c r="AW91" s="18">
        <v>0</v>
      </c>
      <c r="AX91" s="18">
        <v>0</v>
      </c>
      <c r="AY91" s="54">
        <f t="shared" si="1"/>
        <v>4</v>
      </c>
      <c r="AZ91" t="s">
        <v>52</v>
      </c>
      <c r="BA91" s="38">
        <v>85.35</v>
      </c>
    </row>
    <row r="92" spans="1:53" x14ac:dyDescent="0.25">
      <c r="A92" s="39" t="s">
        <v>46</v>
      </c>
      <c r="B92" t="s">
        <v>470</v>
      </c>
      <c r="C92" t="s">
        <v>471</v>
      </c>
      <c r="D92" t="s">
        <v>472</v>
      </c>
      <c r="E92">
        <v>52</v>
      </c>
      <c r="F92" t="s">
        <v>1010</v>
      </c>
      <c r="G92" t="s">
        <v>943</v>
      </c>
      <c r="H92" t="s">
        <v>944</v>
      </c>
      <c r="I92" t="s">
        <v>950</v>
      </c>
      <c r="J92" t="s">
        <v>946</v>
      </c>
      <c r="K92" t="s">
        <v>984</v>
      </c>
      <c r="L92" s="11">
        <v>20</v>
      </c>
      <c r="M92" s="11">
        <v>20</v>
      </c>
      <c r="N92" s="11">
        <v>48.23</v>
      </c>
      <c r="O92" s="11">
        <v>3</v>
      </c>
      <c r="P92" s="50">
        <v>91.22999999999999</v>
      </c>
      <c r="Q92" s="11">
        <v>0</v>
      </c>
      <c r="R92" s="11">
        <v>0</v>
      </c>
      <c r="S92" s="11">
        <v>0</v>
      </c>
      <c r="T92" s="50">
        <v>0</v>
      </c>
      <c r="U92" s="11">
        <v>0</v>
      </c>
      <c r="V92" s="11">
        <v>0</v>
      </c>
      <c r="W92" s="11">
        <v>0</v>
      </c>
      <c r="X92" s="11">
        <v>0</v>
      </c>
      <c r="Y92" s="50">
        <v>0</v>
      </c>
      <c r="Z92">
        <v>0</v>
      </c>
      <c r="AA92">
        <v>0</v>
      </c>
      <c r="AB92" s="52">
        <v>0</v>
      </c>
      <c r="AC92">
        <v>0</v>
      </c>
      <c r="AD92">
        <v>0</v>
      </c>
      <c r="AE92">
        <v>0</v>
      </c>
      <c r="AF92">
        <v>0</v>
      </c>
      <c r="AG92" s="50">
        <v>0</v>
      </c>
      <c r="AH92">
        <v>0</v>
      </c>
      <c r="AI92">
        <v>0</v>
      </c>
      <c r="AJ92">
        <v>0</v>
      </c>
      <c r="AK92">
        <v>0</v>
      </c>
      <c r="AL92" s="50">
        <v>0</v>
      </c>
      <c r="AM92">
        <v>50</v>
      </c>
      <c r="AN92">
        <v>20</v>
      </c>
      <c r="AO92">
        <v>21.8</v>
      </c>
      <c r="AP92" s="50">
        <v>91.8</v>
      </c>
      <c r="AQ92" s="11" t="s">
        <v>51</v>
      </c>
      <c r="AR92" s="11" t="s">
        <v>51</v>
      </c>
      <c r="AS92" s="11" t="s">
        <v>51</v>
      </c>
      <c r="AT92" s="50">
        <v>0</v>
      </c>
      <c r="AU92" s="18">
        <v>32</v>
      </c>
      <c r="AV92" s="18">
        <v>0</v>
      </c>
      <c r="AW92" s="18">
        <v>0</v>
      </c>
      <c r="AX92" s="18">
        <v>8</v>
      </c>
      <c r="AY92" s="54">
        <f t="shared" si="1"/>
        <v>40</v>
      </c>
      <c r="AZ92" t="s">
        <v>52</v>
      </c>
      <c r="BA92" s="38">
        <v>91.343999999999994</v>
      </c>
    </row>
    <row r="93" spans="1:53" x14ac:dyDescent="0.25">
      <c r="A93" s="39" t="s">
        <v>46</v>
      </c>
      <c r="B93" t="s">
        <v>474</v>
      </c>
      <c r="C93" t="s">
        <v>475</v>
      </c>
      <c r="D93" t="s">
        <v>476</v>
      </c>
      <c r="E93">
        <v>53</v>
      </c>
      <c r="F93" t="s">
        <v>1011</v>
      </c>
      <c r="G93" t="s">
        <v>943</v>
      </c>
      <c r="H93" t="s">
        <v>944</v>
      </c>
      <c r="I93" t="s">
        <v>950</v>
      </c>
      <c r="J93" t="s">
        <v>946</v>
      </c>
      <c r="K93" t="s">
        <v>958</v>
      </c>
      <c r="L93" s="11">
        <v>20</v>
      </c>
      <c r="M93" s="11">
        <v>20</v>
      </c>
      <c r="N93" s="11">
        <v>43.76</v>
      </c>
      <c r="O93" s="11">
        <v>3</v>
      </c>
      <c r="P93" s="50">
        <v>86.759999999999991</v>
      </c>
      <c r="Q93" s="11">
        <v>0</v>
      </c>
      <c r="R93" s="11">
        <v>0</v>
      </c>
      <c r="S93" s="11">
        <v>0</v>
      </c>
      <c r="T93" s="50">
        <v>0</v>
      </c>
      <c r="U93" s="11">
        <v>0</v>
      </c>
      <c r="V93" s="11">
        <v>0</v>
      </c>
      <c r="W93" s="11">
        <v>0</v>
      </c>
      <c r="X93" s="11">
        <v>0</v>
      </c>
      <c r="Y93" s="50">
        <v>0</v>
      </c>
      <c r="Z93">
        <v>0</v>
      </c>
      <c r="AA93">
        <v>0</v>
      </c>
      <c r="AB93" s="52">
        <v>0</v>
      </c>
      <c r="AC93">
        <v>0</v>
      </c>
      <c r="AD93">
        <v>0</v>
      </c>
      <c r="AE93">
        <v>0</v>
      </c>
      <c r="AF93">
        <v>0</v>
      </c>
      <c r="AG93" s="50">
        <v>0</v>
      </c>
      <c r="AH93">
        <v>0</v>
      </c>
      <c r="AI93">
        <v>0</v>
      </c>
      <c r="AJ93">
        <v>0</v>
      </c>
      <c r="AK93">
        <v>0</v>
      </c>
      <c r="AL93" s="50">
        <v>0</v>
      </c>
      <c r="AM93">
        <v>0</v>
      </c>
      <c r="AN93">
        <v>0</v>
      </c>
      <c r="AO93">
        <v>0</v>
      </c>
      <c r="AP93" s="50">
        <v>0</v>
      </c>
      <c r="AQ93" s="11" t="s">
        <v>51</v>
      </c>
      <c r="AR93" s="11" t="s">
        <v>51</v>
      </c>
      <c r="AS93" s="11" t="s">
        <v>51</v>
      </c>
      <c r="AT93" s="50">
        <v>0</v>
      </c>
      <c r="AU93" s="18">
        <v>4</v>
      </c>
      <c r="AV93" s="18">
        <v>0</v>
      </c>
      <c r="AW93" s="18">
        <v>0</v>
      </c>
      <c r="AX93" s="18">
        <v>0</v>
      </c>
      <c r="AY93" s="54">
        <f t="shared" si="1"/>
        <v>4</v>
      </c>
      <c r="AZ93" t="s">
        <v>52</v>
      </c>
      <c r="BA93" s="38">
        <v>86.759999999999991</v>
      </c>
    </row>
    <row r="94" spans="1:53" x14ac:dyDescent="0.25">
      <c r="A94" s="39" t="s">
        <v>46</v>
      </c>
      <c r="B94" t="s">
        <v>478</v>
      </c>
      <c r="C94" t="s">
        <v>479</v>
      </c>
      <c r="D94" t="s">
        <v>480</v>
      </c>
      <c r="E94">
        <v>34</v>
      </c>
      <c r="F94" t="s">
        <v>957</v>
      </c>
      <c r="G94" t="s">
        <v>949</v>
      </c>
      <c r="H94" t="s">
        <v>944</v>
      </c>
      <c r="I94" t="s">
        <v>950</v>
      </c>
      <c r="J94" t="s">
        <v>946</v>
      </c>
      <c r="K94" t="s">
        <v>958</v>
      </c>
      <c r="L94" s="11">
        <v>20</v>
      </c>
      <c r="M94" s="11">
        <v>6.6700000000000008</v>
      </c>
      <c r="N94" s="11">
        <v>41.95</v>
      </c>
      <c r="O94" s="11">
        <v>2.5</v>
      </c>
      <c r="P94" s="50">
        <v>71.12</v>
      </c>
      <c r="Q94" s="11">
        <v>0</v>
      </c>
      <c r="R94" s="11">
        <v>0</v>
      </c>
      <c r="S94" s="11">
        <v>0</v>
      </c>
      <c r="T94" s="50">
        <v>0</v>
      </c>
      <c r="U94" s="11">
        <v>0</v>
      </c>
      <c r="V94" s="11">
        <v>0</v>
      </c>
      <c r="W94" s="11">
        <v>0</v>
      </c>
      <c r="X94" s="11">
        <v>0</v>
      </c>
      <c r="Y94" s="50">
        <v>0</v>
      </c>
      <c r="Z94">
        <v>0</v>
      </c>
      <c r="AA94">
        <v>0</v>
      </c>
      <c r="AB94" s="52">
        <v>0</v>
      </c>
      <c r="AC94">
        <v>0</v>
      </c>
      <c r="AD94">
        <v>0</v>
      </c>
      <c r="AE94">
        <v>0</v>
      </c>
      <c r="AF94">
        <v>0</v>
      </c>
      <c r="AG94" s="50">
        <v>0</v>
      </c>
      <c r="AH94">
        <v>0</v>
      </c>
      <c r="AI94">
        <v>0</v>
      </c>
      <c r="AJ94">
        <v>0</v>
      </c>
      <c r="AK94">
        <v>0</v>
      </c>
      <c r="AL94" s="50">
        <v>0</v>
      </c>
      <c r="AM94">
        <v>0</v>
      </c>
      <c r="AN94">
        <v>0</v>
      </c>
      <c r="AO94">
        <v>0</v>
      </c>
      <c r="AP94" s="50">
        <v>0</v>
      </c>
      <c r="AQ94" s="11">
        <v>20</v>
      </c>
      <c r="AR94" s="11">
        <v>30</v>
      </c>
      <c r="AS94" s="11">
        <v>43.17</v>
      </c>
      <c r="AT94" s="50">
        <v>93.17</v>
      </c>
      <c r="AU94" s="18">
        <v>37</v>
      </c>
      <c r="AV94" s="18">
        <v>0</v>
      </c>
      <c r="AW94" s="18">
        <v>3</v>
      </c>
      <c r="AX94" s="18">
        <v>0</v>
      </c>
      <c r="AY94" s="54">
        <f t="shared" si="1"/>
        <v>40</v>
      </c>
      <c r="AZ94" t="s">
        <v>52</v>
      </c>
      <c r="BA94" s="38">
        <v>72.773749999999993</v>
      </c>
    </row>
    <row r="95" spans="1:53" x14ac:dyDescent="0.25">
      <c r="A95" s="39" t="s">
        <v>46</v>
      </c>
      <c r="B95" t="s">
        <v>482</v>
      </c>
      <c r="C95" t="s">
        <v>483</v>
      </c>
      <c r="D95" t="s">
        <v>484</v>
      </c>
      <c r="E95">
        <v>28</v>
      </c>
      <c r="F95" t="s">
        <v>1012</v>
      </c>
      <c r="G95" t="s">
        <v>943</v>
      </c>
      <c r="H95" t="s">
        <v>944</v>
      </c>
      <c r="I95" t="s">
        <v>950</v>
      </c>
      <c r="J95" t="s">
        <v>955</v>
      </c>
      <c r="K95" t="s">
        <v>951</v>
      </c>
      <c r="L95" s="11">
        <v>20</v>
      </c>
      <c r="M95" s="11">
        <v>20</v>
      </c>
      <c r="N95" s="11">
        <v>45.13</v>
      </c>
      <c r="O95" s="11">
        <v>5</v>
      </c>
      <c r="P95" s="50">
        <v>90.13</v>
      </c>
      <c r="Q95" s="11">
        <v>0</v>
      </c>
      <c r="R95" s="11">
        <v>0</v>
      </c>
      <c r="S95" s="11">
        <v>0</v>
      </c>
      <c r="T95" s="50">
        <v>0</v>
      </c>
      <c r="U95" s="11">
        <v>0</v>
      </c>
      <c r="V95" s="11">
        <v>0</v>
      </c>
      <c r="W95" s="11">
        <v>0</v>
      </c>
      <c r="X95" s="11">
        <v>0</v>
      </c>
      <c r="Y95" s="50">
        <v>0</v>
      </c>
      <c r="Z95">
        <v>0</v>
      </c>
      <c r="AA95">
        <v>0</v>
      </c>
      <c r="AB95" s="52">
        <v>0</v>
      </c>
      <c r="AC95">
        <v>0</v>
      </c>
      <c r="AD95">
        <v>0</v>
      </c>
      <c r="AE95">
        <v>0</v>
      </c>
      <c r="AF95">
        <v>0</v>
      </c>
      <c r="AG95" s="50">
        <v>0</v>
      </c>
      <c r="AH95">
        <v>0</v>
      </c>
      <c r="AI95">
        <v>0</v>
      </c>
      <c r="AJ95">
        <v>0</v>
      </c>
      <c r="AK95">
        <v>0</v>
      </c>
      <c r="AL95" s="50">
        <v>0</v>
      </c>
      <c r="AM95">
        <v>0</v>
      </c>
      <c r="AN95">
        <v>0</v>
      </c>
      <c r="AO95">
        <v>0</v>
      </c>
      <c r="AP95" s="50">
        <v>0</v>
      </c>
      <c r="AQ95" s="11" t="s">
        <v>51</v>
      </c>
      <c r="AR95" s="11" t="s">
        <v>51</v>
      </c>
      <c r="AS95" s="11" t="s">
        <v>51</v>
      </c>
      <c r="AT95" s="50">
        <v>0</v>
      </c>
      <c r="AU95" s="18">
        <v>8</v>
      </c>
      <c r="AV95" s="18">
        <v>0</v>
      </c>
      <c r="AW95" s="18">
        <v>0</v>
      </c>
      <c r="AX95" s="18">
        <v>0</v>
      </c>
      <c r="AY95" s="54">
        <f t="shared" si="1"/>
        <v>8</v>
      </c>
      <c r="AZ95" t="s">
        <v>52</v>
      </c>
      <c r="BA95" s="38">
        <v>90.13</v>
      </c>
    </row>
    <row r="96" spans="1:53" x14ac:dyDescent="0.25">
      <c r="A96" s="39" t="s">
        <v>46</v>
      </c>
      <c r="B96" t="s">
        <v>486</v>
      </c>
      <c r="C96" t="s">
        <v>487</v>
      </c>
      <c r="D96" t="s">
        <v>488</v>
      </c>
      <c r="E96">
        <v>36</v>
      </c>
      <c r="F96" t="s">
        <v>976</v>
      </c>
      <c r="G96" t="s">
        <v>949</v>
      </c>
      <c r="H96" t="s">
        <v>944</v>
      </c>
      <c r="I96" t="s">
        <v>950</v>
      </c>
      <c r="J96" t="s">
        <v>946</v>
      </c>
      <c r="K96" t="s">
        <v>978</v>
      </c>
      <c r="L96" s="11">
        <v>0</v>
      </c>
      <c r="M96" s="11">
        <v>0</v>
      </c>
      <c r="N96" s="11">
        <v>0</v>
      </c>
      <c r="O96" s="11">
        <v>0</v>
      </c>
      <c r="P96" s="50">
        <v>0</v>
      </c>
      <c r="Q96" s="11">
        <v>0</v>
      </c>
      <c r="R96" s="11">
        <v>0</v>
      </c>
      <c r="S96" s="11">
        <v>0</v>
      </c>
      <c r="T96" s="50">
        <v>0</v>
      </c>
      <c r="U96" s="11">
        <v>0</v>
      </c>
      <c r="V96" s="11">
        <v>0</v>
      </c>
      <c r="W96" s="11">
        <v>0</v>
      </c>
      <c r="X96" s="11">
        <v>0</v>
      </c>
      <c r="Y96" s="50">
        <v>0</v>
      </c>
      <c r="Z96">
        <v>0</v>
      </c>
      <c r="AA96">
        <v>0</v>
      </c>
      <c r="AB96" s="52">
        <v>0</v>
      </c>
      <c r="AC96" s="11">
        <v>6.25</v>
      </c>
      <c r="AD96" s="11">
        <v>0</v>
      </c>
      <c r="AE96" s="11">
        <v>56.625</v>
      </c>
      <c r="AF96" s="11">
        <v>23.987500000000004</v>
      </c>
      <c r="AG96" s="50">
        <v>86.862500000000011</v>
      </c>
      <c r="AH96">
        <v>0</v>
      </c>
      <c r="AI96">
        <v>0</v>
      </c>
      <c r="AJ96">
        <v>0</v>
      </c>
      <c r="AK96">
        <v>0</v>
      </c>
      <c r="AL96" s="50">
        <v>0</v>
      </c>
      <c r="AM96">
        <v>0</v>
      </c>
      <c r="AN96">
        <v>0</v>
      </c>
      <c r="AO96">
        <v>0</v>
      </c>
      <c r="AP96" s="50">
        <v>0</v>
      </c>
      <c r="AQ96" s="11" t="s">
        <v>51</v>
      </c>
      <c r="AR96" s="11" t="s">
        <v>51</v>
      </c>
      <c r="AS96" s="11" t="s">
        <v>51</v>
      </c>
      <c r="AT96" s="50">
        <v>0</v>
      </c>
      <c r="AU96" s="18">
        <v>40</v>
      </c>
      <c r="AV96" s="18">
        <v>0</v>
      </c>
      <c r="AW96" s="18">
        <v>0</v>
      </c>
      <c r="AX96" s="18">
        <v>0</v>
      </c>
      <c r="AY96" s="54">
        <f t="shared" si="1"/>
        <v>40</v>
      </c>
      <c r="AZ96" t="s">
        <v>52</v>
      </c>
      <c r="BA96" s="38">
        <v>86.862500000000011</v>
      </c>
    </row>
    <row r="97" spans="1:53" x14ac:dyDescent="0.25">
      <c r="A97" s="39" t="s">
        <v>46</v>
      </c>
      <c r="B97" t="s">
        <v>490</v>
      </c>
      <c r="C97" t="s">
        <v>491</v>
      </c>
      <c r="D97" t="s">
        <v>492</v>
      </c>
      <c r="E97">
        <v>34</v>
      </c>
      <c r="F97" t="s">
        <v>948</v>
      </c>
      <c r="G97" t="s">
        <v>943</v>
      </c>
      <c r="H97" t="s">
        <v>944</v>
      </c>
      <c r="I97" t="s">
        <v>950</v>
      </c>
      <c r="J97" t="s">
        <v>946</v>
      </c>
      <c r="K97" t="s">
        <v>964</v>
      </c>
      <c r="L97" s="11">
        <v>0</v>
      </c>
      <c r="M97" s="11">
        <v>0</v>
      </c>
      <c r="N97" s="11">
        <v>0</v>
      </c>
      <c r="O97" s="11">
        <v>0</v>
      </c>
      <c r="P97" s="50">
        <v>0</v>
      </c>
      <c r="Q97" s="11">
        <v>0</v>
      </c>
      <c r="R97" s="11">
        <v>0</v>
      </c>
      <c r="S97" s="11">
        <v>0</v>
      </c>
      <c r="T97" s="50">
        <v>0</v>
      </c>
      <c r="U97" s="11">
        <v>0</v>
      </c>
      <c r="V97" s="11">
        <v>0</v>
      </c>
      <c r="W97" s="11">
        <v>0</v>
      </c>
      <c r="X97" s="11">
        <v>0</v>
      </c>
      <c r="Y97" s="50">
        <v>0</v>
      </c>
      <c r="Z97">
        <v>0</v>
      </c>
      <c r="AA97">
        <v>0</v>
      </c>
      <c r="AB97" s="52">
        <v>0</v>
      </c>
      <c r="AC97" s="11">
        <v>5.625</v>
      </c>
      <c r="AD97" s="11">
        <v>0</v>
      </c>
      <c r="AE97" s="11">
        <v>53.6</v>
      </c>
      <c r="AF97" s="11">
        <v>25</v>
      </c>
      <c r="AG97" s="50">
        <v>84.224999999999994</v>
      </c>
      <c r="AH97">
        <v>0</v>
      </c>
      <c r="AI97">
        <v>0</v>
      </c>
      <c r="AJ97">
        <v>0</v>
      </c>
      <c r="AK97">
        <v>0</v>
      </c>
      <c r="AL97" s="50">
        <v>0</v>
      </c>
      <c r="AM97">
        <v>0</v>
      </c>
      <c r="AN97">
        <v>0</v>
      </c>
      <c r="AO97">
        <v>0</v>
      </c>
      <c r="AP97" s="50">
        <v>0</v>
      </c>
      <c r="AQ97" s="11" t="s">
        <v>51</v>
      </c>
      <c r="AR97" s="11" t="s">
        <v>51</v>
      </c>
      <c r="AS97" s="11" t="s">
        <v>51</v>
      </c>
      <c r="AT97" s="50">
        <v>0</v>
      </c>
      <c r="AU97" s="18">
        <v>36.25</v>
      </c>
      <c r="AV97" s="18">
        <v>0</v>
      </c>
      <c r="AW97" s="18">
        <v>0</v>
      </c>
      <c r="AX97" s="18">
        <v>0</v>
      </c>
      <c r="AY97" s="54">
        <f t="shared" si="1"/>
        <v>36.25</v>
      </c>
      <c r="AZ97" t="s">
        <v>52</v>
      </c>
      <c r="BA97" s="38">
        <v>84.224999999999994</v>
      </c>
    </row>
    <row r="98" spans="1:53" x14ac:dyDescent="0.25">
      <c r="A98" s="39" t="s">
        <v>46</v>
      </c>
      <c r="B98" t="s">
        <v>494</v>
      </c>
      <c r="C98" t="s">
        <v>495</v>
      </c>
      <c r="D98" t="s">
        <v>496</v>
      </c>
      <c r="E98">
        <v>43</v>
      </c>
      <c r="F98" t="s">
        <v>991</v>
      </c>
      <c r="G98" t="s">
        <v>949</v>
      </c>
      <c r="H98" t="s">
        <v>944</v>
      </c>
      <c r="I98" t="s">
        <v>950</v>
      </c>
      <c r="J98" t="s">
        <v>946</v>
      </c>
      <c r="K98" t="s">
        <v>968</v>
      </c>
      <c r="L98" s="11">
        <v>19.670000000000002</v>
      </c>
      <c r="M98" s="11">
        <v>19.670000000000002</v>
      </c>
      <c r="N98" s="11">
        <v>46.72</v>
      </c>
      <c r="O98" s="11">
        <v>5.5</v>
      </c>
      <c r="P98" s="50">
        <v>91.56</v>
      </c>
      <c r="Q98" s="11">
        <v>0</v>
      </c>
      <c r="R98" s="11">
        <v>0</v>
      </c>
      <c r="S98" s="11">
        <v>0</v>
      </c>
      <c r="T98" s="50">
        <v>0</v>
      </c>
      <c r="U98" s="11">
        <v>0</v>
      </c>
      <c r="V98" s="11">
        <v>0</v>
      </c>
      <c r="W98" s="11">
        <v>0</v>
      </c>
      <c r="X98" s="11">
        <v>0</v>
      </c>
      <c r="Y98" s="50">
        <v>0</v>
      </c>
      <c r="Z98">
        <v>0</v>
      </c>
      <c r="AA98">
        <v>0</v>
      </c>
      <c r="AB98" s="52">
        <v>0</v>
      </c>
      <c r="AC98">
        <v>0</v>
      </c>
      <c r="AD98">
        <v>0</v>
      </c>
      <c r="AE98">
        <v>0</v>
      </c>
      <c r="AF98">
        <v>0</v>
      </c>
      <c r="AG98" s="50">
        <v>0</v>
      </c>
      <c r="AH98">
        <v>0</v>
      </c>
      <c r="AI98">
        <v>0</v>
      </c>
      <c r="AJ98">
        <v>0</v>
      </c>
      <c r="AK98">
        <v>0</v>
      </c>
      <c r="AL98" s="50">
        <v>0</v>
      </c>
      <c r="AM98">
        <v>0</v>
      </c>
      <c r="AN98">
        <v>0</v>
      </c>
      <c r="AO98">
        <v>0</v>
      </c>
      <c r="AP98" s="50">
        <v>0</v>
      </c>
      <c r="AQ98" s="11" t="s">
        <v>51</v>
      </c>
      <c r="AR98" s="11" t="s">
        <v>51</v>
      </c>
      <c r="AS98" s="11" t="s">
        <v>51</v>
      </c>
      <c r="AT98" s="50">
        <v>0</v>
      </c>
      <c r="AU98" s="18">
        <v>40</v>
      </c>
      <c r="AV98" s="18">
        <v>0</v>
      </c>
      <c r="AW98" s="18">
        <v>0</v>
      </c>
      <c r="AX98" s="18">
        <v>0</v>
      </c>
      <c r="AY98" s="54">
        <f t="shared" si="1"/>
        <v>40</v>
      </c>
      <c r="AZ98" t="s">
        <v>52</v>
      </c>
      <c r="BA98" s="38">
        <v>91.56</v>
      </c>
    </row>
    <row r="99" spans="1:53" x14ac:dyDescent="0.25">
      <c r="A99" s="39" t="s">
        <v>46</v>
      </c>
      <c r="B99" t="s">
        <v>502</v>
      </c>
      <c r="C99" t="s">
        <v>503</v>
      </c>
      <c r="D99" t="s">
        <v>504</v>
      </c>
      <c r="E99">
        <v>57</v>
      </c>
      <c r="F99" t="s">
        <v>994</v>
      </c>
      <c r="G99" t="s">
        <v>943</v>
      </c>
      <c r="H99" t="s">
        <v>944</v>
      </c>
      <c r="I99" t="s">
        <v>950</v>
      </c>
      <c r="J99" t="s">
        <v>955</v>
      </c>
      <c r="K99" t="s">
        <v>956</v>
      </c>
      <c r="L99" s="11">
        <v>0</v>
      </c>
      <c r="M99" s="11">
        <v>0</v>
      </c>
      <c r="N99" s="11">
        <v>67.283333333333346</v>
      </c>
      <c r="O99" s="11">
        <v>4.1666666666666661</v>
      </c>
      <c r="P99" s="50">
        <v>71.450000000000017</v>
      </c>
      <c r="Q99" s="11">
        <v>0</v>
      </c>
      <c r="R99" s="11">
        <v>0</v>
      </c>
      <c r="S99" s="11">
        <v>0</v>
      </c>
      <c r="T99" s="50">
        <v>0</v>
      </c>
      <c r="U99" s="11">
        <v>0</v>
      </c>
      <c r="V99" s="11">
        <v>0</v>
      </c>
      <c r="W99" s="11">
        <v>0</v>
      </c>
      <c r="X99" s="11">
        <v>0</v>
      </c>
      <c r="Y99" s="50">
        <v>0</v>
      </c>
      <c r="Z99">
        <v>0</v>
      </c>
      <c r="AA99">
        <v>0</v>
      </c>
      <c r="AB99" s="52">
        <v>0</v>
      </c>
      <c r="AC99">
        <v>0</v>
      </c>
      <c r="AD99">
        <v>0</v>
      </c>
      <c r="AE99">
        <v>0</v>
      </c>
      <c r="AF99">
        <v>0</v>
      </c>
      <c r="AG99" s="50">
        <v>0</v>
      </c>
      <c r="AH99">
        <v>0</v>
      </c>
      <c r="AI99">
        <v>0</v>
      </c>
      <c r="AJ99">
        <v>0</v>
      </c>
      <c r="AK99">
        <v>0</v>
      </c>
      <c r="AL99" s="50">
        <v>0</v>
      </c>
      <c r="AM99">
        <v>0</v>
      </c>
      <c r="AN99">
        <v>0</v>
      </c>
      <c r="AO99">
        <v>0</v>
      </c>
      <c r="AP99" s="50">
        <v>0</v>
      </c>
      <c r="AQ99" s="11" t="s">
        <v>51</v>
      </c>
      <c r="AR99" s="11" t="s">
        <v>51</v>
      </c>
      <c r="AS99" s="11" t="s">
        <v>51</v>
      </c>
      <c r="AT99" s="50">
        <v>0</v>
      </c>
      <c r="AU99" s="18">
        <v>6</v>
      </c>
      <c r="AV99" s="18">
        <v>0</v>
      </c>
      <c r="AW99" s="18">
        <v>0</v>
      </c>
      <c r="AX99" s="18">
        <v>0</v>
      </c>
      <c r="AY99" s="54">
        <f t="shared" si="1"/>
        <v>6</v>
      </c>
      <c r="AZ99" t="s">
        <v>52</v>
      </c>
      <c r="BA99" s="38">
        <v>71.450000000000017</v>
      </c>
    </row>
    <row r="100" spans="1:53" x14ac:dyDescent="0.25">
      <c r="A100" s="39" t="s">
        <v>46</v>
      </c>
      <c r="B100" t="s">
        <v>510</v>
      </c>
      <c r="C100" t="s">
        <v>511</v>
      </c>
      <c r="D100" t="s">
        <v>512</v>
      </c>
      <c r="E100">
        <v>27</v>
      </c>
      <c r="F100" t="s">
        <v>998</v>
      </c>
      <c r="G100" t="s">
        <v>949</v>
      </c>
      <c r="H100" t="s">
        <v>944</v>
      </c>
      <c r="I100" t="s">
        <v>977</v>
      </c>
      <c r="J100" t="s">
        <v>946</v>
      </c>
      <c r="K100" t="s">
        <v>978</v>
      </c>
      <c r="L100" s="11">
        <v>0</v>
      </c>
      <c r="M100" s="11">
        <v>0</v>
      </c>
      <c r="N100" s="11">
        <v>0</v>
      </c>
      <c r="O100" s="11">
        <v>0</v>
      </c>
      <c r="P100" s="50">
        <v>0</v>
      </c>
      <c r="Q100" s="11">
        <v>0</v>
      </c>
      <c r="R100" s="11">
        <v>0</v>
      </c>
      <c r="S100" s="11">
        <v>0</v>
      </c>
      <c r="T100" s="50">
        <v>0</v>
      </c>
      <c r="U100" s="11">
        <v>0</v>
      </c>
      <c r="V100" s="11">
        <v>0</v>
      </c>
      <c r="W100" s="11">
        <v>0</v>
      </c>
      <c r="X100" s="11">
        <v>0</v>
      </c>
      <c r="Y100" s="50">
        <v>0</v>
      </c>
      <c r="Z100">
        <v>0</v>
      </c>
      <c r="AA100">
        <v>0</v>
      </c>
      <c r="AB100" s="52">
        <v>0</v>
      </c>
      <c r="AC100">
        <v>5.5</v>
      </c>
      <c r="AD100">
        <v>20</v>
      </c>
      <c r="AE100">
        <v>45.23</v>
      </c>
      <c r="AF100">
        <v>20</v>
      </c>
      <c r="AG100" s="50">
        <v>90.72999999999999</v>
      </c>
      <c r="AH100">
        <v>0</v>
      </c>
      <c r="AI100">
        <v>0</v>
      </c>
      <c r="AJ100">
        <v>0</v>
      </c>
      <c r="AK100">
        <v>0</v>
      </c>
      <c r="AL100" s="50">
        <v>0</v>
      </c>
      <c r="AM100">
        <v>0</v>
      </c>
      <c r="AN100">
        <v>0</v>
      </c>
      <c r="AO100">
        <v>0</v>
      </c>
      <c r="AP100" s="50">
        <v>0</v>
      </c>
      <c r="AQ100" s="11" t="s">
        <v>51</v>
      </c>
      <c r="AR100" s="11" t="s">
        <v>51</v>
      </c>
      <c r="AS100" s="11" t="s">
        <v>51</v>
      </c>
      <c r="AT100" s="50">
        <v>0</v>
      </c>
      <c r="AU100" s="18">
        <v>40</v>
      </c>
      <c r="AV100" s="18">
        <v>0</v>
      </c>
      <c r="AW100" s="18">
        <v>0</v>
      </c>
      <c r="AX100" s="18">
        <v>0</v>
      </c>
      <c r="AY100" s="54">
        <f t="shared" si="1"/>
        <v>40</v>
      </c>
      <c r="AZ100" t="s">
        <v>52</v>
      </c>
      <c r="BA100" s="38">
        <v>90.72999999999999</v>
      </c>
    </row>
    <row r="101" spans="1:53" x14ac:dyDescent="0.25">
      <c r="A101" s="39" t="s">
        <v>46</v>
      </c>
      <c r="B101" t="s">
        <v>514</v>
      </c>
      <c r="C101" t="s">
        <v>515</v>
      </c>
      <c r="D101" t="s">
        <v>516</v>
      </c>
      <c r="E101">
        <v>50</v>
      </c>
      <c r="F101" t="s">
        <v>1012</v>
      </c>
      <c r="G101" t="s">
        <v>949</v>
      </c>
      <c r="H101" t="s">
        <v>944</v>
      </c>
      <c r="I101" t="s">
        <v>950</v>
      </c>
      <c r="J101" t="s">
        <v>946</v>
      </c>
      <c r="K101" t="s">
        <v>960</v>
      </c>
      <c r="L101" s="11">
        <v>19.329999999999998</v>
      </c>
      <c r="M101" s="11">
        <v>13.330000000000002</v>
      </c>
      <c r="N101" s="11">
        <v>28.68</v>
      </c>
      <c r="O101" s="11">
        <v>3</v>
      </c>
      <c r="P101" s="50">
        <v>64.34</v>
      </c>
      <c r="Q101" s="11">
        <v>0</v>
      </c>
      <c r="R101" s="11">
        <v>0</v>
      </c>
      <c r="S101" s="11">
        <v>0</v>
      </c>
      <c r="T101" s="50">
        <v>0</v>
      </c>
      <c r="U101" s="11">
        <v>0</v>
      </c>
      <c r="V101" s="11">
        <v>0</v>
      </c>
      <c r="W101" s="11">
        <v>0</v>
      </c>
      <c r="X101" s="11">
        <v>0</v>
      </c>
      <c r="Y101" s="50">
        <v>0</v>
      </c>
      <c r="Z101">
        <v>0</v>
      </c>
      <c r="AA101">
        <v>0</v>
      </c>
      <c r="AB101" s="52">
        <v>0</v>
      </c>
      <c r="AC101">
        <v>0</v>
      </c>
      <c r="AD101">
        <v>0</v>
      </c>
      <c r="AE101">
        <v>0</v>
      </c>
      <c r="AF101">
        <v>0</v>
      </c>
      <c r="AG101" s="50">
        <v>0</v>
      </c>
      <c r="AH101">
        <v>0</v>
      </c>
      <c r="AI101">
        <v>0</v>
      </c>
      <c r="AJ101">
        <v>0</v>
      </c>
      <c r="AK101">
        <v>0</v>
      </c>
      <c r="AL101" s="50">
        <v>0</v>
      </c>
      <c r="AM101">
        <v>0</v>
      </c>
      <c r="AN101">
        <v>0</v>
      </c>
      <c r="AO101">
        <v>0</v>
      </c>
      <c r="AP101" s="50">
        <v>0</v>
      </c>
      <c r="AQ101" s="11" t="s">
        <v>51</v>
      </c>
      <c r="AR101" s="11" t="s">
        <v>51</v>
      </c>
      <c r="AS101" s="11" t="s">
        <v>51</v>
      </c>
      <c r="AT101" s="50">
        <v>0</v>
      </c>
      <c r="AU101" s="18">
        <v>3.5</v>
      </c>
      <c r="AV101" s="18">
        <v>0</v>
      </c>
      <c r="AW101" s="18">
        <v>0</v>
      </c>
      <c r="AX101" s="18">
        <v>0</v>
      </c>
      <c r="AY101" s="54">
        <f t="shared" si="1"/>
        <v>3.5</v>
      </c>
      <c r="AZ101" t="s">
        <v>52</v>
      </c>
      <c r="BA101" s="38">
        <v>64.34</v>
      </c>
    </row>
    <row r="102" spans="1:53" x14ac:dyDescent="0.25">
      <c r="A102" s="39" t="s">
        <v>46</v>
      </c>
      <c r="B102" t="s">
        <v>518</v>
      </c>
      <c r="C102" t="s">
        <v>519</v>
      </c>
      <c r="D102" t="s">
        <v>520</v>
      </c>
      <c r="E102">
        <v>29</v>
      </c>
      <c r="F102" t="s">
        <v>976</v>
      </c>
      <c r="G102" t="s">
        <v>943</v>
      </c>
      <c r="H102" t="s">
        <v>944</v>
      </c>
      <c r="I102" t="s">
        <v>950</v>
      </c>
      <c r="J102" t="s">
        <v>946</v>
      </c>
      <c r="K102" t="s">
        <v>962</v>
      </c>
      <c r="L102" s="11">
        <v>20</v>
      </c>
      <c r="M102" s="11">
        <v>20</v>
      </c>
      <c r="N102" s="11">
        <v>41.73</v>
      </c>
      <c r="O102" s="11">
        <v>7</v>
      </c>
      <c r="P102" s="50">
        <v>88.72999999999999</v>
      </c>
      <c r="Q102" s="11">
        <v>0</v>
      </c>
      <c r="R102" s="11">
        <v>0</v>
      </c>
      <c r="S102" s="11">
        <v>0</v>
      </c>
      <c r="T102" s="50">
        <v>0</v>
      </c>
      <c r="U102" s="11">
        <v>0</v>
      </c>
      <c r="V102" s="11">
        <v>0</v>
      </c>
      <c r="W102" s="11">
        <v>0</v>
      </c>
      <c r="X102" s="11">
        <v>0</v>
      </c>
      <c r="Y102" s="50">
        <v>0</v>
      </c>
      <c r="Z102">
        <v>0</v>
      </c>
      <c r="AA102">
        <v>0</v>
      </c>
      <c r="AB102" s="52">
        <v>0</v>
      </c>
      <c r="AC102">
        <v>0</v>
      </c>
      <c r="AD102">
        <v>0</v>
      </c>
      <c r="AE102">
        <v>0</v>
      </c>
      <c r="AF102">
        <v>0</v>
      </c>
      <c r="AG102" s="50">
        <v>0</v>
      </c>
      <c r="AH102">
        <v>0</v>
      </c>
      <c r="AI102">
        <v>0</v>
      </c>
      <c r="AJ102">
        <v>0</v>
      </c>
      <c r="AK102">
        <v>0</v>
      </c>
      <c r="AL102" s="50">
        <v>0</v>
      </c>
      <c r="AM102">
        <v>0</v>
      </c>
      <c r="AN102">
        <v>0</v>
      </c>
      <c r="AO102">
        <v>0</v>
      </c>
      <c r="AP102" s="50">
        <v>0</v>
      </c>
      <c r="AQ102" s="11" t="s">
        <v>51</v>
      </c>
      <c r="AR102" s="11" t="s">
        <v>51</v>
      </c>
      <c r="AS102" s="11" t="s">
        <v>51</v>
      </c>
      <c r="AT102" s="50">
        <v>0</v>
      </c>
      <c r="AU102" s="18">
        <v>40</v>
      </c>
      <c r="AV102" s="18">
        <v>0</v>
      </c>
      <c r="AW102" s="18">
        <v>0</v>
      </c>
      <c r="AX102" s="18">
        <v>0</v>
      </c>
      <c r="AY102" s="54">
        <f t="shared" si="1"/>
        <v>40</v>
      </c>
      <c r="AZ102" t="s">
        <v>52</v>
      </c>
      <c r="BA102" s="38">
        <v>88.72999999999999</v>
      </c>
    </row>
    <row r="103" spans="1:53" x14ac:dyDescent="0.25">
      <c r="A103" s="39" t="s">
        <v>46</v>
      </c>
      <c r="B103" t="s">
        <v>526</v>
      </c>
      <c r="C103" t="s">
        <v>527</v>
      </c>
      <c r="D103" t="s">
        <v>528</v>
      </c>
      <c r="E103">
        <v>36</v>
      </c>
      <c r="F103" t="s">
        <v>952</v>
      </c>
      <c r="G103" t="s">
        <v>943</v>
      </c>
      <c r="H103" t="s">
        <v>944</v>
      </c>
      <c r="I103" t="s">
        <v>950</v>
      </c>
      <c r="J103" t="s">
        <v>955</v>
      </c>
      <c r="K103" t="s">
        <v>947</v>
      </c>
      <c r="L103" s="11">
        <v>25</v>
      </c>
      <c r="M103" s="11">
        <v>0</v>
      </c>
      <c r="N103" s="11">
        <v>60.45</v>
      </c>
      <c r="O103" s="11">
        <v>4.375</v>
      </c>
      <c r="P103" s="50">
        <v>89.825000000000003</v>
      </c>
      <c r="Q103" s="11">
        <v>0</v>
      </c>
      <c r="R103" s="11">
        <v>0</v>
      </c>
      <c r="S103" s="11">
        <v>0</v>
      </c>
      <c r="T103" s="50">
        <v>0</v>
      </c>
      <c r="U103" s="11">
        <v>0</v>
      </c>
      <c r="V103" s="11">
        <v>0</v>
      </c>
      <c r="W103" s="11">
        <v>0</v>
      </c>
      <c r="X103" s="11">
        <v>0</v>
      </c>
      <c r="Y103" s="50">
        <v>0</v>
      </c>
      <c r="Z103">
        <v>0</v>
      </c>
      <c r="AA103">
        <v>0</v>
      </c>
      <c r="AB103" s="52">
        <v>0</v>
      </c>
      <c r="AC103">
        <v>0</v>
      </c>
      <c r="AD103">
        <v>0</v>
      </c>
      <c r="AE103">
        <v>0</v>
      </c>
      <c r="AF103">
        <v>0</v>
      </c>
      <c r="AG103" s="50">
        <v>0</v>
      </c>
      <c r="AH103">
        <v>0</v>
      </c>
      <c r="AI103">
        <v>0</v>
      </c>
      <c r="AJ103">
        <v>0</v>
      </c>
      <c r="AK103">
        <v>0</v>
      </c>
      <c r="AL103" s="50">
        <v>0</v>
      </c>
      <c r="AM103">
        <v>0</v>
      </c>
      <c r="AN103">
        <v>0</v>
      </c>
      <c r="AO103">
        <v>0</v>
      </c>
      <c r="AP103" s="50">
        <v>0</v>
      </c>
      <c r="AQ103" s="11" t="s">
        <v>51</v>
      </c>
      <c r="AR103" s="11" t="s">
        <v>51</v>
      </c>
      <c r="AS103" s="11" t="s">
        <v>51</v>
      </c>
      <c r="AT103" s="50">
        <v>0</v>
      </c>
      <c r="AU103" s="18">
        <v>20</v>
      </c>
      <c r="AV103" s="18">
        <v>0</v>
      </c>
      <c r="AW103" s="18">
        <v>0</v>
      </c>
      <c r="AX103" s="18">
        <v>0</v>
      </c>
      <c r="AY103" s="54">
        <f t="shared" si="1"/>
        <v>20</v>
      </c>
      <c r="AZ103" t="s">
        <v>52</v>
      </c>
      <c r="BA103" s="38">
        <v>89.825000000000003</v>
      </c>
    </row>
    <row r="104" spans="1:53" x14ac:dyDescent="0.25">
      <c r="A104" s="39" t="s">
        <v>46</v>
      </c>
      <c r="B104" t="s">
        <v>538</v>
      </c>
      <c r="C104" t="s">
        <v>539</v>
      </c>
      <c r="D104" t="s">
        <v>540</v>
      </c>
      <c r="E104">
        <v>63</v>
      </c>
      <c r="F104" t="s">
        <v>995</v>
      </c>
      <c r="G104" t="s">
        <v>943</v>
      </c>
      <c r="H104" t="s">
        <v>944</v>
      </c>
      <c r="I104" t="s">
        <v>950</v>
      </c>
      <c r="J104" t="s">
        <v>946</v>
      </c>
      <c r="K104" t="s">
        <v>1013</v>
      </c>
      <c r="L104" s="11">
        <v>20</v>
      </c>
      <c r="M104" s="11">
        <v>20</v>
      </c>
      <c r="N104" s="11">
        <v>43.34</v>
      </c>
      <c r="O104" s="11">
        <v>4.5</v>
      </c>
      <c r="P104" s="50">
        <v>87.84</v>
      </c>
      <c r="Q104" s="11">
        <v>0</v>
      </c>
      <c r="R104" s="11">
        <v>0</v>
      </c>
      <c r="S104" s="11">
        <v>0</v>
      </c>
      <c r="T104" s="50">
        <v>0</v>
      </c>
      <c r="U104" s="11">
        <v>0</v>
      </c>
      <c r="V104" s="11">
        <v>0</v>
      </c>
      <c r="W104" s="11">
        <v>0</v>
      </c>
      <c r="X104" s="11">
        <v>0</v>
      </c>
      <c r="Y104" s="50">
        <v>0</v>
      </c>
      <c r="Z104">
        <v>0</v>
      </c>
      <c r="AA104">
        <v>0</v>
      </c>
      <c r="AB104" s="52">
        <v>0</v>
      </c>
      <c r="AC104">
        <v>0</v>
      </c>
      <c r="AD104">
        <v>0</v>
      </c>
      <c r="AE104">
        <v>0</v>
      </c>
      <c r="AF104">
        <v>0</v>
      </c>
      <c r="AG104" s="50">
        <v>0</v>
      </c>
      <c r="AH104">
        <v>0</v>
      </c>
      <c r="AI104">
        <v>0</v>
      </c>
      <c r="AJ104">
        <v>0</v>
      </c>
      <c r="AK104">
        <v>0</v>
      </c>
      <c r="AL104" s="50">
        <v>0</v>
      </c>
      <c r="AM104">
        <v>0</v>
      </c>
      <c r="AN104">
        <v>0</v>
      </c>
      <c r="AO104">
        <v>0</v>
      </c>
      <c r="AP104" s="50">
        <v>0</v>
      </c>
      <c r="AQ104" s="11" t="s">
        <v>51</v>
      </c>
      <c r="AR104" s="11" t="s">
        <v>51</v>
      </c>
      <c r="AS104" s="11" t="s">
        <v>51</v>
      </c>
      <c r="AT104" s="50">
        <v>0</v>
      </c>
      <c r="AU104" s="18">
        <v>39.25</v>
      </c>
      <c r="AV104" s="18">
        <v>0</v>
      </c>
      <c r="AW104" s="18">
        <v>0</v>
      </c>
      <c r="AX104" s="18">
        <v>0</v>
      </c>
      <c r="AY104" s="54">
        <f t="shared" si="1"/>
        <v>39.25</v>
      </c>
      <c r="AZ104" t="s">
        <v>52</v>
      </c>
      <c r="BA104" s="38">
        <v>87.84</v>
      </c>
    </row>
    <row r="105" spans="1:53" x14ac:dyDescent="0.25">
      <c r="A105" s="39" t="s">
        <v>46</v>
      </c>
      <c r="B105" t="s">
        <v>542</v>
      </c>
      <c r="C105" t="s">
        <v>543</v>
      </c>
      <c r="D105" t="s">
        <v>544</v>
      </c>
      <c r="E105">
        <v>28</v>
      </c>
      <c r="F105" t="s">
        <v>972</v>
      </c>
      <c r="G105" t="s">
        <v>949</v>
      </c>
      <c r="H105" t="s">
        <v>944</v>
      </c>
      <c r="I105" t="s">
        <v>950</v>
      </c>
      <c r="J105" t="s">
        <v>959</v>
      </c>
      <c r="K105" t="s">
        <v>947</v>
      </c>
      <c r="L105" s="11">
        <v>20</v>
      </c>
      <c r="M105" s="11">
        <v>17</v>
      </c>
      <c r="N105" s="11">
        <v>39.090000000000003</v>
      </c>
      <c r="O105" s="11">
        <v>7</v>
      </c>
      <c r="P105" s="50">
        <v>83.09</v>
      </c>
      <c r="Q105" s="11">
        <v>0</v>
      </c>
      <c r="R105" s="11">
        <v>0</v>
      </c>
      <c r="S105" s="11">
        <v>0</v>
      </c>
      <c r="T105" s="50">
        <v>0</v>
      </c>
      <c r="U105" s="11">
        <v>0</v>
      </c>
      <c r="V105" s="11">
        <v>0</v>
      </c>
      <c r="W105" s="11">
        <v>0</v>
      </c>
      <c r="X105" s="11">
        <v>0</v>
      </c>
      <c r="Y105" s="50">
        <v>0</v>
      </c>
      <c r="Z105">
        <v>0</v>
      </c>
      <c r="AA105">
        <v>0</v>
      </c>
      <c r="AB105" s="52">
        <v>0</v>
      </c>
      <c r="AC105">
        <v>0</v>
      </c>
      <c r="AD105">
        <v>0</v>
      </c>
      <c r="AE105">
        <v>0</v>
      </c>
      <c r="AF105">
        <v>0</v>
      </c>
      <c r="AG105" s="50">
        <v>0</v>
      </c>
      <c r="AH105">
        <v>0</v>
      </c>
      <c r="AI105">
        <v>0</v>
      </c>
      <c r="AJ105">
        <v>0</v>
      </c>
      <c r="AK105">
        <v>0</v>
      </c>
      <c r="AL105" s="50">
        <v>0</v>
      </c>
      <c r="AM105">
        <v>0</v>
      </c>
      <c r="AN105">
        <v>0</v>
      </c>
      <c r="AO105">
        <v>0</v>
      </c>
      <c r="AP105" s="50">
        <v>0</v>
      </c>
      <c r="AQ105" s="11" t="s">
        <v>51</v>
      </c>
      <c r="AR105" s="11" t="s">
        <v>51</v>
      </c>
      <c r="AS105" s="11" t="s">
        <v>51</v>
      </c>
      <c r="AT105" s="50">
        <v>0</v>
      </c>
      <c r="AU105" s="18">
        <v>20</v>
      </c>
      <c r="AV105" s="18">
        <v>0</v>
      </c>
      <c r="AW105" s="18">
        <v>0</v>
      </c>
      <c r="AX105" s="18">
        <v>0</v>
      </c>
      <c r="AY105" s="54">
        <f t="shared" ref="AY105:AY159" si="2">+SUM(AU105:AX105)</f>
        <v>20</v>
      </c>
      <c r="AZ105" t="s">
        <v>52</v>
      </c>
      <c r="BA105" s="38">
        <v>83.09</v>
      </c>
    </row>
    <row r="106" spans="1:53" x14ac:dyDescent="0.25">
      <c r="A106" s="39" t="s">
        <v>46</v>
      </c>
      <c r="B106" t="s">
        <v>546</v>
      </c>
      <c r="C106" t="s">
        <v>547</v>
      </c>
      <c r="D106" t="s">
        <v>548</v>
      </c>
      <c r="E106">
        <v>43</v>
      </c>
      <c r="F106" t="s">
        <v>1014</v>
      </c>
      <c r="G106" t="s">
        <v>949</v>
      </c>
      <c r="H106" t="s">
        <v>944</v>
      </c>
      <c r="I106" t="s">
        <v>950</v>
      </c>
      <c r="J106" t="s">
        <v>946</v>
      </c>
      <c r="K106" t="s">
        <v>960</v>
      </c>
      <c r="L106" s="11">
        <v>25</v>
      </c>
      <c r="M106" s="11">
        <v>0</v>
      </c>
      <c r="N106" s="11">
        <v>51.537500000000001</v>
      </c>
      <c r="O106" s="11">
        <v>8.125</v>
      </c>
      <c r="P106" s="50">
        <v>84.662499999999994</v>
      </c>
      <c r="Q106" s="11">
        <v>0</v>
      </c>
      <c r="R106" s="11">
        <v>0</v>
      </c>
      <c r="S106" s="11">
        <v>0</v>
      </c>
      <c r="T106" s="50">
        <v>0</v>
      </c>
      <c r="U106" s="11">
        <v>0</v>
      </c>
      <c r="V106" s="11">
        <v>0</v>
      </c>
      <c r="W106" s="11">
        <v>0</v>
      </c>
      <c r="X106" s="11">
        <v>0</v>
      </c>
      <c r="Y106" s="50">
        <v>0</v>
      </c>
      <c r="Z106">
        <v>0</v>
      </c>
      <c r="AA106">
        <v>0</v>
      </c>
      <c r="AB106" s="52">
        <v>0</v>
      </c>
      <c r="AC106">
        <v>0</v>
      </c>
      <c r="AD106">
        <v>0</v>
      </c>
      <c r="AE106">
        <v>0</v>
      </c>
      <c r="AF106">
        <v>0</v>
      </c>
      <c r="AG106" s="50">
        <v>0</v>
      </c>
      <c r="AH106">
        <v>0</v>
      </c>
      <c r="AI106">
        <v>0</v>
      </c>
      <c r="AJ106">
        <v>0</v>
      </c>
      <c r="AK106">
        <v>0</v>
      </c>
      <c r="AL106" s="50">
        <v>0</v>
      </c>
      <c r="AM106">
        <v>38.340000000000003</v>
      </c>
      <c r="AN106">
        <v>20</v>
      </c>
      <c r="AO106">
        <v>30</v>
      </c>
      <c r="AP106" s="50">
        <v>88.34</v>
      </c>
      <c r="AQ106" s="11">
        <v>18</v>
      </c>
      <c r="AR106" s="11">
        <v>26.5</v>
      </c>
      <c r="AS106" s="11">
        <v>41.52</v>
      </c>
      <c r="AT106" s="50">
        <v>86.02000000000001</v>
      </c>
      <c r="AU106" s="18">
        <v>32</v>
      </c>
      <c r="AV106" s="18">
        <v>0</v>
      </c>
      <c r="AW106" s="18">
        <v>0</v>
      </c>
      <c r="AX106" s="18">
        <v>5</v>
      </c>
      <c r="AY106" s="54">
        <f t="shared" si="2"/>
        <v>37</v>
      </c>
      <c r="AZ106" t="s">
        <v>52</v>
      </c>
      <c r="BA106" s="38">
        <v>85.159459459459455</v>
      </c>
    </row>
    <row r="107" spans="1:53" x14ac:dyDescent="0.25">
      <c r="A107" s="39" t="s">
        <v>46</v>
      </c>
      <c r="B107" t="s">
        <v>546</v>
      </c>
      <c r="C107" t="s">
        <v>547</v>
      </c>
      <c r="D107" t="s">
        <v>548</v>
      </c>
      <c r="E107">
        <v>43</v>
      </c>
      <c r="F107" t="s">
        <v>1014</v>
      </c>
      <c r="G107" t="s">
        <v>949</v>
      </c>
      <c r="H107" t="s">
        <v>944</v>
      </c>
      <c r="I107" t="s">
        <v>950</v>
      </c>
      <c r="J107" t="s">
        <v>946</v>
      </c>
      <c r="K107" t="s">
        <v>960</v>
      </c>
      <c r="L107" s="11">
        <v>25</v>
      </c>
      <c r="M107" s="11">
        <v>0</v>
      </c>
      <c r="N107" s="11">
        <v>51.537500000000001</v>
      </c>
      <c r="O107" s="11">
        <v>8.125</v>
      </c>
      <c r="P107" s="50">
        <v>84.662499999999994</v>
      </c>
      <c r="Q107" s="11">
        <v>0</v>
      </c>
      <c r="R107" s="11">
        <v>0</v>
      </c>
      <c r="S107" s="11">
        <v>0</v>
      </c>
      <c r="T107" s="50">
        <v>0</v>
      </c>
      <c r="U107" s="11">
        <v>0</v>
      </c>
      <c r="V107" s="11">
        <v>0</v>
      </c>
      <c r="W107" s="11">
        <v>0</v>
      </c>
      <c r="X107" s="11">
        <v>0</v>
      </c>
      <c r="Y107" s="50">
        <v>0</v>
      </c>
      <c r="Z107">
        <v>0</v>
      </c>
      <c r="AA107">
        <v>0</v>
      </c>
      <c r="AB107" s="52">
        <v>0</v>
      </c>
      <c r="AC107">
        <v>0</v>
      </c>
      <c r="AD107">
        <v>0</v>
      </c>
      <c r="AE107">
        <v>0</v>
      </c>
      <c r="AF107">
        <v>0</v>
      </c>
      <c r="AG107" s="50">
        <v>0</v>
      </c>
      <c r="AH107">
        <v>0</v>
      </c>
      <c r="AI107">
        <v>0</v>
      </c>
      <c r="AJ107">
        <v>0</v>
      </c>
      <c r="AK107">
        <v>0</v>
      </c>
      <c r="AL107" s="50">
        <v>0</v>
      </c>
      <c r="AM107">
        <v>38.340000000000003</v>
      </c>
      <c r="AN107">
        <v>20</v>
      </c>
      <c r="AO107">
        <v>30</v>
      </c>
      <c r="AP107" s="50">
        <v>88.34</v>
      </c>
      <c r="AQ107" s="11">
        <v>18</v>
      </c>
      <c r="AR107" s="11">
        <v>26.5</v>
      </c>
      <c r="AS107" s="11">
        <v>41.52</v>
      </c>
      <c r="AT107" s="50">
        <v>86.02000000000001</v>
      </c>
      <c r="AU107" s="18">
        <v>0</v>
      </c>
      <c r="AV107" s="18">
        <v>0</v>
      </c>
      <c r="AW107" s="18">
        <v>3</v>
      </c>
      <c r="AX107" s="18">
        <v>0</v>
      </c>
      <c r="AY107" s="54">
        <f t="shared" si="2"/>
        <v>3</v>
      </c>
      <c r="AZ107" t="s">
        <v>117</v>
      </c>
      <c r="BA107" s="38">
        <v>86.020000000000024</v>
      </c>
    </row>
    <row r="108" spans="1:53" x14ac:dyDescent="0.25">
      <c r="A108" s="39" t="s">
        <v>46</v>
      </c>
      <c r="B108" t="s">
        <v>551</v>
      </c>
      <c r="C108" t="s">
        <v>552</v>
      </c>
      <c r="D108" t="s">
        <v>553</v>
      </c>
      <c r="E108">
        <v>30</v>
      </c>
      <c r="F108" t="s">
        <v>976</v>
      </c>
      <c r="G108" t="s">
        <v>943</v>
      </c>
      <c r="H108" t="s">
        <v>944</v>
      </c>
      <c r="I108" t="s">
        <v>950</v>
      </c>
      <c r="J108" t="s">
        <v>946</v>
      </c>
      <c r="K108" t="s">
        <v>951</v>
      </c>
      <c r="L108" s="11">
        <v>25</v>
      </c>
      <c r="M108" s="11">
        <v>0</v>
      </c>
      <c r="N108" s="11">
        <v>49.575000000000003</v>
      </c>
      <c r="O108" s="11">
        <v>3.125</v>
      </c>
      <c r="P108" s="50">
        <v>77.7</v>
      </c>
      <c r="Q108" s="11">
        <v>0</v>
      </c>
      <c r="R108" s="11">
        <v>0</v>
      </c>
      <c r="S108" s="11">
        <v>0</v>
      </c>
      <c r="T108" s="50">
        <v>0</v>
      </c>
      <c r="U108" s="11">
        <v>0</v>
      </c>
      <c r="V108" s="11">
        <v>0</v>
      </c>
      <c r="W108" s="11">
        <v>0</v>
      </c>
      <c r="X108" s="11">
        <v>0</v>
      </c>
      <c r="Y108" s="50">
        <v>0</v>
      </c>
      <c r="Z108">
        <v>0</v>
      </c>
      <c r="AA108">
        <v>0</v>
      </c>
      <c r="AB108" s="52">
        <v>0</v>
      </c>
      <c r="AC108">
        <v>0</v>
      </c>
      <c r="AD108">
        <v>0</v>
      </c>
      <c r="AE108">
        <v>0</v>
      </c>
      <c r="AF108">
        <v>0</v>
      </c>
      <c r="AG108" s="50">
        <v>0</v>
      </c>
      <c r="AH108">
        <v>3.75</v>
      </c>
      <c r="AI108">
        <v>21.25</v>
      </c>
      <c r="AJ108">
        <v>15</v>
      </c>
      <c r="AK108">
        <v>20</v>
      </c>
      <c r="AL108" s="50">
        <v>60</v>
      </c>
      <c r="AM108">
        <v>0</v>
      </c>
      <c r="AN108">
        <v>0</v>
      </c>
      <c r="AO108">
        <v>0</v>
      </c>
      <c r="AP108" s="50">
        <v>0</v>
      </c>
      <c r="AQ108" s="11" t="s">
        <v>51</v>
      </c>
      <c r="AR108" s="11" t="s">
        <v>51</v>
      </c>
      <c r="AS108" s="11" t="s">
        <v>51</v>
      </c>
      <c r="AT108" s="50">
        <v>0</v>
      </c>
      <c r="AU108" s="18">
        <v>35</v>
      </c>
      <c r="AV108" s="18">
        <v>5</v>
      </c>
      <c r="AW108" s="18">
        <v>0</v>
      </c>
      <c r="AX108" s="18">
        <v>0</v>
      </c>
      <c r="AY108" s="54">
        <f t="shared" si="2"/>
        <v>40</v>
      </c>
      <c r="AZ108" t="s">
        <v>52</v>
      </c>
      <c r="BA108" s="38">
        <v>75.487499999999997</v>
      </c>
    </row>
    <row r="109" spans="1:53" x14ac:dyDescent="0.25">
      <c r="A109" s="39" t="s">
        <v>46</v>
      </c>
      <c r="B109" t="s">
        <v>558</v>
      </c>
      <c r="C109" t="s">
        <v>559</v>
      </c>
      <c r="D109" t="s">
        <v>560</v>
      </c>
      <c r="E109">
        <v>30</v>
      </c>
      <c r="F109" t="s">
        <v>1015</v>
      </c>
      <c r="G109" t="s">
        <v>943</v>
      </c>
      <c r="H109" t="s">
        <v>944</v>
      </c>
      <c r="I109" t="s">
        <v>950</v>
      </c>
      <c r="J109" t="s">
        <v>946</v>
      </c>
      <c r="K109" t="s">
        <v>1016</v>
      </c>
      <c r="L109" s="11">
        <v>20</v>
      </c>
      <c r="M109" s="11">
        <v>20</v>
      </c>
      <c r="N109" s="11">
        <v>50</v>
      </c>
      <c r="O109" s="11">
        <v>6</v>
      </c>
      <c r="P109" s="50">
        <v>96</v>
      </c>
      <c r="Q109" s="11">
        <v>0</v>
      </c>
      <c r="R109" s="11">
        <v>0</v>
      </c>
      <c r="S109" s="11">
        <v>0</v>
      </c>
      <c r="T109" s="50">
        <v>0</v>
      </c>
      <c r="U109" s="11">
        <v>0</v>
      </c>
      <c r="V109" s="11">
        <v>0</v>
      </c>
      <c r="W109" s="11">
        <v>0</v>
      </c>
      <c r="X109" s="11">
        <v>0</v>
      </c>
      <c r="Y109" s="50">
        <v>0</v>
      </c>
      <c r="Z109">
        <v>0</v>
      </c>
      <c r="AA109">
        <v>0</v>
      </c>
      <c r="AB109" s="52">
        <v>0</v>
      </c>
      <c r="AC109">
        <v>0</v>
      </c>
      <c r="AD109">
        <v>0</v>
      </c>
      <c r="AE109">
        <v>0</v>
      </c>
      <c r="AF109">
        <v>0</v>
      </c>
      <c r="AG109" s="50">
        <v>0</v>
      </c>
      <c r="AH109">
        <v>0</v>
      </c>
      <c r="AI109">
        <v>0</v>
      </c>
      <c r="AJ109">
        <v>0</v>
      </c>
      <c r="AK109">
        <v>0</v>
      </c>
      <c r="AL109" s="50">
        <v>0</v>
      </c>
      <c r="AM109">
        <v>0</v>
      </c>
      <c r="AN109">
        <v>0</v>
      </c>
      <c r="AO109">
        <v>0</v>
      </c>
      <c r="AP109" s="50">
        <v>0</v>
      </c>
      <c r="AQ109" s="11" t="s">
        <v>51</v>
      </c>
      <c r="AR109" s="11" t="s">
        <v>51</v>
      </c>
      <c r="AS109" s="11" t="s">
        <v>51</v>
      </c>
      <c r="AT109" s="50">
        <v>0</v>
      </c>
      <c r="AU109" s="18">
        <v>40</v>
      </c>
      <c r="AV109" s="18">
        <v>0</v>
      </c>
      <c r="AW109" s="18">
        <v>0</v>
      </c>
      <c r="AX109" s="18">
        <v>0</v>
      </c>
      <c r="AY109" s="54">
        <f t="shared" si="2"/>
        <v>40</v>
      </c>
      <c r="AZ109" t="s">
        <v>52</v>
      </c>
      <c r="BA109" s="38">
        <v>96</v>
      </c>
    </row>
    <row r="110" spans="1:53" x14ac:dyDescent="0.25">
      <c r="A110" s="39" t="s">
        <v>46</v>
      </c>
      <c r="B110" t="s">
        <v>562</v>
      </c>
      <c r="C110" t="s">
        <v>563</v>
      </c>
      <c r="D110" t="s">
        <v>564</v>
      </c>
      <c r="E110">
        <v>38</v>
      </c>
      <c r="F110" t="s">
        <v>1015</v>
      </c>
      <c r="G110" t="s">
        <v>949</v>
      </c>
      <c r="H110" t="s">
        <v>944</v>
      </c>
      <c r="I110" t="s">
        <v>977</v>
      </c>
      <c r="J110" t="s">
        <v>955</v>
      </c>
      <c r="K110" t="s">
        <v>962</v>
      </c>
      <c r="L110" s="11">
        <v>19.670000000000002</v>
      </c>
      <c r="M110" s="11">
        <v>20</v>
      </c>
      <c r="N110" s="11">
        <v>43.12</v>
      </c>
      <c r="O110" s="11">
        <v>3.5</v>
      </c>
      <c r="P110" s="50">
        <v>86.289999999999992</v>
      </c>
      <c r="Q110" s="11">
        <v>0</v>
      </c>
      <c r="R110" s="11">
        <v>0</v>
      </c>
      <c r="S110" s="11">
        <v>0</v>
      </c>
      <c r="T110" s="50">
        <v>0</v>
      </c>
      <c r="U110" s="11">
        <v>0</v>
      </c>
      <c r="V110" s="11">
        <v>0</v>
      </c>
      <c r="W110" s="11">
        <v>0</v>
      </c>
      <c r="X110" s="11">
        <v>0</v>
      </c>
      <c r="Y110" s="50">
        <v>0</v>
      </c>
      <c r="Z110">
        <v>0</v>
      </c>
      <c r="AA110">
        <v>0</v>
      </c>
      <c r="AB110" s="52">
        <v>0</v>
      </c>
      <c r="AC110">
        <v>0</v>
      </c>
      <c r="AD110">
        <v>0</v>
      </c>
      <c r="AE110">
        <v>0</v>
      </c>
      <c r="AF110">
        <v>0</v>
      </c>
      <c r="AG110" s="50">
        <v>0</v>
      </c>
      <c r="AH110">
        <v>0</v>
      </c>
      <c r="AI110">
        <v>0</v>
      </c>
      <c r="AJ110">
        <v>0</v>
      </c>
      <c r="AK110">
        <v>0</v>
      </c>
      <c r="AL110" s="50">
        <v>0</v>
      </c>
      <c r="AM110">
        <v>0</v>
      </c>
      <c r="AN110">
        <v>0</v>
      </c>
      <c r="AO110">
        <v>0</v>
      </c>
      <c r="AP110" s="50">
        <v>0</v>
      </c>
      <c r="AQ110" s="11" t="s">
        <v>51</v>
      </c>
      <c r="AR110" s="11" t="s">
        <v>51</v>
      </c>
      <c r="AS110" s="11" t="s">
        <v>51</v>
      </c>
      <c r="AT110" s="50">
        <v>0</v>
      </c>
      <c r="AU110" s="18">
        <v>9</v>
      </c>
      <c r="AV110" s="18">
        <v>0</v>
      </c>
      <c r="AW110" s="18">
        <v>0</v>
      </c>
      <c r="AX110" s="18">
        <v>0</v>
      </c>
      <c r="AY110" s="54">
        <f t="shared" si="2"/>
        <v>9</v>
      </c>
      <c r="AZ110" t="s">
        <v>52</v>
      </c>
      <c r="BA110" s="38">
        <v>86.289999999999992</v>
      </c>
    </row>
    <row r="111" spans="1:53" x14ac:dyDescent="0.25">
      <c r="A111" s="39" t="s">
        <v>46</v>
      </c>
      <c r="B111" t="s">
        <v>566</v>
      </c>
      <c r="C111" t="s">
        <v>567</v>
      </c>
      <c r="D111" t="s">
        <v>568</v>
      </c>
      <c r="E111">
        <v>33</v>
      </c>
      <c r="F111" t="s">
        <v>1017</v>
      </c>
      <c r="G111" t="s">
        <v>943</v>
      </c>
      <c r="H111" t="s">
        <v>944</v>
      </c>
      <c r="I111" t="s">
        <v>950</v>
      </c>
      <c r="J111" t="s">
        <v>946</v>
      </c>
      <c r="K111" t="s">
        <v>962</v>
      </c>
      <c r="L111" s="11">
        <v>0</v>
      </c>
      <c r="M111" s="11">
        <v>25</v>
      </c>
      <c r="N111" s="11">
        <v>55.462499999999999</v>
      </c>
      <c r="O111" s="11">
        <v>9.375</v>
      </c>
      <c r="P111" s="50">
        <v>89.837500000000006</v>
      </c>
      <c r="Q111" s="11">
        <v>0</v>
      </c>
      <c r="R111" s="11">
        <v>0</v>
      </c>
      <c r="S111" s="11">
        <v>0</v>
      </c>
      <c r="T111" s="50">
        <v>0</v>
      </c>
      <c r="U111" s="11">
        <v>0</v>
      </c>
      <c r="V111" s="11">
        <v>0</v>
      </c>
      <c r="W111" s="11">
        <v>0</v>
      </c>
      <c r="X111" s="11">
        <v>0</v>
      </c>
      <c r="Y111" s="50">
        <v>0</v>
      </c>
      <c r="Z111">
        <v>0</v>
      </c>
      <c r="AA111">
        <v>0</v>
      </c>
      <c r="AB111" s="52">
        <v>0</v>
      </c>
      <c r="AC111">
        <v>0</v>
      </c>
      <c r="AD111">
        <v>0</v>
      </c>
      <c r="AE111">
        <v>0</v>
      </c>
      <c r="AF111">
        <v>0</v>
      </c>
      <c r="AG111" s="50">
        <v>0</v>
      </c>
      <c r="AH111">
        <v>0</v>
      </c>
      <c r="AI111">
        <v>0</v>
      </c>
      <c r="AJ111">
        <v>0</v>
      </c>
      <c r="AK111">
        <v>0</v>
      </c>
      <c r="AL111" s="50">
        <v>0</v>
      </c>
      <c r="AM111">
        <v>0</v>
      </c>
      <c r="AN111">
        <v>0</v>
      </c>
      <c r="AO111">
        <v>0</v>
      </c>
      <c r="AP111" s="50">
        <v>0</v>
      </c>
      <c r="AQ111" s="11" t="s">
        <v>51</v>
      </c>
      <c r="AR111" s="11" t="s">
        <v>51</v>
      </c>
      <c r="AS111" s="11" t="s">
        <v>51</v>
      </c>
      <c r="AT111" s="50">
        <v>0</v>
      </c>
      <c r="AU111" s="18">
        <v>40</v>
      </c>
      <c r="AV111" s="18">
        <v>0</v>
      </c>
      <c r="AW111" s="18">
        <v>0</v>
      </c>
      <c r="AX111" s="18">
        <v>0</v>
      </c>
      <c r="AY111" s="54">
        <f t="shared" si="2"/>
        <v>40</v>
      </c>
      <c r="AZ111" t="s">
        <v>52</v>
      </c>
      <c r="BA111" s="38">
        <v>89.837500000000006</v>
      </c>
    </row>
    <row r="112" spans="1:53" x14ac:dyDescent="0.25">
      <c r="A112" s="39" t="s">
        <v>46</v>
      </c>
      <c r="B112" t="s">
        <v>570</v>
      </c>
      <c r="C112" t="s">
        <v>571</v>
      </c>
      <c r="D112" t="s">
        <v>572</v>
      </c>
      <c r="E112">
        <v>57</v>
      </c>
      <c r="F112" t="s">
        <v>1018</v>
      </c>
      <c r="G112" t="s">
        <v>943</v>
      </c>
      <c r="H112" t="s">
        <v>944</v>
      </c>
      <c r="I112" t="s">
        <v>945</v>
      </c>
      <c r="J112" t="s">
        <v>946</v>
      </c>
      <c r="K112" t="s">
        <v>962</v>
      </c>
      <c r="L112" s="11">
        <v>20</v>
      </c>
      <c r="M112" s="11">
        <v>20</v>
      </c>
      <c r="N112" s="11">
        <v>44.31</v>
      </c>
      <c r="O112" s="11">
        <v>5.25</v>
      </c>
      <c r="P112" s="50">
        <v>89.56</v>
      </c>
      <c r="Q112" s="11">
        <v>58.24</v>
      </c>
      <c r="R112" s="11">
        <v>30</v>
      </c>
      <c r="S112" s="11">
        <v>5.25</v>
      </c>
      <c r="T112" s="50">
        <v>93.490000000000009</v>
      </c>
      <c r="U112" s="11">
        <v>0</v>
      </c>
      <c r="V112" s="11">
        <v>0</v>
      </c>
      <c r="W112" s="11">
        <v>0</v>
      </c>
      <c r="X112" s="11">
        <v>0</v>
      </c>
      <c r="Y112" s="50">
        <v>0</v>
      </c>
      <c r="Z112">
        <v>0</v>
      </c>
      <c r="AA112">
        <v>0</v>
      </c>
      <c r="AB112" s="52">
        <v>0</v>
      </c>
      <c r="AC112">
        <v>0</v>
      </c>
      <c r="AD112">
        <v>0</v>
      </c>
      <c r="AE112">
        <v>0</v>
      </c>
      <c r="AF112">
        <v>0</v>
      </c>
      <c r="AG112" s="50">
        <v>0</v>
      </c>
      <c r="AH112">
        <v>15</v>
      </c>
      <c r="AI112">
        <v>50</v>
      </c>
      <c r="AJ112">
        <v>15</v>
      </c>
      <c r="AK112">
        <v>20</v>
      </c>
      <c r="AL112" s="50">
        <v>100</v>
      </c>
      <c r="AM112">
        <v>0</v>
      </c>
      <c r="AN112">
        <v>0</v>
      </c>
      <c r="AO112">
        <v>0</v>
      </c>
      <c r="AP112" s="50">
        <v>0</v>
      </c>
      <c r="AQ112" s="11" t="s">
        <v>51</v>
      </c>
      <c r="AR112" s="11" t="s">
        <v>51</v>
      </c>
      <c r="AS112" s="11" t="s">
        <v>51</v>
      </c>
      <c r="AT112" s="50">
        <v>0</v>
      </c>
      <c r="AU112" s="18">
        <v>25</v>
      </c>
      <c r="AV112" s="18">
        <v>15</v>
      </c>
      <c r="AW112" s="18">
        <v>0</v>
      </c>
      <c r="AX112" s="18">
        <v>0</v>
      </c>
      <c r="AY112" s="54">
        <f t="shared" si="2"/>
        <v>40</v>
      </c>
      <c r="AZ112" t="s">
        <v>52</v>
      </c>
      <c r="BA112" s="38">
        <v>93.474999999999994</v>
      </c>
    </row>
    <row r="113" spans="1:53" x14ac:dyDescent="0.25">
      <c r="A113" s="39" t="s">
        <v>46</v>
      </c>
      <c r="B113" t="s">
        <v>570</v>
      </c>
      <c r="C113" t="s">
        <v>571</v>
      </c>
      <c r="D113" t="s">
        <v>572</v>
      </c>
      <c r="E113">
        <v>57</v>
      </c>
      <c r="F113" t="s">
        <v>1018</v>
      </c>
      <c r="G113" t="s">
        <v>943</v>
      </c>
      <c r="H113" t="s">
        <v>944</v>
      </c>
      <c r="I113" t="s">
        <v>945</v>
      </c>
      <c r="J113" t="s">
        <v>946</v>
      </c>
      <c r="K113" t="s">
        <v>962</v>
      </c>
      <c r="L113" s="11">
        <v>20</v>
      </c>
      <c r="M113" s="11">
        <v>20</v>
      </c>
      <c r="N113" s="11">
        <v>44.31</v>
      </c>
      <c r="O113" s="11">
        <v>5.25</v>
      </c>
      <c r="P113" s="50">
        <v>89.56</v>
      </c>
      <c r="Q113" s="11">
        <v>58.24</v>
      </c>
      <c r="R113" s="11">
        <v>30</v>
      </c>
      <c r="S113" s="11">
        <v>5.25</v>
      </c>
      <c r="T113" s="50">
        <v>93.490000000000009</v>
      </c>
      <c r="U113" s="11">
        <v>0</v>
      </c>
      <c r="V113" s="11">
        <v>0</v>
      </c>
      <c r="W113" s="11">
        <v>0</v>
      </c>
      <c r="X113" s="11">
        <v>0</v>
      </c>
      <c r="Y113" s="50">
        <v>0</v>
      </c>
      <c r="Z113">
        <v>0</v>
      </c>
      <c r="AA113">
        <v>0</v>
      </c>
      <c r="AB113" s="52">
        <v>0</v>
      </c>
      <c r="AC113">
        <v>0</v>
      </c>
      <c r="AD113">
        <v>0</v>
      </c>
      <c r="AE113">
        <v>0</v>
      </c>
      <c r="AF113">
        <v>0</v>
      </c>
      <c r="AG113" s="50">
        <v>0</v>
      </c>
      <c r="AH113">
        <v>15</v>
      </c>
      <c r="AI113">
        <v>50</v>
      </c>
      <c r="AJ113">
        <v>15</v>
      </c>
      <c r="AK113">
        <v>20</v>
      </c>
      <c r="AL113" s="50">
        <v>100</v>
      </c>
      <c r="AM113">
        <v>0</v>
      </c>
      <c r="AN113">
        <v>0</v>
      </c>
      <c r="AO113">
        <v>0</v>
      </c>
      <c r="AP113" s="50">
        <v>0</v>
      </c>
      <c r="AQ113" s="11" t="s">
        <v>51</v>
      </c>
      <c r="AR113" s="11" t="s">
        <v>51</v>
      </c>
      <c r="AS113" s="11" t="s">
        <v>51</v>
      </c>
      <c r="AT113" s="50">
        <v>0</v>
      </c>
      <c r="AU113" s="18">
        <v>2</v>
      </c>
      <c r="AV113" s="18">
        <v>0</v>
      </c>
      <c r="AW113" s="18">
        <v>0</v>
      </c>
      <c r="AX113" s="18">
        <v>0</v>
      </c>
      <c r="AY113" s="54">
        <f t="shared" si="2"/>
        <v>2</v>
      </c>
      <c r="AZ113" t="s">
        <v>87</v>
      </c>
      <c r="BA113" s="38">
        <v>93.490000000000009</v>
      </c>
    </row>
    <row r="114" spans="1:53" x14ac:dyDescent="0.25">
      <c r="A114" s="39" t="s">
        <v>46</v>
      </c>
      <c r="B114" t="s">
        <v>575</v>
      </c>
      <c r="C114" t="s">
        <v>576</v>
      </c>
      <c r="D114" t="s">
        <v>577</v>
      </c>
      <c r="E114">
        <v>31</v>
      </c>
      <c r="F114" t="s">
        <v>957</v>
      </c>
      <c r="G114" t="s">
        <v>949</v>
      </c>
      <c r="H114" t="s">
        <v>944</v>
      </c>
      <c r="I114" t="s">
        <v>950</v>
      </c>
      <c r="J114" t="s">
        <v>946</v>
      </c>
      <c r="K114" t="s">
        <v>958</v>
      </c>
      <c r="L114" s="11">
        <v>25</v>
      </c>
      <c r="M114" s="11">
        <v>0</v>
      </c>
      <c r="N114" s="11">
        <v>61.35</v>
      </c>
      <c r="O114" s="11">
        <v>6.25</v>
      </c>
      <c r="P114" s="50">
        <v>92.6</v>
      </c>
      <c r="Q114" s="11">
        <v>0</v>
      </c>
      <c r="R114" s="11">
        <v>0</v>
      </c>
      <c r="S114" s="11">
        <v>0</v>
      </c>
      <c r="T114" s="50">
        <v>0</v>
      </c>
      <c r="U114" s="11">
        <v>0</v>
      </c>
      <c r="V114" s="11">
        <v>0</v>
      </c>
      <c r="W114" s="11">
        <v>0</v>
      </c>
      <c r="X114" s="11">
        <v>0</v>
      </c>
      <c r="Y114" s="50">
        <v>0</v>
      </c>
      <c r="Z114">
        <v>0</v>
      </c>
      <c r="AA114">
        <v>0</v>
      </c>
      <c r="AB114" s="52">
        <v>0</v>
      </c>
      <c r="AC114">
        <v>0</v>
      </c>
      <c r="AD114">
        <v>0</v>
      </c>
      <c r="AE114">
        <v>0</v>
      </c>
      <c r="AF114">
        <v>0</v>
      </c>
      <c r="AG114" s="50">
        <v>0</v>
      </c>
      <c r="AH114">
        <v>3.75</v>
      </c>
      <c r="AI114">
        <v>12.5</v>
      </c>
      <c r="AJ114">
        <v>15</v>
      </c>
      <c r="AK114">
        <v>20</v>
      </c>
      <c r="AL114" s="50">
        <v>51.25</v>
      </c>
      <c r="AM114">
        <v>0</v>
      </c>
      <c r="AN114">
        <v>0</v>
      </c>
      <c r="AO114">
        <v>0</v>
      </c>
      <c r="AP114" s="50">
        <v>0</v>
      </c>
      <c r="AQ114" s="11" t="s">
        <v>51</v>
      </c>
      <c r="AR114" s="11" t="s">
        <v>51</v>
      </c>
      <c r="AS114" s="11" t="s">
        <v>51</v>
      </c>
      <c r="AT114" s="50">
        <v>0</v>
      </c>
      <c r="AU114" s="18">
        <v>35</v>
      </c>
      <c r="AV114" s="18">
        <v>5</v>
      </c>
      <c r="AW114" s="18">
        <v>0</v>
      </c>
      <c r="AX114" s="18">
        <v>0</v>
      </c>
      <c r="AY114" s="54">
        <f t="shared" si="2"/>
        <v>40</v>
      </c>
      <c r="AZ114" t="s">
        <v>52</v>
      </c>
      <c r="BA114" s="38">
        <v>87.431250000000006</v>
      </c>
    </row>
    <row r="115" spans="1:53" x14ac:dyDescent="0.25">
      <c r="A115" s="39" t="s">
        <v>46</v>
      </c>
      <c r="B115" t="s">
        <v>583</v>
      </c>
      <c r="C115" t="s">
        <v>584</v>
      </c>
      <c r="D115" t="s">
        <v>585</v>
      </c>
      <c r="E115">
        <v>59</v>
      </c>
      <c r="F115" t="s">
        <v>1002</v>
      </c>
      <c r="G115" t="s">
        <v>943</v>
      </c>
      <c r="H115" t="s">
        <v>944</v>
      </c>
      <c r="I115" t="s">
        <v>977</v>
      </c>
      <c r="J115" t="s">
        <v>946</v>
      </c>
      <c r="K115" t="s">
        <v>962</v>
      </c>
      <c r="L115" s="11">
        <v>20</v>
      </c>
      <c r="M115" s="11">
        <v>15.67</v>
      </c>
      <c r="N115" s="11">
        <v>46.03</v>
      </c>
      <c r="O115" s="11">
        <v>7.5</v>
      </c>
      <c r="P115" s="50">
        <v>89.2</v>
      </c>
      <c r="Q115" s="11">
        <v>0</v>
      </c>
      <c r="R115" s="11">
        <v>0</v>
      </c>
      <c r="S115" s="11">
        <v>0</v>
      </c>
      <c r="T115" s="50">
        <v>0</v>
      </c>
      <c r="U115" s="11">
        <v>0</v>
      </c>
      <c r="V115" s="11">
        <v>0</v>
      </c>
      <c r="W115" s="11">
        <v>0</v>
      </c>
      <c r="X115" s="11">
        <v>0</v>
      </c>
      <c r="Y115" s="50">
        <v>0</v>
      </c>
      <c r="Z115">
        <v>0</v>
      </c>
      <c r="AA115">
        <v>0</v>
      </c>
      <c r="AB115" s="52">
        <v>0</v>
      </c>
      <c r="AC115">
        <v>0</v>
      </c>
      <c r="AD115">
        <v>0</v>
      </c>
      <c r="AE115">
        <v>0</v>
      </c>
      <c r="AF115">
        <v>0</v>
      </c>
      <c r="AG115" s="50">
        <v>0</v>
      </c>
      <c r="AH115">
        <v>0</v>
      </c>
      <c r="AI115">
        <v>0</v>
      </c>
      <c r="AJ115">
        <v>0</v>
      </c>
      <c r="AK115">
        <v>0</v>
      </c>
      <c r="AL115" s="50">
        <v>0</v>
      </c>
      <c r="AM115">
        <v>0</v>
      </c>
      <c r="AN115">
        <v>0</v>
      </c>
      <c r="AO115">
        <v>0</v>
      </c>
      <c r="AP115" s="50">
        <v>0</v>
      </c>
      <c r="AQ115" s="11" t="s">
        <v>51</v>
      </c>
      <c r="AR115" s="11" t="s">
        <v>51</v>
      </c>
      <c r="AS115" s="11" t="s">
        <v>51</v>
      </c>
      <c r="AT115" s="50">
        <v>0</v>
      </c>
      <c r="AU115" s="18">
        <v>6</v>
      </c>
      <c r="AV115" s="18">
        <v>0</v>
      </c>
      <c r="AW115" s="18">
        <v>0</v>
      </c>
      <c r="AX115" s="18">
        <v>0</v>
      </c>
      <c r="AY115" s="54">
        <f t="shared" si="2"/>
        <v>6</v>
      </c>
      <c r="AZ115" t="s">
        <v>52</v>
      </c>
      <c r="BA115" s="38">
        <v>89.2</v>
      </c>
    </row>
    <row r="116" spans="1:53" x14ac:dyDescent="0.25">
      <c r="A116" s="39" t="s">
        <v>46</v>
      </c>
      <c r="B116" t="s">
        <v>587</v>
      </c>
      <c r="C116" t="s">
        <v>588</v>
      </c>
      <c r="D116" t="s">
        <v>589</v>
      </c>
      <c r="E116">
        <v>37</v>
      </c>
      <c r="F116" t="s">
        <v>1017</v>
      </c>
      <c r="G116" t="s">
        <v>943</v>
      </c>
      <c r="H116" t="s">
        <v>944</v>
      </c>
      <c r="I116" t="s">
        <v>950</v>
      </c>
      <c r="J116" t="s">
        <v>955</v>
      </c>
      <c r="K116" t="s">
        <v>962</v>
      </c>
      <c r="L116" s="11">
        <v>20</v>
      </c>
      <c r="M116" s="11">
        <v>19</v>
      </c>
      <c r="N116" s="11">
        <v>48.47</v>
      </c>
      <c r="O116" s="11">
        <v>4</v>
      </c>
      <c r="P116" s="50">
        <v>91.47</v>
      </c>
      <c r="Q116" s="11">
        <v>0</v>
      </c>
      <c r="R116" s="11">
        <v>0</v>
      </c>
      <c r="S116" s="11">
        <v>0</v>
      </c>
      <c r="T116" s="50">
        <v>0</v>
      </c>
      <c r="U116" s="11">
        <v>0</v>
      </c>
      <c r="V116" s="11">
        <v>0</v>
      </c>
      <c r="W116" s="11">
        <v>0</v>
      </c>
      <c r="X116" s="11">
        <v>0</v>
      </c>
      <c r="Y116" s="50">
        <v>0</v>
      </c>
      <c r="Z116">
        <v>0</v>
      </c>
      <c r="AA116">
        <v>0</v>
      </c>
      <c r="AB116" s="52">
        <v>0</v>
      </c>
      <c r="AC116">
        <v>0</v>
      </c>
      <c r="AD116">
        <v>0</v>
      </c>
      <c r="AE116">
        <v>0</v>
      </c>
      <c r="AF116">
        <v>0</v>
      </c>
      <c r="AG116" s="50">
        <v>0</v>
      </c>
      <c r="AH116">
        <v>0</v>
      </c>
      <c r="AI116">
        <v>0</v>
      </c>
      <c r="AJ116">
        <v>0</v>
      </c>
      <c r="AK116">
        <v>0</v>
      </c>
      <c r="AL116" s="50">
        <v>0</v>
      </c>
      <c r="AM116">
        <v>0</v>
      </c>
      <c r="AN116">
        <v>0</v>
      </c>
      <c r="AO116">
        <v>0</v>
      </c>
      <c r="AP116" s="50">
        <v>0</v>
      </c>
      <c r="AQ116" s="11" t="s">
        <v>51</v>
      </c>
      <c r="AR116" s="11" t="s">
        <v>51</v>
      </c>
      <c r="AS116" s="11" t="s">
        <v>51</v>
      </c>
      <c r="AT116" s="50">
        <v>0</v>
      </c>
      <c r="AU116" s="18">
        <v>7</v>
      </c>
      <c r="AV116" s="18">
        <v>0</v>
      </c>
      <c r="AW116" s="18">
        <v>0</v>
      </c>
      <c r="AX116" s="18">
        <v>0</v>
      </c>
      <c r="AY116" s="54">
        <f t="shared" si="2"/>
        <v>7</v>
      </c>
      <c r="AZ116" t="s">
        <v>52</v>
      </c>
      <c r="BA116" s="38">
        <v>91.47</v>
      </c>
    </row>
    <row r="117" spans="1:53" x14ac:dyDescent="0.25">
      <c r="A117" s="39" t="s">
        <v>46</v>
      </c>
      <c r="B117" t="s">
        <v>599</v>
      </c>
      <c r="C117" t="s">
        <v>600</v>
      </c>
      <c r="D117" t="s">
        <v>601</v>
      </c>
      <c r="E117">
        <v>36</v>
      </c>
      <c r="F117" t="s">
        <v>957</v>
      </c>
      <c r="G117" t="s">
        <v>949</v>
      </c>
      <c r="H117" t="s">
        <v>944</v>
      </c>
      <c r="I117" t="s">
        <v>950</v>
      </c>
      <c r="J117" t="s">
        <v>946</v>
      </c>
      <c r="K117" t="s">
        <v>992</v>
      </c>
      <c r="L117" s="11">
        <v>20</v>
      </c>
      <c r="M117" s="11">
        <v>20</v>
      </c>
      <c r="N117" s="11">
        <v>38.270000000000003</v>
      </c>
      <c r="O117" s="11">
        <v>5.5</v>
      </c>
      <c r="P117" s="50">
        <v>83.77000000000001</v>
      </c>
      <c r="Q117" s="11">
        <v>0</v>
      </c>
      <c r="R117" s="11">
        <v>0</v>
      </c>
      <c r="S117" s="11">
        <v>0</v>
      </c>
      <c r="T117" s="50">
        <v>0</v>
      </c>
      <c r="U117" s="11">
        <v>0</v>
      </c>
      <c r="V117" s="11">
        <v>0</v>
      </c>
      <c r="W117" s="11">
        <v>0</v>
      </c>
      <c r="X117" s="11">
        <v>0</v>
      </c>
      <c r="Y117" s="50">
        <v>0</v>
      </c>
      <c r="Z117">
        <v>0</v>
      </c>
      <c r="AA117">
        <v>0</v>
      </c>
      <c r="AB117" s="52">
        <v>0</v>
      </c>
      <c r="AC117">
        <v>0</v>
      </c>
      <c r="AD117">
        <v>0</v>
      </c>
      <c r="AE117">
        <v>0</v>
      </c>
      <c r="AF117">
        <v>0</v>
      </c>
      <c r="AG117" s="50">
        <v>0</v>
      </c>
      <c r="AH117">
        <v>3.75</v>
      </c>
      <c r="AI117">
        <v>12.5</v>
      </c>
      <c r="AJ117">
        <v>15</v>
      </c>
      <c r="AK117">
        <v>20</v>
      </c>
      <c r="AL117" s="50">
        <v>51.25</v>
      </c>
      <c r="AM117">
        <v>0</v>
      </c>
      <c r="AN117">
        <v>0</v>
      </c>
      <c r="AO117">
        <v>0</v>
      </c>
      <c r="AP117" s="50">
        <v>0</v>
      </c>
      <c r="AQ117" s="11" t="s">
        <v>51</v>
      </c>
      <c r="AR117" s="11">
        <v>37.5</v>
      </c>
      <c r="AS117" s="11">
        <v>47.387500000000003</v>
      </c>
      <c r="AT117" s="50">
        <v>84.887500000000003</v>
      </c>
      <c r="AU117" s="18">
        <v>32</v>
      </c>
      <c r="AV117" s="18">
        <v>5</v>
      </c>
      <c r="AW117" s="18">
        <v>3</v>
      </c>
      <c r="AX117" s="18">
        <v>0</v>
      </c>
      <c r="AY117" s="54">
        <f t="shared" si="2"/>
        <v>40</v>
      </c>
      <c r="AZ117" t="s">
        <v>52</v>
      </c>
      <c r="BA117" s="38">
        <v>79.788812500000006</v>
      </c>
    </row>
    <row r="118" spans="1:53" x14ac:dyDescent="0.25">
      <c r="A118" s="39" t="s">
        <v>46</v>
      </c>
      <c r="B118" t="s">
        <v>603</v>
      </c>
      <c r="C118" t="s">
        <v>604</v>
      </c>
      <c r="D118" t="s">
        <v>605</v>
      </c>
      <c r="E118">
        <v>53</v>
      </c>
      <c r="F118" t="s">
        <v>1019</v>
      </c>
      <c r="G118" t="s">
        <v>943</v>
      </c>
      <c r="H118" t="s">
        <v>944</v>
      </c>
      <c r="I118" t="s">
        <v>950</v>
      </c>
      <c r="J118" t="s">
        <v>946</v>
      </c>
      <c r="K118" t="s">
        <v>956</v>
      </c>
      <c r="L118" s="11">
        <v>19.329999999999998</v>
      </c>
      <c r="M118" s="11">
        <v>19</v>
      </c>
      <c r="N118" s="11">
        <v>45.65</v>
      </c>
      <c r="O118" s="11">
        <v>6</v>
      </c>
      <c r="P118" s="50">
        <v>89.97999999999999</v>
      </c>
      <c r="Q118" s="11">
        <v>0</v>
      </c>
      <c r="R118" s="11">
        <v>0</v>
      </c>
      <c r="S118" s="11">
        <v>0</v>
      </c>
      <c r="T118" s="50">
        <v>0</v>
      </c>
      <c r="U118" s="11">
        <v>0</v>
      </c>
      <c r="V118" s="11">
        <v>0</v>
      </c>
      <c r="W118" s="11">
        <v>0</v>
      </c>
      <c r="X118" s="11">
        <v>0</v>
      </c>
      <c r="Y118" s="50">
        <v>0</v>
      </c>
      <c r="Z118">
        <v>0</v>
      </c>
      <c r="AA118">
        <v>0</v>
      </c>
      <c r="AB118" s="52">
        <v>0</v>
      </c>
      <c r="AC118">
        <v>0</v>
      </c>
      <c r="AD118">
        <v>0</v>
      </c>
      <c r="AE118">
        <v>0</v>
      </c>
      <c r="AF118">
        <v>0</v>
      </c>
      <c r="AG118" s="50">
        <v>0</v>
      </c>
      <c r="AH118">
        <v>0</v>
      </c>
      <c r="AI118">
        <v>0</v>
      </c>
      <c r="AJ118">
        <v>0</v>
      </c>
      <c r="AK118">
        <v>0</v>
      </c>
      <c r="AL118" s="50">
        <v>0</v>
      </c>
      <c r="AM118">
        <v>0</v>
      </c>
      <c r="AN118">
        <v>0</v>
      </c>
      <c r="AO118">
        <v>0</v>
      </c>
      <c r="AP118" s="50">
        <v>0</v>
      </c>
      <c r="AQ118" s="11" t="s">
        <v>51</v>
      </c>
      <c r="AR118" s="11" t="s">
        <v>51</v>
      </c>
      <c r="AS118" s="11" t="s">
        <v>51</v>
      </c>
      <c r="AT118" s="50">
        <v>0</v>
      </c>
      <c r="AU118" s="18">
        <v>40</v>
      </c>
      <c r="AV118" s="18">
        <v>0</v>
      </c>
      <c r="AW118" s="18">
        <v>0</v>
      </c>
      <c r="AX118" s="18">
        <v>0</v>
      </c>
      <c r="AY118" s="54">
        <f t="shared" si="2"/>
        <v>40</v>
      </c>
      <c r="AZ118" t="s">
        <v>52</v>
      </c>
      <c r="BA118" s="38">
        <v>89.97999999999999</v>
      </c>
    </row>
    <row r="119" spans="1:53" x14ac:dyDescent="0.25">
      <c r="A119" s="39" t="s">
        <v>46</v>
      </c>
      <c r="B119" t="s">
        <v>607</v>
      </c>
      <c r="C119" t="s">
        <v>608</v>
      </c>
      <c r="D119" t="s">
        <v>609</v>
      </c>
      <c r="E119">
        <v>51</v>
      </c>
      <c r="F119" t="s">
        <v>987</v>
      </c>
      <c r="G119" t="s">
        <v>943</v>
      </c>
      <c r="H119" t="s">
        <v>944</v>
      </c>
      <c r="I119" t="s">
        <v>950</v>
      </c>
      <c r="J119" t="s">
        <v>946</v>
      </c>
      <c r="K119" t="s">
        <v>1013</v>
      </c>
      <c r="L119" s="11">
        <v>19.670000000000002</v>
      </c>
      <c r="M119" s="11">
        <v>18.670000000000002</v>
      </c>
      <c r="N119" s="11">
        <v>46.14</v>
      </c>
      <c r="O119" s="11">
        <v>4.5</v>
      </c>
      <c r="P119" s="50">
        <v>88.98</v>
      </c>
      <c r="Q119" s="11">
        <v>0</v>
      </c>
      <c r="R119" s="11">
        <v>0</v>
      </c>
      <c r="S119" s="11">
        <v>0</v>
      </c>
      <c r="T119" s="50">
        <v>0</v>
      </c>
      <c r="U119" s="11">
        <v>0</v>
      </c>
      <c r="V119" s="11">
        <v>0</v>
      </c>
      <c r="W119" s="11">
        <v>0</v>
      </c>
      <c r="X119" s="11">
        <v>0</v>
      </c>
      <c r="Y119" s="50">
        <v>0</v>
      </c>
      <c r="Z119">
        <v>0</v>
      </c>
      <c r="AA119">
        <v>0</v>
      </c>
      <c r="AB119" s="52">
        <v>0</v>
      </c>
      <c r="AC119">
        <v>0</v>
      </c>
      <c r="AD119">
        <v>0</v>
      </c>
      <c r="AE119">
        <v>0</v>
      </c>
      <c r="AF119">
        <v>0</v>
      </c>
      <c r="AG119" s="50">
        <v>0</v>
      </c>
      <c r="AH119">
        <v>0</v>
      </c>
      <c r="AI119">
        <v>0</v>
      </c>
      <c r="AJ119">
        <v>0</v>
      </c>
      <c r="AK119">
        <v>0</v>
      </c>
      <c r="AL119" s="50">
        <v>0</v>
      </c>
      <c r="AM119">
        <v>50</v>
      </c>
      <c r="AN119">
        <v>20</v>
      </c>
      <c r="AO119">
        <v>30</v>
      </c>
      <c r="AP119" s="50">
        <v>100</v>
      </c>
      <c r="AQ119" s="11" t="s">
        <v>51</v>
      </c>
      <c r="AR119" s="11" t="s">
        <v>51</v>
      </c>
      <c r="AS119" s="11" t="s">
        <v>51</v>
      </c>
      <c r="AT119" s="50">
        <v>0</v>
      </c>
      <c r="AU119" s="18">
        <v>32</v>
      </c>
      <c r="AV119" s="18">
        <v>0</v>
      </c>
      <c r="AW119" s="18">
        <v>0</v>
      </c>
      <c r="AX119" s="18">
        <v>8</v>
      </c>
      <c r="AY119" s="54">
        <f t="shared" si="2"/>
        <v>40</v>
      </c>
      <c r="AZ119" t="s">
        <v>52</v>
      </c>
      <c r="BA119" s="38">
        <v>91.183999999999997</v>
      </c>
    </row>
    <row r="120" spans="1:53" x14ac:dyDescent="0.25">
      <c r="A120" s="39" t="s">
        <v>46</v>
      </c>
      <c r="B120" t="s">
        <v>611</v>
      </c>
      <c r="C120" t="s">
        <v>612</v>
      </c>
      <c r="D120" t="s">
        <v>613</v>
      </c>
      <c r="E120">
        <v>69</v>
      </c>
      <c r="F120" t="s">
        <v>1020</v>
      </c>
      <c r="G120" t="s">
        <v>943</v>
      </c>
      <c r="H120" t="s">
        <v>944</v>
      </c>
      <c r="I120" t="s">
        <v>945</v>
      </c>
      <c r="J120" t="s">
        <v>946</v>
      </c>
      <c r="K120" t="s">
        <v>951</v>
      </c>
      <c r="L120" s="11">
        <v>18.329999999999998</v>
      </c>
      <c r="M120" s="11">
        <v>17</v>
      </c>
      <c r="N120" s="11">
        <v>38.380000000000003</v>
      </c>
      <c r="O120" s="11">
        <v>6</v>
      </c>
      <c r="P120" s="50">
        <v>79.710000000000008</v>
      </c>
      <c r="Q120" s="11">
        <v>0</v>
      </c>
      <c r="R120" s="11">
        <v>0</v>
      </c>
      <c r="S120" s="11">
        <v>0</v>
      </c>
      <c r="T120" s="50">
        <v>0</v>
      </c>
      <c r="U120" s="11">
        <v>0</v>
      </c>
      <c r="V120" s="11">
        <v>0</v>
      </c>
      <c r="W120" s="11">
        <v>0</v>
      </c>
      <c r="X120" s="11">
        <v>0</v>
      </c>
      <c r="Y120" s="50">
        <v>0</v>
      </c>
      <c r="Z120">
        <v>0</v>
      </c>
      <c r="AA120">
        <v>0</v>
      </c>
      <c r="AB120" s="52">
        <v>0</v>
      </c>
      <c r="AC120">
        <v>0</v>
      </c>
      <c r="AD120">
        <v>0</v>
      </c>
      <c r="AE120">
        <v>0</v>
      </c>
      <c r="AF120">
        <v>0</v>
      </c>
      <c r="AG120" s="50">
        <v>0</v>
      </c>
      <c r="AH120">
        <v>3.75</v>
      </c>
      <c r="AI120">
        <v>18.75</v>
      </c>
      <c r="AJ120">
        <v>15</v>
      </c>
      <c r="AK120">
        <v>18.75</v>
      </c>
      <c r="AL120" s="50">
        <v>56.25</v>
      </c>
      <c r="AM120">
        <v>0</v>
      </c>
      <c r="AN120">
        <v>0</v>
      </c>
      <c r="AO120">
        <v>0</v>
      </c>
      <c r="AP120" s="50">
        <v>0</v>
      </c>
      <c r="AQ120" s="11" t="s">
        <v>51</v>
      </c>
      <c r="AR120" s="11" t="s">
        <v>51</v>
      </c>
      <c r="AS120" s="11" t="s">
        <v>51</v>
      </c>
      <c r="AT120" s="50">
        <v>0</v>
      </c>
      <c r="AU120" s="18">
        <v>34</v>
      </c>
      <c r="AV120" s="18">
        <v>6</v>
      </c>
      <c r="AW120" s="18">
        <v>0</v>
      </c>
      <c r="AX120" s="18">
        <v>0</v>
      </c>
      <c r="AY120" s="54">
        <f t="shared" si="2"/>
        <v>40</v>
      </c>
      <c r="AZ120" t="s">
        <v>52</v>
      </c>
      <c r="BA120" s="38">
        <v>76.191000000000003</v>
      </c>
    </row>
    <row r="121" spans="1:53" x14ac:dyDescent="0.25">
      <c r="A121" s="39" t="s">
        <v>46</v>
      </c>
      <c r="B121" t="s">
        <v>615</v>
      </c>
      <c r="C121" t="s">
        <v>616</v>
      </c>
      <c r="D121" t="s">
        <v>176</v>
      </c>
      <c r="E121">
        <v>40</v>
      </c>
      <c r="F121" t="s">
        <v>1021</v>
      </c>
      <c r="G121" t="s">
        <v>949</v>
      </c>
      <c r="H121" t="s">
        <v>944</v>
      </c>
      <c r="I121" t="s">
        <v>945</v>
      </c>
      <c r="J121" t="s">
        <v>946</v>
      </c>
      <c r="K121" t="s">
        <v>960</v>
      </c>
      <c r="L121" s="11">
        <v>27.61428571428571</v>
      </c>
      <c r="M121" s="11">
        <v>0</v>
      </c>
      <c r="N121" s="11">
        <v>54.828571428571429</v>
      </c>
      <c r="O121" s="11">
        <v>0</v>
      </c>
      <c r="P121" s="50">
        <v>82.442857142857136</v>
      </c>
      <c r="Q121" s="11">
        <v>0</v>
      </c>
      <c r="R121" s="11">
        <v>0</v>
      </c>
      <c r="S121" s="11">
        <v>0</v>
      </c>
      <c r="T121" s="50">
        <v>0</v>
      </c>
      <c r="U121" s="11">
        <v>0</v>
      </c>
      <c r="V121" s="11">
        <v>0</v>
      </c>
      <c r="W121" s="11">
        <v>0</v>
      </c>
      <c r="X121" s="11">
        <v>0</v>
      </c>
      <c r="Y121" s="50">
        <v>0</v>
      </c>
      <c r="Z121">
        <v>0</v>
      </c>
      <c r="AA121">
        <v>0</v>
      </c>
      <c r="AB121" s="52">
        <v>0</v>
      </c>
      <c r="AC121">
        <v>0</v>
      </c>
      <c r="AD121">
        <v>0</v>
      </c>
      <c r="AE121">
        <v>0</v>
      </c>
      <c r="AF121">
        <v>0</v>
      </c>
      <c r="AG121" s="50">
        <v>0</v>
      </c>
      <c r="AH121">
        <v>0</v>
      </c>
      <c r="AI121">
        <v>0</v>
      </c>
      <c r="AJ121">
        <v>0</v>
      </c>
      <c r="AK121">
        <v>0</v>
      </c>
      <c r="AL121" s="50">
        <v>0</v>
      </c>
      <c r="AM121">
        <v>0</v>
      </c>
      <c r="AN121">
        <v>0</v>
      </c>
      <c r="AO121">
        <v>0</v>
      </c>
      <c r="AP121" s="50">
        <v>0</v>
      </c>
      <c r="AQ121" s="11" t="s">
        <v>51</v>
      </c>
      <c r="AR121" s="11" t="s">
        <v>51</v>
      </c>
      <c r="AS121" s="11" t="s">
        <v>51</v>
      </c>
      <c r="AT121" s="50">
        <v>0</v>
      </c>
      <c r="AU121" s="18">
        <v>3.5</v>
      </c>
      <c r="AV121" s="18">
        <v>0</v>
      </c>
      <c r="AW121" s="18">
        <v>0</v>
      </c>
      <c r="AX121" s="18">
        <v>0</v>
      </c>
      <c r="AY121" s="54">
        <f t="shared" si="2"/>
        <v>3.5</v>
      </c>
      <c r="AZ121" t="s">
        <v>52</v>
      </c>
      <c r="BA121" s="38">
        <v>82.442857142857136</v>
      </c>
    </row>
    <row r="122" spans="1:53" x14ac:dyDescent="0.25">
      <c r="A122" s="39" t="s">
        <v>46</v>
      </c>
      <c r="B122" t="s">
        <v>618</v>
      </c>
      <c r="C122" t="s">
        <v>619</v>
      </c>
      <c r="D122" t="s">
        <v>620</v>
      </c>
      <c r="E122">
        <v>49</v>
      </c>
      <c r="F122" t="s">
        <v>1018</v>
      </c>
      <c r="G122" t="s">
        <v>949</v>
      </c>
      <c r="H122" t="s">
        <v>944</v>
      </c>
      <c r="I122" t="s">
        <v>950</v>
      </c>
      <c r="J122" t="s">
        <v>955</v>
      </c>
      <c r="K122" t="s">
        <v>960</v>
      </c>
      <c r="L122" s="11">
        <v>20</v>
      </c>
      <c r="M122" s="11">
        <v>20</v>
      </c>
      <c r="N122" s="11">
        <v>39.82</v>
      </c>
      <c r="O122" s="11">
        <v>3</v>
      </c>
      <c r="P122" s="50">
        <v>82.82</v>
      </c>
      <c r="Q122" s="11">
        <v>0</v>
      </c>
      <c r="R122" s="11">
        <v>0</v>
      </c>
      <c r="S122" s="11">
        <v>0</v>
      </c>
      <c r="T122" s="50">
        <v>0</v>
      </c>
      <c r="U122" s="11">
        <v>0</v>
      </c>
      <c r="V122" s="11">
        <v>0</v>
      </c>
      <c r="W122" s="11">
        <v>0</v>
      </c>
      <c r="X122" s="11">
        <v>0</v>
      </c>
      <c r="Y122" s="50">
        <v>0</v>
      </c>
      <c r="Z122">
        <v>0</v>
      </c>
      <c r="AA122">
        <v>0</v>
      </c>
      <c r="AB122" s="52">
        <v>0</v>
      </c>
      <c r="AC122">
        <v>0</v>
      </c>
      <c r="AD122">
        <v>0</v>
      </c>
      <c r="AE122">
        <v>0</v>
      </c>
      <c r="AF122">
        <v>0</v>
      </c>
      <c r="AG122" s="50">
        <v>0</v>
      </c>
      <c r="AH122">
        <v>0</v>
      </c>
      <c r="AI122">
        <v>0</v>
      </c>
      <c r="AJ122">
        <v>0</v>
      </c>
      <c r="AK122">
        <v>0</v>
      </c>
      <c r="AL122" s="50">
        <v>0</v>
      </c>
      <c r="AM122">
        <v>0</v>
      </c>
      <c r="AN122">
        <v>0</v>
      </c>
      <c r="AO122">
        <v>0</v>
      </c>
      <c r="AP122" s="50">
        <v>0</v>
      </c>
      <c r="AQ122" s="11" t="s">
        <v>51</v>
      </c>
      <c r="AR122" s="11" t="s">
        <v>51</v>
      </c>
      <c r="AS122" s="11" t="s">
        <v>51</v>
      </c>
      <c r="AT122" s="50">
        <v>0</v>
      </c>
      <c r="AU122" s="18">
        <v>2</v>
      </c>
      <c r="AV122" s="18">
        <v>0</v>
      </c>
      <c r="AW122" s="18">
        <v>0</v>
      </c>
      <c r="AX122" s="18">
        <v>0</v>
      </c>
      <c r="AY122" s="54">
        <f t="shared" si="2"/>
        <v>2</v>
      </c>
      <c r="AZ122" t="s">
        <v>52</v>
      </c>
      <c r="BA122" s="38">
        <v>82.82</v>
      </c>
    </row>
    <row r="123" spans="1:53" x14ac:dyDescent="0.25">
      <c r="A123" s="39" t="s">
        <v>46</v>
      </c>
      <c r="B123" t="s">
        <v>622</v>
      </c>
      <c r="C123" t="s">
        <v>623</v>
      </c>
      <c r="D123" t="s">
        <v>624</v>
      </c>
      <c r="E123">
        <v>56</v>
      </c>
      <c r="F123" t="s">
        <v>1001</v>
      </c>
      <c r="G123" t="s">
        <v>949</v>
      </c>
      <c r="H123" t="s">
        <v>944</v>
      </c>
      <c r="I123" t="s">
        <v>977</v>
      </c>
      <c r="J123" t="s">
        <v>955</v>
      </c>
      <c r="K123" t="s">
        <v>1022</v>
      </c>
      <c r="L123" s="11">
        <v>18.670000000000002</v>
      </c>
      <c r="M123" s="11">
        <v>19</v>
      </c>
      <c r="N123" s="11">
        <v>44.21</v>
      </c>
      <c r="O123" s="11">
        <v>4</v>
      </c>
      <c r="P123" s="50">
        <v>85.88</v>
      </c>
      <c r="Q123" s="11">
        <v>55.94</v>
      </c>
      <c r="R123" s="11">
        <v>27.5</v>
      </c>
      <c r="S123" s="11">
        <v>4</v>
      </c>
      <c r="T123" s="50">
        <v>87.44</v>
      </c>
      <c r="U123" s="11">
        <v>0</v>
      </c>
      <c r="V123" s="11">
        <v>0</v>
      </c>
      <c r="W123" s="11">
        <v>0</v>
      </c>
      <c r="X123" s="11">
        <v>0</v>
      </c>
      <c r="Y123" s="50">
        <v>0</v>
      </c>
      <c r="Z123">
        <v>0</v>
      </c>
      <c r="AA123">
        <v>0</v>
      </c>
      <c r="AB123" s="52">
        <v>0</v>
      </c>
      <c r="AC123">
        <v>0</v>
      </c>
      <c r="AD123">
        <v>0</v>
      </c>
      <c r="AE123">
        <v>0</v>
      </c>
      <c r="AF123">
        <v>0</v>
      </c>
      <c r="AG123" s="50">
        <v>0</v>
      </c>
      <c r="AH123">
        <v>0</v>
      </c>
      <c r="AI123">
        <v>0</v>
      </c>
      <c r="AJ123">
        <v>0</v>
      </c>
      <c r="AK123">
        <v>0</v>
      </c>
      <c r="AL123" s="50">
        <v>0</v>
      </c>
      <c r="AM123">
        <v>0</v>
      </c>
      <c r="AN123">
        <v>0</v>
      </c>
      <c r="AO123">
        <v>0</v>
      </c>
      <c r="AP123" s="50">
        <v>0</v>
      </c>
      <c r="AQ123" s="11" t="s">
        <v>51</v>
      </c>
      <c r="AR123" s="11" t="s">
        <v>51</v>
      </c>
      <c r="AS123" s="11" t="s">
        <v>51</v>
      </c>
      <c r="AT123" s="50">
        <v>0</v>
      </c>
      <c r="AU123" s="18">
        <v>7</v>
      </c>
      <c r="AV123" s="18">
        <v>0</v>
      </c>
      <c r="AW123" s="18">
        <v>0</v>
      </c>
      <c r="AX123" s="18">
        <v>0</v>
      </c>
      <c r="AY123" s="54">
        <f t="shared" si="2"/>
        <v>7</v>
      </c>
      <c r="AZ123" t="s">
        <v>52</v>
      </c>
      <c r="BA123" s="38">
        <v>85.88</v>
      </c>
    </row>
    <row r="124" spans="1:53" x14ac:dyDescent="0.25">
      <c r="A124" s="39" t="s">
        <v>46</v>
      </c>
      <c r="B124" t="s">
        <v>622</v>
      </c>
      <c r="C124" t="s">
        <v>623</v>
      </c>
      <c r="D124" t="s">
        <v>624</v>
      </c>
      <c r="E124">
        <v>56</v>
      </c>
      <c r="F124" t="s">
        <v>1001</v>
      </c>
      <c r="G124" t="s">
        <v>949</v>
      </c>
      <c r="H124" t="s">
        <v>944</v>
      </c>
      <c r="I124" t="s">
        <v>977</v>
      </c>
      <c r="J124" t="s">
        <v>955</v>
      </c>
      <c r="K124" t="s">
        <v>1022</v>
      </c>
      <c r="L124" s="11">
        <v>18.670000000000002</v>
      </c>
      <c r="M124" s="11">
        <v>19</v>
      </c>
      <c r="N124" s="11">
        <v>44.21</v>
      </c>
      <c r="O124" s="11">
        <v>4</v>
      </c>
      <c r="P124" s="50">
        <v>85.88</v>
      </c>
      <c r="Q124" s="11">
        <v>55.94</v>
      </c>
      <c r="R124" s="11">
        <v>27.5</v>
      </c>
      <c r="S124" s="11">
        <v>4</v>
      </c>
      <c r="T124" s="50">
        <v>87.44</v>
      </c>
      <c r="U124" s="11">
        <v>0</v>
      </c>
      <c r="V124" s="11">
        <v>0</v>
      </c>
      <c r="W124" s="11">
        <v>0</v>
      </c>
      <c r="X124" s="11">
        <v>0</v>
      </c>
      <c r="Y124" s="50">
        <v>0</v>
      </c>
      <c r="Z124">
        <v>0</v>
      </c>
      <c r="AA124">
        <v>0</v>
      </c>
      <c r="AB124" s="52">
        <v>0</v>
      </c>
      <c r="AC124">
        <v>0</v>
      </c>
      <c r="AD124">
        <v>0</v>
      </c>
      <c r="AE124">
        <v>0</v>
      </c>
      <c r="AF124">
        <v>0</v>
      </c>
      <c r="AG124" s="50">
        <v>0</v>
      </c>
      <c r="AH124">
        <v>0</v>
      </c>
      <c r="AI124">
        <v>0</v>
      </c>
      <c r="AJ124">
        <v>0</v>
      </c>
      <c r="AK124">
        <v>0</v>
      </c>
      <c r="AL124" s="50">
        <v>0</v>
      </c>
      <c r="AM124">
        <v>0</v>
      </c>
      <c r="AN124">
        <v>0</v>
      </c>
      <c r="AO124">
        <v>0</v>
      </c>
      <c r="AP124" s="50">
        <v>0</v>
      </c>
      <c r="AQ124" s="11" t="s">
        <v>51</v>
      </c>
      <c r="AR124" s="11" t="s">
        <v>51</v>
      </c>
      <c r="AS124" s="11" t="s">
        <v>51</v>
      </c>
      <c r="AT124" s="50">
        <v>0</v>
      </c>
      <c r="AU124" s="18">
        <v>2.625</v>
      </c>
      <c r="AV124" s="18">
        <v>0</v>
      </c>
      <c r="AW124" s="18">
        <v>0</v>
      </c>
      <c r="AX124" s="18">
        <v>0</v>
      </c>
      <c r="AY124" s="54">
        <f t="shared" si="2"/>
        <v>2.625</v>
      </c>
      <c r="AZ124" t="s">
        <v>87</v>
      </c>
      <c r="BA124" s="38">
        <v>87.44</v>
      </c>
    </row>
    <row r="125" spans="1:53" x14ac:dyDescent="0.25">
      <c r="A125" s="39" t="s">
        <v>46</v>
      </c>
      <c r="B125" t="s">
        <v>631</v>
      </c>
      <c r="C125" t="s">
        <v>632</v>
      </c>
      <c r="D125" t="s">
        <v>633</v>
      </c>
      <c r="E125">
        <v>49</v>
      </c>
      <c r="F125" t="s">
        <v>971</v>
      </c>
      <c r="G125" t="s">
        <v>943</v>
      </c>
      <c r="H125" t="s">
        <v>944</v>
      </c>
      <c r="I125" t="s">
        <v>950</v>
      </c>
      <c r="J125" t="s">
        <v>946</v>
      </c>
      <c r="K125" t="s">
        <v>962</v>
      </c>
      <c r="L125" s="11">
        <v>20</v>
      </c>
      <c r="M125" s="11">
        <v>20</v>
      </c>
      <c r="N125" s="11">
        <v>42.13</v>
      </c>
      <c r="O125" s="11">
        <v>5</v>
      </c>
      <c r="P125" s="50">
        <v>87.13</v>
      </c>
      <c r="Q125" s="11">
        <v>0</v>
      </c>
      <c r="R125" s="11">
        <v>0</v>
      </c>
      <c r="S125" s="11">
        <v>0</v>
      </c>
      <c r="T125" s="50">
        <v>0</v>
      </c>
      <c r="U125" s="11">
        <v>0</v>
      </c>
      <c r="V125" s="11">
        <v>0</v>
      </c>
      <c r="W125" s="11">
        <v>0</v>
      </c>
      <c r="X125" s="11">
        <v>0</v>
      </c>
      <c r="Y125" s="50">
        <v>0</v>
      </c>
      <c r="Z125">
        <v>0</v>
      </c>
      <c r="AA125">
        <v>0</v>
      </c>
      <c r="AB125" s="52">
        <v>0</v>
      </c>
      <c r="AC125">
        <v>0</v>
      </c>
      <c r="AD125">
        <v>0</v>
      </c>
      <c r="AE125">
        <v>0</v>
      </c>
      <c r="AF125">
        <v>0</v>
      </c>
      <c r="AG125" s="50">
        <v>0</v>
      </c>
      <c r="AH125">
        <v>0</v>
      </c>
      <c r="AI125">
        <v>0</v>
      </c>
      <c r="AJ125">
        <v>0</v>
      </c>
      <c r="AK125">
        <v>0</v>
      </c>
      <c r="AL125" s="50">
        <v>0</v>
      </c>
      <c r="AM125">
        <v>0</v>
      </c>
      <c r="AN125">
        <v>0</v>
      </c>
      <c r="AO125">
        <v>0</v>
      </c>
      <c r="AP125" s="50">
        <v>0</v>
      </c>
      <c r="AQ125" s="11" t="s">
        <v>51</v>
      </c>
      <c r="AR125" s="11" t="s">
        <v>51</v>
      </c>
      <c r="AS125" s="11" t="s">
        <v>51</v>
      </c>
      <c r="AT125" s="50">
        <v>0</v>
      </c>
      <c r="AU125" s="18">
        <v>40</v>
      </c>
      <c r="AV125" s="18">
        <v>0</v>
      </c>
      <c r="AW125" s="18">
        <v>0</v>
      </c>
      <c r="AX125" s="18">
        <v>0</v>
      </c>
      <c r="AY125" s="54">
        <f t="shared" si="2"/>
        <v>40</v>
      </c>
      <c r="AZ125" t="s">
        <v>52</v>
      </c>
      <c r="BA125" s="38">
        <v>87.13</v>
      </c>
    </row>
    <row r="126" spans="1:53" x14ac:dyDescent="0.25">
      <c r="A126" s="39" t="s">
        <v>46</v>
      </c>
      <c r="B126" t="s">
        <v>635</v>
      </c>
      <c r="C126" t="s">
        <v>636</v>
      </c>
      <c r="D126" t="s">
        <v>637</v>
      </c>
      <c r="E126">
        <v>39</v>
      </c>
      <c r="F126" t="s">
        <v>1023</v>
      </c>
      <c r="G126" t="s">
        <v>949</v>
      </c>
      <c r="H126" t="s">
        <v>944</v>
      </c>
      <c r="I126" t="s">
        <v>950</v>
      </c>
      <c r="J126" t="s">
        <v>946</v>
      </c>
      <c r="K126" t="s">
        <v>1005</v>
      </c>
      <c r="L126" s="11">
        <v>18.5</v>
      </c>
      <c r="M126" s="11">
        <v>13.67</v>
      </c>
      <c r="N126" s="11">
        <v>37.119999999999997</v>
      </c>
      <c r="O126" s="11">
        <v>4.5</v>
      </c>
      <c r="P126" s="50">
        <v>73.789999999999992</v>
      </c>
      <c r="Q126" s="11">
        <v>0</v>
      </c>
      <c r="R126" s="11">
        <v>0</v>
      </c>
      <c r="S126" s="11">
        <v>0</v>
      </c>
      <c r="T126" s="50">
        <v>0</v>
      </c>
      <c r="U126" s="11">
        <v>0</v>
      </c>
      <c r="V126" s="11">
        <v>0</v>
      </c>
      <c r="W126" s="11">
        <v>0</v>
      </c>
      <c r="X126" s="11">
        <v>0</v>
      </c>
      <c r="Y126" s="50">
        <v>0</v>
      </c>
      <c r="Z126">
        <v>0</v>
      </c>
      <c r="AA126">
        <v>0</v>
      </c>
      <c r="AB126" s="52">
        <v>0</v>
      </c>
      <c r="AC126">
        <v>0</v>
      </c>
      <c r="AD126">
        <v>0</v>
      </c>
      <c r="AE126">
        <v>0</v>
      </c>
      <c r="AF126">
        <v>0</v>
      </c>
      <c r="AG126" s="50">
        <v>0</v>
      </c>
      <c r="AH126">
        <v>0</v>
      </c>
      <c r="AI126">
        <v>0</v>
      </c>
      <c r="AJ126">
        <v>0</v>
      </c>
      <c r="AK126">
        <v>0</v>
      </c>
      <c r="AL126" s="50">
        <v>0</v>
      </c>
      <c r="AM126">
        <v>0</v>
      </c>
      <c r="AN126">
        <v>0</v>
      </c>
      <c r="AO126">
        <v>0</v>
      </c>
      <c r="AP126" s="50">
        <v>0</v>
      </c>
      <c r="AQ126" s="11" t="s">
        <v>51</v>
      </c>
      <c r="AR126" s="11" t="s">
        <v>51</v>
      </c>
      <c r="AS126" s="11" t="s">
        <v>51</v>
      </c>
      <c r="AT126" s="50">
        <v>0</v>
      </c>
      <c r="AU126" s="18">
        <v>40</v>
      </c>
      <c r="AV126" s="18">
        <v>0</v>
      </c>
      <c r="AW126" s="18">
        <v>0</v>
      </c>
      <c r="AX126" s="18">
        <v>0</v>
      </c>
      <c r="AY126" s="54">
        <f t="shared" si="2"/>
        <v>40</v>
      </c>
      <c r="AZ126" t="s">
        <v>52</v>
      </c>
      <c r="BA126" s="38">
        <v>73.789999999999992</v>
      </c>
    </row>
    <row r="127" spans="1:53" x14ac:dyDescent="0.25">
      <c r="A127" s="39" t="s">
        <v>46</v>
      </c>
      <c r="B127" t="s">
        <v>639</v>
      </c>
      <c r="C127" t="s">
        <v>640</v>
      </c>
      <c r="D127" t="s">
        <v>641</v>
      </c>
      <c r="E127">
        <v>52</v>
      </c>
      <c r="F127" t="s">
        <v>1024</v>
      </c>
      <c r="G127" t="s">
        <v>949</v>
      </c>
      <c r="H127" t="s">
        <v>944</v>
      </c>
      <c r="I127" t="s">
        <v>950</v>
      </c>
      <c r="J127" t="s">
        <v>946</v>
      </c>
      <c r="K127" t="s">
        <v>962</v>
      </c>
      <c r="L127" s="11">
        <v>17.440000000000005</v>
      </c>
      <c r="M127" s="11">
        <v>20</v>
      </c>
      <c r="N127" s="11">
        <v>45.16</v>
      </c>
      <c r="O127" s="11">
        <v>3.5</v>
      </c>
      <c r="P127" s="50">
        <v>86.1</v>
      </c>
      <c r="Q127" s="11">
        <v>0</v>
      </c>
      <c r="R127" s="11">
        <v>0</v>
      </c>
      <c r="S127" s="11">
        <v>0</v>
      </c>
      <c r="T127" s="50">
        <v>0</v>
      </c>
      <c r="U127" s="11">
        <v>0</v>
      </c>
      <c r="V127" s="11">
        <v>0</v>
      </c>
      <c r="W127" s="11">
        <v>0</v>
      </c>
      <c r="X127" s="11">
        <v>0</v>
      </c>
      <c r="Y127" s="50">
        <v>0</v>
      </c>
      <c r="Z127">
        <v>0</v>
      </c>
      <c r="AA127">
        <v>0</v>
      </c>
      <c r="AB127" s="52">
        <v>0</v>
      </c>
      <c r="AC127">
        <v>0</v>
      </c>
      <c r="AD127">
        <v>0</v>
      </c>
      <c r="AE127">
        <v>0</v>
      </c>
      <c r="AF127">
        <v>0</v>
      </c>
      <c r="AG127" s="50">
        <v>0</v>
      </c>
      <c r="AH127">
        <v>0</v>
      </c>
      <c r="AI127">
        <v>0</v>
      </c>
      <c r="AJ127">
        <v>0</v>
      </c>
      <c r="AK127">
        <v>0</v>
      </c>
      <c r="AL127" s="50">
        <v>0</v>
      </c>
      <c r="AM127">
        <v>45</v>
      </c>
      <c r="AN127">
        <v>15.33</v>
      </c>
      <c r="AO127">
        <v>26.65</v>
      </c>
      <c r="AP127" s="50">
        <v>86.97999999999999</v>
      </c>
      <c r="AQ127" s="11" t="s">
        <v>51</v>
      </c>
      <c r="AR127" s="11" t="s">
        <v>51</v>
      </c>
      <c r="AS127" s="11" t="s">
        <v>51</v>
      </c>
      <c r="AT127" s="50">
        <v>0</v>
      </c>
      <c r="AU127" s="18">
        <v>20</v>
      </c>
      <c r="AV127" s="18">
        <v>0</v>
      </c>
      <c r="AW127" s="18">
        <v>0</v>
      </c>
      <c r="AX127" s="18">
        <v>20</v>
      </c>
      <c r="AY127" s="54">
        <f t="shared" si="2"/>
        <v>40</v>
      </c>
      <c r="AZ127" t="s">
        <v>52</v>
      </c>
      <c r="BA127" s="38">
        <v>86.539999999999992</v>
      </c>
    </row>
    <row r="128" spans="1:53" s="39" customFormat="1" x14ac:dyDescent="0.25">
      <c r="A128" s="39" t="s">
        <v>46</v>
      </c>
      <c r="B128" s="39" t="s">
        <v>644</v>
      </c>
      <c r="C128" s="39" t="s">
        <v>645</v>
      </c>
      <c r="D128" s="39" t="s">
        <v>646</v>
      </c>
      <c r="E128">
        <v>40</v>
      </c>
      <c r="F128" t="s">
        <v>975</v>
      </c>
      <c r="G128" t="s">
        <v>949</v>
      </c>
      <c r="H128" t="s">
        <v>944</v>
      </c>
      <c r="I128" t="s">
        <v>950</v>
      </c>
      <c r="J128" t="s">
        <v>955</v>
      </c>
      <c r="K128" t="s">
        <v>964</v>
      </c>
      <c r="L128" s="40">
        <v>24.587499999999999</v>
      </c>
      <c r="M128" s="40">
        <v>0</v>
      </c>
      <c r="N128" s="40">
        <v>45.412500000000001</v>
      </c>
      <c r="O128" s="40">
        <v>3.125</v>
      </c>
      <c r="P128" s="51">
        <v>73.125</v>
      </c>
      <c r="Q128" s="40">
        <v>0</v>
      </c>
      <c r="R128" s="40" t="s">
        <v>51</v>
      </c>
      <c r="S128" s="40" t="s">
        <v>51</v>
      </c>
      <c r="T128" s="51">
        <v>0</v>
      </c>
      <c r="U128" s="40" t="s">
        <v>51</v>
      </c>
      <c r="V128" s="40" t="s">
        <v>116</v>
      </c>
      <c r="W128" s="40" t="s">
        <v>51</v>
      </c>
      <c r="X128" s="40" t="s">
        <v>51</v>
      </c>
      <c r="Y128" s="51">
        <v>0</v>
      </c>
      <c r="Z128" s="39">
        <v>0</v>
      </c>
      <c r="AA128" s="39">
        <v>0</v>
      </c>
      <c r="AB128" s="53">
        <v>0</v>
      </c>
      <c r="AG128" s="51">
        <v>0</v>
      </c>
      <c r="AH128" s="39">
        <v>0</v>
      </c>
      <c r="AI128" s="39">
        <v>0</v>
      </c>
      <c r="AJ128" s="39">
        <v>0</v>
      </c>
      <c r="AK128" s="39">
        <v>0</v>
      </c>
      <c r="AL128" s="51">
        <v>0</v>
      </c>
      <c r="AM128" s="39">
        <v>0</v>
      </c>
      <c r="AN128" s="39">
        <v>0</v>
      </c>
      <c r="AO128" s="39">
        <v>0</v>
      </c>
      <c r="AP128" s="51">
        <v>0</v>
      </c>
      <c r="AQ128" s="40" t="s">
        <v>51</v>
      </c>
      <c r="AR128" s="40" t="s">
        <v>51</v>
      </c>
      <c r="AS128" s="40" t="s">
        <v>51</v>
      </c>
      <c r="AT128" s="51">
        <v>0</v>
      </c>
      <c r="AU128" s="41">
        <v>6</v>
      </c>
      <c r="AV128" s="41">
        <v>0</v>
      </c>
      <c r="AW128" s="41">
        <v>0</v>
      </c>
      <c r="AX128" s="41">
        <v>0</v>
      </c>
      <c r="AY128" s="55">
        <f t="shared" si="2"/>
        <v>6</v>
      </c>
      <c r="AZ128" s="39" t="s">
        <v>52</v>
      </c>
      <c r="BA128" s="42">
        <v>73.125</v>
      </c>
    </row>
    <row r="129" spans="1:53" x14ac:dyDescent="0.25">
      <c r="A129" s="39" t="s">
        <v>46</v>
      </c>
      <c r="B129" t="s">
        <v>648</v>
      </c>
      <c r="C129" t="s">
        <v>649</v>
      </c>
      <c r="D129" t="s">
        <v>650</v>
      </c>
      <c r="E129">
        <v>25</v>
      </c>
      <c r="F129" t="s">
        <v>948</v>
      </c>
      <c r="G129" t="s">
        <v>949</v>
      </c>
      <c r="H129" t="s">
        <v>944</v>
      </c>
      <c r="I129" t="s">
        <v>950</v>
      </c>
      <c r="J129" t="s">
        <v>946</v>
      </c>
      <c r="K129" t="s">
        <v>1013</v>
      </c>
      <c r="L129" s="11">
        <v>20</v>
      </c>
      <c r="M129" s="11">
        <v>7.33</v>
      </c>
      <c r="N129" s="11">
        <v>37.619999999999997</v>
      </c>
      <c r="O129" s="11">
        <v>2.5</v>
      </c>
      <c r="P129" s="50">
        <v>67.449999999999989</v>
      </c>
      <c r="Q129" s="11">
        <v>0</v>
      </c>
      <c r="R129" s="11">
        <v>0</v>
      </c>
      <c r="S129" s="11">
        <v>0</v>
      </c>
      <c r="T129" s="50">
        <v>0</v>
      </c>
      <c r="U129" s="11">
        <v>0</v>
      </c>
      <c r="V129" s="11">
        <v>0</v>
      </c>
      <c r="W129" s="11">
        <v>0</v>
      </c>
      <c r="X129" s="11">
        <v>0</v>
      </c>
      <c r="Y129" s="50">
        <v>0</v>
      </c>
      <c r="Z129">
        <v>0</v>
      </c>
      <c r="AA129">
        <v>0</v>
      </c>
      <c r="AB129" s="52">
        <v>0</v>
      </c>
      <c r="AC129">
        <v>0</v>
      </c>
      <c r="AD129">
        <v>0</v>
      </c>
      <c r="AE129">
        <v>0</v>
      </c>
      <c r="AF129">
        <v>0</v>
      </c>
      <c r="AG129" s="50">
        <v>0</v>
      </c>
      <c r="AH129">
        <v>0</v>
      </c>
      <c r="AI129">
        <v>0</v>
      </c>
      <c r="AJ129">
        <v>0</v>
      </c>
      <c r="AK129">
        <v>0</v>
      </c>
      <c r="AL129" s="50">
        <v>0</v>
      </c>
      <c r="AM129">
        <v>0</v>
      </c>
      <c r="AN129">
        <v>0</v>
      </c>
      <c r="AO129">
        <v>0</v>
      </c>
      <c r="AP129" s="50">
        <v>0</v>
      </c>
      <c r="AQ129" s="11" t="s">
        <v>51</v>
      </c>
      <c r="AR129" s="11" t="s">
        <v>51</v>
      </c>
      <c r="AS129" s="11" t="s">
        <v>51</v>
      </c>
      <c r="AT129" s="50">
        <v>0</v>
      </c>
      <c r="AU129" s="18">
        <v>40</v>
      </c>
      <c r="AV129" s="18">
        <v>0</v>
      </c>
      <c r="AW129" s="18">
        <v>0</v>
      </c>
      <c r="AX129" s="18">
        <v>0</v>
      </c>
      <c r="AY129" s="54">
        <f t="shared" si="2"/>
        <v>40</v>
      </c>
      <c r="AZ129" t="s">
        <v>52</v>
      </c>
      <c r="BA129" s="38">
        <v>67.449999999999989</v>
      </c>
    </row>
    <row r="130" spans="1:53" x14ac:dyDescent="0.25">
      <c r="A130" s="39" t="s">
        <v>46</v>
      </c>
      <c r="B130" t="s">
        <v>652</v>
      </c>
      <c r="C130" t="s">
        <v>653</v>
      </c>
      <c r="D130" t="s">
        <v>654</v>
      </c>
      <c r="E130">
        <v>44</v>
      </c>
      <c r="F130" t="s">
        <v>989</v>
      </c>
      <c r="G130" t="s">
        <v>949</v>
      </c>
      <c r="H130" t="s">
        <v>944</v>
      </c>
      <c r="I130" t="s">
        <v>950</v>
      </c>
      <c r="J130" t="s">
        <v>955</v>
      </c>
      <c r="K130" t="s">
        <v>956</v>
      </c>
      <c r="L130" s="11">
        <v>20</v>
      </c>
      <c r="M130" s="11">
        <v>7.33</v>
      </c>
      <c r="N130" s="11">
        <v>37.619999999999997</v>
      </c>
      <c r="O130" s="11">
        <v>2.5</v>
      </c>
      <c r="P130" s="50">
        <v>67.449999999999989</v>
      </c>
      <c r="Q130" s="11">
        <v>0</v>
      </c>
      <c r="R130" s="11">
        <v>0</v>
      </c>
      <c r="S130" s="11">
        <v>0</v>
      </c>
      <c r="T130" s="50">
        <v>0</v>
      </c>
      <c r="U130" s="11">
        <v>34.909999999999997</v>
      </c>
      <c r="V130" s="11">
        <v>2.5</v>
      </c>
      <c r="W130" s="11">
        <v>7.33</v>
      </c>
      <c r="X130" s="11">
        <v>20</v>
      </c>
      <c r="Y130" s="50">
        <v>64.739999999999995</v>
      </c>
      <c r="Z130">
        <v>0</v>
      </c>
      <c r="AA130">
        <v>0</v>
      </c>
      <c r="AB130" s="52">
        <v>0</v>
      </c>
      <c r="AC130">
        <v>0</v>
      </c>
      <c r="AD130">
        <v>0</v>
      </c>
      <c r="AE130">
        <v>0</v>
      </c>
      <c r="AF130">
        <v>0</v>
      </c>
      <c r="AG130" s="50">
        <v>0</v>
      </c>
      <c r="AH130">
        <v>0</v>
      </c>
      <c r="AI130">
        <v>0</v>
      </c>
      <c r="AJ130">
        <v>0</v>
      </c>
      <c r="AK130">
        <v>0</v>
      </c>
      <c r="AL130" s="50">
        <v>0</v>
      </c>
      <c r="AM130">
        <v>0</v>
      </c>
      <c r="AN130">
        <v>0</v>
      </c>
      <c r="AO130">
        <v>0</v>
      </c>
      <c r="AP130" s="50">
        <v>0</v>
      </c>
      <c r="AQ130" s="11" t="s">
        <v>51</v>
      </c>
      <c r="AR130" s="11" t="s">
        <v>51</v>
      </c>
      <c r="AS130" s="11" t="s">
        <v>51</v>
      </c>
      <c r="AT130" s="50">
        <v>0</v>
      </c>
      <c r="AU130" s="18">
        <v>4</v>
      </c>
      <c r="AV130" s="18">
        <v>0</v>
      </c>
      <c r="AW130" s="18">
        <v>0</v>
      </c>
      <c r="AX130" s="18">
        <v>0</v>
      </c>
      <c r="AY130" s="54">
        <f t="shared" si="2"/>
        <v>4</v>
      </c>
      <c r="AZ130" t="s">
        <v>52</v>
      </c>
      <c r="BA130" s="38">
        <v>67.449999999999989</v>
      </c>
    </row>
    <row r="131" spans="1:53" x14ac:dyDescent="0.25">
      <c r="A131" s="39" t="s">
        <v>46</v>
      </c>
      <c r="B131" t="s">
        <v>652</v>
      </c>
      <c r="C131" t="s">
        <v>653</v>
      </c>
      <c r="D131" t="s">
        <v>654</v>
      </c>
      <c r="E131">
        <v>44</v>
      </c>
      <c r="F131" t="s">
        <v>989</v>
      </c>
      <c r="G131" t="s">
        <v>949</v>
      </c>
      <c r="H131" t="s">
        <v>944</v>
      </c>
      <c r="I131" t="s">
        <v>950</v>
      </c>
      <c r="J131" t="s">
        <v>955</v>
      </c>
      <c r="K131" t="s">
        <v>956</v>
      </c>
      <c r="L131" s="11">
        <v>20</v>
      </c>
      <c r="M131" s="11">
        <v>7.33</v>
      </c>
      <c r="N131" s="11">
        <v>37.619999999999997</v>
      </c>
      <c r="O131" s="11">
        <v>2.5</v>
      </c>
      <c r="P131" s="50">
        <v>67.449999999999989</v>
      </c>
      <c r="Q131" s="11">
        <v>0</v>
      </c>
      <c r="R131" s="11">
        <v>0</v>
      </c>
      <c r="S131" s="11">
        <v>0</v>
      </c>
      <c r="T131" s="50">
        <v>0</v>
      </c>
      <c r="U131" s="11">
        <v>34.909999999999997</v>
      </c>
      <c r="V131" s="11">
        <v>2.5</v>
      </c>
      <c r="W131" s="11">
        <v>7.33</v>
      </c>
      <c r="X131" s="11">
        <v>20</v>
      </c>
      <c r="Y131" s="50">
        <v>64.739999999999995</v>
      </c>
      <c r="Z131">
        <v>0</v>
      </c>
      <c r="AA131">
        <v>0</v>
      </c>
      <c r="AB131" s="52">
        <v>0</v>
      </c>
      <c r="AC131">
        <v>0</v>
      </c>
      <c r="AD131">
        <v>0</v>
      </c>
      <c r="AE131">
        <v>0</v>
      </c>
      <c r="AF131">
        <v>0</v>
      </c>
      <c r="AG131" s="50">
        <v>0</v>
      </c>
      <c r="AH131">
        <v>0</v>
      </c>
      <c r="AI131">
        <v>0</v>
      </c>
      <c r="AJ131">
        <v>0</v>
      </c>
      <c r="AK131">
        <v>0</v>
      </c>
      <c r="AL131" s="50">
        <v>0</v>
      </c>
      <c r="AM131">
        <v>0</v>
      </c>
      <c r="AN131">
        <v>0</v>
      </c>
      <c r="AO131">
        <v>0</v>
      </c>
      <c r="AP131" s="50">
        <v>0</v>
      </c>
      <c r="AQ131" s="11" t="s">
        <v>51</v>
      </c>
      <c r="AR131" s="11" t="s">
        <v>51</v>
      </c>
      <c r="AS131" s="11" t="s">
        <v>51</v>
      </c>
      <c r="AT131" s="50">
        <v>0</v>
      </c>
      <c r="AU131" s="18">
        <v>2</v>
      </c>
      <c r="AV131" s="18">
        <v>0</v>
      </c>
      <c r="AW131" s="18">
        <v>0</v>
      </c>
      <c r="AX131" s="18">
        <v>0</v>
      </c>
      <c r="AY131" s="54">
        <f t="shared" si="2"/>
        <v>2</v>
      </c>
      <c r="AZ131" t="s">
        <v>117</v>
      </c>
      <c r="BA131" s="38">
        <v>64.739999999999995</v>
      </c>
    </row>
    <row r="132" spans="1:53" x14ac:dyDescent="0.25">
      <c r="A132" s="39" t="s">
        <v>46</v>
      </c>
      <c r="B132" t="s">
        <v>657</v>
      </c>
      <c r="C132" t="s">
        <v>658</v>
      </c>
      <c r="D132" t="s">
        <v>659</v>
      </c>
      <c r="E132">
        <v>60</v>
      </c>
      <c r="F132" t="s">
        <v>993</v>
      </c>
      <c r="G132" t="s">
        <v>949</v>
      </c>
      <c r="H132" t="s">
        <v>944</v>
      </c>
      <c r="I132" t="s">
        <v>950</v>
      </c>
      <c r="J132" t="s">
        <v>946</v>
      </c>
      <c r="K132" t="s">
        <v>962</v>
      </c>
      <c r="L132" s="11">
        <v>25</v>
      </c>
      <c r="M132" s="11">
        <v>0</v>
      </c>
      <c r="N132" s="11">
        <v>43.137500000000003</v>
      </c>
      <c r="O132" s="11">
        <v>5.625</v>
      </c>
      <c r="P132" s="50">
        <v>73.762500000000003</v>
      </c>
      <c r="Q132" s="11">
        <v>0</v>
      </c>
      <c r="R132" s="11">
        <v>0</v>
      </c>
      <c r="S132" s="11">
        <v>0</v>
      </c>
      <c r="T132" s="50">
        <v>0</v>
      </c>
      <c r="U132" s="11">
        <v>0</v>
      </c>
      <c r="V132" s="11">
        <v>0</v>
      </c>
      <c r="W132" s="11">
        <v>0</v>
      </c>
      <c r="X132" s="11">
        <v>0</v>
      </c>
      <c r="Y132" s="50">
        <v>0</v>
      </c>
      <c r="Z132">
        <v>0</v>
      </c>
      <c r="AA132">
        <v>0</v>
      </c>
      <c r="AB132" s="52">
        <v>0</v>
      </c>
      <c r="AC132">
        <v>0</v>
      </c>
      <c r="AD132">
        <v>0</v>
      </c>
      <c r="AE132">
        <v>0</v>
      </c>
      <c r="AF132">
        <v>0</v>
      </c>
      <c r="AG132" s="50">
        <v>0</v>
      </c>
      <c r="AH132">
        <v>0</v>
      </c>
      <c r="AI132">
        <v>0</v>
      </c>
      <c r="AJ132">
        <v>0</v>
      </c>
      <c r="AK132">
        <v>0</v>
      </c>
      <c r="AL132" s="50">
        <v>0</v>
      </c>
      <c r="AM132">
        <v>0</v>
      </c>
      <c r="AN132">
        <v>0</v>
      </c>
      <c r="AO132">
        <v>0</v>
      </c>
      <c r="AP132" s="50">
        <v>0</v>
      </c>
      <c r="AQ132" s="11" t="s">
        <v>51</v>
      </c>
      <c r="AR132" s="11" t="s">
        <v>51</v>
      </c>
      <c r="AS132" s="11" t="s">
        <v>51</v>
      </c>
      <c r="AT132" s="50">
        <v>0</v>
      </c>
      <c r="AU132" s="18">
        <v>40</v>
      </c>
      <c r="AV132" s="18">
        <v>0</v>
      </c>
      <c r="AW132" s="18">
        <v>0</v>
      </c>
      <c r="AX132" s="18">
        <v>0</v>
      </c>
      <c r="AY132" s="54">
        <f t="shared" si="2"/>
        <v>40</v>
      </c>
      <c r="AZ132" t="s">
        <v>52</v>
      </c>
      <c r="BA132" s="38">
        <v>73.762500000000003</v>
      </c>
    </row>
    <row r="133" spans="1:53" x14ac:dyDescent="0.25">
      <c r="A133" s="39" t="s">
        <v>46</v>
      </c>
      <c r="B133" t="s">
        <v>661</v>
      </c>
      <c r="C133" t="s">
        <v>662</v>
      </c>
      <c r="D133" t="s">
        <v>663</v>
      </c>
      <c r="E133">
        <v>46</v>
      </c>
      <c r="F133" t="s">
        <v>991</v>
      </c>
      <c r="G133" t="s">
        <v>949</v>
      </c>
      <c r="H133" t="s">
        <v>944</v>
      </c>
      <c r="I133" t="s">
        <v>950</v>
      </c>
      <c r="J133" t="s">
        <v>946</v>
      </c>
      <c r="K133" t="s">
        <v>960</v>
      </c>
      <c r="L133" s="11">
        <v>25</v>
      </c>
      <c r="M133" s="11" t="s">
        <v>933</v>
      </c>
      <c r="N133" s="11">
        <v>50.612499999999997</v>
      </c>
      <c r="O133" s="11">
        <v>7.5</v>
      </c>
      <c r="P133" s="50">
        <v>83.112499999999997</v>
      </c>
      <c r="Q133" s="11">
        <v>0</v>
      </c>
      <c r="R133" s="11">
        <v>0</v>
      </c>
      <c r="S133" s="11">
        <v>0</v>
      </c>
      <c r="T133" s="50">
        <v>0</v>
      </c>
      <c r="U133" s="11">
        <v>0</v>
      </c>
      <c r="V133" s="11">
        <v>0</v>
      </c>
      <c r="W133" s="11">
        <v>0</v>
      </c>
      <c r="X133" s="11">
        <v>0</v>
      </c>
      <c r="Y133" s="50">
        <v>0</v>
      </c>
      <c r="Z133">
        <v>0</v>
      </c>
      <c r="AA133">
        <v>0</v>
      </c>
      <c r="AB133" s="52">
        <v>0</v>
      </c>
      <c r="AC133">
        <v>0</v>
      </c>
      <c r="AD133">
        <v>0</v>
      </c>
      <c r="AE133">
        <v>0</v>
      </c>
      <c r="AF133">
        <v>0</v>
      </c>
      <c r="AG133" s="50">
        <v>0</v>
      </c>
      <c r="AH133">
        <v>0</v>
      </c>
      <c r="AI133">
        <v>0</v>
      </c>
      <c r="AJ133">
        <v>0</v>
      </c>
      <c r="AK133">
        <v>0</v>
      </c>
      <c r="AL133" s="50">
        <v>0</v>
      </c>
      <c r="AM133">
        <v>0</v>
      </c>
      <c r="AN133">
        <v>0</v>
      </c>
      <c r="AO133">
        <v>0</v>
      </c>
      <c r="AP133" s="50">
        <v>0</v>
      </c>
      <c r="AQ133" s="11" t="s">
        <v>51</v>
      </c>
      <c r="AR133" s="11" t="s">
        <v>51</v>
      </c>
      <c r="AS133" s="11" t="s">
        <v>51</v>
      </c>
      <c r="AT133" s="50">
        <v>0</v>
      </c>
      <c r="AU133" s="18">
        <v>40</v>
      </c>
      <c r="AV133" s="18">
        <v>0</v>
      </c>
      <c r="AW133" s="18">
        <v>0</v>
      </c>
      <c r="AX133" s="18">
        <v>0</v>
      </c>
      <c r="AY133" s="54">
        <f t="shared" si="2"/>
        <v>40</v>
      </c>
      <c r="AZ133" t="s">
        <v>52</v>
      </c>
      <c r="BA133" s="38">
        <v>83.112499999999997</v>
      </c>
    </row>
    <row r="134" spans="1:53" x14ac:dyDescent="0.25">
      <c r="A134" s="39" t="s">
        <v>46</v>
      </c>
      <c r="B134" t="s">
        <v>665</v>
      </c>
      <c r="C134" t="s">
        <v>666</v>
      </c>
      <c r="D134" t="s">
        <v>667</v>
      </c>
      <c r="E134">
        <v>41</v>
      </c>
      <c r="F134" t="s">
        <v>1009</v>
      </c>
      <c r="G134" t="s">
        <v>949</v>
      </c>
      <c r="H134" t="s">
        <v>944</v>
      </c>
      <c r="I134" t="s">
        <v>950</v>
      </c>
      <c r="J134" t="s">
        <v>946</v>
      </c>
      <c r="K134" t="s">
        <v>962</v>
      </c>
      <c r="L134" s="11">
        <v>20</v>
      </c>
      <c r="M134" s="11">
        <v>18.670000000000002</v>
      </c>
      <c r="N134" s="11">
        <v>44.51</v>
      </c>
      <c r="O134" s="11">
        <v>6</v>
      </c>
      <c r="P134" s="50">
        <v>89.18</v>
      </c>
      <c r="Q134" s="11">
        <v>0</v>
      </c>
      <c r="R134" s="11">
        <v>0</v>
      </c>
      <c r="S134" s="11">
        <v>0</v>
      </c>
      <c r="T134" s="50">
        <v>0</v>
      </c>
      <c r="U134" s="11">
        <v>0</v>
      </c>
      <c r="V134" s="11">
        <v>0</v>
      </c>
      <c r="W134" s="11">
        <v>0</v>
      </c>
      <c r="X134" s="11">
        <v>0</v>
      </c>
      <c r="Y134" s="50">
        <v>0</v>
      </c>
      <c r="Z134">
        <v>0</v>
      </c>
      <c r="AA134">
        <v>0</v>
      </c>
      <c r="AB134" s="52">
        <v>0</v>
      </c>
      <c r="AC134">
        <v>0</v>
      </c>
      <c r="AD134">
        <v>0</v>
      </c>
      <c r="AE134">
        <v>0</v>
      </c>
      <c r="AF134">
        <v>0</v>
      </c>
      <c r="AG134" s="50">
        <v>0</v>
      </c>
      <c r="AH134">
        <v>0</v>
      </c>
      <c r="AI134">
        <v>0</v>
      </c>
      <c r="AJ134">
        <v>0</v>
      </c>
      <c r="AK134">
        <v>0</v>
      </c>
      <c r="AL134" s="50">
        <v>0</v>
      </c>
      <c r="AM134">
        <v>0</v>
      </c>
      <c r="AN134">
        <v>0</v>
      </c>
      <c r="AO134">
        <v>0</v>
      </c>
      <c r="AP134" s="50">
        <v>0</v>
      </c>
      <c r="AQ134" s="11" t="s">
        <v>51</v>
      </c>
      <c r="AR134" s="11" t="s">
        <v>51</v>
      </c>
      <c r="AS134" s="11" t="s">
        <v>51</v>
      </c>
      <c r="AT134" s="50">
        <v>0</v>
      </c>
      <c r="AU134" s="18">
        <v>40</v>
      </c>
      <c r="AV134" s="18">
        <v>0</v>
      </c>
      <c r="AW134" s="18">
        <v>0</v>
      </c>
      <c r="AX134" s="18">
        <v>0</v>
      </c>
      <c r="AY134" s="54">
        <f t="shared" si="2"/>
        <v>40</v>
      </c>
      <c r="AZ134" t="s">
        <v>52</v>
      </c>
      <c r="BA134" s="38">
        <v>89.18</v>
      </c>
    </row>
    <row r="135" spans="1:53" x14ac:dyDescent="0.25">
      <c r="A135" s="39" t="s">
        <v>46</v>
      </c>
      <c r="B135" t="s">
        <v>669</v>
      </c>
      <c r="C135" t="s">
        <v>670</v>
      </c>
      <c r="D135" t="s">
        <v>671</v>
      </c>
      <c r="E135">
        <v>32</v>
      </c>
      <c r="F135" t="s">
        <v>957</v>
      </c>
      <c r="G135" t="s">
        <v>949</v>
      </c>
      <c r="H135" t="s">
        <v>944</v>
      </c>
      <c r="I135" t="s">
        <v>950</v>
      </c>
      <c r="J135" t="s">
        <v>955</v>
      </c>
      <c r="K135" t="s">
        <v>964</v>
      </c>
      <c r="L135" s="11">
        <v>25</v>
      </c>
      <c r="M135" s="11">
        <v>0</v>
      </c>
      <c r="N135" s="11">
        <v>61.625</v>
      </c>
      <c r="O135" s="11">
        <v>3.125</v>
      </c>
      <c r="P135" s="50">
        <v>89.75</v>
      </c>
      <c r="Q135" s="11">
        <v>0</v>
      </c>
      <c r="R135" s="11">
        <v>0</v>
      </c>
      <c r="S135" s="11">
        <v>0</v>
      </c>
      <c r="T135" s="50">
        <v>0</v>
      </c>
      <c r="U135" s="11">
        <v>0</v>
      </c>
      <c r="V135" s="11">
        <v>0</v>
      </c>
      <c r="W135" s="11">
        <v>0</v>
      </c>
      <c r="X135" s="11">
        <v>0</v>
      </c>
      <c r="Y135" s="50">
        <v>0</v>
      </c>
      <c r="Z135">
        <v>0</v>
      </c>
      <c r="AA135">
        <v>0</v>
      </c>
      <c r="AB135" s="52">
        <v>0</v>
      </c>
      <c r="AC135">
        <v>0</v>
      </c>
      <c r="AD135">
        <v>0</v>
      </c>
      <c r="AE135">
        <v>0</v>
      </c>
      <c r="AF135">
        <v>0</v>
      </c>
      <c r="AG135" s="50">
        <v>0</v>
      </c>
      <c r="AH135">
        <v>0</v>
      </c>
      <c r="AI135">
        <v>0</v>
      </c>
      <c r="AJ135">
        <v>0</v>
      </c>
      <c r="AK135">
        <v>0</v>
      </c>
      <c r="AL135" s="50">
        <v>0</v>
      </c>
      <c r="AM135">
        <v>0</v>
      </c>
      <c r="AN135">
        <v>0</v>
      </c>
      <c r="AO135">
        <v>0</v>
      </c>
      <c r="AP135" s="50">
        <v>0</v>
      </c>
      <c r="AQ135" s="11" t="s">
        <v>51</v>
      </c>
      <c r="AR135" s="11" t="s">
        <v>51</v>
      </c>
      <c r="AS135" s="11" t="s">
        <v>51</v>
      </c>
      <c r="AT135" s="50">
        <v>0</v>
      </c>
      <c r="AU135" s="18">
        <v>6</v>
      </c>
      <c r="AV135" s="18">
        <v>0</v>
      </c>
      <c r="AW135" s="18">
        <v>0</v>
      </c>
      <c r="AX135" s="18">
        <v>0</v>
      </c>
      <c r="AY135" s="54">
        <f t="shared" si="2"/>
        <v>6</v>
      </c>
      <c r="AZ135" t="s">
        <v>52</v>
      </c>
      <c r="BA135" s="38">
        <v>89.75</v>
      </c>
    </row>
    <row r="136" spans="1:53" x14ac:dyDescent="0.25">
      <c r="A136" s="39" t="s">
        <v>46</v>
      </c>
      <c r="B136" t="s">
        <v>673</v>
      </c>
      <c r="C136" t="s">
        <v>674</v>
      </c>
      <c r="D136" t="s">
        <v>675</v>
      </c>
      <c r="E136">
        <v>65</v>
      </c>
      <c r="F136" t="s">
        <v>953</v>
      </c>
      <c r="G136" t="s">
        <v>943</v>
      </c>
      <c r="H136" t="s">
        <v>944</v>
      </c>
      <c r="I136" t="s">
        <v>945</v>
      </c>
      <c r="J136" t="s">
        <v>946</v>
      </c>
      <c r="K136" t="s">
        <v>1013</v>
      </c>
      <c r="L136" s="11">
        <v>20</v>
      </c>
      <c r="M136" s="11">
        <v>20</v>
      </c>
      <c r="N136" s="11">
        <v>43.2</v>
      </c>
      <c r="O136" s="11">
        <v>6</v>
      </c>
      <c r="P136" s="50">
        <v>89.2</v>
      </c>
      <c r="Q136" s="11">
        <v>0</v>
      </c>
      <c r="R136" s="11">
        <v>0</v>
      </c>
      <c r="S136" s="11">
        <v>0</v>
      </c>
      <c r="T136" s="50">
        <v>0</v>
      </c>
      <c r="U136" s="11">
        <v>0</v>
      </c>
      <c r="V136" s="11">
        <v>0</v>
      </c>
      <c r="W136" s="11">
        <v>0</v>
      </c>
      <c r="X136" s="11">
        <v>0</v>
      </c>
      <c r="Y136" s="50">
        <v>0</v>
      </c>
      <c r="Z136">
        <v>0</v>
      </c>
      <c r="AA136">
        <v>0</v>
      </c>
      <c r="AB136" s="52">
        <v>0</v>
      </c>
      <c r="AC136">
        <v>0</v>
      </c>
      <c r="AD136">
        <v>0</v>
      </c>
      <c r="AE136">
        <v>0</v>
      </c>
      <c r="AF136">
        <v>0</v>
      </c>
      <c r="AG136" s="50">
        <v>0</v>
      </c>
      <c r="AH136">
        <v>15</v>
      </c>
      <c r="AI136">
        <v>50</v>
      </c>
      <c r="AJ136">
        <v>13.88</v>
      </c>
      <c r="AK136">
        <v>20</v>
      </c>
      <c r="AL136" s="50">
        <v>98.88</v>
      </c>
      <c r="AM136">
        <v>0</v>
      </c>
      <c r="AN136">
        <v>0</v>
      </c>
      <c r="AO136">
        <v>0</v>
      </c>
      <c r="AP136" s="50">
        <v>0</v>
      </c>
      <c r="AQ136" s="11" t="s">
        <v>51</v>
      </c>
      <c r="AR136" s="11" t="s">
        <v>51</v>
      </c>
      <c r="AS136" s="11" t="s">
        <v>51</v>
      </c>
      <c r="AT136" s="50">
        <v>0</v>
      </c>
      <c r="AU136" s="18">
        <v>29.5</v>
      </c>
      <c r="AV136" s="18">
        <v>10.5</v>
      </c>
      <c r="AW136" s="18">
        <v>0</v>
      </c>
      <c r="AX136" s="18">
        <v>0</v>
      </c>
      <c r="AY136" s="54">
        <f t="shared" si="2"/>
        <v>40</v>
      </c>
      <c r="AZ136" t="s">
        <v>52</v>
      </c>
      <c r="BA136" s="38">
        <v>91.741000000000014</v>
      </c>
    </row>
    <row r="137" spans="1:53" x14ac:dyDescent="0.25">
      <c r="A137" s="39" t="s">
        <v>46</v>
      </c>
      <c r="B137" t="s">
        <v>677</v>
      </c>
      <c r="C137" t="s">
        <v>678</v>
      </c>
      <c r="D137" t="s">
        <v>679</v>
      </c>
      <c r="E137">
        <v>49</v>
      </c>
      <c r="F137" t="s">
        <v>1011</v>
      </c>
      <c r="G137" t="s">
        <v>943</v>
      </c>
      <c r="H137" t="s">
        <v>944</v>
      </c>
      <c r="I137" t="s">
        <v>950</v>
      </c>
      <c r="J137" t="s">
        <v>946</v>
      </c>
      <c r="K137" t="s">
        <v>964</v>
      </c>
      <c r="L137" s="11">
        <v>28.571428571428569</v>
      </c>
      <c r="M137" s="11">
        <v>0</v>
      </c>
      <c r="N137" s="11">
        <v>62.542857142857144</v>
      </c>
      <c r="O137" s="11">
        <v>0</v>
      </c>
      <c r="P137" s="50">
        <v>91.114285714285714</v>
      </c>
      <c r="Q137" s="11">
        <v>0</v>
      </c>
      <c r="R137" s="11">
        <v>0</v>
      </c>
      <c r="S137" s="11">
        <v>0</v>
      </c>
      <c r="T137" s="50">
        <v>0</v>
      </c>
      <c r="U137" s="11">
        <v>0</v>
      </c>
      <c r="V137" s="11">
        <v>0</v>
      </c>
      <c r="W137" s="11">
        <v>0</v>
      </c>
      <c r="X137" s="11">
        <v>0</v>
      </c>
      <c r="Y137" s="50">
        <v>0</v>
      </c>
      <c r="Z137">
        <v>0</v>
      </c>
      <c r="AA137">
        <v>0</v>
      </c>
      <c r="AB137" s="52">
        <v>0</v>
      </c>
      <c r="AC137">
        <v>0</v>
      </c>
      <c r="AD137">
        <v>0</v>
      </c>
      <c r="AE137">
        <v>0</v>
      </c>
      <c r="AF137">
        <v>0</v>
      </c>
      <c r="AG137" s="50">
        <v>0</v>
      </c>
      <c r="AH137">
        <v>15</v>
      </c>
      <c r="AI137">
        <v>50</v>
      </c>
      <c r="AJ137">
        <v>15</v>
      </c>
      <c r="AK137">
        <v>20</v>
      </c>
      <c r="AL137" s="50">
        <v>100</v>
      </c>
      <c r="AM137">
        <v>0</v>
      </c>
      <c r="AN137">
        <v>0</v>
      </c>
      <c r="AO137">
        <v>0</v>
      </c>
      <c r="AP137" s="50">
        <v>0</v>
      </c>
      <c r="AQ137" s="19">
        <v>28.571428571428569</v>
      </c>
      <c r="AR137" s="19">
        <v>0</v>
      </c>
      <c r="AS137" s="19">
        <v>71.428571428571431</v>
      </c>
      <c r="AT137" s="50">
        <v>100</v>
      </c>
      <c r="AU137" s="18">
        <v>32</v>
      </c>
      <c r="AV137" s="18">
        <v>5</v>
      </c>
      <c r="AW137" s="18">
        <v>3</v>
      </c>
      <c r="AX137" s="18">
        <v>0</v>
      </c>
      <c r="AY137" s="54">
        <f t="shared" si="2"/>
        <v>40</v>
      </c>
      <c r="AZ137" t="s">
        <v>52</v>
      </c>
      <c r="BA137" s="38">
        <v>92.891428571428577</v>
      </c>
    </row>
    <row r="138" spans="1:53" x14ac:dyDescent="0.25">
      <c r="A138" s="39" t="s">
        <v>46</v>
      </c>
      <c r="B138" t="s">
        <v>681</v>
      </c>
      <c r="C138" t="s">
        <v>682</v>
      </c>
      <c r="D138" t="s">
        <v>683</v>
      </c>
      <c r="E138">
        <v>33</v>
      </c>
      <c r="F138" t="s">
        <v>957</v>
      </c>
      <c r="G138" t="s">
        <v>943</v>
      </c>
      <c r="H138" t="s">
        <v>944</v>
      </c>
      <c r="I138" t="s">
        <v>950</v>
      </c>
      <c r="J138" t="s">
        <v>955</v>
      </c>
      <c r="K138" t="s">
        <v>958</v>
      </c>
      <c r="L138" s="11">
        <v>18.670000000000002</v>
      </c>
      <c r="M138" s="11">
        <v>20</v>
      </c>
      <c r="N138" s="11">
        <v>50</v>
      </c>
      <c r="O138" s="11">
        <v>3</v>
      </c>
      <c r="P138" s="50">
        <v>91.67</v>
      </c>
      <c r="Q138" s="11">
        <v>0</v>
      </c>
      <c r="R138" s="11">
        <v>0</v>
      </c>
      <c r="S138" s="11">
        <v>0</v>
      </c>
      <c r="T138" s="50">
        <v>0</v>
      </c>
      <c r="U138" s="11">
        <v>0</v>
      </c>
      <c r="V138" s="11">
        <v>0</v>
      </c>
      <c r="W138" s="11">
        <v>0</v>
      </c>
      <c r="X138" s="11">
        <v>0</v>
      </c>
      <c r="Y138" s="50">
        <v>0</v>
      </c>
      <c r="Z138">
        <v>0</v>
      </c>
      <c r="AA138">
        <v>0</v>
      </c>
      <c r="AB138" s="52">
        <v>0</v>
      </c>
      <c r="AC138">
        <v>0</v>
      </c>
      <c r="AD138">
        <v>0</v>
      </c>
      <c r="AE138">
        <v>0</v>
      </c>
      <c r="AF138">
        <v>0</v>
      </c>
      <c r="AG138" s="50">
        <v>0</v>
      </c>
      <c r="AH138">
        <v>0</v>
      </c>
      <c r="AI138">
        <v>0</v>
      </c>
      <c r="AJ138">
        <v>0</v>
      </c>
      <c r="AK138">
        <v>0</v>
      </c>
      <c r="AL138" s="50">
        <v>0</v>
      </c>
      <c r="AM138">
        <v>0</v>
      </c>
      <c r="AN138">
        <v>0</v>
      </c>
      <c r="AO138">
        <v>0</v>
      </c>
      <c r="AP138" s="50">
        <v>0</v>
      </c>
      <c r="AQ138" s="11" t="s">
        <v>51</v>
      </c>
      <c r="AR138" s="11" t="s">
        <v>51</v>
      </c>
      <c r="AS138" s="11" t="s">
        <v>51</v>
      </c>
      <c r="AT138" s="50">
        <v>0</v>
      </c>
      <c r="AU138" s="18">
        <v>6</v>
      </c>
      <c r="AV138" s="18">
        <v>0</v>
      </c>
      <c r="AW138" s="18">
        <v>0</v>
      </c>
      <c r="AX138" s="18">
        <v>0</v>
      </c>
      <c r="AY138" s="54">
        <f t="shared" si="2"/>
        <v>6</v>
      </c>
      <c r="AZ138" t="s">
        <v>52</v>
      </c>
      <c r="BA138" s="38">
        <v>91.67</v>
      </c>
    </row>
    <row r="139" spans="1:53" x14ac:dyDescent="0.25">
      <c r="A139" s="39" t="s">
        <v>46</v>
      </c>
      <c r="B139" t="s">
        <v>685</v>
      </c>
      <c r="C139" t="s">
        <v>686</v>
      </c>
      <c r="D139" t="s">
        <v>687</v>
      </c>
      <c r="E139">
        <v>31</v>
      </c>
      <c r="F139" t="s">
        <v>1009</v>
      </c>
      <c r="G139" t="s">
        <v>949</v>
      </c>
      <c r="H139" t="s">
        <v>944</v>
      </c>
      <c r="I139" t="s">
        <v>950</v>
      </c>
      <c r="J139" t="s">
        <v>955</v>
      </c>
      <c r="K139" t="s">
        <v>962</v>
      </c>
      <c r="L139" s="11">
        <v>22.222222222222221</v>
      </c>
      <c r="M139" s="11">
        <v>22.222222222222221</v>
      </c>
      <c r="N139" s="11">
        <v>50.4</v>
      </c>
      <c r="O139" s="11">
        <v>0</v>
      </c>
      <c r="P139" s="50">
        <v>94.844444444444434</v>
      </c>
      <c r="Q139" s="11">
        <v>0</v>
      </c>
      <c r="R139" s="11">
        <v>0</v>
      </c>
      <c r="S139" s="11">
        <v>0</v>
      </c>
      <c r="T139" s="50">
        <v>0</v>
      </c>
      <c r="U139" s="11">
        <v>48.144444444444446</v>
      </c>
      <c r="V139" s="11">
        <v>0</v>
      </c>
      <c r="W139" s="11">
        <v>22.222222222222221</v>
      </c>
      <c r="X139" s="11">
        <v>22.222222222222221</v>
      </c>
      <c r="Y139" s="50">
        <v>92.588888888888903</v>
      </c>
      <c r="Z139">
        <v>0</v>
      </c>
      <c r="AA139">
        <v>0</v>
      </c>
      <c r="AB139" s="52">
        <v>0</v>
      </c>
      <c r="AC139">
        <v>0</v>
      </c>
      <c r="AD139">
        <v>0</v>
      </c>
      <c r="AE139">
        <v>0</v>
      </c>
      <c r="AF139">
        <v>0</v>
      </c>
      <c r="AG139" s="50">
        <v>0</v>
      </c>
      <c r="AH139">
        <v>0</v>
      </c>
      <c r="AI139">
        <v>0</v>
      </c>
      <c r="AJ139">
        <v>0</v>
      </c>
      <c r="AK139">
        <v>0</v>
      </c>
      <c r="AL139" s="50">
        <v>0</v>
      </c>
      <c r="AM139">
        <v>0</v>
      </c>
      <c r="AN139">
        <v>0</v>
      </c>
      <c r="AO139">
        <v>0</v>
      </c>
      <c r="AP139" s="50">
        <v>0</v>
      </c>
      <c r="AQ139" s="11" t="s">
        <v>51</v>
      </c>
      <c r="AR139" s="11" t="s">
        <v>51</v>
      </c>
      <c r="AS139" s="11" t="s">
        <v>51</v>
      </c>
      <c r="AT139" s="50">
        <v>0</v>
      </c>
      <c r="AU139" s="18">
        <v>9</v>
      </c>
      <c r="AV139" s="18">
        <v>0</v>
      </c>
      <c r="AW139" s="18">
        <v>0</v>
      </c>
      <c r="AX139" s="18">
        <v>0</v>
      </c>
      <c r="AY139" s="54">
        <f t="shared" si="2"/>
        <v>9</v>
      </c>
      <c r="AZ139" t="s">
        <v>52</v>
      </c>
      <c r="BA139" s="38">
        <v>94.844444444444434</v>
      </c>
    </row>
    <row r="140" spans="1:53" x14ac:dyDescent="0.25">
      <c r="A140" s="39" t="s">
        <v>46</v>
      </c>
      <c r="B140" t="s">
        <v>685</v>
      </c>
      <c r="C140" t="s">
        <v>686</v>
      </c>
      <c r="D140" t="s">
        <v>687</v>
      </c>
      <c r="E140">
        <v>31</v>
      </c>
      <c r="F140" t="s">
        <v>1009</v>
      </c>
      <c r="G140" t="s">
        <v>949</v>
      </c>
      <c r="H140" t="s">
        <v>944</v>
      </c>
      <c r="I140" t="s">
        <v>950</v>
      </c>
      <c r="J140" t="s">
        <v>955</v>
      </c>
      <c r="K140" t="s">
        <v>962</v>
      </c>
      <c r="L140" s="11">
        <v>22.222222222222221</v>
      </c>
      <c r="M140" s="11">
        <v>22.222222222222221</v>
      </c>
      <c r="N140" s="11">
        <v>50.4</v>
      </c>
      <c r="O140" s="11">
        <v>0</v>
      </c>
      <c r="P140" s="50">
        <v>94.844444444444434</v>
      </c>
      <c r="Q140" s="11">
        <v>0</v>
      </c>
      <c r="R140" s="11">
        <v>0</v>
      </c>
      <c r="S140" s="11">
        <v>0</v>
      </c>
      <c r="T140" s="50">
        <v>0</v>
      </c>
      <c r="U140" s="11">
        <v>48.144444444444446</v>
      </c>
      <c r="V140" s="11">
        <v>0</v>
      </c>
      <c r="W140" s="11">
        <v>22.222222222222221</v>
      </c>
      <c r="X140" s="11">
        <v>22.222222222222221</v>
      </c>
      <c r="Y140" s="50">
        <v>92.588888888888903</v>
      </c>
      <c r="Z140">
        <v>0</v>
      </c>
      <c r="AA140">
        <v>0</v>
      </c>
      <c r="AB140" s="52">
        <v>0</v>
      </c>
      <c r="AC140">
        <v>0</v>
      </c>
      <c r="AD140">
        <v>0</v>
      </c>
      <c r="AE140">
        <v>0</v>
      </c>
      <c r="AF140">
        <v>0</v>
      </c>
      <c r="AG140" s="50">
        <v>0</v>
      </c>
      <c r="AH140">
        <v>0</v>
      </c>
      <c r="AI140">
        <v>0</v>
      </c>
      <c r="AJ140">
        <v>0</v>
      </c>
      <c r="AK140">
        <v>0</v>
      </c>
      <c r="AL140" s="50">
        <v>0</v>
      </c>
      <c r="AM140">
        <v>0</v>
      </c>
      <c r="AN140">
        <v>0</v>
      </c>
      <c r="AO140">
        <v>0</v>
      </c>
      <c r="AP140" s="50">
        <v>0</v>
      </c>
      <c r="AQ140" s="11" t="s">
        <v>51</v>
      </c>
      <c r="AR140" s="11" t="s">
        <v>51</v>
      </c>
      <c r="AS140" s="11" t="s">
        <v>51</v>
      </c>
      <c r="AT140" s="50">
        <v>0</v>
      </c>
      <c r="AU140" s="18">
        <v>2</v>
      </c>
      <c r="AV140" s="18">
        <v>0</v>
      </c>
      <c r="AW140" s="18">
        <v>0</v>
      </c>
      <c r="AX140" s="18">
        <v>0</v>
      </c>
      <c r="AY140" s="54">
        <f t="shared" si="2"/>
        <v>2</v>
      </c>
      <c r="AZ140" t="s">
        <v>117</v>
      </c>
      <c r="BA140" s="38">
        <v>92.588888888888903</v>
      </c>
    </row>
    <row r="141" spans="1:53" x14ac:dyDescent="0.25">
      <c r="A141" s="39" t="s">
        <v>46</v>
      </c>
      <c r="B141" t="s">
        <v>689</v>
      </c>
      <c r="C141" t="s">
        <v>690</v>
      </c>
      <c r="D141" t="s">
        <v>691</v>
      </c>
      <c r="E141">
        <v>55</v>
      </c>
      <c r="F141" t="s">
        <v>971</v>
      </c>
      <c r="G141" t="s">
        <v>943</v>
      </c>
      <c r="H141" t="s">
        <v>944</v>
      </c>
      <c r="I141" t="s">
        <v>950</v>
      </c>
      <c r="J141" t="s">
        <v>955</v>
      </c>
      <c r="K141" t="s">
        <v>962</v>
      </c>
      <c r="L141" s="11">
        <v>25</v>
      </c>
      <c r="M141" s="11">
        <v>0</v>
      </c>
      <c r="N141" s="11">
        <v>52.225000000000001</v>
      </c>
      <c r="O141" s="11">
        <v>3.75</v>
      </c>
      <c r="P141" s="50">
        <v>80.974999999999994</v>
      </c>
      <c r="Q141" s="11">
        <v>0</v>
      </c>
      <c r="R141" s="11">
        <v>0</v>
      </c>
      <c r="S141" s="11">
        <v>0</v>
      </c>
      <c r="T141" s="50">
        <v>0</v>
      </c>
      <c r="U141" s="11">
        <v>0</v>
      </c>
      <c r="V141" s="11">
        <v>0</v>
      </c>
      <c r="W141" s="11">
        <v>0</v>
      </c>
      <c r="X141" s="11">
        <v>0</v>
      </c>
      <c r="Y141" s="50">
        <v>0</v>
      </c>
      <c r="Z141">
        <v>0</v>
      </c>
      <c r="AA141">
        <v>0</v>
      </c>
      <c r="AB141" s="52">
        <v>0</v>
      </c>
      <c r="AC141">
        <v>0</v>
      </c>
      <c r="AD141">
        <v>0</v>
      </c>
      <c r="AE141">
        <v>0</v>
      </c>
      <c r="AF141">
        <v>0</v>
      </c>
      <c r="AG141" s="50">
        <v>0</v>
      </c>
      <c r="AH141">
        <v>0</v>
      </c>
      <c r="AI141">
        <v>0</v>
      </c>
      <c r="AJ141">
        <v>0</v>
      </c>
      <c r="AK141">
        <v>0</v>
      </c>
      <c r="AL141" s="50">
        <v>0</v>
      </c>
      <c r="AM141">
        <v>0</v>
      </c>
      <c r="AN141">
        <v>0</v>
      </c>
      <c r="AO141">
        <v>0</v>
      </c>
      <c r="AP141" s="50">
        <v>0</v>
      </c>
      <c r="AQ141" s="11" t="s">
        <v>51</v>
      </c>
      <c r="AR141" s="11" t="s">
        <v>51</v>
      </c>
      <c r="AS141" s="11" t="s">
        <v>51</v>
      </c>
      <c r="AT141" s="50">
        <v>0</v>
      </c>
      <c r="AU141" s="18">
        <v>11</v>
      </c>
      <c r="AV141" s="18">
        <v>0</v>
      </c>
      <c r="AW141" s="18">
        <v>0</v>
      </c>
      <c r="AX141" s="18">
        <v>0</v>
      </c>
      <c r="AY141" s="54">
        <f t="shared" si="2"/>
        <v>11</v>
      </c>
      <c r="AZ141" t="s">
        <v>52</v>
      </c>
      <c r="BA141" s="38">
        <v>80.974999999999994</v>
      </c>
    </row>
    <row r="142" spans="1:53" x14ac:dyDescent="0.25">
      <c r="A142" s="39" t="s">
        <v>46</v>
      </c>
      <c r="B142" t="s">
        <v>693</v>
      </c>
      <c r="C142" t="s">
        <v>694</v>
      </c>
      <c r="D142" t="s">
        <v>695</v>
      </c>
      <c r="E142">
        <v>36</v>
      </c>
      <c r="F142" t="s">
        <v>976</v>
      </c>
      <c r="G142" t="s">
        <v>943</v>
      </c>
      <c r="H142" t="s">
        <v>944</v>
      </c>
      <c r="I142" t="s">
        <v>977</v>
      </c>
      <c r="J142" t="s">
        <v>955</v>
      </c>
      <c r="K142" t="s">
        <v>978</v>
      </c>
      <c r="L142" s="11">
        <v>0</v>
      </c>
      <c r="M142" s="11">
        <v>0</v>
      </c>
      <c r="N142" s="11">
        <v>0</v>
      </c>
      <c r="O142" s="11">
        <v>0</v>
      </c>
      <c r="P142" s="50">
        <v>0</v>
      </c>
      <c r="Q142" s="11">
        <v>0</v>
      </c>
      <c r="R142" s="11">
        <v>0</v>
      </c>
      <c r="S142" s="11">
        <v>0</v>
      </c>
      <c r="T142" s="50">
        <v>0</v>
      </c>
      <c r="U142" s="11">
        <v>0</v>
      </c>
      <c r="V142" s="11">
        <v>0</v>
      </c>
      <c r="W142" s="11">
        <v>0</v>
      </c>
      <c r="X142" s="11">
        <v>0</v>
      </c>
      <c r="Y142" s="50">
        <v>0</v>
      </c>
      <c r="Z142">
        <v>41.78</v>
      </c>
      <c r="AA142">
        <v>24.75</v>
      </c>
      <c r="AB142" s="52">
        <v>66.53</v>
      </c>
      <c r="AC142">
        <v>0</v>
      </c>
      <c r="AD142">
        <v>0</v>
      </c>
      <c r="AE142">
        <v>0</v>
      </c>
      <c r="AF142">
        <v>0</v>
      </c>
      <c r="AG142" s="50">
        <v>0</v>
      </c>
      <c r="AH142">
        <v>0</v>
      </c>
      <c r="AI142">
        <v>0</v>
      </c>
      <c r="AJ142">
        <v>0</v>
      </c>
      <c r="AK142">
        <v>0</v>
      </c>
      <c r="AL142" s="50">
        <v>0</v>
      </c>
      <c r="AM142">
        <v>0</v>
      </c>
      <c r="AN142">
        <v>0</v>
      </c>
      <c r="AO142">
        <v>0</v>
      </c>
      <c r="AP142" s="50">
        <v>0</v>
      </c>
      <c r="AQ142" s="11" t="s">
        <v>51</v>
      </c>
      <c r="AR142" s="11" t="s">
        <v>51</v>
      </c>
      <c r="AS142" s="11" t="s">
        <v>51</v>
      </c>
      <c r="AT142" s="50">
        <v>0</v>
      </c>
      <c r="AU142" s="18">
        <v>4</v>
      </c>
      <c r="AV142" s="18">
        <v>0</v>
      </c>
      <c r="AW142" s="18">
        <v>0</v>
      </c>
      <c r="AX142" s="18">
        <v>0</v>
      </c>
      <c r="AY142" s="54">
        <f t="shared" si="2"/>
        <v>4</v>
      </c>
      <c r="AZ142" t="s">
        <v>52</v>
      </c>
      <c r="BA142" s="38">
        <v>66.53</v>
      </c>
    </row>
    <row r="143" spans="1:53" x14ac:dyDescent="0.25">
      <c r="A143" s="39" t="s">
        <v>46</v>
      </c>
      <c r="B143" t="s">
        <v>701</v>
      </c>
      <c r="C143" t="s">
        <v>702</v>
      </c>
      <c r="D143" t="s">
        <v>703</v>
      </c>
      <c r="E143">
        <v>53</v>
      </c>
      <c r="F143" t="s">
        <v>1025</v>
      </c>
      <c r="G143" t="s">
        <v>949</v>
      </c>
      <c r="H143" t="s">
        <v>944</v>
      </c>
      <c r="I143" t="s">
        <v>950</v>
      </c>
      <c r="J143" t="s">
        <v>946</v>
      </c>
      <c r="K143" t="s">
        <v>1016</v>
      </c>
      <c r="L143" s="11">
        <v>0</v>
      </c>
      <c r="M143" s="11">
        <v>16.662500000000001</v>
      </c>
      <c r="N143" s="11">
        <v>57.55</v>
      </c>
      <c r="O143" s="11">
        <v>3.125</v>
      </c>
      <c r="P143" s="50">
        <v>77.337500000000006</v>
      </c>
      <c r="Q143" s="11">
        <v>0</v>
      </c>
      <c r="R143" s="11">
        <v>0</v>
      </c>
      <c r="S143" s="11">
        <v>0</v>
      </c>
      <c r="T143" s="50">
        <v>0</v>
      </c>
      <c r="U143" s="11">
        <v>0</v>
      </c>
      <c r="V143" s="11">
        <v>0</v>
      </c>
      <c r="W143" s="11">
        <v>0</v>
      </c>
      <c r="X143" s="11">
        <v>0</v>
      </c>
      <c r="Y143" s="50">
        <v>0</v>
      </c>
      <c r="Z143">
        <v>0</v>
      </c>
      <c r="AA143">
        <v>0</v>
      </c>
      <c r="AB143" s="52">
        <v>0</v>
      </c>
      <c r="AC143">
        <v>0</v>
      </c>
      <c r="AD143">
        <v>0</v>
      </c>
      <c r="AE143">
        <v>0</v>
      </c>
      <c r="AF143">
        <v>0</v>
      </c>
      <c r="AG143" s="50">
        <v>0</v>
      </c>
      <c r="AH143">
        <v>15</v>
      </c>
      <c r="AI143">
        <v>50</v>
      </c>
      <c r="AJ143">
        <v>0</v>
      </c>
      <c r="AK143">
        <v>0</v>
      </c>
      <c r="AL143" s="50">
        <v>65</v>
      </c>
      <c r="AM143">
        <v>0</v>
      </c>
      <c r="AN143">
        <v>0</v>
      </c>
      <c r="AO143">
        <v>0</v>
      </c>
      <c r="AP143" s="50">
        <v>0</v>
      </c>
      <c r="AQ143" s="11" t="s">
        <v>51</v>
      </c>
      <c r="AR143" s="11" t="s">
        <v>51</v>
      </c>
      <c r="AS143" s="11" t="s">
        <v>51</v>
      </c>
      <c r="AT143" s="50">
        <v>0</v>
      </c>
      <c r="AU143" s="18">
        <v>24.5</v>
      </c>
      <c r="AV143" s="18">
        <v>15.5</v>
      </c>
      <c r="AW143" s="18">
        <v>0</v>
      </c>
      <c r="AX143" s="18">
        <v>0</v>
      </c>
      <c r="AY143" s="54">
        <f t="shared" si="2"/>
        <v>40</v>
      </c>
      <c r="AZ143" t="s">
        <v>52</v>
      </c>
      <c r="BA143" s="38">
        <v>72.556718750000002</v>
      </c>
    </row>
    <row r="144" spans="1:53" x14ac:dyDescent="0.25">
      <c r="A144" s="39" t="s">
        <v>46</v>
      </c>
      <c r="B144" t="s">
        <v>706</v>
      </c>
      <c r="C144" t="s">
        <v>707</v>
      </c>
      <c r="D144" t="s">
        <v>708</v>
      </c>
      <c r="E144">
        <v>24</v>
      </c>
      <c r="F144" t="s">
        <v>994</v>
      </c>
      <c r="G144" t="s">
        <v>943</v>
      </c>
      <c r="H144" t="s">
        <v>944</v>
      </c>
      <c r="I144" t="s">
        <v>977</v>
      </c>
      <c r="J144" t="s">
        <v>946</v>
      </c>
      <c r="K144" t="s">
        <v>983</v>
      </c>
      <c r="L144" s="11">
        <v>20</v>
      </c>
      <c r="M144" s="11">
        <v>20</v>
      </c>
      <c r="N144" s="11">
        <v>44.4</v>
      </c>
      <c r="O144" s="11">
        <v>4</v>
      </c>
      <c r="P144" s="50">
        <v>88.4</v>
      </c>
      <c r="Q144" s="11">
        <v>0</v>
      </c>
      <c r="R144" s="11">
        <v>0</v>
      </c>
      <c r="S144" s="11">
        <v>0</v>
      </c>
      <c r="T144" s="50">
        <v>0</v>
      </c>
      <c r="U144" s="11">
        <v>47.13</v>
      </c>
      <c r="V144" s="11">
        <v>4</v>
      </c>
      <c r="W144" s="11">
        <v>20</v>
      </c>
      <c r="X144" s="11">
        <v>20</v>
      </c>
      <c r="Y144" s="50">
        <v>91.13</v>
      </c>
      <c r="Z144">
        <v>0</v>
      </c>
      <c r="AA144">
        <v>0</v>
      </c>
      <c r="AB144" s="52">
        <v>0</v>
      </c>
      <c r="AC144">
        <v>0</v>
      </c>
      <c r="AD144">
        <v>0</v>
      </c>
      <c r="AE144">
        <v>0</v>
      </c>
      <c r="AF144">
        <v>0</v>
      </c>
      <c r="AG144" s="50">
        <v>0</v>
      </c>
      <c r="AH144">
        <v>15</v>
      </c>
      <c r="AI144">
        <v>50</v>
      </c>
      <c r="AJ144">
        <v>15</v>
      </c>
      <c r="AK144">
        <v>20</v>
      </c>
      <c r="AL144" s="50">
        <v>100</v>
      </c>
      <c r="AM144">
        <v>0</v>
      </c>
      <c r="AN144">
        <v>0</v>
      </c>
      <c r="AO144">
        <v>0</v>
      </c>
      <c r="AP144" s="50">
        <v>0</v>
      </c>
      <c r="AQ144" s="11" t="s">
        <v>51</v>
      </c>
      <c r="AR144" s="11" t="s">
        <v>51</v>
      </c>
      <c r="AS144" s="11" t="s">
        <v>51</v>
      </c>
      <c r="AT144" s="50">
        <v>0</v>
      </c>
      <c r="AU144" s="18">
        <v>23</v>
      </c>
      <c r="AV144" s="18">
        <v>15</v>
      </c>
      <c r="AW144" s="18">
        <v>0</v>
      </c>
      <c r="AX144" s="18">
        <v>0</v>
      </c>
      <c r="AY144" s="54">
        <f t="shared" si="2"/>
        <v>38</v>
      </c>
      <c r="AZ144" t="s">
        <v>52</v>
      </c>
      <c r="BA144" s="38">
        <v>92.978947368421046</v>
      </c>
    </row>
    <row r="145" spans="1:53" x14ac:dyDescent="0.25">
      <c r="A145" s="39" t="s">
        <v>46</v>
      </c>
      <c r="B145" t="s">
        <v>706</v>
      </c>
      <c r="C145" t="s">
        <v>707</v>
      </c>
      <c r="D145" t="s">
        <v>708</v>
      </c>
      <c r="E145">
        <v>24</v>
      </c>
      <c r="F145" t="s">
        <v>994</v>
      </c>
      <c r="G145" t="s">
        <v>943</v>
      </c>
      <c r="H145" t="s">
        <v>944</v>
      </c>
      <c r="I145" t="s">
        <v>977</v>
      </c>
      <c r="J145" t="s">
        <v>946</v>
      </c>
      <c r="K145" t="s">
        <v>983</v>
      </c>
      <c r="L145" s="11">
        <v>20</v>
      </c>
      <c r="M145" s="11">
        <v>20</v>
      </c>
      <c r="N145" s="11">
        <v>44.4</v>
      </c>
      <c r="O145" s="11">
        <v>4</v>
      </c>
      <c r="P145" s="50">
        <v>88.4</v>
      </c>
      <c r="Q145" s="11">
        <v>0</v>
      </c>
      <c r="R145" s="11">
        <v>0</v>
      </c>
      <c r="S145" s="11">
        <v>0</v>
      </c>
      <c r="T145" s="50">
        <v>0</v>
      </c>
      <c r="U145" s="11">
        <v>47.13</v>
      </c>
      <c r="V145" s="11">
        <v>4</v>
      </c>
      <c r="W145" s="11">
        <v>20</v>
      </c>
      <c r="X145" s="11">
        <v>20</v>
      </c>
      <c r="Y145" s="50">
        <v>91.13</v>
      </c>
      <c r="Z145">
        <v>0</v>
      </c>
      <c r="AA145">
        <v>0</v>
      </c>
      <c r="AB145" s="52">
        <v>0</v>
      </c>
      <c r="AC145">
        <v>0</v>
      </c>
      <c r="AD145">
        <v>0</v>
      </c>
      <c r="AE145">
        <v>0</v>
      </c>
      <c r="AF145">
        <v>0</v>
      </c>
      <c r="AG145" s="50">
        <v>0</v>
      </c>
      <c r="AH145">
        <v>15</v>
      </c>
      <c r="AI145">
        <v>50</v>
      </c>
      <c r="AJ145">
        <v>15</v>
      </c>
      <c r="AK145">
        <v>20</v>
      </c>
      <c r="AL145" s="50">
        <v>100</v>
      </c>
      <c r="AM145">
        <v>0</v>
      </c>
      <c r="AN145">
        <v>0</v>
      </c>
      <c r="AO145">
        <v>0</v>
      </c>
      <c r="AP145" s="50">
        <v>0</v>
      </c>
      <c r="AQ145" s="11" t="s">
        <v>51</v>
      </c>
      <c r="AR145" s="11" t="s">
        <v>51</v>
      </c>
      <c r="AS145" s="11" t="s">
        <v>51</v>
      </c>
      <c r="AT145" s="50">
        <v>0</v>
      </c>
      <c r="AU145" s="18">
        <v>2</v>
      </c>
      <c r="AV145" s="18">
        <v>0</v>
      </c>
      <c r="AW145" s="18">
        <v>0</v>
      </c>
      <c r="AX145" s="18">
        <v>0</v>
      </c>
      <c r="AY145" s="54">
        <f t="shared" si="2"/>
        <v>2</v>
      </c>
      <c r="AZ145" t="s">
        <v>117</v>
      </c>
      <c r="BA145" s="38">
        <v>91.13</v>
      </c>
    </row>
    <row r="146" spans="1:53" x14ac:dyDescent="0.25">
      <c r="A146" s="39" t="s">
        <v>46</v>
      </c>
      <c r="B146" t="s">
        <v>711</v>
      </c>
      <c r="C146" t="s">
        <v>712</v>
      </c>
      <c r="D146" t="s">
        <v>713</v>
      </c>
      <c r="E146">
        <v>32</v>
      </c>
      <c r="F146" t="s">
        <v>972</v>
      </c>
      <c r="G146" t="s">
        <v>943</v>
      </c>
      <c r="H146" t="s">
        <v>944</v>
      </c>
      <c r="I146" t="s">
        <v>950</v>
      </c>
      <c r="J146" t="s">
        <v>946</v>
      </c>
      <c r="K146" t="s">
        <v>973</v>
      </c>
      <c r="L146" s="11">
        <v>20</v>
      </c>
      <c r="M146" s="11">
        <v>18</v>
      </c>
      <c r="N146" s="11">
        <v>42.82</v>
      </c>
      <c r="O146" s="11">
        <v>3.5</v>
      </c>
      <c r="P146" s="50">
        <v>84.32</v>
      </c>
      <c r="Q146" s="11">
        <v>0</v>
      </c>
      <c r="R146" s="11">
        <v>0</v>
      </c>
      <c r="S146" s="11">
        <v>0</v>
      </c>
      <c r="T146" s="50">
        <v>0</v>
      </c>
      <c r="U146" s="11">
        <v>0</v>
      </c>
      <c r="V146" s="11">
        <v>0</v>
      </c>
      <c r="W146" s="11">
        <v>0</v>
      </c>
      <c r="X146" s="11">
        <v>0</v>
      </c>
      <c r="Y146" s="50">
        <v>0</v>
      </c>
      <c r="Z146">
        <v>0</v>
      </c>
      <c r="AA146">
        <v>0</v>
      </c>
      <c r="AB146" s="52">
        <v>0</v>
      </c>
      <c r="AC146">
        <v>0</v>
      </c>
      <c r="AD146">
        <v>0</v>
      </c>
      <c r="AE146">
        <v>0</v>
      </c>
      <c r="AF146">
        <v>0</v>
      </c>
      <c r="AG146" s="50">
        <v>0</v>
      </c>
      <c r="AH146">
        <v>0</v>
      </c>
      <c r="AI146">
        <v>0</v>
      </c>
      <c r="AJ146">
        <v>0</v>
      </c>
      <c r="AK146">
        <v>0</v>
      </c>
      <c r="AL146" s="50">
        <v>0</v>
      </c>
      <c r="AM146">
        <v>0</v>
      </c>
      <c r="AN146">
        <v>0</v>
      </c>
      <c r="AO146">
        <v>0</v>
      </c>
      <c r="AP146" s="50">
        <v>0</v>
      </c>
      <c r="AQ146" s="11" t="s">
        <v>51</v>
      </c>
      <c r="AR146" s="11" t="s">
        <v>51</v>
      </c>
      <c r="AS146" s="11" t="s">
        <v>51</v>
      </c>
      <c r="AT146" s="50">
        <v>0</v>
      </c>
      <c r="AU146" s="18">
        <v>40</v>
      </c>
      <c r="AV146" s="18">
        <v>0</v>
      </c>
      <c r="AW146" s="18">
        <v>0</v>
      </c>
      <c r="AX146" s="18">
        <v>0</v>
      </c>
      <c r="AY146" s="54">
        <f t="shared" si="2"/>
        <v>40</v>
      </c>
      <c r="AZ146" t="s">
        <v>52</v>
      </c>
      <c r="BA146" s="38">
        <v>84.32</v>
      </c>
    </row>
    <row r="147" spans="1:53" x14ac:dyDescent="0.25">
      <c r="A147" s="39" t="s">
        <v>46</v>
      </c>
      <c r="B147" t="s">
        <v>715</v>
      </c>
      <c r="C147" t="s">
        <v>716</v>
      </c>
      <c r="D147" t="s">
        <v>717</v>
      </c>
      <c r="E147">
        <v>27</v>
      </c>
      <c r="F147" t="s">
        <v>957</v>
      </c>
      <c r="G147" t="s">
        <v>943</v>
      </c>
      <c r="H147" t="s">
        <v>944</v>
      </c>
      <c r="I147" t="s">
        <v>950</v>
      </c>
      <c r="J147" t="s">
        <v>955</v>
      </c>
      <c r="K147" t="s">
        <v>967</v>
      </c>
      <c r="L147" s="11">
        <v>25</v>
      </c>
      <c r="M147" s="11">
        <v>0</v>
      </c>
      <c r="N147" s="11">
        <v>62.5</v>
      </c>
      <c r="O147" s="11">
        <v>6.25</v>
      </c>
      <c r="P147" s="50">
        <v>93.75</v>
      </c>
      <c r="Q147" s="11">
        <v>0</v>
      </c>
      <c r="R147" s="11">
        <v>0</v>
      </c>
      <c r="S147" s="11">
        <v>0</v>
      </c>
      <c r="T147" s="50">
        <v>0</v>
      </c>
      <c r="U147" s="11">
        <v>0</v>
      </c>
      <c r="V147" s="11">
        <v>0</v>
      </c>
      <c r="W147" s="11">
        <v>0</v>
      </c>
      <c r="X147" s="11">
        <v>0</v>
      </c>
      <c r="Y147" s="50">
        <v>0</v>
      </c>
      <c r="Z147">
        <v>0</v>
      </c>
      <c r="AA147">
        <v>0</v>
      </c>
      <c r="AB147" s="52">
        <v>0</v>
      </c>
      <c r="AC147">
        <v>0</v>
      </c>
      <c r="AD147">
        <v>0</v>
      </c>
      <c r="AE147">
        <v>0</v>
      </c>
      <c r="AF147">
        <v>0</v>
      </c>
      <c r="AG147" s="50">
        <v>0</v>
      </c>
      <c r="AH147">
        <v>0</v>
      </c>
      <c r="AI147">
        <v>0</v>
      </c>
      <c r="AJ147">
        <v>0</v>
      </c>
      <c r="AK147">
        <v>0</v>
      </c>
      <c r="AL147" s="50">
        <v>0</v>
      </c>
      <c r="AM147">
        <v>0</v>
      </c>
      <c r="AN147">
        <v>0</v>
      </c>
      <c r="AO147">
        <v>0</v>
      </c>
      <c r="AP147" s="50">
        <v>0</v>
      </c>
      <c r="AQ147" s="11" t="s">
        <v>51</v>
      </c>
      <c r="AR147" s="11" t="s">
        <v>51</v>
      </c>
      <c r="AS147" s="11" t="s">
        <v>51</v>
      </c>
      <c r="AT147" s="50">
        <v>0</v>
      </c>
      <c r="AU147" s="18">
        <v>7</v>
      </c>
      <c r="AV147" s="18">
        <v>0</v>
      </c>
      <c r="AW147" s="18">
        <v>0</v>
      </c>
      <c r="AX147" s="18">
        <v>0</v>
      </c>
      <c r="AY147" s="54">
        <f t="shared" si="2"/>
        <v>7</v>
      </c>
      <c r="AZ147" t="s">
        <v>52</v>
      </c>
      <c r="BA147" s="38">
        <v>93.75</v>
      </c>
    </row>
    <row r="148" spans="1:53" x14ac:dyDescent="0.25">
      <c r="A148" s="39" t="s">
        <v>46</v>
      </c>
      <c r="B148" t="s">
        <v>719</v>
      </c>
      <c r="C148" t="s">
        <v>720</v>
      </c>
      <c r="D148" t="s">
        <v>721</v>
      </c>
      <c r="E148">
        <v>43</v>
      </c>
      <c r="F148" t="s">
        <v>957</v>
      </c>
      <c r="G148" t="s">
        <v>949</v>
      </c>
      <c r="H148" t="s">
        <v>944</v>
      </c>
      <c r="I148" t="s">
        <v>950</v>
      </c>
      <c r="J148" t="s">
        <v>955</v>
      </c>
      <c r="K148" t="s">
        <v>956</v>
      </c>
      <c r="L148" s="11">
        <v>23.337499999999999</v>
      </c>
      <c r="M148" s="11">
        <v>0</v>
      </c>
      <c r="N148" s="11">
        <v>58.712499999999999</v>
      </c>
      <c r="O148" s="11">
        <v>3.75</v>
      </c>
      <c r="P148" s="50">
        <v>85.8</v>
      </c>
      <c r="Q148" s="11">
        <v>0</v>
      </c>
      <c r="R148" s="11">
        <v>0</v>
      </c>
      <c r="S148" s="11">
        <v>0</v>
      </c>
      <c r="T148" s="50">
        <v>0</v>
      </c>
      <c r="U148" s="11">
        <v>0</v>
      </c>
      <c r="V148" s="11">
        <v>0</v>
      </c>
      <c r="W148" s="11">
        <v>0</v>
      </c>
      <c r="X148" s="11">
        <v>0</v>
      </c>
      <c r="Y148" s="50">
        <v>0</v>
      </c>
      <c r="Z148">
        <v>0</v>
      </c>
      <c r="AA148">
        <v>0</v>
      </c>
      <c r="AB148" s="52">
        <v>0</v>
      </c>
      <c r="AC148">
        <v>0</v>
      </c>
      <c r="AD148">
        <v>0</v>
      </c>
      <c r="AE148">
        <v>0</v>
      </c>
      <c r="AF148">
        <v>0</v>
      </c>
      <c r="AG148" s="50">
        <v>0</v>
      </c>
      <c r="AH148">
        <v>0</v>
      </c>
      <c r="AI148">
        <v>0</v>
      </c>
      <c r="AJ148">
        <v>0</v>
      </c>
      <c r="AK148">
        <v>0</v>
      </c>
      <c r="AL148" s="50">
        <v>0</v>
      </c>
      <c r="AM148">
        <v>0</v>
      </c>
      <c r="AN148">
        <v>0</v>
      </c>
      <c r="AO148">
        <v>0</v>
      </c>
      <c r="AP148" s="50">
        <v>0</v>
      </c>
      <c r="AQ148" s="11" t="s">
        <v>51</v>
      </c>
      <c r="AR148" s="11" t="s">
        <v>51</v>
      </c>
      <c r="AS148" s="11" t="s">
        <v>51</v>
      </c>
      <c r="AT148" s="50">
        <v>0</v>
      </c>
      <c r="AU148" s="18">
        <v>8</v>
      </c>
      <c r="AV148" s="18">
        <v>0</v>
      </c>
      <c r="AW148" s="18">
        <v>0</v>
      </c>
      <c r="AX148" s="18">
        <v>0</v>
      </c>
      <c r="AY148" s="54">
        <f t="shared" si="2"/>
        <v>8</v>
      </c>
      <c r="AZ148" t="s">
        <v>52</v>
      </c>
      <c r="BA148" s="38">
        <v>85.8</v>
      </c>
    </row>
    <row r="149" spans="1:53" x14ac:dyDescent="0.25">
      <c r="A149" s="39" t="s">
        <v>46</v>
      </c>
      <c r="B149" t="s">
        <v>723</v>
      </c>
      <c r="C149" t="s">
        <v>724</v>
      </c>
      <c r="D149" t="s">
        <v>725</v>
      </c>
      <c r="E149">
        <v>36</v>
      </c>
      <c r="F149" t="s">
        <v>957</v>
      </c>
      <c r="G149" t="s">
        <v>949</v>
      </c>
      <c r="H149" t="s">
        <v>944</v>
      </c>
      <c r="I149" t="s">
        <v>977</v>
      </c>
      <c r="J149" t="s">
        <v>955</v>
      </c>
      <c r="K149" t="s">
        <v>983</v>
      </c>
      <c r="L149" s="11">
        <v>25</v>
      </c>
      <c r="M149" s="11">
        <v>0</v>
      </c>
      <c r="N149" s="11">
        <v>48.662500000000001</v>
      </c>
      <c r="O149" s="11">
        <v>3.125</v>
      </c>
      <c r="P149" s="50">
        <v>76.787499999999994</v>
      </c>
      <c r="Q149" s="11">
        <v>0</v>
      </c>
      <c r="R149" s="11">
        <v>0</v>
      </c>
      <c r="S149" s="11">
        <v>0</v>
      </c>
      <c r="T149" s="50">
        <v>0</v>
      </c>
      <c r="U149" s="11">
        <v>0</v>
      </c>
      <c r="V149" s="11">
        <v>0</v>
      </c>
      <c r="W149" s="11">
        <v>0</v>
      </c>
      <c r="X149" s="11">
        <v>0</v>
      </c>
      <c r="Y149" s="50">
        <v>0</v>
      </c>
      <c r="Z149">
        <v>0</v>
      </c>
      <c r="AA149">
        <v>0</v>
      </c>
      <c r="AB149" s="52">
        <v>0</v>
      </c>
      <c r="AC149">
        <v>0</v>
      </c>
      <c r="AD149">
        <v>0</v>
      </c>
      <c r="AE149">
        <v>0</v>
      </c>
      <c r="AF149">
        <v>0</v>
      </c>
      <c r="AG149" s="50">
        <v>0</v>
      </c>
      <c r="AH149">
        <v>0</v>
      </c>
      <c r="AI149">
        <v>0</v>
      </c>
      <c r="AJ149">
        <v>0</v>
      </c>
      <c r="AK149">
        <v>0</v>
      </c>
      <c r="AL149" s="50">
        <v>0</v>
      </c>
      <c r="AM149">
        <v>0</v>
      </c>
      <c r="AN149">
        <v>0</v>
      </c>
      <c r="AO149">
        <v>0</v>
      </c>
      <c r="AP149" s="50">
        <v>0</v>
      </c>
      <c r="AQ149" s="11" t="s">
        <v>51</v>
      </c>
      <c r="AR149" s="11" t="s">
        <v>51</v>
      </c>
      <c r="AS149" s="11" t="s">
        <v>51</v>
      </c>
      <c r="AT149" s="50">
        <v>0</v>
      </c>
      <c r="AU149" s="18">
        <v>3</v>
      </c>
      <c r="AV149" s="18">
        <v>0</v>
      </c>
      <c r="AW149" s="18">
        <v>0</v>
      </c>
      <c r="AX149" s="18">
        <v>0</v>
      </c>
      <c r="AY149" s="54">
        <f t="shared" si="2"/>
        <v>3</v>
      </c>
      <c r="AZ149" t="s">
        <v>52</v>
      </c>
      <c r="BA149" s="38">
        <v>76.787499999999994</v>
      </c>
    </row>
    <row r="150" spans="1:53" x14ac:dyDescent="0.25">
      <c r="A150" s="39" t="s">
        <v>46</v>
      </c>
      <c r="B150" t="s">
        <v>727</v>
      </c>
      <c r="C150" t="s">
        <v>728</v>
      </c>
      <c r="D150" t="s">
        <v>729</v>
      </c>
      <c r="E150">
        <v>51</v>
      </c>
      <c r="F150" t="s">
        <v>1018</v>
      </c>
      <c r="G150" t="s">
        <v>949</v>
      </c>
      <c r="H150" t="s">
        <v>944</v>
      </c>
      <c r="I150" t="s">
        <v>950</v>
      </c>
      <c r="J150" t="s">
        <v>955</v>
      </c>
      <c r="K150" t="s">
        <v>960</v>
      </c>
      <c r="L150" s="11">
        <v>20</v>
      </c>
      <c r="M150" s="11">
        <v>20</v>
      </c>
      <c r="N150" s="11">
        <v>43.69</v>
      </c>
      <c r="O150" s="11">
        <v>2.5</v>
      </c>
      <c r="P150" s="50">
        <v>86.19</v>
      </c>
      <c r="Q150" s="11">
        <v>0</v>
      </c>
      <c r="R150" s="11">
        <v>0</v>
      </c>
      <c r="S150" s="11">
        <v>0</v>
      </c>
      <c r="T150" s="50">
        <v>0</v>
      </c>
      <c r="U150" s="11">
        <v>0</v>
      </c>
      <c r="V150" s="11">
        <v>0</v>
      </c>
      <c r="W150" s="11">
        <v>0</v>
      </c>
      <c r="X150" s="11">
        <v>0</v>
      </c>
      <c r="Y150" s="50">
        <v>0</v>
      </c>
      <c r="Z150">
        <v>0</v>
      </c>
      <c r="AA150">
        <v>0</v>
      </c>
      <c r="AB150" s="52">
        <v>0</v>
      </c>
      <c r="AC150">
        <v>0</v>
      </c>
      <c r="AD150">
        <v>0</v>
      </c>
      <c r="AE150">
        <v>0</v>
      </c>
      <c r="AF150">
        <v>0</v>
      </c>
      <c r="AG150" s="50">
        <v>0</v>
      </c>
      <c r="AH150">
        <v>0</v>
      </c>
      <c r="AI150">
        <v>0</v>
      </c>
      <c r="AJ150">
        <v>0</v>
      </c>
      <c r="AK150">
        <v>0</v>
      </c>
      <c r="AL150" s="50">
        <v>0</v>
      </c>
      <c r="AM150">
        <v>0</v>
      </c>
      <c r="AN150">
        <v>0</v>
      </c>
      <c r="AO150">
        <v>0</v>
      </c>
      <c r="AP150" s="50">
        <v>0</v>
      </c>
      <c r="AQ150" s="11" t="s">
        <v>51</v>
      </c>
      <c r="AR150" s="11" t="s">
        <v>51</v>
      </c>
      <c r="AS150" s="11" t="s">
        <v>51</v>
      </c>
      <c r="AT150" s="50">
        <v>0</v>
      </c>
      <c r="AU150" s="18">
        <v>6</v>
      </c>
      <c r="AV150" s="18">
        <v>0</v>
      </c>
      <c r="AW150" s="18">
        <v>0</v>
      </c>
      <c r="AX150" s="18">
        <v>0</v>
      </c>
      <c r="AY150" s="54">
        <f t="shared" si="2"/>
        <v>6</v>
      </c>
      <c r="AZ150" t="s">
        <v>52</v>
      </c>
      <c r="BA150" s="38">
        <v>86.19</v>
      </c>
    </row>
    <row r="151" spans="1:53" x14ac:dyDescent="0.25">
      <c r="A151" s="39" t="s">
        <v>46</v>
      </c>
      <c r="B151" t="s">
        <v>731</v>
      </c>
      <c r="C151" t="s">
        <v>732</v>
      </c>
      <c r="D151" t="s">
        <v>733</v>
      </c>
      <c r="E151">
        <v>39</v>
      </c>
      <c r="F151" t="s">
        <v>954</v>
      </c>
      <c r="G151" t="s">
        <v>943</v>
      </c>
      <c r="H151" t="s">
        <v>944</v>
      </c>
      <c r="I151" t="s">
        <v>950</v>
      </c>
      <c r="J151" t="s">
        <v>955</v>
      </c>
      <c r="K151" t="s">
        <v>958</v>
      </c>
      <c r="L151" s="11">
        <v>25</v>
      </c>
      <c r="M151" s="11">
        <v>0</v>
      </c>
      <c r="N151" s="11">
        <v>56.612499999999997</v>
      </c>
      <c r="O151" s="11">
        <v>3.125</v>
      </c>
      <c r="P151" s="50">
        <v>84.737499999999997</v>
      </c>
      <c r="Q151" s="11">
        <v>0</v>
      </c>
      <c r="R151" s="11">
        <v>0</v>
      </c>
      <c r="S151" s="11">
        <v>0</v>
      </c>
      <c r="T151" s="50">
        <v>0</v>
      </c>
      <c r="U151" s="11">
        <v>0</v>
      </c>
      <c r="V151" s="11">
        <v>0</v>
      </c>
      <c r="W151" s="11">
        <v>0</v>
      </c>
      <c r="X151" s="11">
        <v>0</v>
      </c>
      <c r="Y151" s="50">
        <v>0</v>
      </c>
      <c r="Z151">
        <v>0</v>
      </c>
      <c r="AA151">
        <v>0</v>
      </c>
      <c r="AB151" s="52">
        <v>0</v>
      </c>
      <c r="AC151">
        <v>0</v>
      </c>
      <c r="AD151">
        <v>0</v>
      </c>
      <c r="AE151">
        <v>0</v>
      </c>
      <c r="AF151">
        <v>0</v>
      </c>
      <c r="AG151" s="50">
        <v>0</v>
      </c>
      <c r="AH151">
        <v>0</v>
      </c>
      <c r="AI151">
        <v>0</v>
      </c>
      <c r="AJ151">
        <v>0</v>
      </c>
      <c r="AK151">
        <v>0</v>
      </c>
      <c r="AL151" s="50">
        <v>0</v>
      </c>
      <c r="AM151">
        <v>0</v>
      </c>
      <c r="AN151">
        <v>0</v>
      </c>
      <c r="AO151">
        <v>0</v>
      </c>
      <c r="AP151" s="50">
        <v>0</v>
      </c>
      <c r="AQ151" s="11" t="s">
        <v>51</v>
      </c>
      <c r="AR151" s="11" t="s">
        <v>51</v>
      </c>
      <c r="AS151" s="11" t="s">
        <v>51</v>
      </c>
      <c r="AT151" s="50">
        <v>0</v>
      </c>
      <c r="AU151" s="18">
        <v>7</v>
      </c>
      <c r="AV151" s="18">
        <v>0</v>
      </c>
      <c r="AW151" s="18">
        <v>0</v>
      </c>
      <c r="AX151" s="18">
        <v>0</v>
      </c>
      <c r="AY151" s="54">
        <f t="shared" si="2"/>
        <v>7</v>
      </c>
      <c r="AZ151" t="s">
        <v>52</v>
      </c>
      <c r="BA151" s="38">
        <v>84.737499999999997</v>
      </c>
    </row>
    <row r="152" spans="1:53" x14ac:dyDescent="0.25">
      <c r="A152" s="39" t="s">
        <v>46</v>
      </c>
      <c r="B152" t="s">
        <v>738</v>
      </c>
      <c r="C152" t="s">
        <v>739</v>
      </c>
      <c r="D152" t="s">
        <v>740</v>
      </c>
      <c r="E152">
        <v>45</v>
      </c>
      <c r="F152" t="s">
        <v>976</v>
      </c>
      <c r="G152" t="s">
        <v>949</v>
      </c>
      <c r="H152" t="s">
        <v>944</v>
      </c>
      <c r="I152" t="s">
        <v>945</v>
      </c>
      <c r="J152" t="s">
        <v>955</v>
      </c>
      <c r="K152" t="s">
        <v>1005</v>
      </c>
      <c r="L152" s="11">
        <v>0</v>
      </c>
      <c r="M152" s="11">
        <v>18.100000000000001</v>
      </c>
      <c r="N152" s="11">
        <v>42.214285714285715</v>
      </c>
      <c r="O152" s="11">
        <v>0</v>
      </c>
      <c r="P152" s="50">
        <v>60.314285714285717</v>
      </c>
      <c r="Q152" s="11">
        <v>0</v>
      </c>
      <c r="R152" s="11">
        <v>0</v>
      </c>
      <c r="S152" s="11">
        <v>0</v>
      </c>
      <c r="T152" s="50">
        <v>0</v>
      </c>
      <c r="U152" s="11">
        <v>0</v>
      </c>
      <c r="V152" s="11">
        <v>0</v>
      </c>
      <c r="W152" s="11">
        <v>0</v>
      </c>
      <c r="X152" s="11">
        <v>0</v>
      </c>
      <c r="Y152" s="50">
        <v>0</v>
      </c>
      <c r="Z152">
        <v>0</v>
      </c>
      <c r="AA152">
        <v>0</v>
      </c>
      <c r="AB152" s="52">
        <v>0</v>
      </c>
      <c r="AC152">
        <v>0</v>
      </c>
      <c r="AD152">
        <v>0</v>
      </c>
      <c r="AE152">
        <v>0</v>
      </c>
      <c r="AF152">
        <v>0</v>
      </c>
      <c r="AG152" s="50">
        <v>0</v>
      </c>
      <c r="AH152">
        <v>0</v>
      </c>
      <c r="AI152">
        <v>0</v>
      </c>
      <c r="AJ152">
        <v>0</v>
      </c>
      <c r="AK152">
        <v>0</v>
      </c>
      <c r="AL152" s="50">
        <v>0</v>
      </c>
      <c r="AM152">
        <v>0</v>
      </c>
      <c r="AN152">
        <v>0</v>
      </c>
      <c r="AO152">
        <v>0</v>
      </c>
      <c r="AP152" s="50">
        <v>0</v>
      </c>
      <c r="AQ152" s="11" t="s">
        <v>51</v>
      </c>
      <c r="AR152" s="11" t="s">
        <v>51</v>
      </c>
      <c r="AS152" s="11" t="s">
        <v>51</v>
      </c>
      <c r="AT152" s="50">
        <v>0</v>
      </c>
      <c r="AU152" s="18">
        <v>4</v>
      </c>
      <c r="AV152" s="18">
        <v>0</v>
      </c>
      <c r="AW152" s="18">
        <v>0</v>
      </c>
      <c r="AX152" s="18">
        <v>0</v>
      </c>
      <c r="AY152" s="54">
        <f t="shared" si="2"/>
        <v>4</v>
      </c>
      <c r="AZ152" t="s">
        <v>52</v>
      </c>
      <c r="BA152" s="38">
        <v>60.314285714285717</v>
      </c>
    </row>
    <row r="153" spans="1:53" x14ac:dyDescent="0.25">
      <c r="A153" s="39" t="s">
        <v>46</v>
      </c>
      <c r="B153" t="s">
        <v>742</v>
      </c>
      <c r="C153" t="s">
        <v>743</v>
      </c>
      <c r="D153" t="s">
        <v>744</v>
      </c>
      <c r="E153">
        <v>33</v>
      </c>
      <c r="F153" t="s">
        <v>976</v>
      </c>
      <c r="G153" t="s">
        <v>943</v>
      </c>
      <c r="H153" t="s">
        <v>944</v>
      </c>
      <c r="I153" t="s">
        <v>950</v>
      </c>
      <c r="J153" t="s">
        <v>946</v>
      </c>
      <c r="K153" t="s">
        <v>964</v>
      </c>
      <c r="L153" s="11">
        <v>0</v>
      </c>
      <c r="M153" s="11">
        <v>25</v>
      </c>
      <c r="N153" s="11">
        <v>59.512500000000003</v>
      </c>
      <c r="O153" s="11">
        <v>3.125</v>
      </c>
      <c r="P153" s="50">
        <v>87.637500000000003</v>
      </c>
      <c r="Q153" s="11">
        <v>0</v>
      </c>
      <c r="R153" s="11">
        <v>0</v>
      </c>
      <c r="S153" s="11">
        <v>0</v>
      </c>
      <c r="T153" s="50">
        <v>0</v>
      </c>
      <c r="U153" s="11">
        <v>0</v>
      </c>
      <c r="V153" s="11">
        <v>0</v>
      </c>
      <c r="W153" s="11">
        <v>0</v>
      </c>
      <c r="X153" s="11">
        <v>0</v>
      </c>
      <c r="Y153" s="50">
        <v>0</v>
      </c>
      <c r="Z153">
        <v>0</v>
      </c>
      <c r="AA153">
        <v>0</v>
      </c>
      <c r="AB153" s="52">
        <v>0</v>
      </c>
      <c r="AC153">
        <v>0</v>
      </c>
      <c r="AD153">
        <v>0</v>
      </c>
      <c r="AE153">
        <v>0</v>
      </c>
      <c r="AF153">
        <v>0</v>
      </c>
      <c r="AG153" s="50">
        <v>0</v>
      </c>
      <c r="AH153">
        <v>0</v>
      </c>
      <c r="AI153">
        <v>0</v>
      </c>
      <c r="AJ153">
        <v>0</v>
      </c>
      <c r="AK153">
        <v>0</v>
      </c>
      <c r="AL153" s="50">
        <v>0</v>
      </c>
      <c r="AM153">
        <v>0</v>
      </c>
      <c r="AN153">
        <v>0</v>
      </c>
      <c r="AO153">
        <v>0</v>
      </c>
      <c r="AP153" s="50">
        <v>0</v>
      </c>
      <c r="AQ153" s="11" t="s">
        <v>51</v>
      </c>
      <c r="AR153" s="11" t="s">
        <v>51</v>
      </c>
      <c r="AS153" s="11" t="s">
        <v>51</v>
      </c>
      <c r="AT153" s="50">
        <v>0</v>
      </c>
      <c r="AU153" s="18">
        <v>40</v>
      </c>
      <c r="AV153" s="18">
        <v>0</v>
      </c>
      <c r="AW153" s="18">
        <v>0</v>
      </c>
      <c r="AX153" s="18">
        <v>0</v>
      </c>
      <c r="AY153" s="54">
        <f t="shared" si="2"/>
        <v>40</v>
      </c>
      <c r="AZ153" t="s">
        <v>52</v>
      </c>
      <c r="BA153" s="38">
        <v>87.637500000000003</v>
      </c>
    </row>
    <row r="154" spans="1:53" x14ac:dyDescent="0.25">
      <c r="A154" s="39" t="s">
        <v>46</v>
      </c>
      <c r="B154" t="s">
        <v>746</v>
      </c>
      <c r="C154" t="s">
        <v>747</v>
      </c>
      <c r="D154" t="s">
        <v>748</v>
      </c>
      <c r="E154">
        <v>31</v>
      </c>
      <c r="F154" t="s">
        <v>1003</v>
      </c>
      <c r="G154" t="s">
        <v>943</v>
      </c>
      <c r="H154" t="s">
        <v>944</v>
      </c>
      <c r="I154" t="s">
        <v>950</v>
      </c>
      <c r="J154" t="s">
        <v>946</v>
      </c>
      <c r="K154" t="s">
        <v>951</v>
      </c>
      <c r="L154" s="11">
        <v>20</v>
      </c>
      <c r="M154" s="11">
        <v>20</v>
      </c>
      <c r="N154" s="11">
        <v>45.19</v>
      </c>
      <c r="O154" s="11">
        <v>9</v>
      </c>
      <c r="P154" s="50">
        <v>94.19</v>
      </c>
      <c r="Q154" s="11">
        <v>0</v>
      </c>
      <c r="R154" s="11">
        <v>0</v>
      </c>
      <c r="S154" s="11">
        <v>0</v>
      </c>
      <c r="T154" s="50">
        <v>0</v>
      </c>
      <c r="U154" s="11">
        <v>0</v>
      </c>
      <c r="V154" s="11">
        <v>0</v>
      </c>
      <c r="W154" s="11">
        <v>0</v>
      </c>
      <c r="X154" s="11">
        <v>0</v>
      </c>
      <c r="Y154" s="50">
        <v>0</v>
      </c>
      <c r="Z154">
        <v>0</v>
      </c>
      <c r="AA154">
        <v>0</v>
      </c>
      <c r="AB154" s="52">
        <v>0</v>
      </c>
      <c r="AC154">
        <v>0</v>
      </c>
      <c r="AD154">
        <v>0</v>
      </c>
      <c r="AE154">
        <v>0</v>
      </c>
      <c r="AF154">
        <v>0</v>
      </c>
      <c r="AG154" s="50">
        <v>0</v>
      </c>
      <c r="AH154">
        <v>15</v>
      </c>
      <c r="AI154">
        <v>50</v>
      </c>
      <c r="AJ154">
        <v>10.5</v>
      </c>
      <c r="AK154">
        <v>20</v>
      </c>
      <c r="AL154" s="50">
        <v>95.5</v>
      </c>
      <c r="AM154">
        <v>0</v>
      </c>
      <c r="AN154">
        <v>0</v>
      </c>
      <c r="AO154">
        <v>0</v>
      </c>
      <c r="AP154" s="50">
        <v>0</v>
      </c>
      <c r="AQ154" s="11" t="s">
        <v>51</v>
      </c>
      <c r="AR154" s="11" t="s">
        <v>51</v>
      </c>
      <c r="AS154" s="11" t="s">
        <v>51</v>
      </c>
      <c r="AT154" s="50">
        <v>0</v>
      </c>
      <c r="AU154" s="18">
        <v>27.5</v>
      </c>
      <c r="AV154" s="18">
        <v>12.5</v>
      </c>
      <c r="AW154" s="18">
        <v>0</v>
      </c>
      <c r="AX154" s="18">
        <v>0</v>
      </c>
      <c r="AY154" s="54">
        <f t="shared" si="2"/>
        <v>40</v>
      </c>
      <c r="AZ154" t="s">
        <v>52</v>
      </c>
      <c r="BA154" s="38">
        <v>94.599374999999995</v>
      </c>
    </row>
    <row r="155" spans="1:53" x14ac:dyDescent="0.25">
      <c r="A155" s="39" t="s">
        <v>46</v>
      </c>
      <c r="B155" t="s">
        <v>753</v>
      </c>
      <c r="C155" t="s">
        <v>754</v>
      </c>
      <c r="D155" t="s">
        <v>755</v>
      </c>
      <c r="E155">
        <v>50</v>
      </c>
      <c r="F155" t="s">
        <v>1026</v>
      </c>
      <c r="G155" t="s">
        <v>949</v>
      </c>
      <c r="H155" t="s">
        <v>944</v>
      </c>
      <c r="I155" t="s">
        <v>950</v>
      </c>
      <c r="J155" t="s">
        <v>946</v>
      </c>
      <c r="K155" t="s">
        <v>984</v>
      </c>
      <c r="L155" s="11">
        <v>20</v>
      </c>
      <c r="M155" s="11">
        <v>16.670000000000002</v>
      </c>
      <c r="N155" s="11">
        <v>43.72</v>
      </c>
      <c r="O155" s="11">
        <v>3.5</v>
      </c>
      <c r="P155" s="50">
        <v>83.89</v>
      </c>
      <c r="Q155" s="11">
        <v>0</v>
      </c>
      <c r="R155" s="11">
        <v>0</v>
      </c>
      <c r="S155" s="11">
        <v>0</v>
      </c>
      <c r="T155" s="50">
        <v>0</v>
      </c>
      <c r="U155" s="11">
        <v>0</v>
      </c>
      <c r="V155" s="11">
        <v>0</v>
      </c>
      <c r="W155" s="11">
        <v>0</v>
      </c>
      <c r="X155" s="11">
        <v>0</v>
      </c>
      <c r="Y155" s="50">
        <v>0</v>
      </c>
      <c r="Z155">
        <v>0</v>
      </c>
      <c r="AA155">
        <v>0</v>
      </c>
      <c r="AB155" s="52">
        <v>0</v>
      </c>
      <c r="AC155">
        <v>0</v>
      </c>
      <c r="AD155">
        <v>0</v>
      </c>
      <c r="AE155">
        <v>0</v>
      </c>
      <c r="AF155">
        <v>0</v>
      </c>
      <c r="AG155" s="50">
        <v>0</v>
      </c>
      <c r="AH155">
        <v>0</v>
      </c>
      <c r="AI155">
        <v>0</v>
      </c>
      <c r="AJ155">
        <v>0</v>
      </c>
      <c r="AK155">
        <v>0</v>
      </c>
      <c r="AL155" s="50">
        <v>0</v>
      </c>
      <c r="AM155">
        <v>0</v>
      </c>
      <c r="AN155">
        <v>0</v>
      </c>
      <c r="AO155">
        <v>0</v>
      </c>
      <c r="AP155" s="50">
        <v>0</v>
      </c>
      <c r="AQ155" s="11" t="s">
        <v>51</v>
      </c>
      <c r="AR155" s="11" t="s">
        <v>51</v>
      </c>
      <c r="AS155" s="11" t="s">
        <v>51</v>
      </c>
      <c r="AT155" s="50">
        <v>0</v>
      </c>
      <c r="AU155" s="18">
        <v>40</v>
      </c>
      <c r="AV155" s="18">
        <v>0</v>
      </c>
      <c r="AW155" s="18">
        <v>0</v>
      </c>
      <c r="AX155" s="18">
        <v>0</v>
      </c>
      <c r="AY155" s="54">
        <f t="shared" si="2"/>
        <v>40</v>
      </c>
      <c r="AZ155" t="s">
        <v>52</v>
      </c>
      <c r="BA155" s="38">
        <v>83.89</v>
      </c>
    </row>
    <row r="156" spans="1:53" x14ac:dyDescent="0.25">
      <c r="A156" s="39" t="s">
        <v>46</v>
      </c>
      <c r="B156" t="s">
        <v>757</v>
      </c>
      <c r="C156" t="s">
        <v>758</v>
      </c>
      <c r="D156" t="s">
        <v>759</v>
      </c>
      <c r="E156">
        <v>47</v>
      </c>
      <c r="F156" t="s">
        <v>963</v>
      </c>
      <c r="G156" t="s">
        <v>943</v>
      </c>
      <c r="H156" t="s">
        <v>944</v>
      </c>
      <c r="I156" t="s">
        <v>950</v>
      </c>
      <c r="J156" t="s">
        <v>946</v>
      </c>
      <c r="K156" t="s">
        <v>947</v>
      </c>
      <c r="L156" s="11">
        <v>18</v>
      </c>
      <c r="M156" s="11">
        <v>20</v>
      </c>
      <c r="N156" s="11">
        <v>45</v>
      </c>
      <c r="O156" s="11">
        <v>4.5</v>
      </c>
      <c r="P156" s="50">
        <v>87.5</v>
      </c>
      <c r="Q156" s="11">
        <v>0</v>
      </c>
      <c r="R156" s="11">
        <v>0</v>
      </c>
      <c r="S156" s="11">
        <v>0</v>
      </c>
      <c r="T156" s="50">
        <v>0</v>
      </c>
      <c r="U156" s="11">
        <v>0</v>
      </c>
      <c r="V156" s="11">
        <v>0</v>
      </c>
      <c r="W156" s="11">
        <v>0</v>
      </c>
      <c r="X156" s="11">
        <v>0</v>
      </c>
      <c r="Y156" s="50">
        <v>0</v>
      </c>
      <c r="Z156">
        <v>0</v>
      </c>
      <c r="AA156">
        <v>0</v>
      </c>
      <c r="AB156" s="52">
        <v>0</v>
      </c>
      <c r="AC156">
        <v>0</v>
      </c>
      <c r="AD156">
        <v>0</v>
      </c>
      <c r="AE156">
        <v>0</v>
      </c>
      <c r="AF156">
        <v>0</v>
      </c>
      <c r="AG156" s="50">
        <v>0</v>
      </c>
      <c r="AH156">
        <v>0</v>
      </c>
      <c r="AI156">
        <v>0</v>
      </c>
      <c r="AJ156">
        <v>0</v>
      </c>
      <c r="AK156">
        <v>0</v>
      </c>
      <c r="AL156" s="50">
        <v>0</v>
      </c>
      <c r="AM156">
        <v>0</v>
      </c>
      <c r="AN156">
        <v>0</v>
      </c>
      <c r="AO156">
        <v>0</v>
      </c>
      <c r="AP156" s="50">
        <v>0</v>
      </c>
      <c r="AQ156" s="11" t="s">
        <v>51</v>
      </c>
      <c r="AR156" s="11" t="s">
        <v>51</v>
      </c>
      <c r="AS156" s="11" t="s">
        <v>51</v>
      </c>
      <c r="AT156" s="50">
        <v>0</v>
      </c>
      <c r="AU156" s="18">
        <v>40</v>
      </c>
      <c r="AV156" s="18">
        <v>0</v>
      </c>
      <c r="AW156" s="18">
        <v>0</v>
      </c>
      <c r="AX156" s="18">
        <v>0</v>
      </c>
      <c r="AY156" s="54">
        <f t="shared" si="2"/>
        <v>40</v>
      </c>
      <c r="AZ156" t="s">
        <v>52</v>
      </c>
      <c r="BA156" s="38">
        <v>87.5</v>
      </c>
    </row>
    <row r="157" spans="1:53" x14ac:dyDescent="0.25">
      <c r="A157" s="39" t="s">
        <v>46</v>
      </c>
      <c r="B157" t="s">
        <v>761</v>
      </c>
      <c r="C157" t="s">
        <v>762</v>
      </c>
      <c r="D157" t="s">
        <v>763</v>
      </c>
      <c r="E157">
        <v>32</v>
      </c>
      <c r="F157" t="s">
        <v>976</v>
      </c>
      <c r="G157" t="s">
        <v>943</v>
      </c>
      <c r="H157" t="s">
        <v>944</v>
      </c>
      <c r="I157" t="s">
        <v>950</v>
      </c>
      <c r="J157" t="s">
        <v>946</v>
      </c>
      <c r="K157" t="s">
        <v>992</v>
      </c>
      <c r="L157" s="11">
        <v>20</v>
      </c>
      <c r="M157" s="11">
        <v>20</v>
      </c>
      <c r="N157" s="11">
        <v>39.42</v>
      </c>
      <c r="O157" s="11">
        <v>3</v>
      </c>
      <c r="P157" s="50">
        <v>82.42</v>
      </c>
      <c r="Q157" s="26">
        <v>0</v>
      </c>
      <c r="R157" s="26">
        <v>0</v>
      </c>
      <c r="S157" s="26">
        <v>0</v>
      </c>
      <c r="T157" s="50">
        <v>0</v>
      </c>
      <c r="U157" s="11">
        <v>0</v>
      </c>
      <c r="V157" s="11">
        <v>0</v>
      </c>
      <c r="W157" s="11">
        <v>0</v>
      </c>
      <c r="X157" s="11">
        <v>0</v>
      </c>
      <c r="Y157" s="50">
        <v>0</v>
      </c>
      <c r="Z157">
        <v>0</v>
      </c>
      <c r="AA157">
        <v>0</v>
      </c>
      <c r="AB157" s="52">
        <v>0</v>
      </c>
      <c r="AC157">
        <v>0</v>
      </c>
      <c r="AD157">
        <v>0</v>
      </c>
      <c r="AE157">
        <v>0</v>
      </c>
      <c r="AF157">
        <v>0</v>
      </c>
      <c r="AG157" s="50">
        <v>0</v>
      </c>
      <c r="AH157">
        <v>0</v>
      </c>
      <c r="AI157">
        <v>50</v>
      </c>
      <c r="AJ157">
        <v>15</v>
      </c>
      <c r="AK157">
        <v>13.75</v>
      </c>
      <c r="AL157" s="50">
        <v>78.75</v>
      </c>
      <c r="AM157">
        <v>0</v>
      </c>
      <c r="AN157">
        <v>0</v>
      </c>
      <c r="AO157">
        <v>0</v>
      </c>
      <c r="AP157" s="50">
        <v>0</v>
      </c>
      <c r="AQ157" s="11" t="s">
        <v>51</v>
      </c>
      <c r="AR157" s="11" t="s">
        <v>51</v>
      </c>
      <c r="AS157" s="11" t="s">
        <v>51</v>
      </c>
      <c r="AT157" s="50">
        <v>0</v>
      </c>
      <c r="AU157" s="18">
        <v>35</v>
      </c>
      <c r="AV157" s="18">
        <v>5</v>
      </c>
      <c r="AW157" s="18">
        <v>0</v>
      </c>
      <c r="AX157" s="18">
        <v>0</v>
      </c>
      <c r="AY157" s="54">
        <f t="shared" si="2"/>
        <v>40</v>
      </c>
      <c r="AZ157" t="s">
        <v>52</v>
      </c>
      <c r="BA157" s="38">
        <v>81.961250000000007</v>
      </c>
    </row>
    <row r="158" spans="1:53" x14ac:dyDescent="0.25">
      <c r="A158" s="39" t="s">
        <v>46</v>
      </c>
      <c r="B158" t="s">
        <v>769</v>
      </c>
      <c r="C158" t="s">
        <v>770</v>
      </c>
      <c r="D158" t="s">
        <v>771</v>
      </c>
      <c r="E158">
        <v>42</v>
      </c>
      <c r="F158" t="s">
        <v>993</v>
      </c>
      <c r="G158" t="s">
        <v>949</v>
      </c>
      <c r="H158" t="s">
        <v>944</v>
      </c>
      <c r="I158" t="s">
        <v>945</v>
      </c>
      <c r="J158" t="s">
        <v>946</v>
      </c>
      <c r="K158" t="s">
        <v>960</v>
      </c>
      <c r="L158" s="11">
        <v>20</v>
      </c>
      <c r="M158" s="11">
        <v>20</v>
      </c>
      <c r="N158" s="11">
        <v>35.51</v>
      </c>
      <c r="O158" s="11">
        <v>4.5</v>
      </c>
      <c r="P158" s="50">
        <v>80.009999999999991</v>
      </c>
      <c r="Q158" s="11">
        <v>0</v>
      </c>
      <c r="R158" s="11">
        <v>0</v>
      </c>
      <c r="S158" s="11">
        <v>0</v>
      </c>
      <c r="T158" s="50">
        <v>0</v>
      </c>
      <c r="U158" s="11">
        <v>0</v>
      </c>
      <c r="V158" s="11">
        <v>0</v>
      </c>
      <c r="W158" s="11">
        <v>0</v>
      </c>
      <c r="X158" s="11">
        <v>0</v>
      </c>
      <c r="Y158" s="50">
        <v>0</v>
      </c>
      <c r="Z158">
        <v>0</v>
      </c>
      <c r="AA158">
        <v>0</v>
      </c>
      <c r="AB158" s="52">
        <v>0</v>
      </c>
      <c r="AC158">
        <v>0</v>
      </c>
      <c r="AD158">
        <v>0</v>
      </c>
      <c r="AE158">
        <v>0</v>
      </c>
      <c r="AF158">
        <v>0</v>
      </c>
      <c r="AG158" s="50">
        <v>0</v>
      </c>
      <c r="AH158">
        <v>0</v>
      </c>
      <c r="AI158">
        <v>0</v>
      </c>
      <c r="AJ158">
        <v>0</v>
      </c>
      <c r="AK158">
        <v>0</v>
      </c>
      <c r="AL158" s="50">
        <v>0</v>
      </c>
      <c r="AM158">
        <v>0</v>
      </c>
      <c r="AN158">
        <v>0</v>
      </c>
      <c r="AO158">
        <v>0</v>
      </c>
      <c r="AP158" s="50">
        <v>0</v>
      </c>
      <c r="AQ158" s="11" t="s">
        <v>51</v>
      </c>
      <c r="AR158" s="11" t="s">
        <v>51</v>
      </c>
      <c r="AS158" s="11" t="s">
        <v>51</v>
      </c>
      <c r="AT158" s="50">
        <v>0</v>
      </c>
      <c r="AU158" s="18">
        <v>40</v>
      </c>
      <c r="AV158" s="18">
        <v>0</v>
      </c>
      <c r="AW158" s="18">
        <v>0</v>
      </c>
      <c r="AX158" s="18">
        <v>0</v>
      </c>
      <c r="AY158" s="54">
        <f t="shared" si="2"/>
        <v>40</v>
      </c>
      <c r="AZ158" t="s">
        <v>52</v>
      </c>
      <c r="BA158" s="38">
        <v>80.009999999999991</v>
      </c>
    </row>
    <row r="159" spans="1:53" x14ac:dyDescent="0.25">
      <c r="A159" s="39" t="s">
        <v>46</v>
      </c>
      <c r="B159" t="s">
        <v>773</v>
      </c>
      <c r="C159" t="s">
        <v>774</v>
      </c>
      <c r="D159" t="s">
        <v>775</v>
      </c>
      <c r="E159">
        <v>28</v>
      </c>
      <c r="F159" t="s">
        <v>972</v>
      </c>
      <c r="G159" t="s">
        <v>943</v>
      </c>
      <c r="H159" t="s">
        <v>944</v>
      </c>
      <c r="I159" t="s">
        <v>950</v>
      </c>
      <c r="J159" t="s">
        <v>946</v>
      </c>
      <c r="K159" t="s">
        <v>983</v>
      </c>
      <c r="L159" s="11">
        <v>20</v>
      </c>
      <c r="M159" s="11">
        <v>20</v>
      </c>
      <c r="N159" s="11">
        <v>38.020000000000003</v>
      </c>
      <c r="O159" s="11">
        <v>4.5</v>
      </c>
      <c r="P159" s="50">
        <v>82.52000000000001</v>
      </c>
      <c r="Q159" s="11">
        <v>0</v>
      </c>
      <c r="R159" s="11">
        <v>0</v>
      </c>
      <c r="S159" s="11">
        <v>0</v>
      </c>
      <c r="T159" s="50">
        <v>0</v>
      </c>
      <c r="U159" s="11">
        <v>0</v>
      </c>
      <c r="V159" s="11">
        <v>0</v>
      </c>
      <c r="W159" s="11">
        <v>0</v>
      </c>
      <c r="X159" s="11">
        <v>0</v>
      </c>
      <c r="Y159" s="50">
        <v>0</v>
      </c>
      <c r="Z159">
        <v>0</v>
      </c>
      <c r="AA159">
        <v>0</v>
      </c>
      <c r="AB159" s="52">
        <v>0</v>
      </c>
      <c r="AC159">
        <v>0</v>
      </c>
      <c r="AD159">
        <v>0</v>
      </c>
      <c r="AE159">
        <v>0</v>
      </c>
      <c r="AF159">
        <v>0</v>
      </c>
      <c r="AG159" s="50">
        <v>0</v>
      </c>
      <c r="AH159">
        <v>0</v>
      </c>
      <c r="AI159">
        <v>0</v>
      </c>
      <c r="AJ159">
        <v>0</v>
      </c>
      <c r="AK159">
        <v>0</v>
      </c>
      <c r="AL159" s="50">
        <v>0</v>
      </c>
      <c r="AM159">
        <v>0</v>
      </c>
      <c r="AN159">
        <v>0</v>
      </c>
      <c r="AO159">
        <v>0</v>
      </c>
      <c r="AP159" s="50">
        <v>0</v>
      </c>
      <c r="AQ159" s="11" t="s">
        <v>51</v>
      </c>
      <c r="AR159" s="11" t="s">
        <v>51</v>
      </c>
      <c r="AS159" s="11" t="s">
        <v>51</v>
      </c>
      <c r="AT159" s="50">
        <v>0</v>
      </c>
      <c r="AU159" s="18">
        <v>40</v>
      </c>
      <c r="AV159" s="18">
        <v>0</v>
      </c>
      <c r="AW159" s="18">
        <v>0</v>
      </c>
      <c r="AX159" s="18">
        <v>0</v>
      </c>
      <c r="AY159" s="54">
        <f t="shared" si="2"/>
        <v>40</v>
      </c>
      <c r="AZ159" t="s">
        <v>52</v>
      </c>
      <c r="BA159" s="38">
        <v>82.52000000000001</v>
      </c>
    </row>
    <row r="160" spans="1:53" x14ac:dyDescent="0.25">
      <c r="A160" s="39" t="s">
        <v>46</v>
      </c>
      <c r="B160" t="s">
        <v>777</v>
      </c>
      <c r="C160" t="s">
        <v>778</v>
      </c>
      <c r="D160" t="s">
        <v>779</v>
      </c>
      <c r="E160">
        <v>31</v>
      </c>
      <c r="F160" t="s">
        <v>966</v>
      </c>
      <c r="G160" t="s">
        <v>949</v>
      </c>
      <c r="H160" t="s">
        <v>944</v>
      </c>
      <c r="I160" t="s">
        <v>950</v>
      </c>
      <c r="J160" t="s">
        <v>946</v>
      </c>
      <c r="K160" t="s">
        <v>992</v>
      </c>
      <c r="L160" s="11">
        <v>20</v>
      </c>
      <c r="M160" s="11">
        <v>18.670000000000002</v>
      </c>
      <c r="N160" s="11">
        <v>41.77</v>
      </c>
      <c r="O160" s="11">
        <v>6.5</v>
      </c>
      <c r="P160" s="50">
        <v>86.94</v>
      </c>
      <c r="Q160" s="11">
        <v>0</v>
      </c>
      <c r="R160" s="11">
        <v>0</v>
      </c>
      <c r="S160" s="11">
        <v>0</v>
      </c>
      <c r="T160" s="50">
        <v>0</v>
      </c>
      <c r="U160" s="11">
        <v>0</v>
      </c>
      <c r="V160" s="11">
        <v>0</v>
      </c>
      <c r="W160" s="11">
        <v>0</v>
      </c>
      <c r="X160" s="11">
        <v>0</v>
      </c>
      <c r="Y160" s="50">
        <v>0</v>
      </c>
      <c r="Z160">
        <v>0</v>
      </c>
      <c r="AA160">
        <v>0</v>
      </c>
      <c r="AB160" s="52">
        <v>0</v>
      </c>
      <c r="AC160">
        <v>0</v>
      </c>
      <c r="AD160">
        <v>0</v>
      </c>
      <c r="AE160">
        <v>0</v>
      </c>
      <c r="AF160">
        <v>0</v>
      </c>
      <c r="AG160" s="50">
        <v>0</v>
      </c>
      <c r="AH160">
        <v>7.5</v>
      </c>
      <c r="AI160">
        <v>21.25</v>
      </c>
      <c r="AJ160">
        <v>8.25</v>
      </c>
      <c r="AK160">
        <v>18.75</v>
      </c>
      <c r="AL160" s="50">
        <v>55.75</v>
      </c>
      <c r="AM160">
        <v>0</v>
      </c>
      <c r="AN160">
        <v>0</v>
      </c>
      <c r="AO160">
        <v>0</v>
      </c>
      <c r="AP160" s="50">
        <v>0</v>
      </c>
      <c r="AQ160" s="11" t="s">
        <v>51</v>
      </c>
      <c r="AR160" s="11" t="s">
        <v>51</v>
      </c>
      <c r="AS160" s="11" t="s">
        <v>51</v>
      </c>
      <c r="AT160" s="50">
        <v>0</v>
      </c>
      <c r="AU160" s="18">
        <v>35</v>
      </c>
      <c r="AV160" s="18">
        <v>5</v>
      </c>
      <c r="AW160" s="18">
        <v>0</v>
      </c>
      <c r="AX160" s="18">
        <v>0</v>
      </c>
      <c r="AY160" s="54">
        <f t="shared" ref="AY160:AY193" si="3">+SUM(AU160:AX160)</f>
        <v>40</v>
      </c>
      <c r="AZ160" t="s">
        <v>52</v>
      </c>
      <c r="BA160" s="38">
        <v>83.041250000000005</v>
      </c>
    </row>
    <row r="161" spans="1:53" x14ac:dyDescent="0.25">
      <c r="A161" s="39" t="s">
        <v>46</v>
      </c>
      <c r="B161" t="s">
        <v>781</v>
      </c>
      <c r="C161" t="s">
        <v>782</v>
      </c>
      <c r="D161" t="s">
        <v>783</v>
      </c>
      <c r="E161">
        <v>32</v>
      </c>
      <c r="F161" t="s">
        <v>966</v>
      </c>
      <c r="G161" t="s">
        <v>949</v>
      </c>
      <c r="H161" t="s">
        <v>944</v>
      </c>
      <c r="I161" t="s">
        <v>950</v>
      </c>
      <c r="J161" t="s">
        <v>946</v>
      </c>
      <c r="K161" t="s">
        <v>964</v>
      </c>
      <c r="L161" s="11">
        <v>0</v>
      </c>
      <c r="M161" s="11">
        <v>0</v>
      </c>
      <c r="N161" s="11">
        <v>0</v>
      </c>
      <c r="O161" s="11">
        <v>0</v>
      </c>
      <c r="P161" s="50">
        <v>0</v>
      </c>
      <c r="Q161" s="11">
        <v>0</v>
      </c>
      <c r="R161" s="11">
        <v>0</v>
      </c>
      <c r="S161" s="11">
        <v>0</v>
      </c>
      <c r="T161" s="50">
        <v>0</v>
      </c>
      <c r="U161" s="11">
        <v>0</v>
      </c>
      <c r="V161" s="11">
        <v>0</v>
      </c>
      <c r="W161" s="11">
        <v>0</v>
      </c>
      <c r="X161" s="11">
        <v>0</v>
      </c>
      <c r="Y161" s="50">
        <v>0</v>
      </c>
      <c r="Z161">
        <v>0</v>
      </c>
      <c r="AA161">
        <v>0</v>
      </c>
      <c r="AB161" s="52">
        <v>0</v>
      </c>
      <c r="AC161">
        <v>3.5</v>
      </c>
      <c r="AD161">
        <v>20</v>
      </c>
      <c r="AE161">
        <v>42.38</v>
      </c>
      <c r="AF161">
        <v>20</v>
      </c>
      <c r="AG161" s="50">
        <v>85.88</v>
      </c>
      <c r="AH161">
        <v>15</v>
      </c>
      <c r="AI161">
        <v>50</v>
      </c>
      <c r="AJ161">
        <v>15</v>
      </c>
      <c r="AK161">
        <v>17.5</v>
      </c>
      <c r="AL161" s="50">
        <v>97.5</v>
      </c>
      <c r="AM161">
        <v>0</v>
      </c>
      <c r="AN161">
        <v>0</v>
      </c>
      <c r="AO161">
        <v>0</v>
      </c>
      <c r="AP161" s="50">
        <v>0</v>
      </c>
      <c r="AQ161" s="11" t="s">
        <v>51</v>
      </c>
      <c r="AR161" s="11" t="s">
        <v>51</v>
      </c>
      <c r="AS161" s="11" t="s">
        <v>51</v>
      </c>
      <c r="AT161" s="50">
        <v>0</v>
      </c>
      <c r="AU161" s="18">
        <v>26.25</v>
      </c>
      <c r="AV161" s="18">
        <v>13.75</v>
      </c>
      <c r="AW161" s="18">
        <v>0</v>
      </c>
      <c r="AX161" s="18">
        <v>0</v>
      </c>
      <c r="AY161" s="54">
        <f t="shared" si="3"/>
        <v>40</v>
      </c>
      <c r="AZ161" t="s">
        <v>52</v>
      </c>
      <c r="BA161" s="38">
        <v>89.874375000000001</v>
      </c>
    </row>
    <row r="162" spans="1:53" x14ac:dyDescent="0.25">
      <c r="A162" s="39" t="s">
        <v>46</v>
      </c>
      <c r="B162" t="s">
        <v>789</v>
      </c>
      <c r="C162" t="s">
        <v>790</v>
      </c>
      <c r="D162" t="s">
        <v>791</v>
      </c>
      <c r="E162">
        <v>38</v>
      </c>
      <c r="F162" t="s">
        <v>1024</v>
      </c>
      <c r="G162" t="s">
        <v>943</v>
      </c>
      <c r="H162" t="s">
        <v>944</v>
      </c>
      <c r="I162" t="s">
        <v>950</v>
      </c>
      <c r="J162" t="s">
        <v>946</v>
      </c>
      <c r="K162" t="s">
        <v>1016</v>
      </c>
      <c r="L162" s="11">
        <v>25</v>
      </c>
      <c r="M162" s="11">
        <v>0</v>
      </c>
      <c r="N162" s="11">
        <v>54.6875</v>
      </c>
      <c r="O162" s="11">
        <v>7.5</v>
      </c>
      <c r="P162" s="50">
        <v>87.1875</v>
      </c>
      <c r="Q162" s="11">
        <v>0</v>
      </c>
      <c r="R162" s="11">
        <v>0</v>
      </c>
      <c r="S162" s="11">
        <v>0</v>
      </c>
      <c r="T162" s="50">
        <v>0</v>
      </c>
      <c r="U162" s="11">
        <v>0</v>
      </c>
      <c r="V162" s="11">
        <v>0</v>
      </c>
      <c r="W162" s="11">
        <v>0</v>
      </c>
      <c r="X162" s="11">
        <v>0</v>
      </c>
      <c r="Y162" s="50">
        <v>0</v>
      </c>
      <c r="Z162">
        <v>0</v>
      </c>
      <c r="AA162">
        <v>0</v>
      </c>
      <c r="AB162" s="52">
        <v>0</v>
      </c>
      <c r="AC162">
        <v>0</v>
      </c>
      <c r="AD162">
        <v>0</v>
      </c>
      <c r="AE162">
        <v>0</v>
      </c>
      <c r="AF162">
        <v>0</v>
      </c>
      <c r="AG162" s="50">
        <v>0</v>
      </c>
      <c r="AH162">
        <v>15</v>
      </c>
      <c r="AI162">
        <v>50</v>
      </c>
      <c r="AJ162">
        <v>13.12</v>
      </c>
      <c r="AK162">
        <v>0</v>
      </c>
      <c r="AL162" s="50">
        <v>78.12</v>
      </c>
      <c r="AM162">
        <v>0</v>
      </c>
      <c r="AN162">
        <v>0</v>
      </c>
      <c r="AO162">
        <v>0</v>
      </c>
      <c r="AP162" s="50">
        <v>0</v>
      </c>
      <c r="AQ162" s="11" t="s">
        <v>51</v>
      </c>
      <c r="AR162" s="11" t="s">
        <v>51</v>
      </c>
      <c r="AS162" s="11" t="s">
        <v>51</v>
      </c>
      <c r="AT162" s="50">
        <v>0</v>
      </c>
      <c r="AU162" s="18">
        <v>25</v>
      </c>
      <c r="AV162" s="18">
        <v>15</v>
      </c>
      <c r="AW162" s="18">
        <v>0</v>
      </c>
      <c r="AX162" s="18">
        <v>0</v>
      </c>
      <c r="AY162" s="54">
        <f t="shared" si="3"/>
        <v>40</v>
      </c>
      <c r="AZ162" t="s">
        <v>52</v>
      </c>
      <c r="BA162" s="38">
        <v>83.787187500000002</v>
      </c>
    </row>
    <row r="163" spans="1:53" x14ac:dyDescent="0.25">
      <c r="A163" s="39" t="s">
        <v>46</v>
      </c>
      <c r="B163" t="s">
        <v>793</v>
      </c>
      <c r="C163" t="s">
        <v>794</v>
      </c>
      <c r="D163" t="s">
        <v>629</v>
      </c>
      <c r="E163">
        <v>49</v>
      </c>
      <c r="F163" t="s">
        <v>1027</v>
      </c>
      <c r="G163" t="s">
        <v>943</v>
      </c>
      <c r="H163" t="s">
        <v>944</v>
      </c>
      <c r="I163" t="s">
        <v>950</v>
      </c>
      <c r="J163" t="s">
        <v>946</v>
      </c>
      <c r="K163" t="s">
        <v>984</v>
      </c>
      <c r="L163" s="11">
        <v>20</v>
      </c>
      <c r="M163" s="11">
        <v>18.670000000000002</v>
      </c>
      <c r="N163" s="11">
        <v>46.35</v>
      </c>
      <c r="O163" s="11">
        <v>3.5</v>
      </c>
      <c r="P163" s="50">
        <v>88.52000000000001</v>
      </c>
      <c r="Q163" s="11">
        <v>0</v>
      </c>
      <c r="R163" s="11">
        <v>0</v>
      </c>
      <c r="S163" s="11">
        <v>0</v>
      </c>
      <c r="T163" s="50">
        <v>0</v>
      </c>
      <c r="U163" s="11">
        <v>0</v>
      </c>
      <c r="V163" s="11">
        <v>0</v>
      </c>
      <c r="W163" s="11">
        <v>0</v>
      </c>
      <c r="X163" s="11">
        <v>0</v>
      </c>
      <c r="Y163" s="50">
        <v>0</v>
      </c>
      <c r="Z163">
        <v>0</v>
      </c>
      <c r="AA163">
        <v>0</v>
      </c>
      <c r="AB163" s="52">
        <v>0</v>
      </c>
      <c r="AC163">
        <v>0</v>
      </c>
      <c r="AD163">
        <v>0</v>
      </c>
      <c r="AE163">
        <v>0</v>
      </c>
      <c r="AF163">
        <v>0</v>
      </c>
      <c r="AG163" s="50">
        <v>0</v>
      </c>
      <c r="AH163">
        <v>15</v>
      </c>
      <c r="AI163">
        <v>50</v>
      </c>
      <c r="AJ163">
        <v>15</v>
      </c>
      <c r="AK163">
        <v>20</v>
      </c>
      <c r="AL163" s="50">
        <v>100</v>
      </c>
      <c r="AM163">
        <v>0</v>
      </c>
      <c r="AN163">
        <v>0</v>
      </c>
      <c r="AO163">
        <v>0</v>
      </c>
      <c r="AP163" s="50">
        <v>0</v>
      </c>
      <c r="AQ163" s="11" t="s">
        <v>51</v>
      </c>
      <c r="AR163" s="11" t="s">
        <v>51</v>
      </c>
      <c r="AS163" s="11" t="s">
        <v>51</v>
      </c>
      <c r="AT163" s="50">
        <v>0</v>
      </c>
      <c r="AU163" s="18">
        <v>25</v>
      </c>
      <c r="AV163" s="18">
        <v>15</v>
      </c>
      <c r="AW163" s="18">
        <v>0</v>
      </c>
      <c r="AX163" s="18">
        <v>0</v>
      </c>
      <c r="AY163" s="54">
        <f t="shared" si="3"/>
        <v>40</v>
      </c>
      <c r="AZ163" t="s">
        <v>52</v>
      </c>
      <c r="BA163" s="38">
        <v>92.825000000000017</v>
      </c>
    </row>
    <row r="164" spans="1:53" x14ac:dyDescent="0.25">
      <c r="A164" s="39" t="s">
        <v>46</v>
      </c>
      <c r="B164" t="s">
        <v>796</v>
      </c>
      <c r="C164" t="s">
        <v>797</v>
      </c>
      <c r="D164" t="s">
        <v>798</v>
      </c>
      <c r="E164">
        <v>32</v>
      </c>
      <c r="F164" t="s">
        <v>1028</v>
      </c>
      <c r="G164" t="s">
        <v>943</v>
      </c>
      <c r="H164" t="s">
        <v>944</v>
      </c>
      <c r="I164" t="s">
        <v>950</v>
      </c>
      <c r="J164" t="s">
        <v>955</v>
      </c>
      <c r="K164" t="s">
        <v>956</v>
      </c>
      <c r="L164" s="11">
        <v>24.024999999999999</v>
      </c>
      <c r="M164" s="11">
        <v>0</v>
      </c>
      <c r="N164" s="11">
        <v>55.674999999999997</v>
      </c>
      <c r="O164" s="11">
        <v>10</v>
      </c>
      <c r="P164" s="50">
        <v>89.699999999999989</v>
      </c>
      <c r="Q164" s="11">
        <v>0</v>
      </c>
      <c r="R164" s="11">
        <v>0</v>
      </c>
      <c r="S164" s="11">
        <v>0</v>
      </c>
      <c r="T164" s="50">
        <v>0</v>
      </c>
      <c r="U164" s="11">
        <v>0</v>
      </c>
      <c r="V164" s="11">
        <v>0</v>
      </c>
      <c r="W164" s="11">
        <v>0</v>
      </c>
      <c r="X164" s="11">
        <v>0</v>
      </c>
      <c r="Y164" s="50">
        <v>0</v>
      </c>
      <c r="Z164">
        <v>0</v>
      </c>
      <c r="AA164">
        <v>0</v>
      </c>
      <c r="AB164" s="52">
        <v>0</v>
      </c>
      <c r="AC164">
        <v>0</v>
      </c>
      <c r="AD164">
        <v>0</v>
      </c>
      <c r="AE164">
        <v>0</v>
      </c>
      <c r="AF164">
        <v>0</v>
      </c>
      <c r="AG164" s="50">
        <v>0</v>
      </c>
      <c r="AH164">
        <v>0</v>
      </c>
      <c r="AI164">
        <v>0</v>
      </c>
      <c r="AJ164">
        <v>0</v>
      </c>
      <c r="AK164">
        <v>0</v>
      </c>
      <c r="AL164" s="50">
        <v>0</v>
      </c>
      <c r="AM164">
        <v>0</v>
      </c>
      <c r="AN164">
        <v>0</v>
      </c>
      <c r="AO164">
        <v>0</v>
      </c>
      <c r="AP164" s="50">
        <v>0</v>
      </c>
      <c r="AQ164" s="11" t="s">
        <v>51</v>
      </c>
      <c r="AR164" s="11" t="s">
        <v>51</v>
      </c>
      <c r="AS164" s="11" t="s">
        <v>51</v>
      </c>
      <c r="AT164" s="50">
        <v>0</v>
      </c>
      <c r="AU164" s="18">
        <v>8</v>
      </c>
      <c r="AV164" s="18">
        <v>0</v>
      </c>
      <c r="AW164" s="18">
        <v>0</v>
      </c>
      <c r="AX164" s="18">
        <v>0</v>
      </c>
      <c r="AY164" s="54">
        <f t="shared" si="3"/>
        <v>8</v>
      </c>
      <c r="AZ164" t="s">
        <v>52</v>
      </c>
      <c r="BA164" s="38">
        <v>89.699999999999989</v>
      </c>
    </row>
    <row r="165" spans="1:53" x14ac:dyDescent="0.25">
      <c r="A165" s="39" t="s">
        <v>46</v>
      </c>
      <c r="B165" t="s">
        <v>800</v>
      </c>
      <c r="C165" t="s">
        <v>801</v>
      </c>
      <c r="D165" t="s">
        <v>802</v>
      </c>
      <c r="E165">
        <v>33</v>
      </c>
      <c r="F165" t="s">
        <v>976</v>
      </c>
      <c r="G165" t="s">
        <v>949</v>
      </c>
      <c r="H165" t="s">
        <v>944</v>
      </c>
      <c r="I165" t="s">
        <v>950</v>
      </c>
      <c r="J165" t="s">
        <v>946</v>
      </c>
      <c r="K165" t="s">
        <v>983</v>
      </c>
      <c r="L165" s="11">
        <v>20</v>
      </c>
      <c r="M165" s="11">
        <v>20</v>
      </c>
      <c r="N165" s="11">
        <v>40.409999999999997</v>
      </c>
      <c r="O165" s="11">
        <v>7</v>
      </c>
      <c r="P165" s="50">
        <v>87.41</v>
      </c>
      <c r="Q165" s="11">
        <v>0</v>
      </c>
      <c r="R165" s="11">
        <v>0</v>
      </c>
      <c r="S165" s="11">
        <v>0</v>
      </c>
      <c r="T165" s="50">
        <v>0</v>
      </c>
      <c r="U165" s="11">
        <v>47.45</v>
      </c>
      <c r="V165" s="11">
        <v>7</v>
      </c>
      <c r="W165" s="11">
        <v>20</v>
      </c>
      <c r="X165" s="11">
        <v>20</v>
      </c>
      <c r="Y165" s="50">
        <v>94.45</v>
      </c>
      <c r="Z165">
        <v>0</v>
      </c>
      <c r="AA165">
        <v>0</v>
      </c>
      <c r="AB165" s="52">
        <v>0</v>
      </c>
      <c r="AC165">
        <v>0</v>
      </c>
      <c r="AD165">
        <v>0</v>
      </c>
      <c r="AE165">
        <v>0</v>
      </c>
      <c r="AF165">
        <v>0</v>
      </c>
      <c r="AG165" s="50">
        <v>0</v>
      </c>
      <c r="AH165">
        <v>15</v>
      </c>
      <c r="AI165">
        <v>12.5</v>
      </c>
      <c r="AJ165">
        <v>15</v>
      </c>
      <c r="AK165">
        <v>20</v>
      </c>
      <c r="AL165" s="50">
        <v>62.5</v>
      </c>
      <c r="AM165">
        <v>0</v>
      </c>
      <c r="AN165">
        <v>0</v>
      </c>
      <c r="AO165">
        <v>0</v>
      </c>
      <c r="AP165" s="50">
        <v>0</v>
      </c>
      <c r="AQ165" s="11" t="s">
        <v>51</v>
      </c>
      <c r="AR165" s="11" t="s">
        <v>51</v>
      </c>
      <c r="AS165" s="11" t="s">
        <v>51</v>
      </c>
      <c r="AT165" s="50">
        <v>0</v>
      </c>
      <c r="AU165" s="18">
        <v>33</v>
      </c>
      <c r="AV165" s="18">
        <v>5</v>
      </c>
      <c r="AW165" s="18">
        <v>0</v>
      </c>
      <c r="AX165" s="18">
        <v>0</v>
      </c>
      <c r="AY165" s="54">
        <f t="shared" si="3"/>
        <v>38</v>
      </c>
      <c r="AZ165" t="s">
        <v>52</v>
      </c>
      <c r="BA165" s="38">
        <v>84.132368421052618</v>
      </c>
    </row>
    <row r="166" spans="1:53" x14ac:dyDescent="0.25">
      <c r="A166" s="39" t="s">
        <v>46</v>
      </c>
      <c r="B166" t="s">
        <v>800</v>
      </c>
      <c r="C166" t="s">
        <v>801</v>
      </c>
      <c r="D166" t="s">
        <v>802</v>
      </c>
      <c r="E166">
        <v>33</v>
      </c>
      <c r="F166" t="s">
        <v>976</v>
      </c>
      <c r="G166" t="s">
        <v>949</v>
      </c>
      <c r="H166" t="s">
        <v>944</v>
      </c>
      <c r="I166" t="s">
        <v>950</v>
      </c>
      <c r="J166" t="s">
        <v>946</v>
      </c>
      <c r="K166" t="s">
        <v>983</v>
      </c>
      <c r="L166" s="11">
        <v>20</v>
      </c>
      <c r="M166" s="11">
        <v>20</v>
      </c>
      <c r="N166" s="11">
        <v>40.409999999999997</v>
      </c>
      <c r="O166" s="11">
        <v>7</v>
      </c>
      <c r="P166" s="50">
        <v>87.41</v>
      </c>
      <c r="Q166" s="11">
        <v>0</v>
      </c>
      <c r="R166" s="11">
        <v>0</v>
      </c>
      <c r="S166" s="11">
        <v>0</v>
      </c>
      <c r="T166" s="50">
        <v>0</v>
      </c>
      <c r="U166" s="11">
        <v>47.45</v>
      </c>
      <c r="V166" s="11">
        <v>7</v>
      </c>
      <c r="W166" s="11">
        <v>20</v>
      </c>
      <c r="X166" s="11">
        <v>20</v>
      </c>
      <c r="Y166" s="50">
        <v>94.45</v>
      </c>
      <c r="Z166">
        <v>0</v>
      </c>
      <c r="AA166">
        <v>0</v>
      </c>
      <c r="AB166" s="52">
        <v>0</v>
      </c>
      <c r="AC166">
        <v>0</v>
      </c>
      <c r="AD166">
        <v>0</v>
      </c>
      <c r="AE166">
        <v>0</v>
      </c>
      <c r="AF166">
        <v>0</v>
      </c>
      <c r="AG166" s="50">
        <v>0</v>
      </c>
      <c r="AH166">
        <v>15</v>
      </c>
      <c r="AI166">
        <v>12.5</v>
      </c>
      <c r="AJ166">
        <v>15</v>
      </c>
      <c r="AK166">
        <v>20</v>
      </c>
      <c r="AL166" s="50">
        <v>62.5</v>
      </c>
      <c r="AM166">
        <v>0</v>
      </c>
      <c r="AN166">
        <v>0</v>
      </c>
      <c r="AO166">
        <v>0</v>
      </c>
      <c r="AP166" s="50">
        <v>0</v>
      </c>
      <c r="AQ166" s="11" t="s">
        <v>51</v>
      </c>
      <c r="AR166" s="11" t="s">
        <v>51</v>
      </c>
      <c r="AS166" s="11" t="s">
        <v>51</v>
      </c>
      <c r="AT166" s="50">
        <v>0</v>
      </c>
      <c r="AU166" s="18">
        <v>2</v>
      </c>
      <c r="AV166" s="18">
        <v>0</v>
      </c>
      <c r="AW166" s="18">
        <v>0</v>
      </c>
      <c r="AX166" s="18">
        <v>0</v>
      </c>
      <c r="AY166" s="54">
        <f t="shared" si="3"/>
        <v>2</v>
      </c>
      <c r="AZ166" t="s">
        <v>117</v>
      </c>
      <c r="BA166" s="38">
        <v>94.45</v>
      </c>
    </row>
    <row r="167" spans="1:53" x14ac:dyDescent="0.25">
      <c r="A167" s="39" t="s">
        <v>46</v>
      </c>
      <c r="B167" t="s">
        <v>805</v>
      </c>
      <c r="C167" t="s">
        <v>806</v>
      </c>
      <c r="D167" t="s">
        <v>807</v>
      </c>
      <c r="E167">
        <v>59</v>
      </c>
      <c r="F167" t="s">
        <v>1015</v>
      </c>
      <c r="G167" t="s">
        <v>943</v>
      </c>
      <c r="H167" t="s">
        <v>944</v>
      </c>
      <c r="I167" t="s">
        <v>950</v>
      </c>
      <c r="J167" t="s">
        <v>946</v>
      </c>
      <c r="K167" t="s">
        <v>962</v>
      </c>
      <c r="L167" s="11">
        <v>19.899999999999999</v>
      </c>
      <c r="M167" s="11">
        <v>20</v>
      </c>
      <c r="N167" s="11">
        <v>42.19</v>
      </c>
      <c r="O167" s="11">
        <v>4.75</v>
      </c>
      <c r="P167" s="50">
        <v>86.84</v>
      </c>
      <c r="Q167" s="11">
        <v>85.042857142857144</v>
      </c>
      <c r="R167" s="11">
        <v>0</v>
      </c>
      <c r="S167" s="11">
        <v>6.7857142857142856</v>
      </c>
      <c r="T167" s="50">
        <v>91.828571428571436</v>
      </c>
      <c r="U167" s="11">
        <v>0</v>
      </c>
      <c r="V167" s="11">
        <v>0</v>
      </c>
      <c r="W167" s="11">
        <v>0</v>
      </c>
      <c r="X167" s="11">
        <v>0</v>
      </c>
      <c r="Y167" s="50">
        <v>0</v>
      </c>
      <c r="Z167">
        <v>0</v>
      </c>
      <c r="AA167">
        <v>0</v>
      </c>
      <c r="AB167" s="52">
        <v>0</v>
      </c>
      <c r="AC167">
        <v>0</v>
      </c>
      <c r="AD167">
        <v>0</v>
      </c>
      <c r="AE167">
        <v>0</v>
      </c>
      <c r="AF167">
        <v>0</v>
      </c>
      <c r="AG167" s="50">
        <v>0</v>
      </c>
      <c r="AH167">
        <v>0</v>
      </c>
      <c r="AI167">
        <v>0</v>
      </c>
      <c r="AJ167">
        <v>0</v>
      </c>
      <c r="AK167">
        <v>0</v>
      </c>
      <c r="AL167" s="50">
        <v>0</v>
      </c>
      <c r="AM167">
        <v>0</v>
      </c>
      <c r="AN167">
        <v>0</v>
      </c>
      <c r="AO167">
        <v>0</v>
      </c>
      <c r="AP167" s="50">
        <v>0</v>
      </c>
      <c r="AQ167" s="11">
        <v>20</v>
      </c>
      <c r="AR167" s="11">
        <v>25</v>
      </c>
      <c r="AS167" s="11">
        <v>41.26</v>
      </c>
      <c r="AT167" s="50">
        <v>86.259999999999991</v>
      </c>
      <c r="AU167" s="18">
        <v>38</v>
      </c>
      <c r="AV167" s="18">
        <v>0</v>
      </c>
      <c r="AW167" s="18">
        <v>2</v>
      </c>
      <c r="AX167" s="18">
        <v>0</v>
      </c>
      <c r="AY167" s="54">
        <f t="shared" si="3"/>
        <v>40</v>
      </c>
      <c r="AZ167" t="s">
        <v>52</v>
      </c>
      <c r="BA167" s="38">
        <v>86.811000000000007</v>
      </c>
    </row>
    <row r="168" spans="1:53" x14ac:dyDescent="0.25">
      <c r="A168" s="39" t="s">
        <v>46</v>
      </c>
      <c r="B168" t="s">
        <v>805</v>
      </c>
      <c r="C168" t="s">
        <v>806</v>
      </c>
      <c r="D168" t="s">
        <v>807</v>
      </c>
      <c r="E168">
        <v>59</v>
      </c>
      <c r="F168" t="s">
        <v>1015</v>
      </c>
      <c r="G168" t="s">
        <v>943</v>
      </c>
      <c r="H168" t="s">
        <v>944</v>
      </c>
      <c r="I168" t="s">
        <v>950</v>
      </c>
      <c r="J168" t="s">
        <v>946</v>
      </c>
      <c r="K168" t="s">
        <v>962</v>
      </c>
      <c r="L168" s="11">
        <v>19.899999999999999</v>
      </c>
      <c r="M168" s="11">
        <v>20</v>
      </c>
      <c r="N168" s="11">
        <v>42.19</v>
      </c>
      <c r="O168" s="11">
        <v>4.75</v>
      </c>
      <c r="P168" s="50">
        <v>86.84</v>
      </c>
      <c r="Q168" s="11">
        <v>85.042857142857144</v>
      </c>
      <c r="R168" s="11">
        <v>0</v>
      </c>
      <c r="S168" s="11">
        <v>6.7857142857142856</v>
      </c>
      <c r="T168" s="50">
        <v>91.828571428571436</v>
      </c>
      <c r="U168" s="11">
        <v>0</v>
      </c>
      <c r="V168" s="11">
        <v>0</v>
      </c>
      <c r="W168" s="11">
        <v>0</v>
      </c>
      <c r="X168" s="11">
        <v>0</v>
      </c>
      <c r="Y168" s="50">
        <v>0</v>
      </c>
      <c r="Z168">
        <v>0</v>
      </c>
      <c r="AA168">
        <v>0</v>
      </c>
      <c r="AB168" s="52">
        <v>0</v>
      </c>
      <c r="AC168">
        <v>0</v>
      </c>
      <c r="AD168">
        <v>0</v>
      </c>
      <c r="AE168">
        <v>0</v>
      </c>
      <c r="AF168">
        <v>0</v>
      </c>
      <c r="AG168" s="50">
        <v>0</v>
      </c>
      <c r="AH168">
        <v>0</v>
      </c>
      <c r="AI168">
        <v>0</v>
      </c>
      <c r="AJ168">
        <v>0</v>
      </c>
      <c r="AK168">
        <v>0</v>
      </c>
      <c r="AL168" s="50">
        <v>0</v>
      </c>
      <c r="AM168">
        <v>0</v>
      </c>
      <c r="AN168">
        <v>0</v>
      </c>
      <c r="AO168">
        <v>0</v>
      </c>
      <c r="AP168" s="50">
        <v>0</v>
      </c>
      <c r="AQ168" s="11">
        <v>20</v>
      </c>
      <c r="AR168" s="11">
        <v>25</v>
      </c>
      <c r="AS168" s="11">
        <v>41.26</v>
      </c>
      <c r="AT168" s="50">
        <v>86.259999999999991</v>
      </c>
      <c r="AU168" s="18">
        <v>2</v>
      </c>
      <c r="AV168" s="18">
        <v>0</v>
      </c>
      <c r="AW168" s="18">
        <v>0</v>
      </c>
      <c r="AX168" s="18">
        <v>0</v>
      </c>
      <c r="AY168" s="54">
        <f t="shared" si="3"/>
        <v>2</v>
      </c>
      <c r="AZ168" t="s">
        <v>87</v>
      </c>
      <c r="BA168" s="38">
        <v>91.828571428571436</v>
      </c>
    </row>
    <row r="169" spans="1:53" x14ac:dyDescent="0.25">
      <c r="A169" s="39" t="s">
        <v>46</v>
      </c>
      <c r="B169" t="s">
        <v>810</v>
      </c>
      <c r="C169" t="s">
        <v>811</v>
      </c>
      <c r="D169" t="s">
        <v>812</v>
      </c>
      <c r="E169">
        <v>68</v>
      </c>
      <c r="F169" t="s">
        <v>1024</v>
      </c>
      <c r="G169" t="s">
        <v>949</v>
      </c>
      <c r="H169" t="s">
        <v>944</v>
      </c>
      <c r="I169" t="s">
        <v>950</v>
      </c>
      <c r="J169" t="s">
        <v>946</v>
      </c>
      <c r="K169" t="s">
        <v>962</v>
      </c>
      <c r="L169" s="11">
        <v>20</v>
      </c>
      <c r="M169" s="11">
        <v>20</v>
      </c>
      <c r="N169" s="11">
        <v>46.8</v>
      </c>
      <c r="O169" s="11">
        <v>3</v>
      </c>
      <c r="P169" s="50">
        <v>89.8</v>
      </c>
      <c r="Q169" s="11">
        <v>0</v>
      </c>
      <c r="R169" s="11">
        <v>0</v>
      </c>
      <c r="S169" s="11">
        <v>0</v>
      </c>
      <c r="T169" s="50">
        <v>0</v>
      </c>
      <c r="U169" s="11">
        <v>0</v>
      </c>
      <c r="V169" s="11">
        <v>0</v>
      </c>
      <c r="W169" s="11">
        <v>0</v>
      </c>
      <c r="X169" s="11">
        <v>0</v>
      </c>
      <c r="Y169" s="50">
        <v>0</v>
      </c>
      <c r="Z169">
        <v>0</v>
      </c>
      <c r="AA169">
        <v>0</v>
      </c>
      <c r="AB169" s="52">
        <v>0</v>
      </c>
      <c r="AC169">
        <v>0</v>
      </c>
      <c r="AD169">
        <v>0</v>
      </c>
      <c r="AE169">
        <v>0</v>
      </c>
      <c r="AF169">
        <v>0</v>
      </c>
      <c r="AG169" s="50">
        <v>0</v>
      </c>
      <c r="AH169">
        <v>15</v>
      </c>
      <c r="AI169">
        <v>50</v>
      </c>
      <c r="AJ169">
        <v>15</v>
      </c>
      <c r="AK169">
        <v>20</v>
      </c>
      <c r="AL169" s="50">
        <v>100</v>
      </c>
      <c r="AM169">
        <v>0</v>
      </c>
      <c r="AN169">
        <v>0</v>
      </c>
      <c r="AO169">
        <v>0</v>
      </c>
      <c r="AP169" s="50">
        <v>0</v>
      </c>
      <c r="AQ169" s="11" t="s">
        <v>51</v>
      </c>
      <c r="AR169" s="11" t="s">
        <v>51</v>
      </c>
      <c r="AS169" s="11" t="s">
        <v>51</v>
      </c>
      <c r="AT169" s="50">
        <v>0</v>
      </c>
      <c r="AU169" s="18">
        <v>25</v>
      </c>
      <c r="AV169" s="18">
        <v>15</v>
      </c>
      <c r="AW169" s="18">
        <v>0</v>
      </c>
      <c r="AX169" s="18">
        <v>0</v>
      </c>
      <c r="AY169" s="54">
        <f t="shared" si="3"/>
        <v>40</v>
      </c>
      <c r="AZ169" t="s">
        <v>52</v>
      </c>
      <c r="BA169" s="38">
        <v>93.625</v>
      </c>
    </row>
    <row r="170" spans="1:53" x14ac:dyDescent="0.25">
      <c r="A170" s="39" t="s">
        <v>46</v>
      </c>
      <c r="B170" t="s">
        <v>814</v>
      </c>
      <c r="C170" t="s">
        <v>815</v>
      </c>
      <c r="D170" t="s">
        <v>816</v>
      </c>
      <c r="E170">
        <v>62</v>
      </c>
      <c r="F170" t="s">
        <v>957</v>
      </c>
      <c r="G170" t="s">
        <v>949</v>
      </c>
      <c r="H170" t="s">
        <v>944</v>
      </c>
      <c r="I170" t="s">
        <v>977</v>
      </c>
      <c r="J170" t="s">
        <v>955</v>
      </c>
      <c r="K170" t="s">
        <v>962</v>
      </c>
      <c r="L170" s="11">
        <v>25</v>
      </c>
      <c r="M170" s="11">
        <v>0</v>
      </c>
      <c r="N170" s="11">
        <v>52.512500000000003</v>
      </c>
      <c r="O170" s="11">
        <v>3.125</v>
      </c>
      <c r="P170" s="50">
        <v>80.637500000000003</v>
      </c>
      <c r="Q170" s="11">
        <v>0</v>
      </c>
      <c r="R170" s="11">
        <v>0</v>
      </c>
      <c r="S170" s="11">
        <v>0</v>
      </c>
      <c r="T170" s="50">
        <v>0</v>
      </c>
      <c r="U170" s="11">
        <v>0</v>
      </c>
      <c r="V170" s="11">
        <v>0</v>
      </c>
      <c r="W170" s="11">
        <v>0</v>
      </c>
      <c r="X170" s="11">
        <v>0</v>
      </c>
      <c r="Y170" s="50">
        <v>0</v>
      </c>
      <c r="Z170">
        <v>0</v>
      </c>
      <c r="AA170">
        <v>0</v>
      </c>
      <c r="AB170" s="52">
        <v>0</v>
      </c>
      <c r="AC170">
        <v>0</v>
      </c>
      <c r="AD170">
        <v>0</v>
      </c>
      <c r="AE170">
        <v>0</v>
      </c>
      <c r="AF170">
        <v>0</v>
      </c>
      <c r="AG170" s="50">
        <v>0</v>
      </c>
      <c r="AH170">
        <v>0</v>
      </c>
      <c r="AI170">
        <v>0</v>
      </c>
      <c r="AJ170">
        <v>0</v>
      </c>
      <c r="AK170">
        <v>0</v>
      </c>
      <c r="AL170" s="50">
        <v>0</v>
      </c>
      <c r="AM170">
        <v>0</v>
      </c>
      <c r="AN170">
        <v>0</v>
      </c>
      <c r="AO170">
        <v>0</v>
      </c>
      <c r="AP170" s="50">
        <v>0</v>
      </c>
      <c r="AQ170" s="11" t="s">
        <v>51</v>
      </c>
      <c r="AR170" s="11" t="s">
        <v>51</v>
      </c>
      <c r="AS170" s="11" t="s">
        <v>51</v>
      </c>
      <c r="AT170" s="50">
        <v>0</v>
      </c>
      <c r="AU170" s="18">
        <v>10</v>
      </c>
      <c r="AV170" s="18">
        <v>0</v>
      </c>
      <c r="AW170" s="18">
        <v>0</v>
      </c>
      <c r="AX170" s="18">
        <v>0</v>
      </c>
      <c r="AY170" s="54">
        <f t="shared" si="3"/>
        <v>10</v>
      </c>
      <c r="AZ170" t="s">
        <v>52</v>
      </c>
      <c r="BA170" s="38">
        <v>80.637500000000003</v>
      </c>
    </row>
    <row r="171" spans="1:53" x14ac:dyDescent="0.25">
      <c r="A171" s="39" t="s">
        <v>46</v>
      </c>
      <c r="B171" t="s">
        <v>818</v>
      </c>
      <c r="C171" t="s">
        <v>819</v>
      </c>
      <c r="D171" t="s">
        <v>820</v>
      </c>
      <c r="E171">
        <v>33</v>
      </c>
      <c r="F171" t="s">
        <v>976</v>
      </c>
      <c r="G171" t="s">
        <v>949</v>
      </c>
      <c r="H171" t="s">
        <v>944</v>
      </c>
      <c r="I171" t="s">
        <v>950</v>
      </c>
      <c r="J171" t="s">
        <v>955</v>
      </c>
      <c r="K171" t="s">
        <v>967</v>
      </c>
      <c r="L171" s="11">
        <v>0</v>
      </c>
      <c r="M171" s="11">
        <v>0</v>
      </c>
      <c r="N171" s="11">
        <v>74.7</v>
      </c>
      <c r="O171" s="11">
        <v>4.1666666666666661</v>
      </c>
      <c r="P171" s="50">
        <v>78.866666666666674</v>
      </c>
      <c r="Q171" s="11">
        <v>0</v>
      </c>
      <c r="R171" s="11">
        <v>0</v>
      </c>
      <c r="S171" s="11">
        <v>0</v>
      </c>
      <c r="T171" s="50">
        <v>0</v>
      </c>
      <c r="U171" s="11">
        <v>0</v>
      </c>
      <c r="V171" s="11">
        <v>0</v>
      </c>
      <c r="W171" s="11">
        <v>0</v>
      </c>
      <c r="X171" s="11">
        <v>0</v>
      </c>
      <c r="Y171" s="50">
        <v>0</v>
      </c>
      <c r="Z171">
        <v>0</v>
      </c>
      <c r="AA171">
        <v>0</v>
      </c>
      <c r="AB171" s="52">
        <v>0</v>
      </c>
      <c r="AC171">
        <v>0</v>
      </c>
      <c r="AD171">
        <v>0</v>
      </c>
      <c r="AE171">
        <v>0</v>
      </c>
      <c r="AF171">
        <v>0</v>
      </c>
      <c r="AG171" s="50">
        <v>0</v>
      </c>
      <c r="AH171">
        <v>0</v>
      </c>
      <c r="AI171">
        <v>0</v>
      </c>
      <c r="AJ171">
        <v>0</v>
      </c>
      <c r="AK171">
        <v>0</v>
      </c>
      <c r="AL171" s="50">
        <v>0</v>
      </c>
      <c r="AM171">
        <v>0</v>
      </c>
      <c r="AN171">
        <v>0</v>
      </c>
      <c r="AO171">
        <v>0</v>
      </c>
      <c r="AP171" s="50">
        <v>0</v>
      </c>
      <c r="AQ171" s="11" t="s">
        <v>51</v>
      </c>
      <c r="AR171" s="11" t="s">
        <v>51</v>
      </c>
      <c r="AS171" s="11" t="s">
        <v>51</v>
      </c>
      <c r="AT171" s="50">
        <v>0</v>
      </c>
      <c r="AU171" s="18">
        <v>2</v>
      </c>
      <c r="AV171" s="18">
        <v>0</v>
      </c>
      <c r="AW171" s="18">
        <v>0</v>
      </c>
      <c r="AX171" s="18">
        <v>0</v>
      </c>
      <c r="AY171" s="54">
        <f t="shared" si="3"/>
        <v>2</v>
      </c>
      <c r="AZ171" t="s">
        <v>52</v>
      </c>
      <c r="BA171" s="38">
        <v>78.866666666666674</v>
      </c>
    </row>
    <row r="172" spans="1:53" x14ac:dyDescent="0.25">
      <c r="A172" s="39" t="s">
        <v>46</v>
      </c>
      <c r="B172" t="s">
        <v>829</v>
      </c>
      <c r="C172" t="s">
        <v>830</v>
      </c>
      <c r="D172" t="s">
        <v>831</v>
      </c>
      <c r="E172">
        <v>41</v>
      </c>
      <c r="F172" t="s">
        <v>957</v>
      </c>
      <c r="G172" t="s">
        <v>943</v>
      </c>
      <c r="H172" t="s">
        <v>944</v>
      </c>
      <c r="I172" t="s">
        <v>950</v>
      </c>
      <c r="J172" t="s">
        <v>955</v>
      </c>
      <c r="K172" t="s">
        <v>956</v>
      </c>
      <c r="L172" s="11">
        <v>24.162500000000001</v>
      </c>
      <c r="M172" s="11">
        <v>0</v>
      </c>
      <c r="N172" s="11">
        <v>59.174999999999997</v>
      </c>
      <c r="O172" s="11">
        <v>5.625</v>
      </c>
      <c r="P172" s="50">
        <v>88.962500000000006</v>
      </c>
      <c r="Q172" s="11">
        <v>0</v>
      </c>
      <c r="R172" s="11">
        <v>0</v>
      </c>
      <c r="S172" s="11">
        <v>0</v>
      </c>
      <c r="T172" s="50">
        <v>0</v>
      </c>
      <c r="U172" s="11">
        <v>0</v>
      </c>
      <c r="V172" s="11">
        <v>0</v>
      </c>
      <c r="W172" s="11">
        <v>0</v>
      </c>
      <c r="X172" s="11">
        <v>0</v>
      </c>
      <c r="Y172" s="50">
        <v>0</v>
      </c>
      <c r="Z172">
        <v>0</v>
      </c>
      <c r="AA172">
        <v>0</v>
      </c>
      <c r="AB172" s="52">
        <v>0</v>
      </c>
      <c r="AC172">
        <v>0</v>
      </c>
      <c r="AD172">
        <v>0</v>
      </c>
      <c r="AE172">
        <v>0</v>
      </c>
      <c r="AF172">
        <v>0</v>
      </c>
      <c r="AG172" s="50">
        <v>0</v>
      </c>
      <c r="AH172">
        <v>0</v>
      </c>
      <c r="AI172">
        <v>0</v>
      </c>
      <c r="AJ172">
        <v>0</v>
      </c>
      <c r="AK172">
        <v>0</v>
      </c>
      <c r="AL172" s="50">
        <v>0</v>
      </c>
      <c r="AM172">
        <v>0</v>
      </c>
      <c r="AN172">
        <v>0</v>
      </c>
      <c r="AO172">
        <v>0</v>
      </c>
      <c r="AP172" s="50">
        <v>0</v>
      </c>
      <c r="AQ172" s="11" t="s">
        <v>51</v>
      </c>
      <c r="AR172" s="11" t="s">
        <v>51</v>
      </c>
      <c r="AS172" s="11" t="s">
        <v>51</v>
      </c>
      <c r="AT172" s="50">
        <v>0</v>
      </c>
      <c r="AU172" s="18">
        <v>7</v>
      </c>
      <c r="AV172" s="18">
        <v>0</v>
      </c>
      <c r="AW172" s="18">
        <v>0</v>
      </c>
      <c r="AX172" s="18">
        <v>0</v>
      </c>
      <c r="AY172" s="54">
        <f t="shared" si="3"/>
        <v>7</v>
      </c>
      <c r="AZ172" t="s">
        <v>52</v>
      </c>
      <c r="BA172" s="38">
        <v>88.962500000000006</v>
      </c>
    </row>
    <row r="173" spans="1:53" x14ac:dyDescent="0.25">
      <c r="A173" s="39" t="s">
        <v>46</v>
      </c>
      <c r="B173" t="s">
        <v>833</v>
      </c>
      <c r="C173" t="s">
        <v>834</v>
      </c>
      <c r="D173" t="s">
        <v>835</v>
      </c>
      <c r="E173">
        <v>55</v>
      </c>
      <c r="F173" t="s">
        <v>1029</v>
      </c>
      <c r="G173" t="s">
        <v>943</v>
      </c>
      <c r="H173" t="s">
        <v>944</v>
      </c>
      <c r="I173" t="s">
        <v>950</v>
      </c>
      <c r="J173" t="s">
        <v>946</v>
      </c>
      <c r="K173" t="s">
        <v>962</v>
      </c>
      <c r="L173" s="11">
        <v>25</v>
      </c>
      <c r="M173" s="11">
        <v>0</v>
      </c>
      <c r="N173" s="11">
        <v>52.7</v>
      </c>
      <c r="O173" s="11">
        <v>6.25</v>
      </c>
      <c r="P173" s="50">
        <v>83.95</v>
      </c>
      <c r="Q173" s="11">
        <v>0</v>
      </c>
      <c r="R173" s="11">
        <v>0</v>
      </c>
      <c r="S173" s="11">
        <v>0</v>
      </c>
      <c r="T173" s="50">
        <v>0</v>
      </c>
      <c r="U173" s="11">
        <v>0</v>
      </c>
      <c r="V173" s="11">
        <v>0</v>
      </c>
      <c r="W173" s="11">
        <v>0</v>
      </c>
      <c r="X173" s="11">
        <v>0</v>
      </c>
      <c r="Y173" s="50">
        <v>0</v>
      </c>
      <c r="Z173">
        <v>0</v>
      </c>
      <c r="AA173">
        <v>0</v>
      </c>
      <c r="AB173" s="52">
        <v>0</v>
      </c>
      <c r="AC173">
        <v>0</v>
      </c>
      <c r="AD173">
        <v>0</v>
      </c>
      <c r="AE173">
        <v>0</v>
      </c>
      <c r="AF173">
        <v>0</v>
      </c>
      <c r="AG173" s="50">
        <v>0</v>
      </c>
      <c r="AH173">
        <v>0</v>
      </c>
      <c r="AI173">
        <v>0</v>
      </c>
      <c r="AJ173">
        <v>0</v>
      </c>
      <c r="AK173">
        <v>0</v>
      </c>
      <c r="AL173" s="50">
        <v>0</v>
      </c>
      <c r="AM173">
        <v>0</v>
      </c>
      <c r="AN173">
        <v>0</v>
      </c>
      <c r="AO173">
        <v>0</v>
      </c>
      <c r="AP173" s="50">
        <v>0</v>
      </c>
      <c r="AQ173" s="11">
        <v>20</v>
      </c>
      <c r="AR173" s="11">
        <v>30</v>
      </c>
      <c r="AS173" s="11">
        <v>29.8</v>
      </c>
      <c r="AT173" s="50">
        <v>79.8</v>
      </c>
      <c r="AU173" s="18">
        <v>36</v>
      </c>
      <c r="AV173" s="18">
        <v>0</v>
      </c>
      <c r="AW173" s="18">
        <v>4</v>
      </c>
      <c r="AX173" s="18">
        <v>0</v>
      </c>
      <c r="AY173" s="54">
        <f t="shared" si="3"/>
        <v>40</v>
      </c>
      <c r="AZ173" t="s">
        <v>52</v>
      </c>
      <c r="BA173" s="38">
        <v>83.534999999999997</v>
      </c>
    </row>
    <row r="174" spans="1:53" x14ac:dyDescent="0.25">
      <c r="A174" s="39" t="s">
        <v>46</v>
      </c>
      <c r="B174" t="s">
        <v>841</v>
      </c>
      <c r="C174" t="s">
        <v>842</v>
      </c>
      <c r="D174" t="s">
        <v>843</v>
      </c>
      <c r="E174">
        <v>44</v>
      </c>
      <c r="F174" t="s">
        <v>1030</v>
      </c>
      <c r="G174" t="s">
        <v>949</v>
      </c>
      <c r="H174" t="s">
        <v>944</v>
      </c>
      <c r="I174" t="s">
        <v>950</v>
      </c>
      <c r="J174" t="s">
        <v>955</v>
      </c>
      <c r="K174" t="s">
        <v>956</v>
      </c>
      <c r="L174" s="11">
        <v>24.024999999999999</v>
      </c>
      <c r="M174" s="11">
        <v>0</v>
      </c>
      <c r="N174" s="11">
        <v>57.3125</v>
      </c>
      <c r="O174" s="11">
        <v>8.75</v>
      </c>
      <c r="P174" s="50">
        <v>90.087500000000006</v>
      </c>
      <c r="Q174" s="11">
        <v>0</v>
      </c>
      <c r="R174" s="11">
        <v>0</v>
      </c>
      <c r="S174" s="11">
        <v>0</v>
      </c>
      <c r="T174" s="50">
        <v>0</v>
      </c>
      <c r="U174" s="11">
        <v>0</v>
      </c>
      <c r="V174" s="11">
        <v>0</v>
      </c>
      <c r="W174" s="11">
        <v>0</v>
      </c>
      <c r="X174" s="11">
        <v>0</v>
      </c>
      <c r="Y174" s="50">
        <v>0</v>
      </c>
      <c r="Z174">
        <v>0</v>
      </c>
      <c r="AA174">
        <v>0</v>
      </c>
      <c r="AB174" s="52">
        <v>0</v>
      </c>
      <c r="AC174">
        <v>0</v>
      </c>
      <c r="AD174">
        <v>0</v>
      </c>
      <c r="AE174">
        <v>0</v>
      </c>
      <c r="AF174">
        <v>0</v>
      </c>
      <c r="AG174" s="50">
        <v>0</v>
      </c>
      <c r="AH174">
        <v>0</v>
      </c>
      <c r="AI174">
        <v>0</v>
      </c>
      <c r="AJ174">
        <v>0</v>
      </c>
      <c r="AK174">
        <v>0</v>
      </c>
      <c r="AL174" s="50">
        <v>0</v>
      </c>
      <c r="AM174">
        <v>0</v>
      </c>
      <c r="AN174">
        <v>0</v>
      </c>
      <c r="AO174">
        <v>0</v>
      </c>
      <c r="AP174" s="50">
        <v>0</v>
      </c>
      <c r="AQ174" s="11" t="s">
        <v>51</v>
      </c>
      <c r="AR174" s="11" t="s">
        <v>51</v>
      </c>
      <c r="AS174" s="11" t="s">
        <v>51</v>
      </c>
      <c r="AT174" s="50">
        <v>0</v>
      </c>
      <c r="AU174" s="18">
        <v>9</v>
      </c>
      <c r="AV174" s="18">
        <v>0</v>
      </c>
      <c r="AW174" s="18">
        <v>0</v>
      </c>
      <c r="AX174" s="18">
        <v>0</v>
      </c>
      <c r="AY174" s="54">
        <f t="shared" si="3"/>
        <v>9</v>
      </c>
      <c r="AZ174" t="s">
        <v>52</v>
      </c>
      <c r="BA174" s="38">
        <v>90.087500000000006</v>
      </c>
    </row>
    <row r="175" spans="1:53" x14ac:dyDescent="0.25">
      <c r="A175" s="39" t="s">
        <v>46</v>
      </c>
      <c r="B175" t="s">
        <v>845</v>
      </c>
      <c r="C175" t="s">
        <v>846</v>
      </c>
      <c r="D175" t="s">
        <v>847</v>
      </c>
      <c r="E175">
        <v>35</v>
      </c>
      <c r="F175" t="s">
        <v>976</v>
      </c>
      <c r="G175" t="s">
        <v>949</v>
      </c>
      <c r="H175" t="s">
        <v>944</v>
      </c>
      <c r="I175" t="s">
        <v>950</v>
      </c>
      <c r="J175" t="s">
        <v>955</v>
      </c>
      <c r="K175" t="s">
        <v>978</v>
      </c>
      <c r="L175" s="11">
        <v>0</v>
      </c>
      <c r="M175" s="11">
        <v>0</v>
      </c>
      <c r="N175" s="11">
        <v>0</v>
      </c>
      <c r="O175" s="11">
        <v>0</v>
      </c>
      <c r="P175" s="50">
        <v>0</v>
      </c>
      <c r="Q175" s="11">
        <v>0</v>
      </c>
      <c r="R175" s="11">
        <v>0</v>
      </c>
      <c r="S175" s="11">
        <v>0</v>
      </c>
      <c r="T175" s="50">
        <v>0</v>
      </c>
      <c r="U175" s="11">
        <v>0</v>
      </c>
      <c r="V175" s="11">
        <v>0</v>
      </c>
      <c r="W175" s="11">
        <v>0</v>
      </c>
      <c r="X175" s="11">
        <v>0</v>
      </c>
      <c r="Y175" s="50">
        <v>0</v>
      </c>
      <c r="Z175">
        <v>0</v>
      </c>
      <c r="AA175">
        <v>0</v>
      </c>
      <c r="AB175" s="52">
        <v>0</v>
      </c>
      <c r="AC175">
        <v>2.5</v>
      </c>
      <c r="AD175">
        <v>19.670000000000002</v>
      </c>
      <c r="AE175">
        <v>40.229999999999997</v>
      </c>
      <c r="AF175">
        <v>17.329999999999998</v>
      </c>
      <c r="AG175" s="50">
        <v>79.72999999999999</v>
      </c>
      <c r="AH175">
        <v>0</v>
      </c>
      <c r="AI175">
        <v>0</v>
      </c>
      <c r="AJ175">
        <v>0</v>
      </c>
      <c r="AK175">
        <v>0</v>
      </c>
      <c r="AL175" s="50">
        <v>0</v>
      </c>
      <c r="AM175">
        <v>0</v>
      </c>
      <c r="AN175">
        <v>0</v>
      </c>
      <c r="AO175">
        <v>0</v>
      </c>
      <c r="AP175" s="50">
        <v>0</v>
      </c>
      <c r="AQ175" s="11" t="s">
        <v>51</v>
      </c>
      <c r="AR175" s="11" t="s">
        <v>51</v>
      </c>
      <c r="AS175" s="11" t="s">
        <v>51</v>
      </c>
      <c r="AT175" s="50">
        <v>0</v>
      </c>
      <c r="AU175" s="18">
        <v>4</v>
      </c>
      <c r="AV175" s="18">
        <v>0</v>
      </c>
      <c r="AW175" s="18">
        <v>0</v>
      </c>
      <c r="AX175" s="18">
        <v>0</v>
      </c>
      <c r="AY175" s="54">
        <f t="shared" si="3"/>
        <v>4</v>
      </c>
      <c r="AZ175" t="s">
        <v>52</v>
      </c>
      <c r="BA175" s="38">
        <v>79.72999999999999</v>
      </c>
    </row>
    <row r="176" spans="1:53" x14ac:dyDescent="0.25">
      <c r="A176" s="39" t="s">
        <v>46</v>
      </c>
      <c r="B176" t="s">
        <v>849</v>
      </c>
      <c r="C176" t="s">
        <v>850</v>
      </c>
      <c r="D176" t="s">
        <v>851</v>
      </c>
      <c r="E176">
        <v>48</v>
      </c>
      <c r="F176" t="s">
        <v>975</v>
      </c>
      <c r="G176" t="s">
        <v>949</v>
      </c>
      <c r="H176" t="s">
        <v>944</v>
      </c>
      <c r="I176" t="s">
        <v>950</v>
      </c>
      <c r="J176" t="s">
        <v>955</v>
      </c>
      <c r="K176" t="s">
        <v>958</v>
      </c>
      <c r="L176" s="11">
        <v>20</v>
      </c>
      <c r="M176" s="11">
        <v>19.329999999999998</v>
      </c>
      <c r="N176" s="11">
        <v>47.2</v>
      </c>
      <c r="O176" s="11">
        <v>5.5</v>
      </c>
      <c r="P176" s="50">
        <v>92.03</v>
      </c>
      <c r="Q176" s="11">
        <v>0</v>
      </c>
      <c r="R176" s="11">
        <v>0</v>
      </c>
      <c r="S176" s="11">
        <v>0</v>
      </c>
      <c r="T176" s="50">
        <v>0</v>
      </c>
      <c r="U176" s="11">
        <v>0</v>
      </c>
      <c r="V176" s="11">
        <v>0</v>
      </c>
      <c r="W176" s="11">
        <v>0</v>
      </c>
      <c r="X176" s="11">
        <v>0</v>
      </c>
      <c r="Y176" s="50">
        <v>0</v>
      </c>
      <c r="Z176">
        <v>0</v>
      </c>
      <c r="AA176">
        <v>0</v>
      </c>
      <c r="AB176" s="52">
        <v>0</v>
      </c>
      <c r="AC176">
        <v>0</v>
      </c>
      <c r="AD176">
        <v>0</v>
      </c>
      <c r="AE176">
        <v>0</v>
      </c>
      <c r="AF176">
        <v>0</v>
      </c>
      <c r="AG176" s="50">
        <v>0</v>
      </c>
      <c r="AH176">
        <v>0</v>
      </c>
      <c r="AI176">
        <v>0</v>
      </c>
      <c r="AJ176">
        <v>0</v>
      </c>
      <c r="AK176">
        <v>0</v>
      </c>
      <c r="AL176" s="50">
        <v>0</v>
      </c>
      <c r="AM176">
        <v>0</v>
      </c>
      <c r="AN176">
        <v>0</v>
      </c>
      <c r="AO176">
        <v>0</v>
      </c>
      <c r="AP176" s="50">
        <v>0</v>
      </c>
      <c r="AQ176" s="11" t="s">
        <v>51</v>
      </c>
      <c r="AR176" s="11" t="s">
        <v>51</v>
      </c>
      <c r="AS176" s="11" t="s">
        <v>51</v>
      </c>
      <c r="AT176" s="50">
        <v>0</v>
      </c>
      <c r="AU176" s="18">
        <v>9</v>
      </c>
      <c r="AV176" s="18">
        <v>0</v>
      </c>
      <c r="AW176" s="18">
        <v>0</v>
      </c>
      <c r="AX176" s="18">
        <v>0</v>
      </c>
      <c r="AY176" s="54">
        <f t="shared" si="3"/>
        <v>9</v>
      </c>
      <c r="AZ176" t="s">
        <v>52</v>
      </c>
      <c r="BA176" s="38">
        <v>92.03</v>
      </c>
    </row>
    <row r="177" spans="1:53" x14ac:dyDescent="0.25">
      <c r="A177" s="39" t="s">
        <v>46</v>
      </c>
      <c r="B177" t="s">
        <v>853</v>
      </c>
      <c r="C177" t="s">
        <v>854</v>
      </c>
      <c r="D177" t="s">
        <v>855</v>
      </c>
      <c r="E177">
        <v>34</v>
      </c>
      <c r="F177" t="s">
        <v>976</v>
      </c>
      <c r="G177" t="s">
        <v>949</v>
      </c>
      <c r="H177" t="s">
        <v>944</v>
      </c>
      <c r="I177" t="s">
        <v>950</v>
      </c>
      <c r="J177" t="s">
        <v>946</v>
      </c>
      <c r="K177" t="s">
        <v>960</v>
      </c>
      <c r="L177" s="11">
        <v>0</v>
      </c>
      <c r="M177" s="11">
        <v>25</v>
      </c>
      <c r="N177" s="11">
        <v>52.175000000000004</v>
      </c>
      <c r="O177" s="11">
        <v>3.125</v>
      </c>
      <c r="P177" s="50">
        <v>80.300000000000011</v>
      </c>
      <c r="Q177" s="11">
        <v>0</v>
      </c>
      <c r="R177" s="11">
        <v>0</v>
      </c>
      <c r="S177" s="11">
        <v>0</v>
      </c>
      <c r="T177" s="50">
        <v>0</v>
      </c>
      <c r="U177" s="11">
        <v>55.5625</v>
      </c>
      <c r="V177" s="11">
        <v>3.125</v>
      </c>
      <c r="W177" s="11">
        <v>25</v>
      </c>
      <c r="X177" s="11">
        <v>0</v>
      </c>
      <c r="Y177" s="50">
        <v>83.6875</v>
      </c>
      <c r="Z177">
        <v>0</v>
      </c>
      <c r="AA177">
        <v>0</v>
      </c>
      <c r="AB177" s="52">
        <v>0</v>
      </c>
      <c r="AC177">
        <v>0</v>
      </c>
      <c r="AD177">
        <v>0</v>
      </c>
      <c r="AE177">
        <v>0</v>
      </c>
      <c r="AF177">
        <v>0</v>
      </c>
      <c r="AG177" s="50">
        <v>0</v>
      </c>
      <c r="AH177">
        <v>15</v>
      </c>
      <c r="AI177">
        <v>21.25</v>
      </c>
      <c r="AJ177">
        <v>13.12</v>
      </c>
      <c r="AK177">
        <v>18.75</v>
      </c>
      <c r="AL177" s="50">
        <v>68.12</v>
      </c>
      <c r="AM177">
        <v>0</v>
      </c>
      <c r="AN177">
        <v>0</v>
      </c>
      <c r="AO177">
        <v>0</v>
      </c>
      <c r="AP177" s="50">
        <v>0</v>
      </c>
      <c r="AQ177" s="11" t="s">
        <v>51</v>
      </c>
      <c r="AR177" s="11" t="s">
        <v>51</v>
      </c>
      <c r="AS177" s="11" t="s">
        <v>51</v>
      </c>
      <c r="AT177" s="50">
        <v>0</v>
      </c>
      <c r="AU177" s="18">
        <v>32</v>
      </c>
      <c r="AV177" s="18">
        <v>5</v>
      </c>
      <c r="AW177" s="18">
        <v>0</v>
      </c>
      <c r="AX177" s="18">
        <v>0</v>
      </c>
      <c r="AY177" s="54">
        <f t="shared" si="3"/>
        <v>37</v>
      </c>
      <c r="AZ177" t="s">
        <v>52</v>
      </c>
      <c r="BA177" s="38">
        <v>78.654054054054058</v>
      </c>
    </row>
    <row r="178" spans="1:53" x14ac:dyDescent="0.25">
      <c r="A178" s="39" t="s">
        <v>46</v>
      </c>
      <c r="B178" t="s">
        <v>853</v>
      </c>
      <c r="C178" t="s">
        <v>854</v>
      </c>
      <c r="D178" t="s">
        <v>855</v>
      </c>
      <c r="E178">
        <v>34</v>
      </c>
      <c r="F178" t="s">
        <v>976</v>
      </c>
      <c r="G178" t="s">
        <v>949</v>
      </c>
      <c r="H178" t="s">
        <v>944</v>
      </c>
      <c r="I178" t="s">
        <v>950</v>
      </c>
      <c r="J178" t="s">
        <v>946</v>
      </c>
      <c r="K178" t="s">
        <v>960</v>
      </c>
      <c r="L178" s="11">
        <v>0</v>
      </c>
      <c r="M178" s="11">
        <v>25</v>
      </c>
      <c r="N178" s="11">
        <v>52.175000000000004</v>
      </c>
      <c r="O178" s="11">
        <v>3.125</v>
      </c>
      <c r="P178" s="50">
        <v>80.300000000000011</v>
      </c>
      <c r="Q178" s="11">
        <v>0</v>
      </c>
      <c r="R178" s="11">
        <v>0</v>
      </c>
      <c r="S178" s="11">
        <v>0</v>
      </c>
      <c r="T178" s="50">
        <v>0</v>
      </c>
      <c r="U178" s="11">
        <v>55.5625</v>
      </c>
      <c r="V178" s="11">
        <v>3.125</v>
      </c>
      <c r="W178" s="11">
        <v>25</v>
      </c>
      <c r="X178" s="11">
        <v>0</v>
      </c>
      <c r="Y178" s="50">
        <v>83.6875</v>
      </c>
      <c r="Z178">
        <v>0</v>
      </c>
      <c r="AA178">
        <v>0</v>
      </c>
      <c r="AB178" s="52">
        <v>0</v>
      </c>
      <c r="AC178">
        <v>0</v>
      </c>
      <c r="AD178">
        <v>0</v>
      </c>
      <c r="AE178">
        <v>0</v>
      </c>
      <c r="AF178">
        <v>0</v>
      </c>
      <c r="AG178" s="50">
        <v>0</v>
      </c>
      <c r="AH178">
        <v>15</v>
      </c>
      <c r="AI178">
        <v>21.25</v>
      </c>
      <c r="AJ178">
        <v>13.12</v>
      </c>
      <c r="AK178">
        <v>18.75</v>
      </c>
      <c r="AL178" s="50">
        <v>68.12</v>
      </c>
      <c r="AM178">
        <v>0</v>
      </c>
      <c r="AN178">
        <v>0</v>
      </c>
      <c r="AO178">
        <v>0</v>
      </c>
      <c r="AP178" s="50">
        <v>0</v>
      </c>
      <c r="AQ178" s="11" t="s">
        <v>51</v>
      </c>
      <c r="AR178" s="11" t="s">
        <v>51</v>
      </c>
      <c r="AS178" s="11" t="s">
        <v>51</v>
      </c>
      <c r="AT178" s="50">
        <v>0</v>
      </c>
      <c r="AU178" s="18">
        <v>3</v>
      </c>
      <c r="AV178" s="18">
        <v>0</v>
      </c>
      <c r="AW178" s="18">
        <v>0</v>
      </c>
      <c r="AX178" s="18">
        <v>0</v>
      </c>
      <c r="AY178" s="54">
        <f t="shared" si="3"/>
        <v>3</v>
      </c>
      <c r="AZ178" t="s">
        <v>117</v>
      </c>
      <c r="BA178" s="38">
        <v>83.6875</v>
      </c>
    </row>
    <row r="179" spans="1:53" x14ac:dyDescent="0.25">
      <c r="A179" s="39" t="s">
        <v>46</v>
      </c>
      <c r="B179" t="s">
        <v>857</v>
      </c>
      <c r="C179" t="s">
        <v>858</v>
      </c>
      <c r="D179" t="s">
        <v>859</v>
      </c>
      <c r="E179">
        <v>43</v>
      </c>
      <c r="F179" t="s">
        <v>987</v>
      </c>
      <c r="G179" t="s">
        <v>943</v>
      </c>
      <c r="H179" t="s">
        <v>944</v>
      </c>
      <c r="I179" t="s">
        <v>950</v>
      </c>
      <c r="J179" t="s">
        <v>946</v>
      </c>
      <c r="K179" t="s">
        <v>1005</v>
      </c>
      <c r="L179" s="11">
        <v>18.670000000000002</v>
      </c>
      <c r="M179" s="11">
        <v>18</v>
      </c>
      <c r="N179" s="11">
        <v>45.08</v>
      </c>
      <c r="O179" s="11">
        <v>4.5</v>
      </c>
      <c r="P179" s="50">
        <v>86.25</v>
      </c>
      <c r="Q179" s="11">
        <v>0</v>
      </c>
      <c r="R179" s="11">
        <v>0</v>
      </c>
      <c r="S179" s="11">
        <v>0</v>
      </c>
      <c r="T179" s="50">
        <v>0</v>
      </c>
      <c r="U179" s="11">
        <v>0</v>
      </c>
      <c r="V179" s="11">
        <v>0</v>
      </c>
      <c r="W179" s="11">
        <v>0</v>
      </c>
      <c r="X179" s="11">
        <v>0</v>
      </c>
      <c r="Y179" s="50">
        <v>0</v>
      </c>
      <c r="Z179">
        <v>0</v>
      </c>
      <c r="AA179">
        <v>0</v>
      </c>
      <c r="AB179" s="52">
        <v>0</v>
      </c>
      <c r="AC179">
        <v>0</v>
      </c>
      <c r="AD179">
        <v>0</v>
      </c>
      <c r="AE179">
        <v>0</v>
      </c>
      <c r="AF179">
        <v>0</v>
      </c>
      <c r="AG179" s="50">
        <v>0</v>
      </c>
      <c r="AH179">
        <v>3.75</v>
      </c>
      <c r="AI179">
        <v>21.25</v>
      </c>
      <c r="AJ179">
        <v>13.5</v>
      </c>
      <c r="AK179">
        <v>8.75</v>
      </c>
      <c r="AL179" s="50">
        <v>47.25</v>
      </c>
      <c r="AM179">
        <v>0</v>
      </c>
      <c r="AN179">
        <v>0</v>
      </c>
      <c r="AO179">
        <v>0</v>
      </c>
      <c r="AP179" s="50">
        <v>0</v>
      </c>
      <c r="AQ179" s="11" t="s">
        <v>51</v>
      </c>
      <c r="AR179" s="11" t="s">
        <v>51</v>
      </c>
      <c r="AS179" s="11" t="s">
        <v>51</v>
      </c>
      <c r="AT179" s="50">
        <v>0</v>
      </c>
      <c r="AU179" s="18">
        <v>35</v>
      </c>
      <c r="AV179" s="18">
        <v>5</v>
      </c>
      <c r="AW179" s="18">
        <v>0</v>
      </c>
      <c r="AX179" s="18">
        <v>0</v>
      </c>
      <c r="AY179" s="54">
        <f t="shared" si="3"/>
        <v>40</v>
      </c>
      <c r="AZ179" t="s">
        <v>52</v>
      </c>
      <c r="BA179" s="38">
        <v>81.375</v>
      </c>
    </row>
    <row r="180" spans="1:53" x14ac:dyDescent="0.25">
      <c r="A180" s="39" t="s">
        <v>46</v>
      </c>
      <c r="B180" t="s">
        <v>861</v>
      </c>
      <c r="C180" t="s">
        <v>862</v>
      </c>
      <c r="D180" t="s">
        <v>863</v>
      </c>
      <c r="E180">
        <v>51</v>
      </c>
      <c r="F180" t="s">
        <v>942</v>
      </c>
      <c r="G180" t="s">
        <v>943</v>
      </c>
      <c r="H180" t="s">
        <v>944</v>
      </c>
      <c r="I180" t="s">
        <v>945</v>
      </c>
      <c r="J180" t="s">
        <v>946</v>
      </c>
      <c r="K180" t="s">
        <v>947</v>
      </c>
      <c r="L180" s="11">
        <v>20</v>
      </c>
      <c r="M180" s="11">
        <v>20</v>
      </c>
      <c r="N180" s="11">
        <v>47.88</v>
      </c>
      <c r="O180" s="11">
        <v>5</v>
      </c>
      <c r="P180" s="50">
        <v>92.88</v>
      </c>
      <c r="Q180" s="11">
        <v>0</v>
      </c>
      <c r="R180" s="11">
        <v>0</v>
      </c>
      <c r="S180" s="11">
        <v>0</v>
      </c>
      <c r="T180" s="50">
        <v>0</v>
      </c>
      <c r="U180" s="11">
        <v>0</v>
      </c>
      <c r="V180" s="11">
        <v>0</v>
      </c>
      <c r="W180" s="11">
        <v>0</v>
      </c>
      <c r="X180" s="11">
        <v>0</v>
      </c>
      <c r="Y180" s="50">
        <v>0</v>
      </c>
      <c r="Z180">
        <v>0</v>
      </c>
      <c r="AA180">
        <v>0</v>
      </c>
      <c r="AB180" s="52">
        <v>0</v>
      </c>
      <c r="AC180">
        <v>0</v>
      </c>
      <c r="AD180">
        <v>0</v>
      </c>
      <c r="AE180">
        <v>0</v>
      </c>
      <c r="AF180">
        <v>0</v>
      </c>
      <c r="AG180" s="50">
        <v>0</v>
      </c>
      <c r="AH180">
        <v>0</v>
      </c>
      <c r="AI180">
        <v>0</v>
      </c>
      <c r="AJ180">
        <v>0</v>
      </c>
      <c r="AK180">
        <v>0</v>
      </c>
      <c r="AL180" s="50">
        <v>0</v>
      </c>
      <c r="AM180">
        <v>50</v>
      </c>
      <c r="AN180">
        <v>20</v>
      </c>
      <c r="AO180">
        <v>24.56</v>
      </c>
      <c r="AP180" s="50">
        <v>94.56</v>
      </c>
      <c r="AQ180" s="11" t="s">
        <v>51</v>
      </c>
      <c r="AR180" s="11" t="s">
        <v>51</v>
      </c>
      <c r="AS180" s="11" t="s">
        <v>51</v>
      </c>
      <c r="AT180" s="50">
        <v>0</v>
      </c>
      <c r="AU180" s="18">
        <v>32</v>
      </c>
      <c r="AV180" s="18">
        <v>0</v>
      </c>
      <c r="AW180" s="18">
        <v>0</v>
      </c>
      <c r="AX180" s="18">
        <v>8</v>
      </c>
      <c r="AY180" s="54">
        <f t="shared" si="3"/>
        <v>40</v>
      </c>
      <c r="AZ180" t="s">
        <v>52</v>
      </c>
      <c r="BA180" s="38">
        <v>93.215999999999994</v>
      </c>
    </row>
    <row r="181" spans="1:53" x14ac:dyDescent="0.25">
      <c r="A181" s="39" t="s">
        <v>46</v>
      </c>
      <c r="B181" t="s">
        <v>865</v>
      </c>
      <c r="C181" t="s">
        <v>866</v>
      </c>
      <c r="D181" t="s">
        <v>867</v>
      </c>
      <c r="E181">
        <v>32</v>
      </c>
      <c r="F181" t="s">
        <v>990</v>
      </c>
      <c r="G181" t="s">
        <v>949</v>
      </c>
      <c r="H181" t="s">
        <v>944</v>
      </c>
      <c r="I181" t="s">
        <v>950</v>
      </c>
      <c r="J181" t="s">
        <v>946</v>
      </c>
      <c r="K181" t="s">
        <v>960</v>
      </c>
      <c r="L181" s="11">
        <v>22.087499999999999</v>
      </c>
      <c r="M181" s="11">
        <v>0</v>
      </c>
      <c r="N181" s="11">
        <v>59.3125</v>
      </c>
      <c r="O181" s="11">
        <v>7.5</v>
      </c>
      <c r="P181" s="50">
        <v>88.9</v>
      </c>
      <c r="Q181" s="11">
        <v>0</v>
      </c>
      <c r="R181" s="11">
        <v>0</v>
      </c>
      <c r="S181" s="11">
        <v>0</v>
      </c>
      <c r="T181" s="50">
        <v>0</v>
      </c>
      <c r="U181" s="11">
        <v>0</v>
      </c>
      <c r="V181" s="11">
        <v>0</v>
      </c>
      <c r="W181" s="11">
        <v>0</v>
      </c>
      <c r="X181" s="11">
        <v>0</v>
      </c>
      <c r="Y181" s="50">
        <v>0</v>
      </c>
      <c r="Z181">
        <v>0</v>
      </c>
      <c r="AA181">
        <v>0</v>
      </c>
      <c r="AB181" s="52">
        <v>0</v>
      </c>
      <c r="AC181">
        <v>0</v>
      </c>
      <c r="AD181">
        <v>0</v>
      </c>
      <c r="AE181">
        <v>0</v>
      </c>
      <c r="AF181">
        <v>0</v>
      </c>
      <c r="AG181" s="50">
        <v>0</v>
      </c>
      <c r="AH181" s="35">
        <v>0</v>
      </c>
      <c r="AI181" s="35">
        <v>58.82352941176471</v>
      </c>
      <c r="AJ181" s="35">
        <v>17.647058823529413</v>
      </c>
      <c r="AK181" s="35">
        <v>23.529411764705877</v>
      </c>
      <c r="AL181" s="50">
        <v>100</v>
      </c>
      <c r="AM181">
        <v>41.66</v>
      </c>
      <c r="AN181">
        <v>18</v>
      </c>
      <c r="AO181">
        <v>26.04</v>
      </c>
      <c r="AP181" s="50">
        <v>85.699999999999989</v>
      </c>
      <c r="AQ181" s="11" t="s">
        <v>51</v>
      </c>
      <c r="AR181" s="11" t="s">
        <v>51</v>
      </c>
      <c r="AS181" s="11" t="s">
        <v>51</v>
      </c>
      <c r="AT181" s="50">
        <v>0</v>
      </c>
      <c r="AU181" s="18">
        <v>27</v>
      </c>
      <c r="AV181" s="18">
        <v>5</v>
      </c>
      <c r="AW181" s="18">
        <v>0</v>
      </c>
      <c r="AX181" s="18">
        <v>8</v>
      </c>
      <c r="AY181" s="54">
        <f t="shared" si="3"/>
        <v>40</v>
      </c>
      <c r="AZ181" t="s">
        <v>52</v>
      </c>
      <c r="BA181" s="38">
        <v>89.647500000000008</v>
      </c>
    </row>
    <row r="182" spans="1:53" s="39" customFormat="1" x14ac:dyDescent="0.25">
      <c r="A182" s="39" t="s">
        <v>46</v>
      </c>
      <c r="B182" s="39" t="s">
        <v>869</v>
      </c>
      <c r="C182" s="39" t="s">
        <v>870</v>
      </c>
      <c r="D182" s="39" t="s">
        <v>871</v>
      </c>
      <c r="E182">
        <v>36</v>
      </c>
      <c r="F182" t="s">
        <v>957</v>
      </c>
      <c r="G182" t="s">
        <v>943</v>
      </c>
      <c r="H182" t="s">
        <v>944</v>
      </c>
      <c r="I182" t="s">
        <v>977</v>
      </c>
      <c r="J182" t="s">
        <v>955</v>
      </c>
      <c r="K182" t="s">
        <v>978</v>
      </c>
      <c r="L182" s="40">
        <v>0</v>
      </c>
      <c r="M182" s="40">
        <v>0</v>
      </c>
      <c r="N182" s="40">
        <v>0</v>
      </c>
      <c r="O182" s="40">
        <v>0</v>
      </c>
      <c r="P182" s="51">
        <v>0</v>
      </c>
      <c r="Q182" s="40">
        <v>0</v>
      </c>
      <c r="R182" s="40">
        <v>0</v>
      </c>
      <c r="S182" s="40">
        <v>0</v>
      </c>
      <c r="T182" s="51">
        <v>0</v>
      </c>
      <c r="U182" s="40">
        <v>0</v>
      </c>
      <c r="V182" s="40">
        <v>0</v>
      </c>
      <c r="W182" s="40">
        <v>0</v>
      </c>
      <c r="X182" s="40">
        <v>0</v>
      </c>
      <c r="Y182" s="51">
        <v>0</v>
      </c>
      <c r="Z182" s="39">
        <v>48.73</v>
      </c>
      <c r="AA182" s="39">
        <v>30</v>
      </c>
      <c r="AB182" s="53">
        <v>78.72999999999999</v>
      </c>
      <c r="AC182" s="39">
        <v>4</v>
      </c>
      <c r="AD182" s="39">
        <v>19.670000000000002</v>
      </c>
      <c r="AE182" s="39">
        <v>37.159999999999997</v>
      </c>
      <c r="AF182" s="39">
        <v>20</v>
      </c>
      <c r="AG182" s="51">
        <v>80.83</v>
      </c>
      <c r="AH182" s="39">
        <v>0</v>
      </c>
      <c r="AI182" s="39">
        <v>0</v>
      </c>
      <c r="AJ182" s="39">
        <v>0</v>
      </c>
      <c r="AK182" s="39">
        <v>0</v>
      </c>
      <c r="AL182" s="51">
        <v>0</v>
      </c>
      <c r="AM182" s="39">
        <v>0</v>
      </c>
      <c r="AN182" s="39">
        <v>0</v>
      </c>
      <c r="AO182" s="39">
        <v>0</v>
      </c>
      <c r="AP182" s="51">
        <v>0</v>
      </c>
      <c r="AQ182" s="40" t="s">
        <v>51</v>
      </c>
      <c r="AR182" s="40" t="s">
        <v>51</v>
      </c>
      <c r="AS182" s="40" t="s">
        <v>51</v>
      </c>
      <c r="AT182" s="51">
        <v>0</v>
      </c>
      <c r="AU182" s="41">
        <v>8</v>
      </c>
      <c r="AV182" s="41">
        <v>0</v>
      </c>
      <c r="AW182" s="41">
        <v>0</v>
      </c>
      <c r="AX182" s="41">
        <v>0</v>
      </c>
      <c r="AY182" s="55">
        <f t="shared" ref="AY182" si="4">+SUM(AU182:AX182)</f>
        <v>8</v>
      </c>
      <c r="AZ182" s="39" t="s">
        <v>52</v>
      </c>
      <c r="BA182" s="42">
        <v>80.83</v>
      </c>
    </row>
    <row r="183" spans="1:53" x14ac:dyDescent="0.25">
      <c r="A183" s="39" t="s">
        <v>46</v>
      </c>
      <c r="B183" t="s">
        <v>873</v>
      </c>
      <c r="C183" t="s">
        <v>874</v>
      </c>
      <c r="D183" t="s">
        <v>875</v>
      </c>
      <c r="E183">
        <v>40</v>
      </c>
      <c r="F183" t="s">
        <v>974</v>
      </c>
      <c r="G183" t="s">
        <v>943</v>
      </c>
      <c r="H183" t="s">
        <v>944</v>
      </c>
      <c r="I183" t="s">
        <v>950</v>
      </c>
      <c r="J183" t="s">
        <v>946</v>
      </c>
      <c r="K183" t="s">
        <v>968</v>
      </c>
      <c r="L183" s="11">
        <v>20</v>
      </c>
      <c r="M183" s="11">
        <v>20</v>
      </c>
      <c r="N183" s="11">
        <v>44.52</v>
      </c>
      <c r="O183" s="11">
        <v>4.5</v>
      </c>
      <c r="P183" s="50">
        <v>89.02000000000001</v>
      </c>
      <c r="Q183" s="11">
        <v>0</v>
      </c>
      <c r="R183" s="11">
        <v>0</v>
      </c>
      <c r="S183" s="11">
        <v>0</v>
      </c>
      <c r="T183" s="50">
        <v>0</v>
      </c>
      <c r="U183" s="11">
        <v>0</v>
      </c>
      <c r="V183" s="11">
        <v>0</v>
      </c>
      <c r="W183" s="11">
        <v>0</v>
      </c>
      <c r="X183" s="11">
        <v>0</v>
      </c>
      <c r="Y183" s="50">
        <v>0</v>
      </c>
      <c r="Z183">
        <v>0</v>
      </c>
      <c r="AA183">
        <v>0</v>
      </c>
      <c r="AB183" s="52">
        <v>0</v>
      </c>
      <c r="AC183">
        <v>0</v>
      </c>
      <c r="AD183">
        <v>0</v>
      </c>
      <c r="AE183">
        <v>0</v>
      </c>
      <c r="AF183">
        <v>0</v>
      </c>
      <c r="AG183" s="50">
        <v>0</v>
      </c>
      <c r="AH183">
        <v>15</v>
      </c>
      <c r="AI183">
        <v>50</v>
      </c>
      <c r="AJ183">
        <v>15</v>
      </c>
      <c r="AK183">
        <v>13.75</v>
      </c>
      <c r="AL183" s="50">
        <v>93.75</v>
      </c>
      <c r="AM183">
        <v>0</v>
      </c>
      <c r="AN183">
        <v>0</v>
      </c>
      <c r="AO183">
        <v>0</v>
      </c>
      <c r="AP183" s="50">
        <v>0</v>
      </c>
      <c r="AQ183" s="11" t="s">
        <v>51</v>
      </c>
      <c r="AR183" s="11" t="s">
        <v>51</v>
      </c>
      <c r="AS183" s="11" t="s">
        <v>51</v>
      </c>
      <c r="AT183" s="50">
        <v>0</v>
      </c>
      <c r="AU183" s="18">
        <v>15</v>
      </c>
      <c r="AV183" s="18">
        <v>5</v>
      </c>
      <c r="AW183" s="18">
        <v>0</v>
      </c>
      <c r="AX183" s="18">
        <v>0</v>
      </c>
      <c r="AY183" s="54">
        <f t="shared" si="3"/>
        <v>20</v>
      </c>
      <c r="AZ183" t="s">
        <v>52</v>
      </c>
      <c r="BA183" s="38">
        <v>90.202500000000015</v>
      </c>
    </row>
    <row r="184" spans="1:53" x14ac:dyDescent="0.25">
      <c r="A184" s="39" t="s">
        <v>46</v>
      </c>
      <c r="B184" t="s">
        <v>877</v>
      </c>
      <c r="C184" t="s">
        <v>878</v>
      </c>
      <c r="D184" t="s">
        <v>879</v>
      </c>
      <c r="E184">
        <v>33</v>
      </c>
      <c r="F184" t="s">
        <v>976</v>
      </c>
      <c r="G184" t="s">
        <v>943</v>
      </c>
      <c r="H184" t="s">
        <v>944</v>
      </c>
      <c r="I184" t="s">
        <v>977</v>
      </c>
      <c r="J184" t="s">
        <v>955</v>
      </c>
      <c r="K184" t="s">
        <v>983</v>
      </c>
      <c r="L184" s="11">
        <v>0</v>
      </c>
      <c r="M184" s="11">
        <v>21.25</v>
      </c>
      <c r="N184" s="11">
        <v>48.274999999999999</v>
      </c>
      <c r="O184" s="11">
        <v>3.75</v>
      </c>
      <c r="P184" s="50">
        <v>73.275000000000006</v>
      </c>
      <c r="Q184" s="11">
        <v>0</v>
      </c>
      <c r="R184" s="11">
        <v>0</v>
      </c>
      <c r="S184" s="11">
        <v>0</v>
      </c>
      <c r="T184" s="50">
        <v>0</v>
      </c>
      <c r="U184" s="11">
        <v>0</v>
      </c>
      <c r="V184" s="11">
        <v>0</v>
      </c>
      <c r="W184" s="11">
        <v>0</v>
      </c>
      <c r="X184" s="11">
        <v>0</v>
      </c>
      <c r="Y184" s="50">
        <v>0</v>
      </c>
      <c r="Z184">
        <v>0</v>
      </c>
      <c r="AA184">
        <v>0</v>
      </c>
      <c r="AB184" s="52">
        <v>0</v>
      </c>
      <c r="AC184">
        <v>0</v>
      </c>
      <c r="AD184">
        <v>0</v>
      </c>
      <c r="AE184">
        <v>0</v>
      </c>
      <c r="AF184">
        <v>0</v>
      </c>
      <c r="AG184" s="50">
        <v>0</v>
      </c>
      <c r="AH184">
        <v>0</v>
      </c>
      <c r="AI184">
        <v>0</v>
      </c>
      <c r="AJ184">
        <v>0</v>
      </c>
      <c r="AK184">
        <v>0</v>
      </c>
      <c r="AL184" s="50">
        <v>0</v>
      </c>
      <c r="AM184">
        <v>0</v>
      </c>
      <c r="AN184">
        <v>0</v>
      </c>
      <c r="AO184">
        <v>0</v>
      </c>
      <c r="AP184" s="50">
        <v>0</v>
      </c>
      <c r="AQ184" s="11" t="s">
        <v>51</v>
      </c>
      <c r="AR184" s="11" t="s">
        <v>51</v>
      </c>
      <c r="AS184" s="11" t="s">
        <v>51</v>
      </c>
      <c r="AT184" s="50">
        <v>0</v>
      </c>
      <c r="AU184" s="18">
        <v>10</v>
      </c>
      <c r="AV184" s="18">
        <v>0</v>
      </c>
      <c r="AW184" s="18">
        <v>0</v>
      </c>
      <c r="AX184" s="18">
        <v>0</v>
      </c>
      <c r="AY184" s="54">
        <f t="shared" si="3"/>
        <v>10</v>
      </c>
      <c r="AZ184" t="s">
        <v>52</v>
      </c>
      <c r="BA184" s="38">
        <v>73.275000000000006</v>
      </c>
    </row>
    <row r="185" spans="1:53" x14ac:dyDescent="0.25">
      <c r="A185" s="39" t="s">
        <v>46</v>
      </c>
      <c r="B185" t="s">
        <v>881</v>
      </c>
      <c r="C185" t="s">
        <v>878</v>
      </c>
      <c r="D185" t="s">
        <v>882</v>
      </c>
      <c r="E185">
        <v>36</v>
      </c>
      <c r="F185" t="s">
        <v>995</v>
      </c>
      <c r="G185" t="s">
        <v>943</v>
      </c>
      <c r="H185" t="s">
        <v>944</v>
      </c>
      <c r="I185" t="s">
        <v>950</v>
      </c>
      <c r="J185" t="s">
        <v>959</v>
      </c>
      <c r="K185" t="s">
        <v>1016</v>
      </c>
      <c r="L185" s="11">
        <v>24.285714285714285</v>
      </c>
      <c r="M185" s="11">
        <v>0</v>
      </c>
      <c r="N185" s="11">
        <v>62.5</v>
      </c>
      <c r="O185" s="11">
        <v>0</v>
      </c>
      <c r="P185" s="50">
        <v>86.785714285714278</v>
      </c>
      <c r="Q185" s="11">
        <v>0</v>
      </c>
      <c r="R185" s="11">
        <v>0</v>
      </c>
      <c r="S185" s="11">
        <v>0</v>
      </c>
      <c r="T185" s="50">
        <v>0</v>
      </c>
      <c r="U185" s="11">
        <v>0</v>
      </c>
      <c r="V185" s="11">
        <v>0</v>
      </c>
      <c r="W185" s="11">
        <v>0</v>
      </c>
      <c r="X185" s="11">
        <v>0</v>
      </c>
      <c r="Y185" s="50">
        <v>0</v>
      </c>
      <c r="Z185">
        <v>0</v>
      </c>
      <c r="AA185">
        <v>0</v>
      </c>
      <c r="AB185" s="52">
        <v>0</v>
      </c>
      <c r="AC185">
        <v>0</v>
      </c>
      <c r="AD185">
        <v>0</v>
      </c>
      <c r="AE185">
        <v>0</v>
      </c>
      <c r="AF185">
        <v>0</v>
      </c>
      <c r="AG185" s="50">
        <v>0</v>
      </c>
      <c r="AH185">
        <v>0</v>
      </c>
      <c r="AI185">
        <v>0</v>
      </c>
      <c r="AJ185">
        <v>0</v>
      </c>
      <c r="AK185">
        <v>0</v>
      </c>
      <c r="AL185" s="50">
        <v>0</v>
      </c>
      <c r="AM185">
        <v>0</v>
      </c>
      <c r="AN185">
        <v>0</v>
      </c>
      <c r="AO185">
        <v>0</v>
      </c>
      <c r="AP185" s="50">
        <v>0</v>
      </c>
      <c r="AQ185" s="11" t="s">
        <v>51</v>
      </c>
      <c r="AR185" s="11" t="s">
        <v>51</v>
      </c>
      <c r="AS185" s="11" t="s">
        <v>51</v>
      </c>
      <c r="AT185" s="50">
        <v>0</v>
      </c>
      <c r="AU185" s="18">
        <v>7</v>
      </c>
      <c r="AV185" s="18">
        <v>0</v>
      </c>
      <c r="AW185" s="18">
        <v>0</v>
      </c>
      <c r="AX185" s="18">
        <v>0</v>
      </c>
      <c r="AY185" s="54">
        <f t="shared" si="3"/>
        <v>7</v>
      </c>
      <c r="AZ185" t="s">
        <v>52</v>
      </c>
      <c r="BA185" s="38">
        <v>86.785714285714292</v>
      </c>
    </row>
    <row r="186" spans="1:53" x14ac:dyDescent="0.25">
      <c r="A186" s="39" t="s">
        <v>46</v>
      </c>
      <c r="B186" t="s">
        <v>887</v>
      </c>
      <c r="C186" t="s">
        <v>888</v>
      </c>
      <c r="D186" t="s">
        <v>889</v>
      </c>
      <c r="E186">
        <v>59</v>
      </c>
      <c r="F186" t="s">
        <v>1031</v>
      </c>
      <c r="G186" t="s">
        <v>943</v>
      </c>
      <c r="H186" t="s">
        <v>944</v>
      </c>
      <c r="I186" t="s">
        <v>950</v>
      </c>
      <c r="J186" t="s">
        <v>946</v>
      </c>
      <c r="K186" t="s">
        <v>962</v>
      </c>
      <c r="L186" s="11">
        <v>20</v>
      </c>
      <c r="M186" s="11">
        <v>20</v>
      </c>
      <c r="N186" s="11">
        <v>42.41</v>
      </c>
      <c r="O186" s="11">
        <v>4.5</v>
      </c>
      <c r="P186" s="50">
        <v>86.91</v>
      </c>
      <c r="Q186" s="11">
        <v>0</v>
      </c>
      <c r="R186" s="11">
        <v>0</v>
      </c>
      <c r="S186" s="11">
        <v>0</v>
      </c>
      <c r="T186" s="50">
        <v>0</v>
      </c>
      <c r="U186" s="11">
        <v>0</v>
      </c>
      <c r="V186" s="11">
        <v>0</v>
      </c>
      <c r="W186" s="11">
        <v>0</v>
      </c>
      <c r="X186" s="11">
        <v>0</v>
      </c>
      <c r="Y186" s="50">
        <v>0</v>
      </c>
      <c r="Z186">
        <v>0</v>
      </c>
      <c r="AA186">
        <v>0</v>
      </c>
      <c r="AB186" s="52">
        <v>0</v>
      </c>
      <c r="AC186">
        <v>0</v>
      </c>
      <c r="AD186">
        <v>0</v>
      </c>
      <c r="AE186">
        <v>0</v>
      </c>
      <c r="AF186">
        <v>0</v>
      </c>
      <c r="AG186" s="50">
        <v>0</v>
      </c>
      <c r="AH186">
        <v>7.5</v>
      </c>
      <c r="AI186">
        <v>20</v>
      </c>
      <c r="AJ186">
        <v>15</v>
      </c>
      <c r="AK186">
        <v>20</v>
      </c>
      <c r="AL186" s="50">
        <v>62.5</v>
      </c>
      <c r="AM186">
        <v>0</v>
      </c>
      <c r="AN186">
        <v>0</v>
      </c>
      <c r="AO186">
        <v>0</v>
      </c>
      <c r="AP186" s="50">
        <v>0</v>
      </c>
      <c r="AQ186" s="11" t="s">
        <v>51</v>
      </c>
      <c r="AR186" s="11" t="s">
        <v>51</v>
      </c>
      <c r="AS186" s="11" t="s">
        <v>51</v>
      </c>
      <c r="AT186" s="50">
        <v>0</v>
      </c>
      <c r="AU186" s="18">
        <v>33.75</v>
      </c>
      <c r="AV186" s="18">
        <v>6.25</v>
      </c>
      <c r="AW186" s="18">
        <v>0</v>
      </c>
      <c r="AX186" s="18">
        <v>0</v>
      </c>
      <c r="AY186" s="54">
        <f t="shared" si="3"/>
        <v>40</v>
      </c>
      <c r="AZ186" t="s">
        <v>52</v>
      </c>
      <c r="BA186" s="38">
        <v>83.095937500000005</v>
      </c>
    </row>
    <row r="187" spans="1:53" s="39" customFormat="1" x14ac:dyDescent="0.25">
      <c r="A187" s="39" t="s">
        <v>46</v>
      </c>
      <c r="B187" s="39" t="s">
        <v>895</v>
      </c>
      <c r="C187" s="39" t="s">
        <v>896</v>
      </c>
      <c r="D187" s="39" t="s">
        <v>897</v>
      </c>
      <c r="E187">
        <v>45</v>
      </c>
      <c r="F187" t="s">
        <v>971</v>
      </c>
      <c r="G187" t="s">
        <v>943</v>
      </c>
      <c r="H187" t="s">
        <v>944</v>
      </c>
      <c r="I187" t="s">
        <v>950</v>
      </c>
      <c r="J187" t="s">
        <v>955</v>
      </c>
      <c r="K187" t="s">
        <v>951</v>
      </c>
      <c r="L187" s="40">
        <v>20</v>
      </c>
      <c r="M187" s="40">
        <v>16.670000000000002</v>
      </c>
      <c r="N187" s="40">
        <v>39.92</v>
      </c>
      <c r="O187" s="40">
        <v>2.5</v>
      </c>
      <c r="P187" s="51">
        <v>79.09</v>
      </c>
      <c r="Q187" s="40">
        <v>0</v>
      </c>
      <c r="R187" s="40">
        <v>0</v>
      </c>
      <c r="S187" s="40">
        <v>0</v>
      </c>
      <c r="T187" s="51">
        <v>0</v>
      </c>
      <c r="U187" s="40">
        <v>0</v>
      </c>
      <c r="V187" s="40">
        <v>0</v>
      </c>
      <c r="W187" s="40">
        <v>0</v>
      </c>
      <c r="X187" s="40">
        <v>0</v>
      </c>
      <c r="Y187" s="51">
        <v>0</v>
      </c>
      <c r="Z187" s="39">
        <v>0</v>
      </c>
      <c r="AA187" s="39">
        <v>0</v>
      </c>
      <c r="AB187" s="53">
        <v>0</v>
      </c>
      <c r="AC187" s="39">
        <v>0</v>
      </c>
      <c r="AD187" s="39">
        <v>0</v>
      </c>
      <c r="AE187" s="39">
        <v>0</v>
      </c>
      <c r="AF187" s="39">
        <v>0</v>
      </c>
      <c r="AG187" s="51">
        <v>0</v>
      </c>
      <c r="AH187" s="39">
        <v>0</v>
      </c>
      <c r="AI187" s="39">
        <v>0</v>
      </c>
      <c r="AJ187" s="39">
        <v>0</v>
      </c>
      <c r="AK187" s="39">
        <v>0</v>
      </c>
      <c r="AL187" s="51">
        <v>0</v>
      </c>
      <c r="AM187" s="39">
        <v>0</v>
      </c>
      <c r="AN187" s="39">
        <v>0</v>
      </c>
      <c r="AO187" s="39">
        <v>0</v>
      </c>
      <c r="AP187" s="51">
        <v>0</v>
      </c>
      <c r="AQ187" s="40" t="s">
        <v>51</v>
      </c>
      <c r="AR187" s="40" t="s">
        <v>51</v>
      </c>
      <c r="AS187" s="40" t="s">
        <v>51</v>
      </c>
      <c r="AT187" s="51">
        <v>0</v>
      </c>
      <c r="AU187" s="41">
        <v>4</v>
      </c>
      <c r="AV187" s="41">
        <v>0</v>
      </c>
      <c r="AW187" s="41">
        <v>0</v>
      </c>
      <c r="AX187" s="41">
        <v>0</v>
      </c>
      <c r="AY187" s="55">
        <f t="shared" si="3"/>
        <v>4</v>
      </c>
      <c r="AZ187" s="39" t="s">
        <v>52</v>
      </c>
      <c r="BA187" s="42">
        <v>79.09</v>
      </c>
    </row>
    <row r="188" spans="1:53" s="39" customFormat="1" x14ac:dyDescent="0.25">
      <c r="A188" s="39" t="s">
        <v>46</v>
      </c>
      <c r="B188" s="39" t="s">
        <v>899</v>
      </c>
      <c r="C188" s="39" t="s">
        <v>900</v>
      </c>
      <c r="D188" s="39" t="s">
        <v>901</v>
      </c>
      <c r="E188">
        <v>41</v>
      </c>
      <c r="F188" t="s">
        <v>1002</v>
      </c>
      <c r="G188" t="s">
        <v>949</v>
      </c>
      <c r="H188" t="s">
        <v>944</v>
      </c>
      <c r="I188" t="s">
        <v>950</v>
      </c>
      <c r="J188" t="s">
        <v>955</v>
      </c>
      <c r="K188" t="s">
        <v>983</v>
      </c>
      <c r="L188" s="40">
        <v>25</v>
      </c>
      <c r="M188" s="40">
        <v>0</v>
      </c>
      <c r="N188" s="40">
        <v>49.387500000000003</v>
      </c>
      <c r="O188" s="40">
        <v>5</v>
      </c>
      <c r="P188" s="51">
        <v>79.387500000000003</v>
      </c>
      <c r="Q188" s="40">
        <v>0</v>
      </c>
      <c r="R188" s="40">
        <v>0</v>
      </c>
      <c r="S188" s="40">
        <v>0</v>
      </c>
      <c r="T188" s="51">
        <v>0</v>
      </c>
      <c r="U188" s="40">
        <v>0</v>
      </c>
      <c r="V188" s="40">
        <v>0</v>
      </c>
      <c r="W188" s="40">
        <v>0</v>
      </c>
      <c r="X188" s="40">
        <v>0</v>
      </c>
      <c r="Y188" s="51">
        <v>0</v>
      </c>
      <c r="Z188" s="39">
        <v>0</v>
      </c>
      <c r="AA188" s="39">
        <v>0</v>
      </c>
      <c r="AB188" s="53">
        <v>0</v>
      </c>
      <c r="AC188" s="39">
        <v>0</v>
      </c>
      <c r="AD188" s="39">
        <v>0</v>
      </c>
      <c r="AE188" s="39">
        <v>0</v>
      </c>
      <c r="AF188" s="39">
        <v>0</v>
      </c>
      <c r="AG188" s="51">
        <v>0</v>
      </c>
      <c r="AH188" s="39">
        <v>0</v>
      </c>
      <c r="AI188" s="39">
        <v>0</v>
      </c>
      <c r="AJ188" s="39">
        <v>0</v>
      </c>
      <c r="AK188" s="39">
        <v>0</v>
      </c>
      <c r="AL188" s="51">
        <v>0</v>
      </c>
      <c r="AM188" s="39">
        <v>0</v>
      </c>
      <c r="AN188" s="39">
        <v>0</v>
      </c>
      <c r="AO188" s="39">
        <v>0</v>
      </c>
      <c r="AP188" s="51">
        <v>0</v>
      </c>
      <c r="AQ188" s="40" t="s">
        <v>51</v>
      </c>
      <c r="AR188" s="40" t="s">
        <v>51</v>
      </c>
      <c r="AS188" s="40" t="s">
        <v>51</v>
      </c>
      <c r="AT188" s="51">
        <v>0</v>
      </c>
      <c r="AU188" s="41">
        <v>20</v>
      </c>
      <c r="AV188" s="41">
        <v>0</v>
      </c>
      <c r="AW188" s="41">
        <v>0</v>
      </c>
      <c r="AX188" s="41">
        <v>0</v>
      </c>
      <c r="AY188" s="55">
        <f t="shared" si="3"/>
        <v>20</v>
      </c>
      <c r="AZ188" s="39" t="s">
        <v>52</v>
      </c>
      <c r="BA188" s="42">
        <v>79.387500000000003</v>
      </c>
    </row>
    <row r="189" spans="1:53" s="39" customFormat="1" x14ac:dyDescent="0.25">
      <c r="A189" s="39" t="s">
        <v>46</v>
      </c>
      <c r="B189" s="39" t="s">
        <v>903</v>
      </c>
      <c r="C189" s="39" t="s">
        <v>904</v>
      </c>
      <c r="D189" s="39" t="s">
        <v>905</v>
      </c>
      <c r="E189">
        <v>73</v>
      </c>
      <c r="F189" t="s">
        <v>976</v>
      </c>
      <c r="G189" t="s">
        <v>943</v>
      </c>
      <c r="H189" t="s">
        <v>944</v>
      </c>
      <c r="I189" t="s">
        <v>945</v>
      </c>
      <c r="J189" t="s">
        <v>959</v>
      </c>
      <c r="K189" t="s">
        <v>951</v>
      </c>
      <c r="L189" s="40">
        <v>0</v>
      </c>
      <c r="M189" s="40">
        <v>0</v>
      </c>
      <c r="N189" s="40">
        <v>83.066666666666677</v>
      </c>
      <c r="O189" s="40">
        <v>4.1666666666666661</v>
      </c>
      <c r="P189" s="51">
        <v>87.233333333333348</v>
      </c>
      <c r="Q189" s="40">
        <v>0</v>
      </c>
      <c r="R189" s="40">
        <v>0</v>
      </c>
      <c r="S189" s="40">
        <v>0</v>
      </c>
      <c r="T189" s="51">
        <v>0</v>
      </c>
      <c r="U189" s="40">
        <v>0</v>
      </c>
      <c r="V189" s="40">
        <v>0</v>
      </c>
      <c r="W189" s="40">
        <v>0</v>
      </c>
      <c r="X189" s="40">
        <v>0</v>
      </c>
      <c r="Y189" s="51">
        <v>0</v>
      </c>
      <c r="Z189" s="39">
        <v>0</v>
      </c>
      <c r="AA189" s="39">
        <v>0</v>
      </c>
      <c r="AB189" s="53">
        <v>0</v>
      </c>
      <c r="AC189" s="39">
        <v>0</v>
      </c>
      <c r="AD189" s="39">
        <v>0</v>
      </c>
      <c r="AE189" s="39">
        <v>0</v>
      </c>
      <c r="AF189" s="39">
        <v>0</v>
      </c>
      <c r="AG189" s="51">
        <v>0</v>
      </c>
      <c r="AH189" s="39">
        <v>0</v>
      </c>
      <c r="AI189" s="39">
        <v>0</v>
      </c>
      <c r="AJ189" s="39">
        <v>0</v>
      </c>
      <c r="AK189" s="39">
        <v>0</v>
      </c>
      <c r="AL189" s="51">
        <v>0</v>
      </c>
      <c r="AM189" s="39">
        <v>0</v>
      </c>
      <c r="AN189" s="39">
        <v>0</v>
      </c>
      <c r="AO189" s="39">
        <v>0</v>
      </c>
      <c r="AP189" s="51">
        <v>0</v>
      </c>
      <c r="AQ189" s="40" t="s">
        <v>51</v>
      </c>
      <c r="AR189" s="40" t="s">
        <v>51</v>
      </c>
      <c r="AS189" s="40" t="s">
        <v>51</v>
      </c>
      <c r="AT189" s="51">
        <v>0</v>
      </c>
      <c r="AU189" s="41">
        <v>20</v>
      </c>
      <c r="AV189" s="41">
        <v>0</v>
      </c>
      <c r="AW189" s="41">
        <v>0</v>
      </c>
      <c r="AX189" s="41">
        <v>0</v>
      </c>
      <c r="AY189" s="55">
        <f t="shared" si="3"/>
        <v>20</v>
      </c>
      <c r="AZ189" s="39" t="s">
        <v>52</v>
      </c>
      <c r="BA189" s="42">
        <v>87.233333333333348</v>
      </c>
    </row>
    <row r="190" spans="1:53" x14ac:dyDescent="0.25">
      <c r="A190" s="39" t="s">
        <v>46</v>
      </c>
      <c r="B190" t="s">
        <v>907</v>
      </c>
      <c r="C190" t="s">
        <v>908</v>
      </c>
      <c r="D190" t="s">
        <v>909</v>
      </c>
      <c r="E190">
        <v>51</v>
      </c>
      <c r="F190" t="s">
        <v>1032</v>
      </c>
      <c r="G190" t="s">
        <v>943</v>
      </c>
      <c r="H190" t="s">
        <v>944</v>
      </c>
      <c r="I190" t="s">
        <v>950</v>
      </c>
      <c r="J190" t="s">
        <v>946</v>
      </c>
      <c r="K190" t="s">
        <v>964</v>
      </c>
      <c r="L190" s="11">
        <v>19.670000000000002</v>
      </c>
      <c r="M190" s="11">
        <v>20</v>
      </c>
      <c r="N190" s="11">
        <v>44.1</v>
      </c>
      <c r="O190" s="11">
        <v>2.5</v>
      </c>
      <c r="P190" s="50">
        <v>86.27000000000001</v>
      </c>
      <c r="Q190" s="11">
        <v>0</v>
      </c>
      <c r="R190" s="11">
        <v>0</v>
      </c>
      <c r="S190" s="11">
        <v>0</v>
      </c>
      <c r="T190" s="50">
        <v>0</v>
      </c>
      <c r="U190" s="11">
        <v>0</v>
      </c>
      <c r="V190" s="11">
        <v>0</v>
      </c>
      <c r="W190" s="11">
        <v>0</v>
      </c>
      <c r="X190" s="11">
        <v>0</v>
      </c>
      <c r="Y190" s="50">
        <v>0</v>
      </c>
      <c r="Z190">
        <v>0</v>
      </c>
      <c r="AA190">
        <v>0</v>
      </c>
      <c r="AB190" s="52">
        <v>0</v>
      </c>
      <c r="AC190">
        <v>0</v>
      </c>
      <c r="AD190">
        <v>0</v>
      </c>
      <c r="AE190">
        <v>0</v>
      </c>
      <c r="AF190">
        <v>0</v>
      </c>
      <c r="AG190" s="50">
        <v>0</v>
      </c>
      <c r="AH190">
        <v>0</v>
      </c>
      <c r="AI190">
        <v>0</v>
      </c>
      <c r="AJ190">
        <v>0</v>
      </c>
      <c r="AK190">
        <v>0</v>
      </c>
      <c r="AL190" s="50">
        <v>0</v>
      </c>
      <c r="AM190">
        <v>0</v>
      </c>
      <c r="AN190">
        <v>0</v>
      </c>
      <c r="AO190">
        <v>0</v>
      </c>
      <c r="AP190" s="50">
        <v>0</v>
      </c>
      <c r="AQ190" s="11" t="s">
        <v>51</v>
      </c>
      <c r="AR190" s="11" t="s">
        <v>51</v>
      </c>
      <c r="AS190" s="11" t="s">
        <v>51</v>
      </c>
      <c r="AT190" s="50">
        <v>0</v>
      </c>
      <c r="AU190" s="18">
        <v>40</v>
      </c>
      <c r="AV190" s="18">
        <v>0</v>
      </c>
      <c r="AW190" s="18">
        <v>0</v>
      </c>
      <c r="AX190" s="18">
        <v>0</v>
      </c>
      <c r="AY190" s="54">
        <f t="shared" si="3"/>
        <v>40</v>
      </c>
      <c r="AZ190" t="s">
        <v>52</v>
      </c>
      <c r="BA190" s="38">
        <v>86.27000000000001</v>
      </c>
    </row>
    <row r="191" spans="1:53" x14ac:dyDescent="0.25">
      <c r="A191" s="39" t="s">
        <v>46</v>
      </c>
      <c r="B191" t="s">
        <v>911</v>
      </c>
      <c r="C191" t="s">
        <v>912</v>
      </c>
      <c r="D191" t="s">
        <v>913</v>
      </c>
      <c r="E191">
        <v>62</v>
      </c>
      <c r="F191" t="s">
        <v>954</v>
      </c>
      <c r="G191" t="s">
        <v>949</v>
      </c>
      <c r="H191" t="s">
        <v>944</v>
      </c>
      <c r="I191" t="s">
        <v>950</v>
      </c>
      <c r="J191" t="s">
        <v>955</v>
      </c>
      <c r="K191" t="s">
        <v>956</v>
      </c>
      <c r="L191" s="11">
        <v>15.67</v>
      </c>
      <c r="M191" s="11">
        <v>18.670000000000002</v>
      </c>
      <c r="N191" s="11">
        <v>39.44</v>
      </c>
      <c r="O191" s="11">
        <v>4.5</v>
      </c>
      <c r="P191" s="50">
        <v>78.28</v>
      </c>
      <c r="Q191" s="11">
        <v>0</v>
      </c>
      <c r="R191" s="11">
        <v>0</v>
      </c>
      <c r="S191" s="11">
        <v>0</v>
      </c>
      <c r="T191" s="50">
        <v>0</v>
      </c>
      <c r="U191" s="11">
        <v>0</v>
      </c>
      <c r="V191" s="11">
        <v>0</v>
      </c>
      <c r="W191" s="11">
        <v>0</v>
      </c>
      <c r="X191" s="11">
        <v>0</v>
      </c>
      <c r="Y191" s="50">
        <v>0</v>
      </c>
      <c r="Z191">
        <v>0</v>
      </c>
      <c r="AA191">
        <v>0</v>
      </c>
      <c r="AB191" s="52">
        <v>0</v>
      </c>
      <c r="AC191">
        <v>0</v>
      </c>
      <c r="AD191">
        <v>0</v>
      </c>
      <c r="AE191">
        <v>0</v>
      </c>
      <c r="AF191">
        <v>0</v>
      </c>
      <c r="AG191" s="50">
        <v>0</v>
      </c>
      <c r="AH191">
        <v>0</v>
      </c>
      <c r="AI191">
        <v>0</v>
      </c>
      <c r="AJ191">
        <v>0</v>
      </c>
      <c r="AK191">
        <v>0</v>
      </c>
      <c r="AL191" s="50">
        <v>0</v>
      </c>
      <c r="AM191">
        <v>0</v>
      </c>
      <c r="AN191">
        <v>0</v>
      </c>
      <c r="AO191">
        <v>0</v>
      </c>
      <c r="AP191" s="50">
        <v>0</v>
      </c>
      <c r="AQ191" s="11" t="s">
        <v>51</v>
      </c>
      <c r="AR191" s="11" t="s">
        <v>51</v>
      </c>
      <c r="AS191" s="11" t="s">
        <v>51</v>
      </c>
      <c r="AT191" s="50">
        <v>0</v>
      </c>
      <c r="AU191" s="18">
        <v>10.5</v>
      </c>
      <c r="AV191" s="18">
        <v>0</v>
      </c>
      <c r="AW191" s="18">
        <v>0</v>
      </c>
      <c r="AX191" s="18">
        <v>0</v>
      </c>
      <c r="AY191" s="54">
        <f t="shared" si="3"/>
        <v>10.5</v>
      </c>
      <c r="AZ191" t="s">
        <v>52</v>
      </c>
      <c r="BA191" s="38">
        <v>78.28</v>
      </c>
    </row>
    <row r="192" spans="1:53" x14ac:dyDescent="0.25">
      <c r="A192" s="39" t="s">
        <v>46</v>
      </c>
      <c r="B192" t="s">
        <v>915</v>
      </c>
      <c r="C192" t="s">
        <v>916</v>
      </c>
      <c r="D192" t="s">
        <v>917</v>
      </c>
      <c r="E192">
        <v>33</v>
      </c>
      <c r="F192" t="s">
        <v>976</v>
      </c>
      <c r="G192" t="s">
        <v>943</v>
      </c>
      <c r="H192" t="s">
        <v>944</v>
      </c>
      <c r="I192" t="s">
        <v>950</v>
      </c>
      <c r="J192" t="s">
        <v>946</v>
      </c>
      <c r="K192" t="s">
        <v>992</v>
      </c>
      <c r="L192" s="11">
        <v>17.170000000000002</v>
      </c>
      <c r="M192" s="11">
        <v>18.670000000000002</v>
      </c>
      <c r="N192" s="11">
        <v>44.91</v>
      </c>
      <c r="O192" s="11">
        <v>3</v>
      </c>
      <c r="P192" s="50">
        <v>83.75</v>
      </c>
      <c r="Q192" s="11">
        <v>0</v>
      </c>
      <c r="R192" s="11">
        <v>0</v>
      </c>
      <c r="S192" s="11">
        <v>0</v>
      </c>
      <c r="T192" s="50">
        <v>0</v>
      </c>
      <c r="U192" s="11">
        <v>0</v>
      </c>
      <c r="V192" s="11">
        <v>0</v>
      </c>
      <c r="W192" s="11">
        <v>0</v>
      </c>
      <c r="X192" s="11">
        <v>0</v>
      </c>
      <c r="Y192" s="50">
        <v>0</v>
      </c>
      <c r="Z192">
        <v>0</v>
      </c>
      <c r="AA192">
        <v>0</v>
      </c>
      <c r="AB192" s="52">
        <v>0</v>
      </c>
      <c r="AC192">
        <v>0</v>
      </c>
      <c r="AD192">
        <v>0</v>
      </c>
      <c r="AE192">
        <v>0</v>
      </c>
      <c r="AF192">
        <v>0</v>
      </c>
      <c r="AG192" s="50">
        <v>0</v>
      </c>
      <c r="AH192">
        <v>3.75</v>
      </c>
      <c r="AI192">
        <v>12.5</v>
      </c>
      <c r="AJ192">
        <v>15</v>
      </c>
      <c r="AK192">
        <v>17.5</v>
      </c>
      <c r="AL192" s="50">
        <v>48.75</v>
      </c>
      <c r="AM192">
        <v>0</v>
      </c>
      <c r="AN192">
        <v>0</v>
      </c>
      <c r="AO192">
        <v>0</v>
      </c>
      <c r="AP192" s="50">
        <v>0</v>
      </c>
      <c r="AQ192" s="11" t="s">
        <v>51</v>
      </c>
      <c r="AR192" s="11" t="s">
        <v>51</v>
      </c>
      <c r="AS192" s="11" t="s">
        <v>51</v>
      </c>
      <c r="AT192" s="50">
        <v>0</v>
      </c>
      <c r="AU192" s="18">
        <v>35</v>
      </c>
      <c r="AV192" s="18">
        <v>5</v>
      </c>
      <c r="AW192" s="18">
        <v>0</v>
      </c>
      <c r="AX192" s="18">
        <v>0</v>
      </c>
      <c r="AY192" s="54">
        <f t="shared" si="3"/>
        <v>40</v>
      </c>
      <c r="AZ192" t="s">
        <v>52</v>
      </c>
      <c r="BA192" s="38">
        <v>79.375</v>
      </c>
    </row>
    <row r="193" spans="1:53" x14ac:dyDescent="0.25">
      <c r="A193" s="39" t="s">
        <v>46</v>
      </c>
      <c r="B193" t="s">
        <v>919</v>
      </c>
      <c r="C193" t="s">
        <v>920</v>
      </c>
      <c r="D193" t="s">
        <v>921</v>
      </c>
      <c r="E193">
        <v>33</v>
      </c>
      <c r="F193" t="s">
        <v>971</v>
      </c>
      <c r="G193" t="s">
        <v>943</v>
      </c>
      <c r="H193" t="s">
        <v>944</v>
      </c>
      <c r="I193" t="s">
        <v>950</v>
      </c>
      <c r="J193" t="s">
        <v>946</v>
      </c>
      <c r="K193" t="s">
        <v>951</v>
      </c>
      <c r="L193" s="11">
        <v>20</v>
      </c>
      <c r="M193" s="11">
        <v>20</v>
      </c>
      <c r="N193" s="11">
        <v>43.62</v>
      </c>
      <c r="O193" s="11">
        <v>7</v>
      </c>
      <c r="P193" s="50">
        <v>90.62</v>
      </c>
      <c r="Q193" s="11">
        <v>0</v>
      </c>
      <c r="R193" s="11">
        <v>0</v>
      </c>
      <c r="S193" s="11">
        <v>0</v>
      </c>
      <c r="T193" s="50">
        <v>0</v>
      </c>
      <c r="U193" s="11">
        <v>0</v>
      </c>
      <c r="V193" s="11">
        <v>0</v>
      </c>
      <c r="W193" s="11">
        <v>0</v>
      </c>
      <c r="X193" s="11">
        <v>0</v>
      </c>
      <c r="Y193" s="50">
        <v>0</v>
      </c>
      <c r="Z193">
        <v>0</v>
      </c>
      <c r="AA193">
        <v>0</v>
      </c>
      <c r="AB193" s="52">
        <v>0</v>
      </c>
      <c r="AC193">
        <v>0</v>
      </c>
      <c r="AD193">
        <v>0</v>
      </c>
      <c r="AE193">
        <v>0</v>
      </c>
      <c r="AF193">
        <v>0</v>
      </c>
      <c r="AG193" s="50">
        <v>0</v>
      </c>
      <c r="AH193">
        <v>15</v>
      </c>
      <c r="AI193">
        <v>50</v>
      </c>
      <c r="AJ193">
        <v>15</v>
      </c>
      <c r="AK193">
        <v>20</v>
      </c>
      <c r="AL193" s="50">
        <v>100</v>
      </c>
      <c r="AM193">
        <v>0</v>
      </c>
      <c r="AN193">
        <v>0</v>
      </c>
      <c r="AO193">
        <v>0</v>
      </c>
      <c r="AP193" s="50">
        <v>0</v>
      </c>
      <c r="AQ193" s="11" t="s">
        <v>51</v>
      </c>
      <c r="AR193" s="11" t="s">
        <v>51</v>
      </c>
      <c r="AS193" s="11" t="s">
        <v>51</v>
      </c>
      <c r="AT193" s="50">
        <v>0</v>
      </c>
      <c r="AU193" s="18">
        <v>29.75</v>
      </c>
      <c r="AV193" s="18">
        <v>10.25</v>
      </c>
      <c r="AW193" s="18">
        <v>0</v>
      </c>
      <c r="AX193" s="18">
        <v>0</v>
      </c>
      <c r="AY193" s="54">
        <f t="shared" si="3"/>
        <v>40</v>
      </c>
      <c r="AZ193" t="s">
        <v>52</v>
      </c>
      <c r="BA193" s="38">
        <v>93.02362500000001</v>
      </c>
    </row>
  </sheetData>
  <mergeCells count="9">
    <mergeCell ref="AM3:AP3"/>
    <mergeCell ref="AQ3:AT3"/>
    <mergeCell ref="AU3:AY3"/>
    <mergeCell ref="L3:P3"/>
    <mergeCell ref="Q3:T3"/>
    <mergeCell ref="U3:Y3"/>
    <mergeCell ref="Z3:AB3"/>
    <mergeCell ref="AC3:AG3"/>
    <mergeCell ref="AH3:AL3"/>
  </mergeCells>
  <pageMargins left="0.7" right="0.7" top="0.75" bottom="0.75" header="0.3" footer="0.3"/>
  <pageSetup orientation="portrait" r:id="rId1"/>
  <ignoredErrors>
    <ignoredError sqref="A109:D114 A79:D86 AQ79:AS86 AQ109:AS114 AQ6:AS11 AQ155:AS157 AQ33:AS35 AQ117 AZ79:AZ86 AQ29:AS32 AQ95:AS98 AQ108:AS108 AQ169:AS171 AZ5:AZ11 AQ18:AS21 AR17:AS17 L194:BA195 AQ118:AS124 A125:C125 AQ183:AS185 AZ183:AZ185 A6:D11 AQ47:AS50 AZ52:AZ54 A87:D98 AQ87:AS93 AZ87:AZ98 AQ138:AS142 A126:D142 AZ109:AZ114 AZ155:AZ157 AQ174:AS181 A155:D157 A183:D185 A5 C5:D5 AQ12:AS12 AZ12 A12:D12 AQ13:AS16 AZ13:AZ16 A13:D16 AZ17:AZ21 A17:D21 AQ22:AS23 AZ22:AZ23 A22:D23 AQ24:AS26 AZ24:AZ32 A24:D32 AZ33:AZ35 A33:D35 AQ36:AS37 AZ36:AZ37 A36:D37 AQ38:AS44 AZ38:AZ44 A38:D44 AQ45:AS45 AZ45 A45:D45 AZ46:AZ50 A46:D50 AQ51:AS51 AZ51 A51:D51 AQ52:AS54 A52:D54 AZ55:AZ61 AQ55:AS61 A55:D61 AZ62:AZ64 AQ62:AS64 A62:D64 AZ65:AZ78 AQ65:AS78 A65:D78 AQ99:AS99 A99:D99 AZ99 AQ100:AS102 A100:D102 AZ100:AZ102 AQ103:AS103 A103:D103 AZ103 AQ104:AS105 A104:D108 AZ104:AZ108 A115:D116 AQ115:AS116 AZ115:AZ116 A117:D124 AZ117:AZ124 AQ125:AS136 AZ125:AZ142 AQ143:AS154 A143:D154 AZ143:AZ154 AQ158:AS161 AZ158:AZ161 A158:D161 AQ162:AS166 AZ162:AZ171 A162:D171 AQ172:AS172 AZ172:AZ173 A172:D173 AZ174:AZ181 A174:D181 AQ186:AS186 AZ186 A186:D186 AQ187:AS193 AZ187:AZ193 A187:D1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45B6-E6AB-4853-8E20-FE107892AE13}">
  <sheetPr filterMode="1"/>
  <dimension ref="A1:AU254"/>
  <sheetViews>
    <sheetView zoomScale="70" zoomScaleNormal="70" workbookViewId="0">
      <pane xSplit="4" ySplit="4" topLeftCell="G148" activePane="bottomRight" state="frozen"/>
      <selection pane="topRight" activeCell="E1" sqref="E1"/>
      <selection pane="bottomLeft" activeCell="A4" sqref="A4"/>
      <selection pane="bottomRight" activeCell="L252" sqref="L252"/>
    </sheetView>
  </sheetViews>
  <sheetFormatPr baseColWidth="10" defaultRowHeight="15.75" x14ac:dyDescent="0.25"/>
  <cols>
    <col min="1" max="1" width="16.875" customWidth="1"/>
    <col min="3" max="3" width="22" customWidth="1"/>
    <col min="4" max="4" width="19.75" customWidth="1"/>
    <col min="10" max="10" width="9" customWidth="1"/>
    <col min="27" max="35" width="11" customWidth="1"/>
    <col min="36" max="38" width="11" style="11" customWidth="1"/>
    <col min="39" max="39" width="11" customWidth="1"/>
    <col min="47" max="47" width="11" style="11"/>
  </cols>
  <sheetData>
    <row r="1" spans="1:47" x14ac:dyDescent="0.25">
      <c r="V1">
        <v>10</v>
      </c>
      <c r="W1">
        <v>20</v>
      </c>
      <c r="X1">
        <v>50</v>
      </c>
      <c r="Y1">
        <v>20</v>
      </c>
    </row>
    <row r="3" spans="1:47" x14ac:dyDescent="0.25">
      <c r="E3" s="60" t="s">
        <v>52</v>
      </c>
      <c r="F3" s="61"/>
      <c r="G3" s="61"/>
      <c r="H3" s="61"/>
      <c r="I3" s="62"/>
      <c r="J3" s="60" t="s">
        <v>923</v>
      </c>
      <c r="K3" s="61"/>
      <c r="L3" s="61"/>
      <c r="M3" s="62"/>
      <c r="N3" s="60" t="s">
        <v>924</v>
      </c>
      <c r="O3" s="61"/>
      <c r="P3" s="61"/>
      <c r="Q3" s="61"/>
      <c r="R3" s="62"/>
      <c r="S3" s="60" t="s">
        <v>925</v>
      </c>
      <c r="T3" s="61"/>
      <c r="U3" s="62"/>
      <c r="V3" s="60" t="s">
        <v>926</v>
      </c>
      <c r="W3" s="61"/>
      <c r="X3" s="61"/>
      <c r="Y3" s="61"/>
      <c r="Z3" s="62"/>
      <c r="AA3" s="60" t="s">
        <v>927</v>
      </c>
      <c r="AB3" s="61"/>
      <c r="AC3" s="61"/>
      <c r="AD3" s="61"/>
      <c r="AE3" s="62"/>
      <c r="AF3" s="60" t="s">
        <v>928</v>
      </c>
      <c r="AG3" s="61"/>
      <c r="AH3" s="61"/>
      <c r="AI3" s="62"/>
      <c r="AJ3" s="60" t="s">
        <v>929</v>
      </c>
      <c r="AK3" s="61"/>
      <c r="AL3" s="61"/>
      <c r="AM3" s="62"/>
      <c r="AN3" s="60" t="s">
        <v>930</v>
      </c>
      <c r="AO3" s="61"/>
      <c r="AP3" s="61"/>
      <c r="AQ3" s="61"/>
      <c r="AR3" s="62"/>
      <c r="AT3" s="1"/>
    </row>
    <row r="4" spans="1:47" s="2" customFormat="1" ht="31.5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4" t="s">
        <v>8</v>
      </c>
      <c r="J4" s="3" t="s">
        <v>9</v>
      </c>
      <c r="K4" s="3" t="s">
        <v>10</v>
      </c>
      <c r="L4" s="3" t="s">
        <v>11</v>
      </c>
      <c r="M4" s="4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5" t="s">
        <v>17</v>
      </c>
      <c r="S4" s="2" t="s">
        <v>18</v>
      </c>
      <c r="T4" s="2" t="s">
        <v>19</v>
      </c>
      <c r="U4" s="5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5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5" t="s">
        <v>30</v>
      </c>
      <c r="AF4" s="2" t="s">
        <v>31</v>
      </c>
      <c r="AG4" s="2" t="s">
        <v>32</v>
      </c>
      <c r="AH4" s="2" t="s">
        <v>33</v>
      </c>
      <c r="AI4" s="5" t="s">
        <v>34</v>
      </c>
      <c r="AJ4" s="20" t="s">
        <v>35</v>
      </c>
      <c r="AK4" s="20" t="s">
        <v>36</v>
      </c>
      <c r="AL4" s="20" t="s">
        <v>37</v>
      </c>
      <c r="AM4" s="5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8" t="s">
        <v>45</v>
      </c>
      <c r="AU4" s="20" t="s">
        <v>934</v>
      </c>
    </row>
    <row r="5" spans="1:47" hidden="1" x14ac:dyDescent="0.25">
      <c r="A5" t="s">
        <v>46</v>
      </c>
      <c r="B5" t="s">
        <v>47</v>
      </c>
      <c r="C5" t="s">
        <v>48</v>
      </c>
      <c r="D5" t="s">
        <v>49</v>
      </c>
      <c r="E5" s="11">
        <v>19.670000000000002</v>
      </c>
      <c r="F5" s="11">
        <v>20</v>
      </c>
      <c r="G5" s="11">
        <v>48.16</v>
      </c>
      <c r="H5" s="11">
        <v>9</v>
      </c>
      <c r="I5" s="13">
        <f>+SUM(E5:H5)</f>
        <v>96.83</v>
      </c>
      <c r="J5" s="11">
        <v>0</v>
      </c>
      <c r="K5" s="11">
        <v>0</v>
      </c>
      <c r="L5" s="11">
        <v>0</v>
      </c>
      <c r="M5" s="13">
        <v>0</v>
      </c>
      <c r="N5" s="11">
        <v>0</v>
      </c>
      <c r="O5" s="11">
        <v>0</v>
      </c>
      <c r="P5" s="11">
        <v>0</v>
      </c>
      <c r="Q5" s="11">
        <v>0</v>
      </c>
      <c r="R5" s="13">
        <f t="shared" ref="R5:R68" si="0">+SUM(N5:Q5)</f>
        <v>0</v>
      </c>
      <c r="S5">
        <v>0</v>
      </c>
      <c r="T5">
        <v>0</v>
      </c>
      <c r="U5" s="7">
        <f>+SUM(S5:T5)</f>
        <v>0</v>
      </c>
      <c r="V5">
        <v>0</v>
      </c>
      <c r="W5">
        <v>0</v>
      </c>
      <c r="X5">
        <v>0</v>
      </c>
      <c r="Y5">
        <v>0</v>
      </c>
      <c r="Z5" s="13">
        <f>+SUM(V5:Y5)</f>
        <v>0</v>
      </c>
      <c r="AA5">
        <v>3.75</v>
      </c>
      <c r="AB5">
        <v>12.5</v>
      </c>
      <c r="AC5">
        <v>9</v>
      </c>
      <c r="AD5">
        <v>20</v>
      </c>
      <c r="AE5" s="7">
        <f>+SUM(AA5:AD5)</f>
        <v>45.25</v>
      </c>
      <c r="AF5">
        <v>0</v>
      </c>
      <c r="AG5">
        <v>0</v>
      </c>
      <c r="AH5">
        <v>0</v>
      </c>
      <c r="AI5" s="13">
        <f t="shared" ref="AI5:AI68" si="1">+SUM(AF5:AH5)</f>
        <v>0</v>
      </c>
      <c r="AJ5" s="11" t="s">
        <v>51</v>
      </c>
      <c r="AK5" s="11" t="s">
        <v>51</v>
      </c>
      <c r="AL5" s="11" t="s">
        <v>51</v>
      </c>
      <c r="AM5" s="13">
        <f>+SUM(AJ5:AL5)</f>
        <v>0</v>
      </c>
      <c r="AN5" s="18">
        <v>30.5</v>
      </c>
      <c r="AO5" s="18">
        <v>9.5</v>
      </c>
      <c r="AP5" s="23">
        <v>0</v>
      </c>
      <c r="AQ5" s="23">
        <v>0</v>
      </c>
      <c r="AR5" s="18">
        <f>+SUM(AN5:AQ5)</f>
        <v>40</v>
      </c>
      <c r="AS5" t="s">
        <v>52</v>
      </c>
      <c r="AT5" s="9" t="s">
        <v>53</v>
      </c>
      <c r="AU5" s="30">
        <f t="shared" ref="AU5:AU11" si="2">+((AN5*I5)+(AO5*AE5)+(AQ5*AI5)+(AP5*AM5))/AR5</f>
        <v>84.579750000000004</v>
      </c>
    </row>
    <row r="6" spans="1:47" hidden="1" x14ac:dyDescent="0.25">
      <c r="A6" t="s">
        <v>46</v>
      </c>
      <c r="B6" t="s">
        <v>54</v>
      </c>
      <c r="C6" t="s">
        <v>55</v>
      </c>
      <c r="D6" t="s">
        <v>56</v>
      </c>
      <c r="E6" s="11">
        <v>20</v>
      </c>
      <c r="F6" s="11">
        <v>20</v>
      </c>
      <c r="G6" s="11">
        <v>42.66</v>
      </c>
      <c r="H6" s="11">
        <v>5.5</v>
      </c>
      <c r="I6" s="13">
        <f t="shared" ref="I6:I69" si="3">+SUM(E6:H6)</f>
        <v>88.16</v>
      </c>
      <c r="J6" s="11">
        <v>0</v>
      </c>
      <c r="K6" s="11">
        <v>0</v>
      </c>
      <c r="L6" s="11">
        <v>0</v>
      </c>
      <c r="M6" s="13">
        <v>0</v>
      </c>
      <c r="N6" s="11">
        <v>0</v>
      </c>
      <c r="O6" s="11">
        <v>0</v>
      </c>
      <c r="P6" s="11">
        <v>0</v>
      </c>
      <c r="Q6" s="11">
        <v>0</v>
      </c>
      <c r="R6" s="13">
        <f t="shared" si="0"/>
        <v>0</v>
      </c>
      <c r="S6">
        <v>0</v>
      </c>
      <c r="T6">
        <v>0</v>
      </c>
      <c r="U6" s="7">
        <f t="shared" ref="U6:U69" si="4">+SUM(S6:T6)</f>
        <v>0</v>
      </c>
      <c r="V6">
        <v>0</v>
      </c>
      <c r="W6">
        <v>0</v>
      </c>
      <c r="X6">
        <v>0</v>
      </c>
      <c r="Y6">
        <v>0</v>
      </c>
      <c r="Z6" s="13">
        <f t="shared" ref="Z6:Z69" si="5">+SUM(V6:Y6)</f>
        <v>0</v>
      </c>
      <c r="AA6">
        <v>0</v>
      </c>
      <c r="AB6">
        <v>0</v>
      </c>
      <c r="AC6">
        <v>0</v>
      </c>
      <c r="AD6">
        <v>0</v>
      </c>
      <c r="AE6" s="7">
        <f t="shared" ref="AE6:AE69" si="6">+SUM(AA6:AD6)</f>
        <v>0</v>
      </c>
      <c r="AF6">
        <v>0</v>
      </c>
      <c r="AG6">
        <v>0</v>
      </c>
      <c r="AH6">
        <v>0</v>
      </c>
      <c r="AI6" s="13">
        <f t="shared" si="1"/>
        <v>0</v>
      </c>
      <c r="AJ6" s="11" t="s">
        <v>51</v>
      </c>
      <c r="AK6" s="11" t="s">
        <v>51</v>
      </c>
      <c r="AL6" s="11" t="s">
        <v>51</v>
      </c>
      <c r="AM6" s="13">
        <f t="shared" ref="AM6:AM69" si="7">+SUM(AJ6:AL6)</f>
        <v>0</v>
      </c>
      <c r="AN6" s="18">
        <v>40</v>
      </c>
      <c r="AO6" s="18">
        <v>0</v>
      </c>
      <c r="AP6" s="18">
        <v>0</v>
      </c>
      <c r="AQ6" s="18">
        <v>0</v>
      </c>
      <c r="AR6" s="18">
        <f t="shared" ref="AR6:AR69" si="8">+SUM(AN6:AQ6)</f>
        <v>40</v>
      </c>
      <c r="AS6" t="s">
        <v>52</v>
      </c>
      <c r="AT6" s="9" t="s">
        <v>57</v>
      </c>
      <c r="AU6" s="30">
        <f t="shared" si="2"/>
        <v>88.16</v>
      </c>
    </row>
    <row r="7" spans="1:47" hidden="1" x14ac:dyDescent="0.25">
      <c r="A7" t="s">
        <v>46</v>
      </c>
      <c r="B7" t="s">
        <v>58</v>
      </c>
      <c r="C7" t="s">
        <v>59</v>
      </c>
      <c r="D7" t="s">
        <v>60</v>
      </c>
      <c r="E7" s="11">
        <v>20</v>
      </c>
      <c r="F7" s="11">
        <v>20</v>
      </c>
      <c r="G7" s="11">
        <v>45.28</v>
      </c>
      <c r="H7" s="11">
        <v>4</v>
      </c>
      <c r="I7" s="13">
        <f t="shared" si="3"/>
        <v>89.28</v>
      </c>
      <c r="J7" s="11">
        <v>0</v>
      </c>
      <c r="K7" s="11">
        <v>0</v>
      </c>
      <c r="L7" s="11">
        <v>0</v>
      </c>
      <c r="M7" s="13">
        <v>0</v>
      </c>
      <c r="N7" s="11">
        <v>0</v>
      </c>
      <c r="O7" s="11">
        <v>0</v>
      </c>
      <c r="P7" s="11">
        <v>0</v>
      </c>
      <c r="Q7" s="11">
        <v>0</v>
      </c>
      <c r="R7" s="13">
        <f t="shared" si="0"/>
        <v>0</v>
      </c>
      <c r="S7">
        <v>0</v>
      </c>
      <c r="T7">
        <v>0</v>
      </c>
      <c r="U7" s="7">
        <f t="shared" si="4"/>
        <v>0</v>
      </c>
      <c r="V7">
        <v>0</v>
      </c>
      <c r="W7">
        <v>0</v>
      </c>
      <c r="X7">
        <v>0</v>
      </c>
      <c r="Y7">
        <v>0</v>
      </c>
      <c r="Z7" s="13">
        <f t="shared" si="5"/>
        <v>0</v>
      </c>
      <c r="AA7">
        <v>0</v>
      </c>
      <c r="AB7">
        <v>0</v>
      </c>
      <c r="AC7">
        <v>0</v>
      </c>
      <c r="AD7">
        <v>0</v>
      </c>
      <c r="AE7" s="7">
        <f t="shared" si="6"/>
        <v>0</v>
      </c>
      <c r="AF7">
        <v>50</v>
      </c>
      <c r="AG7">
        <v>20</v>
      </c>
      <c r="AH7">
        <v>26</v>
      </c>
      <c r="AI7" s="13">
        <f t="shared" si="1"/>
        <v>96</v>
      </c>
      <c r="AJ7" s="11" t="s">
        <v>51</v>
      </c>
      <c r="AK7" s="11" t="s">
        <v>51</v>
      </c>
      <c r="AL7" s="11" t="s">
        <v>51</v>
      </c>
      <c r="AM7" s="13">
        <f t="shared" si="7"/>
        <v>0</v>
      </c>
      <c r="AN7" s="18">
        <v>28</v>
      </c>
      <c r="AO7" s="18">
        <v>0</v>
      </c>
      <c r="AP7" s="18">
        <v>0</v>
      </c>
      <c r="AQ7" s="18">
        <v>12</v>
      </c>
      <c r="AR7" s="18">
        <f t="shared" si="8"/>
        <v>40</v>
      </c>
      <c r="AS7" t="s">
        <v>52</v>
      </c>
      <c r="AT7" s="9" t="s">
        <v>62</v>
      </c>
      <c r="AU7" s="30">
        <f t="shared" si="2"/>
        <v>91.296000000000006</v>
      </c>
    </row>
    <row r="8" spans="1:47" hidden="1" x14ac:dyDescent="0.25">
      <c r="A8" t="s">
        <v>46</v>
      </c>
      <c r="B8" t="s">
        <v>63</v>
      </c>
      <c r="C8" t="s">
        <v>64</v>
      </c>
      <c r="D8" t="s">
        <v>65</v>
      </c>
      <c r="E8" s="11">
        <v>17.670000000000002</v>
      </c>
      <c r="F8" s="11">
        <v>20</v>
      </c>
      <c r="G8" s="11">
        <v>41.38</v>
      </c>
      <c r="H8" s="11">
        <v>2.5</v>
      </c>
      <c r="I8" s="13">
        <f t="shared" si="3"/>
        <v>81.550000000000011</v>
      </c>
      <c r="J8" s="11">
        <v>0</v>
      </c>
      <c r="K8" s="11">
        <v>0</v>
      </c>
      <c r="L8" s="11">
        <v>0</v>
      </c>
      <c r="M8" s="13">
        <v>0</v>
      </c>
      <c r="N8" s="11">
        <v>0</v>
      </c>
      <c r="O8" s="11">
        <v>0</v>
      </c>
      <c r="P8" s="11">
        <v>0</v>
      </c>
      <c r="Q8" s="11">
        <v>0</v>
      </c>
      <c r="R8" s="13">
        <f t="shared" si="0"/>
        <v>0</v>
      </c>
      <c r="S8">
        <v>0</v>
      </c>
      <c r="T8">
        <v>0</v>
      </c>
      <c r="U8" s="7">
        <f t="shared" si="4"/>
        <v>0</v>
      </c>
      <c r="V8">
        <v>0</v>
      </c>
      <c r="W8">
        <v>0</v>
      </c>
      <c r="X8">
        <v>0</v>
      </c>
      <c r="Y8">
        <v>0</v>
      </c>
      <c r="Z8" s="13">
        <f t="shared" si="5"/>
        <v>0</v>
      </c>
      <c r="AA8">
        <v>0</v>
      </c>
      <c r="AB8">
        <v>0</v>
      </c>
      <c r="AC8">
        <v>0</v>
      </c>
      <c r="AD8">
        <v>0</v>
      </c>
      <c r="AE8" s="7">
        <f t="shared" si="6"/>
        <v>0</v>
      </c>
      <c r="AF8">
        <v>0</v>
      </c>
      <c r="AG8">
        <v>0</v>
      </c>
      <c r="AH8">
        <v>0</v>
      </c>
      <c r="AI8" s="13">
        <f t="shared" si="1"/>
        <v>0</v>
      </c>
      <c r="AJ8" s="11" t="s">
        <v>51</v>
      </c>
      <c r="AK8" s="11" t="s">
        <v>51</v>
      </c>
      <c r="AL8" s="11" t="s">
        <v>51</v>
      </c>
      <c r="AM8" s="13">
        <f t="shared" si="7"/>
        <v>0</v>
      </c>
      <c r="AN8" s="18">
        <v>40</v>
      </c>
      <c r="AO8" s="18">
        <v>0</v>
      </c>
      <c r="AP8" s="18">
        <v>0</v>
      </c>
      <c r="AQ8" s="18">
        <v>0</v>
      </c>
      <c r="AR8" s="18">
        <f t="shared" si="8"/>
        <v>40</v>
      </c>
      <c r="AS8" t="s">
        <v>52</v>
      </c>
      <c r="AT8" s="9" t="s">
        <v>67</v>
      </c>
      <c r="AU8" s="30">
        <f t="shared" si="2"/>
        <v>81.550000000000011</v>
      </c>
    </row>
    <row r="9" spans="1:47" hidden="1" x14ac:dyDescent="0.25">
      <c r="A9" t="s">
        <v>46</v>
      </c>
      <c r="B9" t="s">
        <v>68</v>
      </c>
      <c r="C9" t="s">
        <v>69</v>
      </c>
      <c r="D9" t="s">
        <v>70</v>
      </c>
      <c r="E9" s="11">
        <v>20</v>
      </c>
      <c r="F9" s="11">
        <v>19</v>
      </c>
      <c r="G9" s="11">
        <v>44.95</v>
      </c>
      <c r="H9" s="11">
        <v>5</v>
      </c>
      <c r="I9" s="13">
        <f t="shared" si="3"/>
        <v>88.95</v>
      </c>
      <c r="J9" s="11">
        <v>0</v>
      </c>
      <c r="K9" s="11">
        <v>0</v>
      </c>
      <c r="L9" s="11">
        <v>0</v>
      </c>
      <c r="M9" s="13">
        <v>0</v>
      </c>
      <c r="N9" s="11">
        <v>0</v>
      </c>
      <c r="O9" s="11">
        <v>0</v>
      </c>
      <c r="P9" s="11">
        <v>0</v>
      </c>
      <c r="Q9" s="11">
        <v>0</v>
      </c>
      <c r="R9" s="13">
        <f t="shared" si="0"/>
        <v>0</v>
      </c>
      <c r="S9">
        <v>0</v>
      </c>
      <c r="T9">
        <v>0</v>
      </c>
      <c r="U9" s="7">
        <f t="shared" si="4"/>
        <v>0</v>
      </c>
      <c r="V9">
        <v>0</v>
      </c>
      <c r="W9">
        <v>0</v>
      </c>
      <c r="X9">
        <v>0</v>
      </c>
      <c r="Y9">
        <v>0</v>
      </c>
      <c r="Z9" s="13">
        <f t="shared" si="5"/>
        <v>0</v>
      </c>
      <c r="AA9">
        <v>0</v>
      </c>
      <c r="AB9">
        <v>0</v>
      </c>
      <c r="AC9">
        <v>0</v>
      </c>
      <c r="AD9">
        <v>0</v>
      </c>
      <c r="AE9" s="7">
        <f t="shared" si="6"/>
        <v>0</v>
      </c>
      <c r="AF9">
        <v>50</v>
      </c>
      <c r="AG9">
        <v>20</v>
      </c>
      <c r="AH9">
        <v>29</v>
      </c>
      <c r="AI9" s="13">
        <f t="shared" si="1"/>
        <v>99</v>
      </c>
      <c r="AJ9" s="11" t="s">
        <v>51</v>
      </c>
      <c r="AK9" s="11" t="s">
        <v>51</v>
      </c>
      <c r="AL9" s="11" t="s">
        <v>51</v>
      </c>
      <c r="AM9" s="13">
        <f t="shared" si="7"/>
        <v>0</v>
      </c>
      <c r="AN9" s="18">
        <v>32</v>
      </c>
      <c r="AO9" s="18">
        <v>0</v>
      </c>
      <c r="AP9" s="18">
        <v>0</v>
      </c>
      <c r="AQ9" s="18">
        <v>8</v>
      </c>
      <c r="AR9" s="18">
        <f t="shared" si="8"/>
        <v>40</v>
      </c>
      <c r="AS9" t="s">
        <v>52</v>
      </c>
      <c r="AT9" s="9" t="s">
        <v>73</v>
      </c>
      <c r="AU9" s="30">
        <f t="shared" si="2"/>
        <v>90.960000000000008</v>
      </c>
    </row>
    <row r="10" spans="1:47" hidden="1" x14ac:dyDescent="0.25">
      <c r="A10" t="s">
        <v>46</v>
      </c>
      <c r="B10" t="s">
        <v>74</v>
      </c>
      <c r="C10" t="s">
        <v>75</v>
      </c>
      <c r="D10" t="s">
        <v>76</v>
      </c>
      <c r="E10" s="11">
        <v>20</v>
      </c>
      <c r="F10" s="11">
        <v>18.329999999999998</v>
      </c>
      <c r="G10" s="11">
        <v>46.05</v>
      </c>
      <c r="H10" s="11">
        <v>5.5</v>
      </c>
      <c r="I10" s="13">
        <f t="shared" si="3"/>
        <v>89.88</v>
      </c>
      <c r="J10" s="11">
        <v>0</v>
      </c>
      <c r="K10" s="11">
        <v>0</v>
      </c>
      <c r="L10" s="11">
        <v>0</v>
      </c>
      <c r="M10" s="13">
        <v>0</v>
      </c>
      <c r="N10" s="11">
        <v>0</v>
      </c>
      <c r="O10" s="11">
        <v>0</v>
      </c>
      <c r="P10" s="11">
        <v>0</v>
      </c>
      <c r="Q10" s="11">
        <v>0</v>
      </c>
      <c r="R10" s="13">
        <f t="shared" si="0"/>
        <v>0</v>
      </c>
      <c r="S10">
        <v>0</v>
      </c>
      <c r="T10">
        <v>0</v>
      </c>
      <c r="U10" s="7">
        <f t="shared" si="4"/>
        <v>0</v>
      </c>
      <c r="V10">
        <v>0</v>
      </c>
      <c r="W10">
        <v>0</v>
      </c>
      <c r="X10">
        <v>0</v>
      </c>
      <c r="Y10">
        <v>0</v>
      </c>
      <c r="Z10" s="13">
        <f t="shared" si="5"/>
        <v>0</v>
      </c>
      <c r="AA10">
        <v>0</v>
      </c>
      <c r="AB10">
        <v>0</v>
      </c>
      <c r="AC10">
        <v>0</v>
      </c>
      <c r="AD10">
        <v>0</v>
      </c>
      <c r="AE10" s="7">
        <f t="shared" si="6"/>
        <v>0</v>
      </c>
      <c r="AF10">
        <v>0</v>
      </c>
      <c r="AG10">
        <v>0</v>
      </c>
      <c r="AH10">
        <v>0</v>
      </c>
      <c r="AI10" s="13">
        <f t="shared" si="1"/>
        <v>0</v>
      </c>
      <c r="AJ10" s="11" t="s">
        <v>51</v>
      </c>
      <c r="AK10" s="11" t="s">
        <v>51</v>
      </c>
      <c r="AL10" s="11" t="s">
        <v>51</v>
      </c>
      <c r="AM10" s="13">
        <f t="shared" si="7"/>
        <v>0</v>
      </c>
      <c r="AN10" s="18">
        <v>2</v>
      </c>
      <c r="AO10" s="18">
        <v>0</v>
      </c>
      <c r="AP10" s="18">
        <v>0</v>
      </c>
      <c r="AQ10" s="18">
        <v>0</v>
      </c>
      <c r="AR10" s="18">
        <f t="shared" si="8"/>
        <v>2</v>
      </c>
      <c r="AS10" t="s">
        <v>52</v>
      </c>
      <c r="AT10" s="9" t="s">
        <v>77</v>
      </c>
      <c r="AU10" s="30">
        <f t="shared" si="2"/>
        <v>89.88</v>
      </c>
    </row>
    <row r="11" spans="1:47" hidden="1" x14ac:dyDescent="0.25">
      <c r="A11" t="s">
        <v>46</v>
      </c>
      <c r="B11" t="s">
        <v>78</v>
      </c>
      <c r="C11" t="s">
        <v>79</v>
      </c>
      <c r="D11" t="s">
        <v>80</v>
      </c>
      <c r="E11" s="11">
        <v>20</v>
      </c>
      <c r="F11" s="11">
        <v>19.329999999999998</v>
      </c>
      <c r="G11" s="11">
        <v>47.25</v>
      </c>
      <c r="H11" s="11">
        <v>2.5</v>
      </c>
      <c r="I11" s="13">
        <f t="shared" si="3"/>
        <v>89.08</v>
      </c>
      <c r="J11" s="11">
        <v>0</v>
      </c>
      <c r="K11" s="11">
        <v>0</v>
      </c>
      <c r="L11" s="11">
        <v>0</v>
      </c>
      <c r="M11" s="13">
        <v>0</v>
      </c>
      <c r="N11" s="11">
        <v>0</v>
      </c>
      <c r="O11" s="11">
        <v>0</v>
      </c>
      <c r="P11" s="11">
        <v>0</v>
      </c>
      <c r="Q11" s="11">
        <v>0</v>
      </c>
      <c r="R11" s="13">
        <f t="shared" si="0"/>
        <v>0</v>
      </c>
      <c r="S11">
        <v>0</v>
      </c>
      <c r="T11">
        <v>0</v>
      </c>
      <c r="U11" s="7">
        <f t="shared" si="4"/>
        <v>0</v>
      </c>
      <c r="V11">
        <v>0</v>
      </c>
      <c r="W11">
        <v>0</v>
      </c>
      <c r="X11">
        <v>0</v>
      </c>
      <c r="Y11">
        <v>0</v>
      </c>
      <c r="Z11" s="13">
        <f t="shared" si="5"/>
        <v>0</v>
      </c>
      <c r="AA11">
        <v>0</v>
      </c>
      <c r="AB11">
        <v>0</v>
      </c>
      <c r="AC11">
        <v>0</v>
      </c>
      <c r="AD11">
        <v>0</v>
      </c>
      <c r="AE11" s="7">
        <f t="shared" si="6"/>
        <v>0</v>
      </c>
      <c r="AF11">
        <v>0</v>
      </c>
      <c r="AG11">
        <v>0</v>
      </c>
      <c r="AH11">
        <v>0</v>
      </c>
      <c r="AI11" s="13">
        <f t="shared" si="1"/>
        <v>0</v>
      </c>
      <c r="AJ11" s="11" t="s">
        <v>51</v>
      </c>
      <c r="AK11" s="11" t="s">
        <v>51</v>
      </c>
      <c r="AL11" s="11" t="s">
        <v>51</v>
      </c>
      <c r="AM11" s="13">
        <f t="shared" si="7"/>
        <v>0</v>
      </c>
      <c r="AN11" s="18">
        <v>3</v>
      </c>
      <c r="AO11" s="18">
        <v>0</v>
      </c>
      <c r="AP11" s="18">
        <v>0</v>
      </c>
      <c r="AQ11" s="18">
        <v>0</v>
      </c>
      <c r="AR11" s="18">
        <f t="shared" si="8"/>
        <v>3</v>
      </c>
      <c r="AS11" t="s">
        <v>52</v>
      </c>
      <c r="AT11" s="9" t="s">
        <v>81</v>
      </c>
      <c r="AU11" s="30">
        <f t="shared" si="2"/>
        <v>89.08</v>
      </c>
    </row>
    <row r="12" spans="1:47" hidden="1" x14ac:dyDescent="0.25">
      <c r="A12" t="s">
        <v>46</v>
      </c>
      <c r="B12" t="s">
        <v>82</v>
      </c>
      <c r="C12" t="s">
        <v>83</v>
      </c>
      <c r="D12" t="s">
        <v>84</v>
      </c>
      <c r="E12" s="11">
        <v>0</v>
      </c>
      <c r="F12" s="11">
        <v>0</v>
      </c>
      <c r="G12" s="11">
        <v>0</v>
      </c>
      <c r="H12" s="11">
        <v>0</v>
      </c>
      <c r="I12" s="13">
        <f t="shared" si="3"/>
        <v>0</v>
      </c>
      <c r="J12" s="11">
        <v>56.08</v>
      </c>
      <c r="K12" s="11">
        <v>29</v>
      </c>
      <c r="L12" s="11">
        <v>2.5</v>
      </c>
      <c r="M12" s="13">
        <v>87.58</v>
      </c>
      <c r="N12" s="11">
        <v>0</v>
      </c>
      <c r="O12" s="11">
        <v>0</v>
      </c>
      <c r="P12" s="11">
        <v>0</v>
      </c>
      <c r="Q12" s="11">
        <v>0</v>
      </c>
      <c r="R12" s="13">
        <f t="shared" si="0"/>
        <v>0</v>
      </c>
      <c r="S12">
        <v>0</v>
      </c>
      <c r="T12">
        <v>0</v>
      </c>
      <c r="U12" s="7">
        <f t="shared" si="4"/>
        <v>0</v>
      </c>
      <c r="V12">
        <v>0</v>
      </c>
      <c r="W12">
        <v>0</v>
      </c>
      <c r="X12">
        <v>0</v>
      </c>
      <c r="Y12">
        <v>0</v>
      </c>
      <c r="Z12" s="13">
        <f t="shared" si="5"/>
        <v>0</v>
      </c>
      <c r="AA12">
        <v>0</v>
      </c>
      <c r="AB12">
        <v>0</v>
      </c>
      <c r="AC12">
        <v>0</v>
      </c>
      <c r="AD12">
        <v>0</v>
      </c>
      <c r="AE12" s="7">
        <f t="shared" si="6"/>
        <v>0</v>
      </c>
      <c r="AF12">
        <v>0</v>
      </c>
      <c r="AG12">
        <v>0</v>
      </c>
      <c r="AH12">
        <v>0</v>
      </c>
      <c r="AI12" s="13">
        <f t="shared" si="1"/>
        <v>0</v>
      </c>
      <c r="AJ12" s="11" t="s">
        <v>51</v>
      </c>
      <c r="AK12" s="11" t="s">
        <v>51</v>
      </c>
      <c r="AL12" s="11" t="s">
        <v>51</v>
      </c>
      <c r="AM12" s="13">
        <f t="shared" si="7"/>
        <v>0</v>
      </c>
      <c r="AN12" s="18">
        <v>1.69</v>
      </c>
      <c r="AO12" s="18">
        <v>0</v>
      </c>
      <c r="AP12" s="18">
        <v>0</v>
      </c>
      <c r="AQ12" s="18">
        <v>0</v>
      </c>
      <c r="AR12" s="18">
        <f t="shared" si="8"/>
        <v>1.69</v>
      </c>
      <c r="AS12" t="s">
        <v>87</v>
      </c>
      <c r="AT12" s="9" t="s">
        <v>86</v>
      </c>
      <c r="AU12" s="30">
        <f>+((AN12*M12)/AR12)</f>
        <v>87.58</v>
      </c>
    </row>
    <row r="13" spans="1:47" hidden="1" x14ac:dyDescent="0.25">
      <c r="A13" t="s">
        <v>46</v>
      </c>
      <c r="B13" t="s">
        <v>88</v>
      </c>
      <c r="C13" t="s">
        <v>89</v>
      </c>
      <c r="D13" t="s">
        <v>90</v>
      </c>
      <c r="E13" s="11">
        <v>20</v>
      </c>
      <c r="F13" s="11">
        <v>18.329999999999998</v>
      </c>
      <c r="G13" s="11">
        <v>45.72</v>
      </c>
      <c r="H13" s="11">
        <v>3.5</v>
      </c>
      <c r="I13" s="13">
        <f t="shared" si="3"/>
        <v>87.55</v>
      </c>
      <c r="J13" s="11">
        <v>0</v>
      </c>
      <c r="K13" s="11">
        <v>0</v>
      </c>
      <c r="L13" s="11">
        <v>0</v>
      </c>
      <c r="M13" s="13">
        <v>0</v>
      </c>
      <c r="N13" s="11">
        <v>0</v>
      </c>
      <c r="O13" s="11">
        <v>0</v>
      </c>
      <c r="P13" s="11">
        <v>0</v>
      </c>
      <c r="Q13" s="11">
        <v>0</v>
      </c>
      <c r="R13" s="13">
        <f t="shared" si="0"/>
        <v>0</v>
      </c>
      <c r="S13">
        <v>0</v>
      </c>
      <c r="T13">
        <v>0</v>
      </c>
      <c r="U13" s="7">
        <f t="shared" si="4"/>
        <v>0</v>
      </c>
      <c r="V13">
        <v>0</v>
      </c>
      <c r="W13">
        <v>0</v>
      </c>
      <c r="X13">
        <v>0</v>
      </c>
      <c r="Y13">
        <v>0</v>
      </c>
      <c r="Z13" s="13">
        <f t="shared" si="5"/>
        <v>0</v>
      </c>
      <c r="AA13">
        <v>0</v>
      </c>
      <c r="AB13">
        <v>0</v>
      </c>
      <c r="AC13">
        <v>0</v>
      </c>
      <c r="AD13">
        <v>0</v>
      </c>
      <c r="AE13" s="7">
        <f t="shared" si="6"/>
        <v>0</v>
      </c>
      <c r="AF13">
        <v>0</v>
      </c>
      <c r="AG13">
        <v>0</v>
      </c>
      <c r="AH13">
        <v>0</v>
      </c>
      <c r="AI13" s="13">
        <f t="shared" si="1"/>
        <v>0</v>
      </c>
      <c r="AJ13" s="11" t="s">
        <v>51</v>
      </c>
      <c r="AK13" s="11" t="s">
        <v>51</v>
      </c>
      <c r="AL13" s="11" t="s">
        <v>51</v>
      </c>
      <c r="AM13" s="13">
        <f t="shared" si="7"/>
        <v>0</v>
      </c>
      <c r="AN13" s="18">
        <v>20</v>
      </c>
      <c r="AO13" s="18">
        <v>0</v>
      </c>
      <c r="AP13" s="18">
        <v>0</v>
      </c>
      <c r="AQ13" s="18">
        <v>0</v>
      </c>
      <c r="AR13" s="18">
        <f t="shared" si="8"/>
        <v>20</v>
      </c>
      <c r="AS13" t="s">
        <v>52</v>
      </c>
      <c r="AT13" s="9" t="s">
        <v>91</v>
      </c>
      <c r="AU13" s="30">
        <f>+((AN13*I13)+(AO13*AE13)+(AQ13*AI13)+(AP13*AM13))/AR13</f>
        <v>87.55</v>
      </c>
    </row>
    <row r="14" spans="1:47" hidden="1" x14ac:dyDescent="0.25">
      <c r="A14" t="s">
        <v>46</v>
      </c>
      <c r="B14" t="s">
        <v>92</v>
      </c>
      <c r="C14" t="s">
        <v>93</v>
      </c>
      <c r="D14" t="s">
        <v>94</v>
      </c>
      <c r="E14" s="11">
        <v>0</v>
      </c>
      <c r="F14" s="11">
        <v>0</v>
      </c>
      <c r="G14" s="11">
        <v>0</v>
      </c>
      <c r="H14" s="11">
        <v>0</v>
      </c>
      <c r="I14" s="13">
        <f t="shared" si="3"/>
        <v>0</v>
      </c>
      <c r="J14" s="11">
        <v>56.65</v>
      </c>
      <c r="K14" s="11">
        <v>28.5</v>
      </c>
      <c r="L14" s="11">
        <v>2.5</v>
      </c>
      <c r="M14" s="13">
        <v>87.65</v>
      </c>
      <c r="N14" s="11">
        <v>0</v>
      </c>
      <c r="O14" s="11">
        <v>0</v>
      </c>
      <c r="P14" s="11">
        <v>0</v>
      </c>
      <c r="Q14" s="11">
        <v>0</v>
      </c>
      <c r="R14" s="13">
        <f t="shared" si="0"/>
        <v>0</v>
      </c>
      <c r="S14">
        <v>0</v>
      </c>
      <c r="T14">
        <v>0</v>
      </c>
      <c r="U14" s="7">
        <f t="shared" si="4"/>
        <v>0</v>
      </c>
      <c r="V14">
        <v>0</v>
      </c>
      <c r="W14">
        <v>0</v>
      </c>
      <c r="X14">
        <v>0</v>
      </c>
      <c r="Y14">
        <v>0</v>
      </c>
      <c r="Z14" s="13">
        <f t="shared" si="5"/>
        <v>0</v>
      </c>
      <c r="AA14">
        <v>0</v>
      </c>
      <c r="AB14">
        <v>0</v>
      </c>
      <c r="AC14">
        <v>0</v>
      </c>
      <c r="AD14">
        <v>0</v>
      </c>
      <c r="AE14" s="7">
        <f t="shared" si="6"/>
        <v>0</v>
      </c>
      <c r="AF14">
        <v>0</v>
      </c>
      <c r="AG14">
        <v>0</v>
      </c>
      <c r="AH14">
        <v>0</v>
      </c>
      <c r="AI14" s="13">
        <f t="shared" si="1"/>
        <v>0</v>
      </c>
      <c r="AJ14" s="11" t="s">
        <v>51</v>
      </c>
      <c r="AK14" s="11" t="s">
        <v>51</v>
      </c>
      <c r="AL14" s="11" t="s">
        <v>51</v>
      </c>
      <c r="AM14" s="13">
        <f t="shared" si="7"/>
        <v>0</v>
      </c>
      <c r="AN14" s="18">
        <v>1.1299999999999999</v>
      </c>
      <c r="AO14" s="18">
        <v>0</v>
      </c>
      <c r="AP14" s="18">
        <v>0</v>
      </c>
      <c r="AQ14" s="18">
        <v>0</v>
      </c>
      <c r="AR14" s="18">
        <f t="shared" si="8"/>
        <v>1.1299999999999999</v>
      </c>
      <c r="AS14" t="s">
        <v>87</v>
      </c>
      <c r="AT14" s="9" t="s">
        <v>95</v>
      </c>
      <c r="AU14" s="30">
        <f>+((AN14*M14)/AR14)</f>
        <v>87.65</v>
      </c>
    </row>
    <row r="15" spans="1:47" hidden="1" x14ac:dyDescent="0.25">
      <c r="A15" t="s">
        <v>46</v>
      </c>
      <c r="B15" t="s">
        <v>96</v>
      </c>
      <c r="C15" t="s">
        <v>97</v>
      </c>
      <c r="D15" t="s">
        <v>98</v>
      </c>
      <c r="E15" s="11">
        <v>17.47</v>
      </c>
      <c r="F15" s="11">
        <v>20</v>
      </c>
      <c r="G15" s="11">
        <v>42.71</v>
      </c>
      <c r="H15" s="11">
        <v>4</v>
      </c>
      <c r="I15" s="13">
        <f t="shared" si="3"/>
        <v>84.18</v>
      </c>
      <c r="J15" s="11">
        <v>0</v>
      </c>
      <c r="K15" s="11">
        <v>0</v>
      </c>
      <c r="L15" s="11">
        <v>0</v>
      </c>
      <c r="M15" s="13">
        <v>0</v>
      </c>
      <c r="N15" s="11">
        <v>0</v>
      </c>
      <c r="O15" s="11">
        <v>0</v>
      </c>
      <c r="P15" s="11">
        <v>0</v>
      </c>
      <c r="Q15" s="11">
        <v>0</v>
      </c>
      <c r="R15" s="13">
        <f t="shared" si="0"/>
        <v>0</v>
      </c>
      <c r="S15">
        <v>0</v>
      </c>
      <c r="T15">
        <v>0</v>
      </c>
      <c r="U15" s="7">
        <f t="shared" si="4"/>
        <v>0</v>
      </c>
      <c r="V15">
        <v>0</v>
      </c>
      <c r="W15">
        <v>0</v>
      </c>
      <c r="X15">
        <v>0</v>
      </c>
      <c r="Y15">
        <v>0</v>
      </c>
      <c r="Z15" s="13">
        <f t="shared" si="5"/>
        <v>0</v>
      </c>
      <c r="AA15">
        <v>0</v>
      </c>
      <c r="AB15">
        <v>0</v>
      </c>
      <c r="AC15">
        <v>0</v>
      </c>
      <c r="AD15">
        <v>0</v>
      </c>
      <c r="AE15" s="7">
        <f t="shared" si="6"/>
        <v>0</v>
      </c>
      <c r="AF15">
        <v>0</v>
      </c>
      <c r="AG15">
        <v>0</v>
      </c>
      <c r="AH15">
        <v>0</v>
      </c>
      <c r="AI15" s="13">
        <f t="shared" si="1"/>
        <v>0</v>
      </c>
      <c r="AJ15" s="11" t="s">
        <v>51</v>
      </c>
      <c r="AK15" s="11" t="s">
        <v>51</v>
      </c>
      <c r="AL15" s="11" t="s">
        <v>51</v>
      </c>
      <c r="AM15" s="13">
        <f t="shared" si="7"/>
        <v>0</v>
      </c>
      <c r="AN15" s="18">
        <v>40</v>
      </c>
      <c r="AO15" s="18">
        <v>0</v>
      </c>
      <c r="AP15" s="18">
        <v>0</v>
      </c>
      <c r="AQ15" s="18">
        <v>0</v>
      </c>
      <c r="AR15" s="18">
        <f t="shared" si="8"/>
        <v>40</v>
      </c>
      <c r="AS15" t="s">
        <v>52</v>
      </c>
      <c r="AT15" s="9" t="s">
        <v>99</v>
      </c>
      <c r="AU15" s="30">
        <f>+((AN15*I15)+(AO15*AE15)+(AQ15*AI15)+(AP15*AM15))/AR15</f>
        <v>84.18</v>
      </c>
    </row>
    <row r="16" spans="1:47" hidden="1" x14ac:dyDescent="0.25">
      <c r="A16" t="s">
        <v>46</v>
      </c>
      <c r="B16" t="s">
        <v>100</v>
      </c>
      <c r="C16" t="s">
        <v>101</v>
      </c>
      <c r="D16" t="s">
        <v>102</v>
      </c>
      <c r="E16" s="11">
        <v>20</v>
      </c>
      <c r="F16" s="11">
        <v>20</v>
      </c>
      <c r="G16" s="11">
        <v>45.8</v>
      </c>
      <c r="H16" s="11">
        <v>5.5</v>
      </c>
      <c r="I16" s="13">
        <f t="shared" si="3"/>
        <v>91.3</v>
      </c>
      <c r="J16" s="11">
        <v>0</v>
      </c>
      <c r="K16" s="11">
        <v>0</v>
      </c>
      <c r="L16" s="11">
        <v>0</v>
      </c>
      <c r="M16" s="13">
        <v>0</v>
      </c>
      <c r="N16" s="11">
        <v>0</v>
      </c>
      <c r="O16" s="11">
        <v>0</v>
      </c>
      <c r="P16" s="11">
        <v>0</v>
      </c>
      <c r="Q16" s="11">
        <v>0</v>
      </c>
      <c r="R16" s="13">
        <f t="shared" si="0"/>
        <v>0</v>
      </c>
      <c r="S16">
        <v>0</v>
      </c>
      <c r="T16">
        <v>0</v>
      </c>
      <c r="U16" s="7">
        <f t="shared" si="4"/>
        <v>0</v>
      </c>
      <c r="V16">
        <v>0</v>
      </c>
      <c r="W16">
        <v>0</v>
      </c>
      <c r="X16">
        <v>0</v>
      </c>
      <c r="Y16">
        <v>0</v>
      </c>
      <c r="Z16" s="13">
        <f t="shared" si="5"/>
        <v>0</v>
      </c>
      <c r="AA16">
        <v>0</v>
      </c>
      <c r="AB16">
        <v>0</v>
      </c>
      <c r="AC16">
        <v>0</v>
      </c>
      <c r="AD16">
        <v>0</v>
      </c>
      <c r="AE16" s="7">
        <f t="shared" si="6"/>
        <v>0</v>
      </c>
      <c r="AF16">
        <v>45</v>
      </c>
      <c r="AG16">
        <v>20</v>
      </c>
      <c r="AH16">
        <v>28.25</v>
      </c>
      <c r="AI16" s="13">
        <f t="shared" si="1"/>
        <v>93.25</v>
      </c>
      <c r="AJ16" s="11" t="s">
        <v>51</v>
      </c>
      <c r="AK16" s="11" t="s">
        <v>51</v>
      </c>
      <c r="AL16" s="11" t="s">
        <v>51</v>
      </c>
      <c r="AM16" s="13">
        <f t="shared" si="7"/>
        <v>0</v>
      </c>
      <c r="AN16" s="18">
        <v>32</v>
      </c>
      <c r="AO16" s="18">
        <v>0</v>
      </c>
      <c r="AP16" s="18">
        <v>0</v>
      </c>
      <c r="AQ16" s="18">
        <v>8</v>
      </c>
      <c r="AR16" s="18">
        <f t="shared" si="8"/>
        <v>40</v>
      </c>
      <c r="AS16" t="s">
        <v>52</v>
      </c>
      <c r="AT16" s="9" t="s">
        <v>103</v>
      </c>
      <c r="AU16" s="30">
        <f>+((AN16*I16)+(AO16*AE16)+(AQ16*AI16)+(AP16*AM16))/AR16</f>
        <v>91.69</v>
      </c>
    </row>
    <row r="17" spans="1:47" hidden="1" x14ac:dyDescent="0.25">
      <c r="A17" t="s">
        <v>46</v>
      </c>
      <c r="B17" t="s">
        <v>104</v>
      </c>
      <c r="C17" t="s">
        <v>105</v>
      </c>
      <c r="D17" t="s">
        <v>106</v>
      </c>
      <c r="E17" s="11">
        <v>20</v>
      </c>
      <c r="F17" s="11">
        <v>20</v>
      </c>
      <c r="G17" s="11">
        <v>46.28</v>
      </c>
      <c r="H17" s="11">
        <v>5.5</v>
      </c>
      <c r="I17" s="13">
        <f t="shared" si="3"/>
        <v>91.78</v>
      </c>
      <c r="J17" s="11">
        <v>0</v>
      </c>
      <c r="K17" s="11">
        <v>0</v>
      </c>
      <c r="L17" s="11">
        <v>0</v>
      </c>
      <c r="M17" s="13">
        <v>0</v>
      </c>
      <c r="N17" s="11">
        <v>0</v>
      </c>
      <c r="O17" s="11">
        <v>0</v>
      </c>
      <c r="P17" s="11">
        <v>0</v>
      </c>
      <c r="Q17" s="11">
        <v>0</v>
      </c>
      <c r="R17" s="13">
        <f t="shared" si="0"/>
        <v>0</v>
      </c>
      <c r="S17">
        <v>0</v>
      </c>
      <c r="T17">
        <v>0</v>
      </c>
      <c r="U17" s="7">
        <f t="shared" si="4"/>
        <v>0</v>
      </c>
      <c r="V17">
        <v>0</v>
      </c>
      <c r="W17">
        <v>0</v>
      </c>
      <c r="X17">
        <v>0</v>
      </c>
      <c r="Y17">
        <v>0</v>
      </c>
      <c r="Z17" s="13">
        <f t="shared" si="5"/>
        <v>0</v>
      </c>
      <c r="AA17">
        <v>0</v>
      </c>
      <c r="AB17">
        <v>0</v>
      </c>
      <c r="AC17">
        <v>0</v>
      </c>
      <c r="AD17">
        <v>0</v>
      </c>
      <c r="AE17" s="7">
        <f t="shared" si="6"/>
        <v>0</v>
      </c>
      <c r="AF17">
        <v>0</v>
      </c>
      <c r="AG17">
        <v>0</v>
      </c>
      <c r="AH17">
        <v>0</v>
      </c>
      <c r="AI17" s="13">
        <f t="shared" si="1"/>
        <v>0</v>
      </c>
      <c r="AJ17" s="11" t="s">
        <v>51</v>
      </c>
      <c r="AK17" s="11" t="s">
        <v>51</v>
      </c>
      <c r="AL17" s="11" t="s">
        <v>51</v>
      </c>
      <c r="AM17" s="13">
        <f t="shared" si="7"/>
        <v>0</v>
      </c>
      <c r="AN17" s="18">
        <v>20</v>
      </c>
      <c r="AO17" s="18">
        <v>0</v>
      </c>
      <c r="AP17" s="18">
        <v>0</v>
      </c>
      <c r="AQ17" s="18">
        <v>0</v>
      </c>
      <c r="AR17" s="18">
        <f t="shared" si="8"/>
        <v>20</v>
      </c>
      <c r="AS17" t="s">
        <v>52</v>
      </c>
      <c r="AT17" s="9" t="s">
        <v>107</v>
      </c>
      <c r="AU17" s="30">
        <f>+((AN17*I17)+(AO17*AE17)+(AQ17*AI17)+(AP17*AM17))/AR17</f>
        <v>91.78</v>
      </c>
    </row>
    <row r="18" spans="1:47" hidden="1" x14ac:dyDescent="0.25">
      <c r="A18" t="s">
        <v>46</v>
      </c>
      <c r="B18" t="s">
        <v>108</v>
      </c>
      <c r="C18" t="s">
        <v>109</v>
      </c>
      <c r="D18" t="s">
        <v>110</v>
      </c>
      <c r="E18" s="11">
        <v>18.329999999999998</v>
      </c>
      <c r="F18" s="11">
        <v>13.330000000000002</v>
      </c>
      <c r="G18" s="11">
        <v>50</v>
      </c>
      <c r="H18" s="11">
        <v>6.5</v>
      </c>
      <c r="I18" s="13">
        <f t="shared" si="3"/>
        <v>88.16</v>
      </c>
      <c r="J18" s="11">
        <v>0</v>
      </c>
      <c r="K18" s="11">
        <v>0</v>
      </c>
      <c r="L18" s="11">
        <v>0</v>
      </c>
      <c r="M18" s="13">
        <v>0</v>
      </c>
      <c r="N18" s="11">
        <v>0</v>
      </c>
      <c r="O18" s="11">
        <v>0</v>
      </c>
      <c r="P18" s="11">
        <v>0</v>
      </c>
      <c r="Q18" s="11">
        <v>0</v>
      </c>
      <c r="R18" s="13">
        <f t="shared" si="0"/>
        <v>0</v>
      </c>
      <c r="S18">
        <v>0</v>
      </c>
      <c r="T18">
        <v>0</v>
      </c>
      <c r="U18" s="7">
        <f t="shared" si="4"/>
        <v>0</v>
      </c>
      <c r="V18">
        <v>0</v>
      </c>
      <c r="W18">
        <v>0</v>
      </c>
      <c r="X18">
        <v>0</v>
      </c>
      <c r="Y18">
        <v>0</v>
      </c>
      <c r="Z18" s="13">
        <f t="shared" si="5"/>
        <v>0</v>
      </c>
      <c r="AA18">
        <v>0</v>
      </c>
      <c r="AB18">
        <v>0</v>
      </c>
      <c r="AC18">
        <v>0</v>
      </c>
      <c r="AD18">
        <v>0</v>
      </c>
      <c r="AE18" s="7">
        <f t="shared" si="6"/>
        <v>0</v>
      </c>
      <c r="AF18">
        <v>0</v>
      </c>
      <c r="AG18">
        <v>0</v>
      </c>
      <c r="AH18">
        <v>0</v>
      </c>
      <c r="AI18" s="13">
        <f t="shared" si="1"/>
        <v>0</v>
      </c>
      <c r="AJ18" s="11" t="s">
        <v>51</v>
      </c>
      <c r="AK18" s="11" t="s">
        <v>51</v>
      </c>
      <c r="AL18" s="11" t="s">
        <v>51</v>
      </c>
      <c r="AM18" s="13">
        <f t="shared" si="7"/>
        <v>0</v>
      </c>
      <c r="AN18" s="18">
        <v>3</v>
      </c>
      <c r="AO18" s="18">
        <v>0</v>
      </c>
      <c r="AP18" s="18">
        <v>0</v>
      </c>
      <c r="AQ18" s="18">
        <v>0</v>
      </c>
      <c r="AR18" s="18">
        <f t="shared" si="8"/>
        <v>3</v>
      </c>
      <c r="AS18" t="s">
        <v>52</v>
      </c>
      <c r="AT18" s="9" t="s">
        <v>111</v>
      </c>
      <c r="AU18" s="30">
        <f>+((AN18*I18)+(AO18*AE18)+(AQ18*AI18)+(AP18*AM18))/AR18</f>
        <v>88.160000000000011</v>
      </c>
    </row>
    <row r="19" spans="1:47" hidden="1" x14ac:dyDescent="0.25">
      <c r="A19" t="s">
        <v>46</v>
      </c>
      <c r="B19" s="32" t="s">
        <v>112</v>
      </c>
      <c r="C19" s="32" t="s">
        <v>113</v>
      </c>
      <c r="D19" s="32" t="s">
        <v>114</v>
      </c>
      <c r="E19" s="11">
        <v>0</v>
      </c>
      <c r="F19" s="11">
        <v>0</v>
      </c>
      <c r="G19" s="11">
        <v>0</v>
      </c>
      <c r="H19" s="11">
        <v>0</v>
      </c>
      <c r="I19" s="13">
        <f t="shared" si="3"/>
        <v>0</v>
      </c>
      <c r="J19" s="11">
        <v>0</v>
      </c>
      <c r="K19" s="11">
        <v>0</v>
      </c>
      <c r="L19" s="11">
        <v>0</v>
      </c>
      <c r="M19" s="13">
        <v>0</v>
      </c>
      <c r="N19" s="11">
        <v>59.462499999999999</v>
      </c>
      <c r="O19" s="11">
        <v>3.125</v>
      </c>
      <c r="P19" s="11">
        <v>10.4125</v>
      </c>
      <c r="Q19" s="11">
        <v>0</v>
      </c>
      <c r="R19" s="13">
        <f t="shared" si="0"/>
        <v>73</v>
      </c>
      <c r="S19">
        <v>0</v>
      </c>
      <c r="T19">
        <v>0</v>
      </c>
      <c r="U19" s="7">
        <f t="shared" si="4"/>
        <v>0</v>
      </c>
      <c r="V19">
        <v>0</v>
      </c>
      <c r="W19">
        <v>0</v>
      </c>
      <c r="X19">
        <v>0</v>
      </c>
      <c r="Y19">
        <v>0</v>
      </c>
      <c r="Z19" s="13">
        <f t="shared" si="5"/>
        <v>0</v>
      </c>
      <c r="AA19">
        <v>0</v>
      </c>
      <c r="AB19">
        <v>0</v>
      </c>
      <c r="AC19">
        <v>0</v>
      </c>
      <c r="AD19">
        <v>0</v>
      </c>
      <c r="AE19" s="7">
        <f t="shared" si="6"/>
        <v>0</v>
      </c>
      <c r="AF19">
        <v>0</v>
      </c>
      <c r="AG19">
        <v>0</v>
      </c>
      <c r="AH19">
        <v>0</v>
      </c>
      <c r="AI19" s="13">
        <f t="shared" si="1"/>
        <v>0</v>
      </c>
      <c r="AJ19" s="11" t="s">
        <v>51</v>
      </c>
      <c r="AK19" s="11" t="s">
        <v>51</v>
      </c>
      <c r="AL19" s="11" t="s">
        <v>51</v>
      </c>
      <c r="AM19" s="13">
        <f t="shared" si="7"/>
        <v>0</v>
      </c>
      <c r="AN19" s="18">
        <v>6</v>
      </c>
      <c r="AO19" s="18">
        <v>0</v>
      </c>
      <c r="AP19" s="18">
        <v>0</v>
      </c>
      <c r="AQ19" s="18">
        <v>0</v>
      </c>
      <c r="AR19" s="18">
        <f t="shared" si="8"/>
        <v>6</v>
      </c>
      <c r="AS19" t="s">
        <v>117</v>
      </c>
      <c r="AT19" s="9" t="s">
        <v>115</v>
      </c>
      <c r="AU19" s="11">
        <f>+((AN19*R19)+(AQ19*AI19)+(AP19*AM19))/AR19</f>
        <v>73</v>
      </c>
    </row>
    <row r="20" spans="1:47" hidden="1" x14ac:dyDescent="0.25">
      <c r="A20" t="s">
        <v>46</v>
      </c>
      <c r="B20" s="32" t="s">
        <v>118</v>
      </c>
      <c r="C20" s="32" t="s">
        <v>119</v>
      </c>
      <c r="D20" s="32" t="s">
        <v>120</v>
      </c>
      <c r="E20" s="11">
        <v>0</v>
      </c>
      <c r="F20" s="11">
        <v>0</v>
      </c>
      <c r="G20" s="11">
        <v>0</v>
      </c>
      <c r="H20" s="11">
        <v>0</v>
      </c>
      <c r="I20" s="13">
        <f t="shared" si="3"/>
        <v>0</v>
      </c>
      <c r="J20" s="11">
        <v>0</v>
      </c>
      <c r="K20" s="11">
        <v>0</v>
      </c>
      <c r="L20" s="11">
        <v>0</v>
      </c>
      <c r="M20" s="13">
        <v>0</v>
      </c>
      <c r="N20" s="11">
        <v>56.15</v>
      </c>
      <c r="O20" s="11">
        <v>6.25</v>
      </c>
      <c r="P20" s="11">
        <v>0</v>
      </c>
      <c r="Q20" s="11">
        <v>25</v>
      </c>
      <c r="R20" s="13">
        <f t="shared" si="0"/>
        <v>87.4</v>
      </c>
      <c r="S20">
        <v>0</v>
      </c>
      <c r="T20">
        <v>0</v>
      </c>
      <c r="U20" s="7">
        <f t="shared" si="4"/>
        <v>0</v>
      </c>
      <c r="V20">
        <v>0</v>
      </c>
      <c r="W20">
        <v>0</v>
      </c>
      <c r="X20">
        <v>0</v>
      </c>
      <c r="Y20">
        <v>0</v>
      </c>
      <c r="Z20" s="13">
        <f t="shared" si="5"/>
        <v>0</v>
      </c>
      <c r="AA20">
        <v>0</v>
      </c>
      <c r="AB20">
        <v>0</v>
      </c>
      <c r="AC20">
        <v>0</v>
      </c>
      <c r="AD20">
        <v>0</v>
      </c>
      <c r="AE20" s="7">
        <f t="shared" si="6"/>
        <v>0</v>
      </c>
      <c r="AF20">
        <v>0</v>
      </c>
      <c r="AG20">
        <v>0</v>
      </c>
      <c r="AH20">
        <v>0</v>
      </c>
      <c r="AI20" s="13">
        <f t="shared" si="1"/>
        <v>0</v>
      </c>
      <c r="AJ20" s="11" t="s">
        <v>51</v>
      </c>
      <c r="AK20" s="11" t="s">
        <v>51</v>
      </c>
      <c r="AL20" s="11" t="s">
        <v>51</v>
      </c>
      <c r="AM20" s="13">
        <f t="shared" si="7"/>
        <v>0</v>
      </c>
      <c r="AN20" s="18">
        <v>40</v>
      </c>
      <c r="AO20" s="18">
        <v>0</v>
      </c>
      <c r="AP20" s="18">
        <v>0</v>
      </c>
      <c r="AQ20" s="18">
        <v>0</v>
      </c>
      <c r="AR20" s="18">
        <f t="shared" si="8"/>
        <v>40</v>
      </c>
      <c r="AS20" t="s">
        <v>117</v>
      </c>
      <c r="AT20" s="9" t="s">
        <v>121</v>
      </c>
      <c r="AU20" s="11">
        <f>+((AN20*R20)+(AQ20*AI20)+(AP20*AM20))/AR20</f>
        <v>87.4</v>
      </c>
    </row>
    <row r="21" spans="1:47" hidden="1" x14ac:dyDescent="0.25">
      <c r="A21" t="s">
        <v>46</v>
      </c>
      <c r="B21" s="32" t="s">
        <v>122</v>
      </c>
      <c r="C21" s="32" t="s">
        <v>123</v>
      </c>
      <c r="D21" s="32" t="s">
        <v>124</v>
      </c>
      <c r="E21" s="11">
        <v>0</v>
      </c>
      <c r="F21" s="11">
        <v>0</v>
      </c>
      <c r="G21" s="11">
        <v>0</v>
      </c>
      <c r="H21" s="11">
        <v>0</v>
      </c>
      <c r="I21" s="13">
        <f t="shared" si="3"/>
        <v>0</v>
      </c>
      <c r="J21" s="11">
        <v>0</v>
      </c>
      <c r="K21" s="11">
        <v>0</v>
      </c>
      <c r="L21" s="11">
        <v>0</v>
      </c>
      <c r="M21" s="13">
        <v>0</v>
      </c>
      <c r="N21" s="11">
        <v>48.012500000000003</v>
      </c>
      <c r="O21" s="11">
        <v>5</v>
      </c>
      <c r="P21" s="11">
        <v>0</v>
      </c>
      <c r="Q21" s="11">
        <v>23.75</v>
      </c>
      <c r="R21" s="13">
        <f t="shared" si="0"/>
        <v>76.762500000000003</v>
      </c>
      <c r="S21">
        <v>0</v>
      </c>
      <c r="T21">
        <v>0</v>
      </c>
      <c r="U21" s="7">
        <f t="shared" si="4"/>
        <v>0</v>
      </c>
      <c r="V21">
        <v>0</v>
      </c>
      <c r="W21">
        <v>0</v>
      </c>
      <c r="X21">
        <v>0</v>
      </c>
      <c r="Y21">
        <v>0</v>
      </c>
      <c r="Z21" s="13">
        <f t="shared" si="5"/>
        <v>0</v>
      </c>
      <c r="AA21">
        <v>0</v>
      </c>
      <c r="AB21">
        <v>0</v>
      </c>
      <c r="AC21">
        <v>0</v>
      </c>
      <c r="AD21">
        <v>0</v>
      </c>
      <c r="AE21" s="7">
        <f t="shared" si="6"/>
        <v>0</v>
      </c>
      <c r="AF21">
        <v>0</v>
      </c>
      <c r="AG21">
        <v>0</v>
      </c>
      <c r="AH21">
        <v>0</v>
      </c>
      <c r="AI21" s="13">
        <f t="shared" si="1"/>
        <v>0</v>
      </c>
      <c r="AJ21" s="11" t="s">
        <v>51</v>
      </c>
      <c r="AK21" s="11" t="s">
        <v>51</v>
      </c>
      <c r="AL21" s="11" t="s">
        <v>51</v>
      </c>
      <c r="AM21" s="13">
        <f t="shared" si="7"/>
        <v>0</v>
      </c>
      <c r="AN21" s="18">
        <v>8</v>
      </c>
      <c r="AO21" s="18">
        <v>0</v>
      </c>
      <c r="AP21" s="18">
        <v>0</v>
      </c>
      <c r="AQ21" s="18">
        <v>0</v>
      </c>
      <c r="AR21" s="18">
        <f t="shared" si="8"/>
        <v>8</v>
      </c>
      <c r="AS21" t="s">
        <v>117</v>
      </c>
      <c r="AT21" s="9" t="s">
        <v>125</v>
      </c>
      <c r="AU21" s="11">
        <f>+((AN21*R21)+(AQ21*AI21)+(AP21*AM21))/AR21</f>
        <v>76.762500000000003</v>
      </c>
    </row>
    <row r="22" spans="1:47" s="25" customFormat="1" hidden="1" x14ac:dyDescent="0.25">
      <c r="A22" s="25" t="s">
        <v>46</v>
      </c>
      <c r="B22" s="25" t="s">
        <v>126</v>
      </c>
      <c r="C22" s="25" t="s">
        <v>127</v>
      </c>
      <c r="D22" s="25" t="s">
        <v>128</v>
      </c>
      <c r="E22" s="26">
        <v>18.07</v>
      </c>
      <c r="F22" s="26">
        <v>20</v>
      </c>
      <c r="G22" s="26">
        <v>44.59</v>
      </c>
      <c r="H22" s="26">
        <v>2.5</v>
      </c>
      <c r="I22" s="13">
        <f t="shared" si="3"/>
        <v>85.16</v>
      </c>
      <c r="J22" s="26">
        <v>0</v>
      </c>
      <c r="K22" s="26">
        <v>0</v>
      </c>
      <c r="L22" s="26">
        <v>0</v>
      </c>
      <c r="M22" s="27">
        <v>0</v>
      </c>
      <c r="N22" s="26">
        <v>0</v>
      </c>
      <c r="O22" s="26">
        <v>0</v>
      </c>
      <c r="P22" s="26">
        <v>0</v>
      </c>
      <c r="Q22" s="26">
        <v>0</v>
      </c>
      <c r="R22" s="13">
        <f t="shared" si="0"/>
        <v>0</v>
      </c>
      <c r="S22" s="25">
        <v>0</v>
      </c>
      <c r="T22" s="25">
        <v>0</v>
      </c>
      <c r="U22" s="7">
        <f t="shared" si="4"/>
        <v>0</v>
      </c>
      <c r="V22" s="25">
        <v>0</v>
      </c>
      <c r="W22" s="25">
        <v>0</v>
      </c>
      <c r="X22" s="25">
        <v>0</v>
      </c>
      <c r="Y22" s="25">
        <v>0</v>
      </c>
      <c r="Z22" s="13">
        <f t="shared" si="5"/>
        <v>0</v>
      </c>
      <c r="AA22" s="25">
        <v>15</v>
      </c>
      <c r="AB22" s="25">
        <v>50</v>
      </c>
      <c r="AC22" s="25">
        <v>0</v>
      </c>
      <c r="AD22" s="25">
        <v>18.75</v>
      </c>
      <c r="AE22" s="7">
        <f t="shared" si="6"/>
        <v>83.75</v>
      </c>
      <c r="AF22" s="25">
        <v>35</v>
      </c>
      <c r="AG22" s="25">
        <v>20</v>
      </c>
      <c r="AH22" s="25">
        <v>25.14</v>
      </c>
      <c r="AI22" s="13">
        <f t="shared" si="1"/>
        <v>80.14</v>
      </c>
      <c r="AJ22" s="26">
        <v>0</v>
      </c>
      <c r="AK22" s="26" t="s">
        <v>51</v>
      </c>
      <c r="AL22" s="26" t="s">
        <v>51</v>
      </c>
      <c r="AM22" s="13">
        <f t="shared" si="7"/>
        <v>0</v>
      </c>
      <c r="AN22" s="23">
        <v>26.25</v>
      </c>
      <c r="AO22" s="23">
        <v>5</v>
      </c>
      <c r="AP22" s="23">
        <v>0</v>
      </c>
      <c r="AQ22" s="23">
        <v>6.75</v>
      </c>
      <c r="AR22" s="18">
        <f t="shared" si="8"/>
        <v>38</v>
      </c>
      <c r="AS22" s="25" t="s">
        <v>52</v>
      </c>
      <c r="AT22" s="29" t="s">
        <v>129</v>
      </c>
      <c r="AU22" s="30">
        <f>+((AN22*I22)+(AO22*AE22)+(AQ22*AI22)+(AP22*AM22))/AR22</f>
        <v>84.082763157894732</v>
      </c>
    </row>
    <row r="23" spans="1:47" hidden="1" x14ac:dyDescent="0.25">
      <c r="A23" t="s">
        <v>46</v>
      </c>
      <c r="B23" t="s">
        <v>130</v>
      </c>
      <c r="C23" t="s">
        <v>131</v>
      </c>
      <c r="D23" t="s">
        <v>132</v>
      </c>
      <c r="E23" s="11">
        <v>19.670000000000002</v>
      </c>
      <c r="F23" s="11">
        <v>20</v>
      </c>
      <c r="G23" s="11">
        <v>47.38</v>
      </c>
      <c r="H23" s="11">
        <v>4.5</v>
      </c>
      <c r="I23" s="13">
        <f t="shared" si="3"/>
        <v>91.550000000000011</v>
      </c>
      <c r="J23" s="11">
        <v>0</v>
      </c>
      <c r="K23" s="11">
        <v>0</v>
      </c>
      <c r="L23" s="11">
        <v>0</v>
      </c>
      <c r="M23" s="13">
        <v>0</v>
      </c>
      <c r="N23" s="11">
        <v>0</v>
      </c>
      <c r="O23" s="11">
        <v>0</v>
      </c>
      <c r="P23" s="11">
        <v>0</v>
      </c>
      <c r="Q23" s="11">
        <v>0</v>
      </c>
      <c r="R23" s="13">
        <f t="shared" si="0"/>
        <v>0</v>
      </c>
      <c r="S23">
        <v>0</v>
      </c>
      <c r="T23">
        <v>0</v>
      </c>
      <c r="U23" s="7">
        <f t="shared" si="4"/>
        <v>0</v>
      </c>
      <c r="V23">
        <v>0</v>
      </c>
      <c r="W23">
        <v>0</v>
      </c>
      <c r="X23">
        <v>0</v>
      </c>
      <c r="Y23">
        <v>0</v>
      </c>
      <c r="Z23" s="13">
        <f t="shared" si="5"/>
        <v>0</v>
      </c>
      <c r="AA23">
        <v>0</v>
      </c>
      <c r="AB23">
        <v>0</v>
      </c>
      <c r="AC23">
        <v>0</v>
      </c>
      <c r="AD23">
        <v>0</v>
      </c>
      <c r="AE23" s="7">
        <f t="shared" si="6"/>
        <v>0</v>
      </c>
      <c r="AF23">
        <v>0</v>
      </c>
      <c r="AG23">
        <v>0</v>
      </c>
      <c r="AH23">
        <v>0</v>
      </c>
      <c r="AI23" s="13">
        <f t="shared" si="1"/>
        <v>0</v>
      </c>
      <c r="AJ23" s="11" t="s">
        <v>51</v>
      </c>
      <c r="AK23" s="11" t="s">
        <v>51</v>
      </c>
      <c r="AL23" s="11" t="s">
        <v>51</v>
      </c>
      <c r="AM23" s="13">
        <f t="shared" si="7"/>
        <v>0</v>
      </c>
      <c r="AN23" s="18">
        <v>40</v>
      </c>
      <c r="AO23" s="18">
        <v>0</v>
      </c>
      <c r="AP23" s="18">
        <v>0</v>
      </c>
      <c r="AQ23" s="18">
        <v>0</v>
      </c>
      <c r="AR23" s="18">
        <f t="shared" si="8"/>
        <v>40</v>
      </c>
      <c r="AS23" t="s">
        <v>52</v>
      </c>
      <c r="AT23" s="9" t="s">
        <v>133</v>
      </c>
      <c r="AU23" s="30">
        <f>+((AN23*I23)+(AO23*AE23)+(AQ23*AI23)+(AP23*AM23))/AR23</f>
        <v>91.550000000000011</v>
      </c>
    </row>
    <row r="24" spans="1:47" hidden="1" x14ac:dyDescent="0.25">
      <c r="A24" t="s">
        <v>46</v>
      </c>
      <c r="B24" t="s">
        <v>134</v>
      </c>
      <c r="C24" t="s">
        <v>135</v>
      </c>
      <c r="D24" t="s">
        <v>136</v>
      </c>
      <c r="E24" s="11">
        <v>20</v>
      </c>
      <c r="F24" s="11">
        <v>20</v>
      </c>
      <c r="G24" s="11">
        <v>44.73</v>
      </c>
      <c r="H24" s="11">
        <v>5.5</v>
      </c>
      <c r="I24" s="13">
        <f t="shared" si="3"/>
        <v>90.22999999999999</v>
      </c>
      <c r="J24" s="11">
        <v>0</v>
      </c>
      <c r="K24" s="11">
        <v>0</v>
      </c>
      <c r="L24" s="11">
        <v>0</v>
      </c>
      <c r="M24" s="13">
        <v>0</v>
      </c>
      <c r="N24" s="11">
        <v>0</v>
      </c>
      <c r="O24" s="11">
        <v>0</v>
      </c>
      <c r="P24" s="11">
        <v>0</v>
      </c>
      <c r="Q24" s="11">
        <v>0</v>
      </c>
      <c r="R24" s="13">
        <f t="shared" si="0"/>
        <v>0</v>
      </c>
      <c r="S24">
        <v>0</v>
      </c>
      <c r="T24">
        <v>0</v>
      </c>
      <c r="U24" s="7">
        <f t="shared" si="4"/>
        <v>0</v>
      </c>
      <c r="V24">
        <v>0</v>
      </c>
      <c r="W24">
        <v>0</v>
      </c>
      <c r="X24">
        <v>0</v>
      </c>
      <c r="Y24">
        <v>0</v>
      </c>
      <c r="Z24" s="13">
        <f t="shared" si="5"/>
        <v>0</v>
      </c>
      <c r="AA24">
        <v>15</v>
      </c>
      <c r="AB24">
        <v>50</v>
      </c>
      <c r="AC24">
        <v>15</v>
      </c>
      <c r="AD24">
        <v>20</v>
      </c>
      <c r="AE24" s="7">
        <f t="shared" si="6"/>
        <v>100</v>
      </c>
      <c r="AF24">
        <v>0</v>
      </c>
      <c r="AG24">
        <v>0</v>
      </c>
      <c r="AH24">
        <v>0</v>
      </c>
      <c r="AI24" s="13">
        <f t="shared" si="1"/>
        <v>0</v>
      </c>
      <c r="AJ24" s="11" t="s">
        <v>51</v>
      </c>
      <c r="AK24" s="11" t="s">
        <v>51</v>
      </c>
      <c r="AL24" s="11" t="s">
        <v>51</v>
      </c>
      <c r="AM24" s="13">
        <f t="shared" si="7"/>
        <v>0</v>
      </c>
      <c r="AN24" s="18">
        <v>35</v>
      </c>
      <c r="AO24" s="18">
        <v>5</v>
      </c>
      <c r="AP24" s="18">
        <v>0</v>
      </c>
      <c r="AQ24" s="18">
        <v>0</v>
      </c>
      <c r="AR24" s="18">
        <f t="shared" si="8"/>
        <v>40</v>
      </c>
      <c r="AS24" t="s">
        <v>52</v>
      </c>
      <c r="AT24" s="9" t="s">
        <v>137</v>
      </c>
      <c r="AU24" s="30">
        <f>+((AN24*I24)+(AO24*AE24)+(AQ24*AI24)+(AP24*AM24))/AR24</f>
        <v>91.451249999999987</v>
      </c>
    </row>
    <row r="25" spans="1:47" hidden="1" x14ac:dyDescent="0.25">
      <c r="A25" t="s">
        <v>46</v>
      </c>
      <c r="B25" t="s">
        <v>138</v>
      </c>
      <c r="C25" t="s">
        <v>139</v>
      </c>
      <c r="D25" t="s">
        <v>140</v>
      </c>
      <c r="E25" s="11">
        <v>0</v>
      </c>
      <c r="F25" s="11">
        <v>22.912500000000001</v>
      </c>
      <c r="G25" s="11">
        <v>55.962499999999999</v>
      </c>
      <c r="H25" s="11">
        <v>5</v>
      </c>
      <c r="I25" s="13">
        <f t="shared" si="3"/>
        <v>83.875</v>
      </c>
      <c r="J25" s="11">
        <v>0</v>
      </c>
      <c r="K25" s="11">
        <v>0</v>
      </c>
      <c r="L25" s="11">
        <v>0</v>
      </c>
      <c r="M25" s="13">
        <v>0</v>
      </c>
      <c r="N25" s="11">
        <v>0</v>
      </c>
      <c r="O25" s="11">
        <v>0</v>
      </c>
      <c r="P25" s="11">
        <v>0</v>
      </c>
      <c r="Q25" s="11">
        <v>0</v>
      </c>
      <c r="R25" s="13">
        <f t="shared" si="0"/>
        <v>0</v>
      </c>
      <c r="S25">
        <v>0</v>
      </c>
      <c r="T25">
        <v>0</v>
      </c>
      <c r="U25" s="7">
        <f t="shared" si="4"/>
        <v>0</v>
      </c>
      <c r="V25">
        <v>0</v>
      </c>
      <c r="W25">
        <v>0</v>
      </c>
      <c r="X25">
        <v>0</v>
      </c>
      <c r="Y25">
        <v>0</v>
      </c>
      <c r="Z25" s="13">
        <f t="shared" si="5"/>
        <v>0</v>
      </c>
      <c r="AA25">
        <v>0</v>
      </c>
      <c r="AB25">
        <v>0</v>
      </c>
      <c r="AC25">
        <v>0</v>
      </c>
      <c r="AD25">
        <v>0</v>
      </c>
      <c r="AE25" s="7">
        <f t="shared" si="6"/>
        <v>0</v>
      </c>
      <c r="AF25">
        <v>0</v>
      </c>
      <c r="AG25">
        <v>0</v>
      </c>
      <c r="AH25">
        <v>0</v>
      </c>
      <c r="AI25" s="13">
        <f t="shared" si="1"/>
        <v>0</v>
      </c>
      <c r="AJ25" s="11" t="s">
        <v>51</v>
      </c>
      <c r="AK25" s="11" t="s">
        <v>51</v>
      </c>
      <c r="AL25" s="11" t="s">
        <v>51</v>
      </c>
      <c r="AM25" s="13">
        <f t="shared" si="7"/>
        <v>0</v>
      </c>
      <c r="AN25" s="18">
        <v>10</v>
      </c>
      <c r="AO25" s="18">
        <v>0</v>
      </c>
      <c r="AP25" s="18">
        <v>0</v>
      </c>
      <c r="AQ25" s="18">
        <v>0</v>
      </c>
      <c r="AR25" s="18">
        <f t="shared" si="8"/>
        <v>10</v>
      </c>
      <c r="AS25" t="s">
        <v>52</v>
      </c>
      <c r="AT25" s="9" t="s">
        <v>141</v>
      </c>
      <c r="AU25" s="30">
        <f>+((AN25*I25)+(AO25*AE25)+(AQ25*AI25)+(AP25*AM25))/AR25</f>
        <v>83.875</v>
      </c>
    </row>
    <row r="26" spans="1:47" hidden="1" x14ac:dyDescent="0.25">
      <c r="A26" t="s">
        <v>46</v>
      </c>
      <c r="B26" t="s">
        <v>142</v>
      </c>
      <c r="C26" t="s">
        <v>143</v>
      </c>
      <c r="D26" t="s">
        <v>144</v>
      </c>
      <c r="E26" s="11">
        <v>20</v>
      </c>
      <c r="F26" s="11">
        <v>13.330000000000002</v>
      </c>
      <c r="G26" s="11">
        <v>47.3</v>
      </c>
      <c r="H26" s="11">
        <v>3</v>
      </c>
      <c r="I26" s="13">
        <f t="shared" si="3"/>
        <v>83.63</v>
      </c>
      <c r="J26" s="11">
        <v>0</v>
      </c>
      <c r="K26" s="11">
        <v>0</v>
      </c>
      <c r="L26" s="11">
        <v>0</v>
      </c>
      <c r="M26" s="13">
        <v>0</v>
      </c>
      <c r="N26" s="11">
        <v>0</v>
      </c>
      <c r="O26" s="11">
        <v>0</v>
      </c>
      <c r="P26" s="11">
        <v>0</v>
      </c>
      <c r="Q26" s="11">
        <v>0</v>
      </c>
      <c r="R26" s="13">
        <f t="shared" si="0"/>
        <v>0</v>
      </c>
      <c r="S26">
        <v>0</v>
      </c>
      <c r="T26">
        <v>0</v>
      </c>
      <c r="U26" s="7">
        <f t="shared" si="4"/>
        <v>0</v>
      </c>
      <c r="V26">
        <v>0</v>
      </c>
      <c r="W26">
        <v>0</v>
      </c>
      <c r="X26">
        <v>0</v>
      </c>
      <c r="Y26">
        <v>0</v>
      </c>
      <c r="Z26" s="13">
        <f t="shared" si="5"/>
        <v>0</v>
      </c>
      <c r="AA26">
        <v>0</v>
      </c>
      <c r="AB26">
        <v>0</v>
      </c>
      <c r="AC26">
        <v>0</v>
      </c>
      <c r="AD26">
        <v>0</v>
      </c>
      <c r="AE26" s="7">
        <f t="shared" si="6"/>
        <v>0</v>
      </c>
      <c r="AF26">
        <v>0</v>
      </c>
      <c r="AG26">
        <v>0</v>
      </c>
      <c r="AH26">
        <v>0</v>
      </c>
      <c r="AI26" s="13">
        <f t="shared" si="1"/>
        <v>0</v>
      </c>
      <c r="AJ26" s="11" t="s">
        <v>51</v>
      </c>
      <c r="AK26" s="11" t="s">
        <v>51</v>
      </c>
      <c r="AL26" s="11" t="s">
        <v>51</v>
      </c>
      <c r="AM26" s="13">
        <f t="shared" si="7"/>
        <v>0</v>
      </c>
      <c r="AN26" s="18">
        <v>40</v>
      </c>
      <c r="AO26" s="18">
        <v>0</v>
      </c>
      <c r="AP26" s="18">
        <v>0</v>
      </c>
      <c r="AQ26" s="18">
        <v>0</v>
      </c>
      <c r="AR26" s="18">
        <f t="shared" si="8"/>
        <v>40</v>
      </c>
      <c r="AS26" t="s">
        <v>52</v>
      </c>
      <c r="AT26" s="9" t="s">
        <v>145</v>
      </c>
      <c r="AU26" s="30">
        <f>+((AN26*I26)+(AO26*AE26)+(AQ26*AI26)+(AP26*AM26))/AR26</f>
        <v>83.63</v>
      </c>
    </row>
    <row r="27" spans="1:47" hidden="1" x14ac:dyDescent="0.25">
      <c r="A27" t="s">
        <v>46</v>
      </c>
      <c r="B27" t="s">
        <v>146</v>
      </c>
      <c r="C27" t="s">
        <v>147</v>
      </c>
      <c r="D27" t="s">
        <v>148</v>
      </c>
      <c r="E27" s="11">
        <v>0</v>
      </c>
      <c r="F27" s="11">
        <v>0</v>
      </c>
      <c r="G27" s="11">
        <v>0</v>
      </c>
      <c r="H27" s="11">
        <v>0</v>
      </c>
      <c r="I27" s="13">
        <f t="shared" si="3"/>
        <v>0</v>
      </c>
      <c r="J27" s="11">
        <v>54.92</v>
      </c>
      <c r="K27" s="11">
        <v>29</v>
      </c>
      <c r="L27" s="11">
        <v>7</v>
      </c>
      <c r="M27" s="13">
        <v>90.92</v>
      </c>
      <c r="N27" s="11">
        <v>0</v>
      </c>
      <c r="O27" s="11">
        <v>0</v>
      </c>
      <c r="P27" s="11">
        <v>0</v>
      </c>
      <c r="Q27" s="11">
        <v>0</v>
      </c>
      <c r="R27" s="13">
        <f t="shared" si="0"/>
        <v>0</v>
      </c>
      <c r="S27">
        <v>0</v>
      </c>
      <c r="T27">
        <v>0</v>
      </c>
      <c r="U27" s="7">
        <f t="shared" si="4"/>
        <v>0</v>
      </c>
      <c r="V27">
        <v>0</v>
      </c>
      <c r="W27">
        <v>0</v>
      </c>
      <c r="X27">
        <v>0</v>
      </c>
      <c r="Y27">
        <v>0</v>
      </c>
      <c r="Z27" s="13">
        <f t="shared" si="5"/>
        <v>0</v>
      </c>
      <c r="AA27">
        <v>0</v>
      </c>
      <c r="AB27">
        <v>0</v>
      </c>
      <c r="AC27">
        <v>0</v>
      </c>
      <c r="AD27">
        <v>0</v>
      </c>
      <c r="AE27" s="7">
        <f t="shared" si="6"/>
        <v>0</v>
      </c>
      <c r="AF27">
        <v>0</v>
      </c>
      <c r="AG27">
        <v>0</v>
      </c>
      <c r="AH27">
        <v>0</v>
      </c>
      <c r="AI27" s="13">
        <f t="shared" si="1"/>
        <v>0</v>
      </c>
      <c r="AJ27" s="11" t="s">
        <v>51</v>
      </c>
      <c r="AK27" s="11" t="s">
        <v>51</v>
      </c>
      <c r="AL27" s="11" t="s">
        <v>51</v>
      </c>
      <c r="AM27" s="13">
        <f t="shared" si="7"/>
        <v>0</v>
      </c>
      <c r="AN27" s="18">
        <v>1.1299999999999999</v>
      </c>
      <c r="AO27" s="18">
        <v>0</v>
      </c>
      <c r="AP27" s="18">
        <v>0</v>
      </c>
      <c r="AQ27" s="18">
        <v>0</v>
      </c>
      <c r="AR27" s="18">
        <f t="shared" si="8"/>
        <v>1.1299999999999999</v>
      </c>
      <c r="AS27" t="s">
        <v>87</v>
      </c>
      <c r="AT27" s="9" t="s">
        <v>149</v>
      </c>
      <c r="AU27" s="30">
        <f>+((AN27*M27)/AR27)</f>
        <v>90.92</v>
      </c>
    </row>
    <row r="28" spans="1:47" hidden="1" x14ac:dyDescent="0.25">
      <c r="A28" t="s">
        <v>46</v>
      </c>
      <c r="B28" s="32" t="s">
        <v>150</v>
      </c>
      <c r="C28" s="32" t="s">
        <v>151</v>
      </c>
      <c r="D28" s="32" t="s">
        <v>152</v>
      </c>
      <c r="E28" s="11">
        <v>0</v>
      </c>
      <c r="F28" s="11">
        <v>0</v>
      </c>
      <c r="G28" s="11">
        <v>0</v>
      </c>
      <c r="H28" s="11">
        <v>0</v>
      </c>
      <c r="I28" s="13">
        <f t="shared" si="3"/>
        <v>0</v>
      </c>
      <c r="J28" s="11">
        <v>0</v>
      </c>
      <c r="K28" s="11">
        <v>0</v>
      </c>
      <c r="L28" s="11">
        <v>0</v>
      </c>
      <c r="M28" s="13">
        <v>0</v>
      </c>
      <c r="N28" s="11">
        <v>57.737499999999997</v>
      </c>
      <c r="O28" s="11">
        <v>3.125</v>
      </c>
      <c r="P28" s="11">
        <v>25</v>
      </c>
      <c r="Q28" s="11">
        <v>0</v>
      </c>
      <c r="R28" s="13">
        <f t="shared" si="0"/>
        <v>85.862499999999997</v>
      </c>
      <c r="S28">
        <v>0</v>
      </c>
      <c r="T28">
        <v>0</v>
      </c>
      <c r="U28" s="7">
        <f t="shared" si="4"/>
        <v>0</v>
      </c>
      <c r="V28">
        <v>0</v>
      </c>
      <c r="W28">
        <v>0</v>
      </c>
      <c r="X28">
        <v>0</v>
      </c>
      <c r="Y28">
        <v>0</v>
      </c>
      <c r="Z28" s="13">
        <f t="shared" si="5"/>
        <v>0</v>
      </c>
      <c r="AA28">
        <v>0</v>
      </c>
      <c r="AB28">
        <v>0</v>
      </c>
      <c r="AC28">
        <v>0</v>
      </c>
      <c r="AD28">
        <v>0</v>
      </c>
      <c r="AE28" s="7">
        <f t="shared" si="6"/>
        <v>0</v>
      </c>
      <c r="AF28">
        <v>0</v>
      </c>
      <c r="AG28">
        <v>0</v>
      </c>
      <c r="AH28">
        <v>0</v>
      </c>
      <c r="AI28" s="13">
        <f t="shared" si="1"/>
        <v>0</v>
      </c>
      <c r="AJ28" s="11" t="s">
        <v>51</v>
      </c>
      <c r="AK28" s="11" t="s">
        <v>51</v>
      </c>
      <c r="AL28" s="11" t="s">
        <v>51</v>
      </c>
      <c r="AM28" s="13">
        <f t="shared" si="7"/>
        <v>0</v>
      </c>
      <c r="AN28" s="18">
        <v>11</v>
      </c>
      <c r="AO28" s="18">
        <v>0</v>
      </c>
      <c r="AP28" s="18">
        <v>0</v>
      </c>
      <c r="AQ28" s="18">
        <v>0</v>
      </c>
      <c r="AR28" s="18">
        <f t="shared" si="8"/>
        <v>11</v>
      </c>
      <c r="AS28" t="s">
        <v>117</v>
      </c>
      <c r="AT28" s="9" t="s">
        <v>153</v>
      </c>
      <c r="AU28" s="11">
        <f>+((AN28*R28)+(AQ28*AI28)+(AP28*AM28))/AR28</f>
        <v>85.862499999999997</v>
      </c>
    </row>
    <row r="29" spans="1:47" hidden="1" x14ac:dyDescent="0.25">
      <c r="A29" t="s">
        <v>46</v>
      </c>
      <c r="B29" t="s">
        <v>154</v>
      </c>
      <c r="C29" t="s">
        <v>155</v>
      </c>
      <c r="D29" t="s">
        <v>156</v>
      </c>
      <c r="E29" s="11">
        <v>0</v>
      </c>
      <c r="F29" s="11">
        <v>0</v>
      </c>
      <c r="G29" s="11">
        <v>0</v>
      </c>
      <c r="H29" s="11">
        <v>0</v>
      </c>
      <c r="I29" s="13">
        <f t="shared" si="3"/>
        <v>0</v>
      </c>
      <c r="J29" s="11">
        <v>76.614285714285714</v>
      </c>
      <c r="K29" s="11">
        <v>0</v>
      </c>
      <c r="L29" s="11">
        <v>3.5714285714285712</v>
      </c>
      <c r="M29" s="13">
        <v>80.185714285714283</v>
      </c>
      <c r="N29" s="11">
        <v>0</v>
      </c>
      <c r="O29" s="11">
        <v>0</v>
      </c>
      <c r="P29" s="11">
        <v>0</v>
      </c>
      <c r="Q29" s="11">
        <v>0</v>
      </c>
      <c r="R29" s="13">
        <f t="shared" si="0"/>
        <v>0</v>
      </c>
      <c r="S29">
        <v>0</v>
      </c>
      <c r="T29">
        <v>0</v>
      </c>
      <c r="U29" s="7">
        <f t="shared" si="4"/>
        <v>0</v>
      </c>
      <c r="V29">
        <v>0</v>
      </c>
      <c r="W29">
        <v>0</v>
      </c>
      <c r="X29">
        <v>0</v>
      </c>
      <c r="Y29">
        <v>0</v>
      </c>
      <c r="Z29" s="13">
        <f t="shared" si="5"/>
        <v>0</v>
      </c>
      <c r="AA29">
        <v>0</v>
      </c>
      <c r="AB29">
        <v>0</v>
      </c>
      <c r="AC29">
        <v>0</v>
      </c>
      <c r="AD29">
        <v>0</v>
      </c>
      <c r="AE29" s="7">
        <f t="shared" si="6"/>
        <v>0</v>
      </c>
      <c r="AF29">
        <v>0</v>
      </c>
      <c r="AG29">
        <v>0</v>
      </c>
      <c r="AH29">
        <v>0</v>
      </c>
      <c r="AI29" s="13">
        <f t="shared" si="1"/>
        <v>0</v>
      </c>
      <c r="AJ29" s="11" t="s">
        <v>51</v>
      </c>
      <c r="AK29" s="11" t="s">
        <v>51</v>
      </c>
      <c r="AL29" s="11" t="s">
        <v>51</v>
      </c>
      <c r="AM29" s="13">
        <f t="shared" si="7"/>
        <v>0</v>
      </c>
      <c r="AN29" s="18">
        <v>2.375</v>
      </c>
      <c r="AO29" s="18">
        <v>0</v>
      </c>
      <c r="AP29" s="18">
        <v>0</v>
      </c>
      <c r="AQ29" s="18">
        <v>0</v>
      </c>
      <c r="AR29" s="18">
        <f t="shared" si="8"/>
        <v>2.375</v>
      </c>
      <c r="AS29" t="s">
        <v>87</v>
      </c>
      <c r="AT29" s="9" t="s">
        <v>157</v>
      </c>
      <c r="AU29" s="30">
        <f>+((AN29*M29)/AR29)</f>
        <v>80.185714285714283</v>
      </c>
    </row>
    <row r="30" spans="1:47" hidden="1" x14ac:dyDescent="0.25">
      <c r="A30" t="s">
        <v>46</v>
      </c>
      <c r="B30" t="s">
        <v>158</v>
      </c>
      <c r="C30" t="s">
        <v>159</v>
      </c>
      <c r="D30" t="s">
        <v>160</v>
      </c>
      <c r="E30" s="11">
        <v>0</v>
      </c>
      <c r="F30" s="11">
        <v>0</v>
      </c>
      <c r="G30" s="11">
        <v>74.783333333333346</v>
      </c>
      <c r="H30" s="11">
        <v>5.8333333333333321</v>
      </c>
      <c r="I30" s="13">
        <f t="shared" si="3"/>
        <v>80.616666666666674</v>
      </c>
      <c r="J30" s="11">
        <v>0</v>
      </c>
      <c r="K30" s="11">
        <v>0</v>
      </c>
      <c r="L30" s="11">
        <v>0</v>
      </c>
      <c r="M30" s="13">
        <v>0</v>
      </c>
      <c r="N30" s="11">
        <v>0</v>
      </c>
      <c r="O30" s="11">
        <v>0</v>
      </c>
      <c r="P30" s="11">
        <v>0</v>
      </c>
      <c r="Q30" s="11">
        <v>0</v>
      </c>
      <c r="R30" s="13">
        <f t="shared" si="0"/>
        <v>0</v>
      </c>
      <c r="S30">
        <v>0</v>
      </c>
      <c r="T30">
        <v>0</v>
      </c>
      <c r="U30" s="7">
        <f t="shared" si="4"/>
        <v>0</v>
      </c>
      <c r="V30">
        <v>0</v>
      </c>
      <c r="W30">
        <v>0</v>
      </c>
      <c r="X30">
        <v>0</v>
      </c>
      <c r="Y30">
        <v>0</v>
      </c>
      <c r="Z30" s="13">
        <f t="shared" si="5"/>
        <v>0</v>
      </c>
      <c r="AA30">
        <v>0</v>
      </c>
      <c r="AB30">
        <v>0</v>
      </c>
      <c r="AC30">
        <v>0</v>
      </c>
      <c r="AD30">
        <v>0</v>
      </c>
      <c r="AE30" s="7">
        <f t="shared" si="6"/>
        <v>0</v>
      </c>
      <c r="AF30">
        <v>0</v>
      </c>
      <c r="AG30">
        <v>0</v>
      </c>
      <c r="AH30">
        <v>0</v>
      </c>
      <c r="AI30" s="13">
        <f t="shared" si="1"/>
        <v>0</v>
      </c>
      <c r="AJ30" s="11" t="s">
        <v>51</v>
      </c>
      <c r="AK30" s="11" t="s">
        <v>51</v>
      </c>
      <c r="AL30" s="11" t="s">
        <v>51</v>
      </c>
      <c r="AM30" s="13">
        <f t="shared" si="7"/>
        <v>0</v>
      </c>
      <c r="AN30" s="18">
        <v>6</v>
      </c>
      <c r="AO30" s="18">
        <v>0</v>
      </c>
      <c r="AP30" s="18">
        <v>0</v>
      </c>
      <c r="AQ30" s="18">
        <v>0</v>
      </c>
      <c r="AR30" s="18">
        <f t="shared" si="8"/>
        <v>6</v>
      </c>
      <c r="AS30" t="s">
        <v>52</v>
      </c>
      <c r="AT30" s="9" t="s">
        <v>161</v>
      </c>
      <c r="AU30" s="30">
        <f>+((AN30*I30)+(AO30*AE30)+(AQ30*AI30)+(AP30*AM30))/AR30</f>
        <v>80.616666666666674</v>
      </c>
    </row>
    <row r="31" spans="1:47" hidden="1" x14ac:dyDescent="0.25">
      <c r="A31" t="s">
        <v>46</v>
      </c>
      <c r="B31" t="s">
        <v>162</v>
      </c>
      <c r="C31" t="s">
        <v>163</v>
      </c>
      <c r="D31" t="s">
        <v>164</v>
      </c>
      <c r="E31" s="11">
        <v>25</v>
      </c>
      <c r="F31" s="11">
        <v>0</v>
      </c>
      <c r="G31" s="11">
        <v>53.55</v>
      </c>
      <c r="H31" s="11">
        <v>10</v>
      </c>
      <c r="I31" s="13">
        <f t="shared" si="3"/>
        <v>88.55</v>
      </c>
      <c r="J31" s="11">
        <v>0</v>
      </c>
      <c r="K31" s="11">
        <v>0</v>
      </c>
      <c r="L31" s="11">
        <v>0</v>
      </c>
      <c r="M31" s="13">
        <v>0</v>
      </c>
      <c r="N31" s="11">
        <v>0</v>
      </c>
      <c r="O31" s="11">
        <v>0</v>
      </c>
      <c r="P31" s="11">
        <v>0</v>
      </c>
      <c r="Q31" s="11">
        <v>0</v>
      </c>
      <c r="R31" s="13">
        <f t="shared" si="0"/>
        <v>0</v>
      </c>
      <c r="S31">
        <v>0</v>
      </c>
      <c r="T31">
        <v>0</v>
      </c>
      <c r="U31" s="7">
        <f t="shared" si="4"/>
        <v>0</v>
      </c>
      <c r="V31">
        <v>0</v>
      </c>
      <c r="W31">
        <v>0</v>
      </c>
      <c r="X31">
        <v>0</v>
      </c>
      <c r="Y31">
        <v>0</v>
      </c>
      <c r="Z31" s="13">
        <f t="shared" si="5"/>
        <v>0</v>
      </c>
      <c r="AA31">
        <v>0</v>
      </c>
      <c r="AB31">
        <v>0</v>
      </c>
      <c r="AC31">
        <v>0</v>
      </c>
      <c r="AD31">
        <v>0</v>
      </c>
      <c r="AE31" s="7">
        <f t="shared" si="6"/>
        <v>0</v>
      </c>
      <c r="AF31">
        <v>0</v>
      </c>
      <c r="AG31">
        <v>0</v>
      </c>
      <c r="AH31">
        <v>0</v>
      </c>
      <c r="AI31" s="13">
        <f t="shared" si="1"/>
        <v>0</v>
      </c>
      <c r="AJ31" s="11" t="s">
        <v>51</v>
      </c>
      <c r="AK31" s="11" t="s">
        <v>51</v>
      </c>
      <c r="AL31" s="11" t="s">
        <v>51</v>
      </c>
      <c r="AM31" s="13">
        <f t="shared" si="7"/>
        <v>0</v>
      </c>
      <c r="AN31" s="18">
        <v>8</v>
      </c>
      <c r="AO31" s="18">
        <v>0</v>
      </c>
      <c r="AP31" s="18">
        <v>0</v>
      </c>
      <c r="AQ31" s="18">
        <v>0</v>
      </c>
      <c r="AR31" s="18">
        <f t="shared" si="8"/>
        <v>8</v>
      </c>
      <c r="AS31" t="s">
        <v>52</v>
      </c>
      <c r="AT31" s="9" t="s">
        <v>165</v>
      </c>
      <c r="AU31" s="30">
        <f>+((AN31*I31)+(AO31*AE31)+(AQ31*AI31)+(AP31*AM31))/AR31</f>
        <v>88.55</v>
      </c>
    </row>
    <row r="32" spans="1:47" hidden="1" x14ac:dyDescent="0.25">
      <c r="A32" t="s">
        <v>46</v>
      </c>
      <c r="B32" s="32" t="s">
        <v>166</v>
      </c>
      <c r="C32" s="32" t="s">
        <v>167</v>
      </c>
      <c r="D32" s="32" t="s">
        <v>168</v>
      </c>
      <c r="E32" s="11">
        <v>0</v>
      </c>
      <c r="F32" s="11">
        <v>0</v>
      </c>
      <c r="G32" s="11">
        <v>0</v>
      </c>
      <c r="H32" s="11">
        <v>0</v>
      </c>
      <c r="I32" s="13">
        <f t="shared" si="3"/>
        <v>0</v>
      </c>
      <c r="J32" s="11">
        <v>0</v>
      </c>
      <c r="K32" s="11">
        <v>0</v>
      </c>
      <c r="L32" s="11">
        <v>0</v>
      </c>
      <c r="M32" s="13">
        <v>0</v>
      </c>
      <c r="N32" s="11">
        <v>54.65</v>
      </c>
      <c r="O32" s="11">
        <v>3.125</v>
      </c>
      <c r="P32" s="11">
        <v>0</v>
      </c>
      <c r="Q32" s="11">
        <v>25</v>
      </c>
      <c r="R32" s="13">
        <f t="shared" si="0"/>
        <v>82.775000000000006</v>
      </c>
      <c r="S32">
        <v>0</v>
      </c>
      <c r="T32">
        <v>0</v>
      </c>
      <c r="U32" s="7">
        <f t="shared" si="4"/>
        <v>0</v>
      </c>
      <c r="V32">
        <v>0</v>
      </c>
      <c r="W32">
        <v>0</v>
      </c>
      <c r="X32">
        <v>0</v>
      </c>
      <c r="Y32">
        <v>0</v>
      </c>
      <c r="Z32" s="13">
        <f t="shared" si="5"/>
        <v>0</v>
      </c>
      <c r="AA32">
        <v>0</v>
      </c>
      <c r="AB32">
        <v>0</v>
      </c>
      <c r="AC32">
        <v>0</v>
      </c>
      <c r="AD32">
        <v>0</v>
      </c>
      <c r="AE32" s="7">
        <f t="shared" si="6"/>
        <v>0</v>
      </c>
      <c r="AF32">
        <v>0</v>
      </c>
      <c r="AG32">
        <v>0</v>
      </c>
      <c r="AH32">
        <v>0</v>
      </c>
      <c r="AI32" s="13">
        <f t="shared" si="1"/>
        <v>0</v>
      </c>
      <c r="AJ32" s="11" t="s">
        <v>51</v>
      </c>
      <c r="AK32" s="11" t="s">
        <v>51</v>
      </c>
      <c r="AL32" s="11" t="s">
        <v>51</v>
      </c>
      <c r="AM32" s="13">
        <f t="shared" si="7"/>
        <v>0</v>
      </c>
      <c r="AN32" s="18">
        <v>4</v>
      </c>
      <c r="AO32" s="18">
        <v>0</v>
      </c>
      <c r="AP32" s="18">
        <v>0</v>
      </c>
      <c r="AQ32" s="18">
        <v>0</v>
      </c>
      <c r="AR32" s="18">
        <f t="shared" si="8"/>
        <v>4</v>
      </c>
      <c r="AS32" t="s">
        <v>117</v>
      </c>
      <c r="AT32" s="9" t="s">
        <v>169</v>
      </c>
      <c r="AU32" s="11">
        <f>+((AN32*R32)+(AQ32*AI32)+(AP32*AM32))/AR32</f>
        <v>82.775000000000006</v>
      </c>
    </row>
    <row r="33" spans="1:47" hidden="1" x14ac:dyDescent="0.25">
      <c r="A33" t="s">
        <v>46</v>
      </c>
      <c r="B33" t="s">
        <v>170</v>
      </c>
      <c r="C33" t="s">
        <v>171</v>
      </c>
      <c r="D33" t="s">
        <v>172</v>
      </c>
      <c r="E33" s="11">
        <v>20</v>
      </c>
      <c r="F33" s="11">
        <v>16.670000000000002</v>
      </c>
      <c r="G33" s="11">
        <v>47.3</v>
      </c>
      <c r="H33" s="11">
        <v>5</v>
      </c>
      <c r="I33" s="13">
        <f t="shared" si="3"/>
        <v>88.97</v>
      </c>
      <c r="J33" s="11">
        <v>0</v>
      </c>
      <c r="K33" s="11">
        <v>0</v>
      </c>
      <c r="L33" s="11">
        <v>0</v>
      </c>
      <c r="M33" s="13">
        <v>0</v>
      </c>
      <c r="N33" s="11">
        <v>0</v>
      </c>
      <c r="O33" s="11">
        <v>0</v>
      </c>
      <c r="P33" s="11">
        <v>0</v>
      </c>
      <c r="Q33" s="11">
        <v>0</v>
      </c>
      <c r="R33" s="13">
        <f t="shared" si="0"/>
        <v>0</v>
      </c>
      <c r="S33">
        <v>0</v>
      </c>
      <c r="T33">
        <v>0</v>
      </c>
      <c r="U33" s="7">
        <f t="shared" si="4"/>
        <v>0</v>
      </c>
      <c r="V33">
        <v>0</v>
      </c>
      <c r="W33">
        <v>0</v>
      </c>
      <c r="X33">
        <v>0</v>
      </c>
      <c r="Y33">
        <v>0</v>
      </c>
      <c r="Z33" s="13">
        <f t="shared" si="5"/>
        <v>0</v>
      </c>
      <c r="AA33">
        <v>0</v>
      </c>
      <c r="AB33">
        <v>0</v>
      </c>
      <c r="AC33">
        <v>0</v>
      </c>
      <c r="AD33">
        <v>0</v>
      </c>
      <c r="AE33" s="7">
        <f t="shared" si="6"/>
        <v>0</v>
      </c>
      <c r="AF33">
        <v>0</v>
      </c>
      <c r="AG33">
        <v>0</v>
      </c>
      <c r="AH33">
        <v>0</v>
      </c>
      <c r="AI33" s="13">
        <f t="shared" si="1"/>
        <v>0</v>
      </c>
      <c r="AJ33" s="11" t="s">
        <v>51</v>
      </c>
      <c r="AK33" s="11" t="s">
        <v>51</v>
      </c>
      <c r="AL33" s="11" t="s">
        <v>51</v>
      </c>
      <c r="AM33" s="13">
        <f t="shared" si="7"/>
        <v>0</v>
      </c>
      <c r="AN33" s="18">
        <v>8</v>
      </c>
      <c r="AO33" s="18">
        <v>0</v>
      </c>
      <c r="AP33" s="18">
        <v>0</v>
      </c>
      <c r="AQ33" s="18">
        <v>0</v>
      </c>
      <c r="AR33" s="18">
        <f t="shared" si="8"/>
        <v>8</v>
      </c>
      <c r="AS33" t="s">
        <v>52</v>
      </c>
      <c r="AT33" s="9" t="s">
        <v>173</v>
      </c>
      <c r="AU33" s="30">
        <f>+((AN33*I33)+(AO33*AE33)+(AQ33*AI33)+(AP33*AM33))/AR33</f>
        <v>88.97</v>
      </c>
    </row>
    <row r="34" spans="1:47" hidden="1" x14ac:dyDescent="0.25">
      <c r="A34" t="s">
        <v>46</v>
      </c>
      <c r="B34" t="s">
        <v>174</v>
      </c>
      <c r="C34" t="s">
        <v>175</v>
      </c>
      <c r="D34" t="s">
        <v>176</v>
      </c>
      <c r="E34" s="11">
        <v>0</v>
      </c>
      <c r="F34" s="11">
        <v>0</v>
      </c>
      <c r="G34" s="11">
        <v>0</v>
      </c>
      <c r="H34" s="11">
        <v>0</v>
      </c>
      <c r="I34" s="13">
        <f t="shared" si="3"/>
        <v>0</v>
      </c>
      <c r="J34" s="11">
        <v>0</v>
      </c>
      <c r="K34" s="11">
        <v>0</v>
      </c>
      <c r="L34" s="11">
        <v>0</v>
      </c>
      <c r="M34" s="13">
        <v>0</v>
      </c>
      <c r="N34" s="11">
        <v>0</v>
      </c>
      <c r="O34" s="11">
        <v>0</v>
      </c>
      <c r="P34" s="11">
        <v>0</v>
      </c>
      <c r="Q34" s="11">
        <v>0</v>
      </c>
      <c r="R34" s="13">
        <f t="shared" si="0"/>
        <v>0</v>
      </c>
      <c r="S34">
        <v>0</v>
      </c>
      <c r="T34">
        <v>0</v>
      </c>
      <c r="U34" s="7">
        <f t="shared" si="4"/>
        <v>0</v>
      </c>
      <c r="V34">
        <v>2.5</v>
      </c>
      <c r="W34">
        <v>19.329999999999998</v>
      </c>
      <c r="X34">
        <v>37.6</v>
      </c>
      <c r="Y34">
        <v>18.670000000000002</v>
      </c>
      <c r="Z34" s="13">
        <f t="shared" si="5"/>
        <v>78.099999999999994</v>
      </c>
      <c r="AA34">
        <v>0</v>
      </c>
      <c r="AB34">
        <v>0</v>
      </c>
      <c r="AC34">
        <v>0</v>
      </c>
      <c r="AD34">
        <v>0</v>
      </c>
      <c r="AE34" s="7">
        <f t="shared" si="6"/>
        <v>0</v>
      </c>
      <c r="AF34">
        <v>0</v>
      </c>
      <c r="AG34">
        <v>0</v>
      </c>
      <c r="AH34">
        <v>0</v>
      </c>
      <c r="AI34" s="13">
        <f t="shared" si="1"/>
        <v>0</v>
      </c>
      <c r="AJ34" s="11" t="s">
        <v>51</v>
      </c>
      <c r="AK34" s="11" t="s">
        <v>51</v>
      </c>
      <c r="AL34" s="11" t="s">
        <v>51</v>
      </c>
      <c r="AM34" s="13">
        <f t="shared" si="7"/>
        <v>0</v>
      </c>
      <c r="AN34" s="18">
        <v>8</v>
      </c>
      <c r="AO34" s="18">
        <v>0</v>
      </c>
      <c r="AP34" s="18">
        <v>0</v>
      </c>
      <c r="AQ34" s="18">
        <v>0</v>
      </c>
      <c r="AR34" s="18">
        <f t="shared" si="8"/>
        <v>8</v>
      </c>
      <c r="AS34" t="s">
        <v>52</v>
      </c>
      <c r="AT34" s="9" t="s">
        <v>177</v>
      </c>
      <c r="AU34" s="30">
        <f>+((Z34*AN34)/AR34)</f>
        <v>78.099999999999994</v>
      </c>
    </row>
    <row r="35" spans="1:47" hidden="1" x14ac:dyDescent="0.25">
      <c r="A35" t="s">
        <v>46</v>
      </c>
      <c r="B35" t="s">
        <v>178</v>
      </c>
      <c r="C35" t="s">
        <v>179</v>
      </c>
      <c r="D35" t="s">
        <v>180</v>
      </c>
      <c r="E35" s="11">
        <v>20.274999999999999</v>
      </c>
      <c r="F35" s="11">
        <v>0</v>
      </c>
      <c r="G35" s="11">
        <v>56.987499999999997</v>
      </c>
      <c r="H35" s="11">
        <v>6.875</v>
      </c>
      <c r="I35" s="13">
        <f t="shared" si="3"/>
        <v>84.137499999999989</v>
      </c>
      <c r="J35" s="11">
        <v>0</v>
      </c>
      <c r="K35" s="11">
        <v>0</v>
      </c>
      <c r="L35" s="11">
        <v>0</v>
      </c>
      <c r="M35" s="13">
        <v>0</v>
      </c>
      <c r="N35" s="11">
        <v>0</v>
      </c>
      <c r="O35" s="11">
        <v>0</v>
      </c>
      <c r="P35" s="11">
        <v>0</v>
      </c>
      <c r="Q35" s="11">
        <v>0</v>
      </c>
      <c r="R35" s="13">
        <f t="shared" si="0"/>
        <v>0</v>
      </c>
      <c r="S35">
        <v>0</v>
      </c>
      <c r="T35">
        <v>0</v>
      </c>
      <c r="U35" s="7">
        <f t="shared" si="4"/>
        <v>0</v>
      </c>
      <c r="V35">
        <v>0</v>
      </c>
      <c r="W35">
        <v>0</v>
      </c>
      <c r="X35">
        <v>0</v>
      </c>
      <c r="Y35">
        <v>0</v>
      </c>
      <c r="Z35" s="13">
        <f t="shared" si="5"/>
        <v>0</v>
      </c>
      <c r="AA35">
        <v>0</v>
      </c>
      <c r="AB35">
        <v>50</v>
      </c>
      <c r="AC35">
        <v>0</v>
      </c>
      <c r="AD35">
        <v>20</v>
      </c>
      <c r="AE35" s="7">
        <f t="shared" si="6"/>
        <v>70</v>
      </c>
      <c r="AF35">
        <v>0</v>
      </c>
      <c r="AG35">
        <v>0</v>
      </c>
      <c r="AH35">
        <v>0</v>
      </c>
      <c r="AI35" s="13">
        <f t="shared" si="1"/>
        <v>0</v>
      </c>
      <c r="AJ35" s="11" t="s">
        <v>51</v>
      </c>
      <c r="AK35" s="11" t="s">
        <v>51</v>
      </c>
      <c r="AL35" s="11" t="s">
        <v>51</v>
      </c>
      <c r="AM35" s="13">
        <f t="shared" si="7"/>
        <v>0</v>
      </c>
      <c r="AN35" s="18">
        <v>32</v>
      </c>
      <c r="AO35" s="18">
        <v>8</v>
      </c>
      <c r="AP35" s="18">
        <v>0</v>
      </c>
      <c r="AQ35" s="18">
        <v>0</v>
      </c>
      <c r="AR35" s="18">
        <f t="shared" si="8"/>
        <v>40</v>
      </c>
      <c r="AS35" t="s">
        <v>52</v>
      </c>
      <c r="AT35" s="9" t="s">
        <v>181</v>
      </c>
      <c r="AU35" s="30">
        <f>+((AN35*I35)+(AO35*AE35)+(AQ35*AI35)+(AP35*AM35))/AR35</f>
        <v>81.309999999999988</v>
      </c>
    </row>
    <row r="36" spans="1:47" hidden="1" x14ac:dyDescent="0.25">
      <c r="A36" t="s">
        <v>46</v>
      </c>
      <c r="B36" t="s">
        <v>182</v>
      </c>
      <c r="C36" t="s">
        <v>183</v>
      </c>
      <c r="D36" t="s">
        <v>184</v>
      </c>
      <c r="E36" s="11">
        <v>17.75</v>
      </c>
      <c r="F36" s="11">
        <v>18</v>
      </c>
      <c r="G36" s="11">
        <v>45.5</v>
      </c>
      <c r="H36" s="11">
        <v>4.5</v>
      </c>
      <c r="I36" s="13">
        <f t="shared" si="3"/>
        <v>85.75</v>
      </c>
      <c r="J36" s="11">
        <v>0</v>
      </c>
      <c r="K36" s="11">
        <v>0</v>
      </c>
      <c r="L36" s="11">
        <v>0</v>
      </c>
      <c r="M36" s="13">
        <v>0</v>
      </c>
      <c r="N36" s="11">
        <v>46.97</v>
      </c>
      <c r="O36" s="11">
        <v>4.5</v>
      </c>
      <c r="P36" s="11">
        <v>18</v>
      </c>
      <c r="Q36" s="11">
        <v>18.170000000000002</v>
      </c>
      <c r="R36" s="13">
        <f t="shared" si="0"/>
        <v>87.64</v>
      </c>
      <c r="S36">
        <v>0</v>
      </c>
      <c r="T36">
        <v>0</v>
      </c>
      <c r="U36" s="7">
        <f t="shared" si="4"/>
        <v>0</v>
      </c>
      <c r="V36">
        <v>0</v>
      </c>
      <c r="W36">
        <v>0</v>
      </c>
      <c r="X36">
        <v>0</v>
      </c>
      <c r="Y36">
        <v>0</v>
      </c>
      <c r="Z36" s="13">
        <f t="shared" si="5"/>
        <v>0</v>
      </c>
      <c r="AA36">
        <v>0</v>
      </c>
      <c r="AB36">
        <v>0</v>
      </c>
      <c r="AC36">
        <v>0</v>
      </c>
      <c r="AD36">
        <v>0</v>
      </c>
      <c r="AE36" s="7">
        <f t="shared" si="6"/>
        <v>0</v>
      </c>
      <c r="AF36">
        <v>0</v>
      </c>
      <c r="AG36">
        <v>0</v>
      </c>
      <c r="AH36">
        <v>0</v>
      </c>
      <c r="AI36" s="13">
        <f t="shared" si="1"/>
        <v>0</v>
      </c>
      <c r="AJ36" s="11">
        <v>19.329999999999998</v>
      </c>
      <c r="AK36" s="11">
        <v>18</v>
      </c>
      <c r="AL36" s="11">
        <v>45.94</v>
      </c>
      <c r="AM36" s="13">
        <f t="shared" si="7"/>
        <v>83.27</v>
      </c>
      <c r="AN36" s="18">
        <v>34</v>
      </c>
      <c r="AO36" s="18">
        <v>0</v>
      </c>
      <c r="AP36" s="18">
        <v>3</v>
      </c>
      <c r="AQ36" s="18">
        <v>0</v>
      </c>
      <c r="AR36" s="18">
        <f t="shared" si="8"/>
        <v>37</v>
      </c>
      <c r="AS36" t="s">
        <v>52</v>
      </c>
      <c r="AT36" s="9" t="s">
        <v>186</v>
      </c>
      <c r="AU36" s="30">
        <f>+((AN36*I36)+(AO36*AE36)+(AQ36*AI36)+(AP36*AM36))/AR36</f>
        <v>85.548918918918915</v>
      </c>
    </row>
    <row r="37" spans="1:47" hidden="1" x14ac:dyDescent="0.25">
      <c r="A37" s="33" t="s">
        <v>46</v>
      </c>
      <c r="B37" s="32" t="s">
        <v>182</v>
      </c>
      <c r="C37" s="32" t="s">
        <v>183</v>
      </c>
      <c r="D37" s="32" t="s">
        <v>184</v>
      </c>
      <c r="E37" s="11">
        <v>17.75</v>
      </c>
      <c r="F37" s="11">
        <v>18</v>
      </c>
      <c r="G37" s="11">
        <v>45.5</v>
      </c>
      <c r="H37" s="11">
        <v>4.5</v>
      </c>
      <c r="I37" s="13">
        <f t="shared" si="3"/>
        <v>85.75</v>
      </c>
      <c r="J37" s="11">
        <v>0</v>
      </c>
      <c r="K37" s="11">
        <v>0</v>
      </c>
      <c r="L37" s="11">
        <v>0</v>
      </c>
      <c r="M37" s="13">
        <v>0</v>
      </c>
      <c r="N37" s="11">
        <v>46.97</v>
      </c>
      <c r="O37" s="11">
        <v>4.5</v>
      </c>
      <c r="P37" s="11">
        <v>18</v>
      </c>
      <c r="Q37" s="11">
        <v>18.170000000000002</v>
      </c>
      <c r="R37" s="13">
        <f t="shared" si="0"/>
        <v>87.64</v>
      </c>
      <c r="S37">
        <v>0</v>
      </c>
      <c r="T37">
        <v>0</v>
      </c>
      <c r="U37" s="7">
        <f t="shared" si="4"/>
        <v>0</v>
      </c>
      <c r="V37">
        <v>0</v>
      </c>
      <c r="W37">
        <v>0</v>
      </c>
      <c r="X37">
        <v>0</v>
      </c>
      <c r="Y37">
        <v>0</v>
      </c>
      <c r="Z37" s="13">
        <f t="shared" si="5"/>
        <v>0</v>
      </c>
      <c r="AA37">
        <v>0</v>
      </c>
      <c r="AB37">
        <v>0</v>
      </c>
      <c r="AC37">
        <v>0</v>
      </c>
      <c r="AD37">
        <v>0</v>
      </c>
      <c r="AE37" s="7">
        <f t="shared" si="6"/>
        <v>0</v>
      </c>
      <c r="AF37">
        <v>0</v>
      </c>
      <c r="AG37">
        <v>0</v>
      </c>
      <c r="AH37">
        <v>0</v>
      </c>
      <c r="AI37" s="13">
        <f t="shared" si="1"/>
        <v>0</v>
      </c>
      <c r="AJ37" s="11">
        <v>19.329999999999998</v>
      </c>
      <c r="AK37" s="11">
        <v>18</v>
      </c>
      <c r="AL37" s="11">
        <v>45.94</v>
      </c>
      <c r="AM37" s="13">
        <f t="shared" si="7"/>
        <v>83.27</v>
      </c>
      <c r="AN37" s="18">
        <v>3</v>
      </c>
      <c r="AO37" s="18">
        <v>0</v>
      </c>
      <c r="AP37" s="18">
        <v>0</v>
      </c>
      <c r="AQ37" s="18">
        <v>0</v>
      </c>
      <c r="AR37" s="18">
        <f t="shared" si="8"/>
        <v>3</v>
      </c>
      <c r="AS37" t="s">
        <v>117</v>
      </c>
      <c r="AT37" s="9" t="s">
        <v>187</v>
      </c>
      <c r="AU37" s="11">
        <f>+((AN37*R37)+(AQ37*AI37)+(AP37*AM37))/AR37</f>
        <v>87.64</v>
      </c>
    </row>
    <row r="38" spans="1:47" hidden="1" x14ac:dyDescent="0.25">
      <c r="A38" t="s">
        <v>46</v>
      </c>
      <c r="B38" t="s">
        <v>188</v>
      </c>
      <c r="C38" t="s">
        <v>189</v>
      </c>
      <c r="D38" t="s">
        <v>190</v>
      </c>
      <c r="E38" s="11">
        <v>20</v>
      </c>
      <c r="F38" s="11">
        <v>18.670000000000002</v>
      </c>
      <c r="G38" s="11">
        <v>45.01</v>
      </c>
      <c r="H38" s="11">
        <v>4</v>
      </c>
      <c r="I38" s="13">
        <f t="shared" si="3"/>
        <v>87.68</v>
      </c>
      <c r="J38" s="11">
        <v>0</v>
      </c>
      <c r="K38" s="11">
        <v>0</v>
      </c>
      <c r="L38" s="11">
        <v>0</v>
      </c>
      <c r="M38" s="13">
        <v>0</v>
      </c>
      <c r="N38">
        <v>48.5</v>
      </c>
      <c r="O38">
        <v>4</v>
      </c>
      <c r="P38">
        <v>18.670000000000002</v>
      </c>
      <c r="Q38">
        <v>20</v>
      </c>
      <c r="R38" s="13">
        <f t="shared" si="0"/>
        <v>91.17</v>
      </c>
      <c r="S38">
        <v>0</v>
      </c>
      <c r="T38">
        <v>0</v>
      </c>
      <c r="U38" s="7">
        <f t="shared" si="4"/>
        <v>0</v>
      </c>
      <c r="V38">
        <v>0</v>
      </c>
      <c r="W38">
        <v>0</v>
      </c>
      <c r="X38">
        <v>0</v>
      </c>
      <c r="Y38">
        <v>0</v>
      </c>
      <c r="Z38" s="13">
        <f t="shared" si="5"/>
        <v>0</v>
      </c>
      <c r="AA38">
        <v>0</v>
      </c>
      <c r="AB38">
        <v>0</v>
      </c>
      <c r="AC38">
        <v>0</v>
      </c>
      <c r="AD38">
        <v>0</v>
      </c>
      <c r="AE38" s="7">
        <f t="shared" si="6"/>
        <v>0</v>
      </c>
      <c r="AF38">
        <v>0</v>
      </c>
      <c r="AG38">
        <v>0</v>
      </c>
      <c r="AH38">
        <v>0</v>
      </c>
      <c r="AI38" s="13">
        <f t="shared" si="1"/>
        <v>0</v>
      </c>
      <c r="AJ38" s="11" t="s">
        <v>51</v>
      </c>
      <c r="AK38" s="11" t="s">
        <v>51</v>
      </c>
      <c r="AL38" s="11" t="s">
        <v>51</v>
      </c>
      <c r="AM38" s="13">
        <f t="shared" si="7"/>
        <v>0</v>
      </c>
      <c r="AN38" s="18">
        <v>8</v>
      </c>
      <c r="AO38" s="18">
        <v>0</v>
      </c>
      <c r="AP38" s="18">
        <v>0</v>
      </c>
      <c r="AQ38" s="18">
        <v>0</v>
      </c>
      <c r="AR38" s="18">
        <f t="shared" si="8"/>
        <v>8</v>
      </c>
      <c r="AS38" t="s">
        <v>52</v>
      </c>
      <c r="AT38" s="9" t="s">
        <v>191</v>
      </c>
      <c r="AU38" s="30">
        <f>+((AN38*I38)+(AO38*AE38)+(AQ38*AI38)+(AP38*AM38))/AR38</f>
        <v>87.68</v>
      </c>
    </row>
    <row r="39" spans="1:47" hidden="1" x14ac:dyDescent="0.25">
      <c r="A39" s="33" t="s">
        <v>46</v>
      </c>
      <c r="B39" s="32" t="s">
        <v>188</v>
      </c>
      <c r="C39" s="32" t="s">
        <v>189</v>
      </c>
      <c r="D39" s="32" t="s">
        <v>190</v>
      </c>
      <c r="E39" s="11">
        <v>20</v>
      </c>
      <c r="F39" s="11">
        <v>18.670000000000002</v>
      </c>
      <c r="G39" s="11">
        <v>45.01</v>
      </c>
      <c r="H39" s="11">
        <v>4</v>
      </c>
      <c r="I39" s="13">
        <f t="shared" si="3"/>
        <v>87.68</v>
      </c>
      <c r="J39" s="11">
        <v>0</v>
      </c>
      <c r="K39" s="11">
        <v>0</v>
      </c>
      <c r="L39" s="11">
        <v>0</v>
      </c>
      <c r="M39" s="13">
        <v>0</v>
      </c>
      <c r="N39">
        <v>48.5</v>
      </c>
      <c r="O39">
        <v>4</v>
      </c>
      <c r="P39">
        <v>18.670000000000002</v>
      </c>
      <c r="Q39">
        <v>20</v>
      </c>
      <c r="R39" s="13">
        <f t="shared" si="0"/>
        <v>91.17</v>
      </c>
      <c r="S39">
        <v>0</v>
      </c>
      <c r="T39">
        <v>0</v>
      </c>
      <c r="U39" s="7">
        <f t="shared" si="4"/>
        <v>0</v>
      </c>
      <c r="V39">
        <v>0</v>
      </c>
      <c r="W39">
        <v>0</v>
      </c>
      <c r="X39">
        <v>0</v>
      </c>
      <c r="Y39">
        <v>0</v>
      </c>
      <c r="Z39" s="13">
        <f t="shared" si="5"/>
        <v>0</v>
      </c>
      <c r="AA39">
        <v>0</v>
      </c>
      <c r="AB39">
        <v>0</v>
      </c>
      <c r="AC39">
        <v>0</v>
      </c>
      <c r="AD39">
        <v>0</v>
      </c>
      <c r="AE39" s="7">
        <f t="shared" si="6"/>
        <v>0</v>
      </c>
      <c r="AF39">
        <v>0</v>
      </c>
      <c r="AG39">
        <v>0</v>
      </c>
      <c r="AH39">
        <v>0</v>
      </c>
      <c r="AI39" s="13">
        <f t="shared" si="1"/>
        <v>0</v>
      </c>
      <c r="AJ39" s="11" t="s">
        <v>51</v>
      </c>
      <c r="AK39" s="11" t="s">
        <v>51</v>
      </c>
      <c r="AL39" s="11" t="s">
        <v>51</v>
      </c>
      <c r="AM39" s="13">
        <f t="shared" si="7"/>
        <v>0</v>
      </c>
      <c r="AN39" s="18">
        <v>2</v>
      </c>
      <c r="AO39" s="18">
        <v>0</v>
      </c>
      <c r="AP39" s="18">
        <v>0</v>
      </c>
      <c r="AQ39" s="18">
        <v>0</v>
      </c>
      <c r="AR39" s="18">
        <f t="shared" si="8"/>
        <v>2</v>
      </c>
      <c r="AS39" t="s">
        <v>117</v>
      </c>
      <c r="AT39" s="9" t="s">
        <v>191</v>
      </c>
      <c r="AU39" s="11">
        <f>+((AN39*R39)+(AQ39*AI39)+(AP39*AM39))/AR39</f>
        <v>91.17</v>
      </c>
    </row>
    <row r="40" spans="1:47" hidden="1" x14ac:dyDescent="0.25">
      <c r="A40" t="s">
        <v>46</v>
      </c>
      <c r="B40" t="s">
        <v>192</v>
      </c>
      <c r="C40" t="s">
        <v>193</v>
      </c>
      <c r="D40" t="s">
        <v>194</v>
      </c>
      <c r="E40" s="11">
        <v>0</v>
      </c>
      <c r="F40" s="11">
        <v>20</v>
      </c>
      <c r="G40" s="11">
        <v>60.35</v>
      </c>
      <c r="H40" s="11">
        <v>5.625</v>
      </c>
      <c r="I40" s="13">
        <f t="shared" si="3"/>
        <v>85.974999999999994</v>
      </c>
      <c r="J40" s="11">
        <v>0</v>
      </c>
      <c r="K40" s="11">
        <v>0</v>
      </c>
      <c r="L40" s="11">
        <v>0</v>
      </c>
      <c r="M40" s="13">
        <v>0</v>
      </c>
      <c r="N40" s="11">
        <v>0</v>
      </c>
      <c r="O40" s="11">
        <v>0</v>
      </c>
      <c r="P40" s="11">
        <v>0</v>
      </c>
      <c r="Q40" s="11">
        <v>0</v>
      </c>
      <c r="R40" s="13">
        <f t="shared" si="0"/>
        <v>0</v>
      </c>
      <c r="S40">
        <v>0</v>
      </c>
      <c r="T40">
        <v>0</v>
      </c>
      <c r="U40" s="7">
        <f t="shared" si="4"/>
        <v>0</v>
      </c>
      <c r="V40">
        <v>0</v>
      </c>
      <c r="W40">
        <v>0</v>
      </c>
      <c r="X40">
        <v>0</v>
      </c>
      <c r="Y40">
        <v>0</v>
      </c>
      <c r="Z40" s="13">
        <f t="shared" si="5"/>
        <v>0</v>
      </c>
      <c r="AA40">
        <v>0</v>
      </c>
      <c r="AB40">
        <v>0</v>
      </c>
      <c r="AC40">
        <v>0</v>
      </c>
      <c r="AD40">
        <v>0</v>
      </c>
      <c r="AE40" s="7">
        <f t="shared" si="6"/>
        <v>0</v>
      </c>
      <c r="AF40">
        <v>0</v>
      </c>
      <c r="AG40">
        <v>0</v>
      </c>
      <c r="AH40">
        <v>0</v>
      </c>
      <c r="AI40" s="13">
        <f t="shared" si="1"/>
        <v>0</v>
      </c>
      <c r="AJ40" s="11" t="s">
        <v>51</v>
      </c>
      <c r="AK40" s="11" t="s">
        <v>51</v>
      </c>
      <c r="AL40" s="11" t="s">
        <v>51</v>
      </c>
      <c r="AM40" s="13">
        <f t="shared" si="7"/>
        <v>0</v>
      </c>
      <c r="AN40" s="18">
        <v>3</v>
      </c>
      <c r="AO40" s="18">
        <v>0</v>
      </c>
      <c r="AP40" s="18">
        <v>0</v>
      </c>
      <c r="AQ40" s="18">
        <v>0</v>
      </c>
      <c r="AR40" s="18">
        <f t="shared" si="8"/>
        <v>3</v>
      </c>
      <c r="AS40" t="s">
        <v>52</v>
      </c>
      <c r="AT40" s="9" t="s">
        <v>195</v>
      </c>
      <c r="AU40" s="30">
        <f>+((AN40*I40)+(AO40*AE40)+(AQ40*AI40)+(AP40*AM40))/AR40</f>
        <v>85.97499999999998</v>
      </c>
    </row>
    <row r="41" spans="1:47" hidden="1" x14ac:dyDescent="0.25">
      <c r="A41" t="s">
        <v>46</v>
      </c>
      <c r="B41" t="s">
        <v>196</v>
      </c>
      <c r="C41" t="s">
        <v>197</v>
      </c>
      <c r="D41" t="s">
        <v>198</v>
      </c>
      <c r="E41" s="11">
        <v>20</v>
      </c>
      <c r="F41" s="11">
        <v>17.329999999999998</v>
      </c>
      <c r="G41" s="11">
        <v>43.88</v>
      </c>
      <c r="H41" s="11">
        <v>6</v>
      </c>
      <c r="I41" s="13">
        <f t="shared" si="3"/>
        <v>87.210000000000008</v>
      </c>
      <c r="J41" s="11">
        <v>0</v>
      </c>
      <c r="K41" s="11">
        <v>0</v>
      </c>
      <c r="L41" s="11">
        <v>0</v>
      </c>
      <c r="M41" s="13">
        <v>0</v>
      </c>
      <c r="N41" s="11">
        <v>0</v>
      </c>
      <c r="O41" s="11">
        <v>0</v>
      </c>
      <c r="P41" s="11">
        <v>0</v>
      </c>
      <c r="Q41" s="11">
        <v>0</v>
      </c>
      <c r="R41" s="13">
        <f t="shared" si="0"/>
        <v>0</v>
      </c>
      <c r="S41">
        <v>0</v>
      </c>
      <c r="T41">
        <v>0</v>
      </c>
      <c r="U41" s="7">
        <f t="shared" si="4"/>
        <v>0</v>
      </c>
      <c r="V41">
        <v>0</v>
      </c>
      <c r="W41">
        <v>0</v>
      </c>
      <c r="X41">
        <v>0</v>
      </c>
      <c r="Y41">
        <v>0</v>
      </c>
      <c r="Z41" s="13">
        <f t="shared" si="5"/>
        <v>0</v>
      </c>
      <c r="AA41">
        <v>0</v>
      </c>
      <c r="AB41">
        <v>0</v>
      </c>
      <c r="AC41">
        <v>0</v>
      </c>
      <c r="AD41">
        <v>0</v>
      </c>
      <c r="AE41" s="7">
        <f t="shared" si="6"/>
        <v>0</v>
      </c>
      <c r="AF41">
        <v>0</v>
      </c>
      <c r="AG41">
        <v>0</v>
      </c>
      <c r="AH41">
        <v>0</v>
      </c>
      <c r="AI41" s="13">
        <f t="shared" si="1"/>
        <v>0</v>
      </c>
      <c r="AJ41" s="11" t="s">
        <v>51</v>
      </c>
      <c r="AK41" s="11" t="s">
        <v>51</v>
      </c>
      <c r="AL41" s="11" t="s">
        <v>51</v>
      </c>
      <c r="AM41" s="13">
        <f t="shared" si="7"/>
        <v>0</v>
      </c>
      <c r="AN41" s="18">
        <v>4</v>
      </c>
      <c r="AO41" s="18">
        <v>0</v>
      </c>
      <c r="AP41" s="18">
        <v>0</v>
      </c>
      <c r="AQ41" s="18">
        <v>0</v>
      </c>
      <c r="AR41" s="18">
        <f t="shared" si="8"/>
        <v>4</v>
      </c>
      <c r="AS41" t="s">
        <v>52</v>
      </c>
      <c r="AT41" s="9" t="s">
        <v>199</v>
      </c>
      <c r="AU41" s="30">
        <f>+((AN41*I41)+(AO41*AE41)+(AQ41*AI41)+(AP41*AM41))/AR41</f>
        <v>87.210000000000008</v>
      </c>
    </row>
    <row r="42" spans="1:47" hidden="1" x14ac:dyDescent="0.25">
      <c r="A42" t="s">
        <v>46</v>
      </c>
      <c r="B42" s="32" t="s">
        <v>200</v>
      </c>
      <c r="C42" s="32" t="s">
        <v>201</v>
      </c>
      <c r="D42" s="32" t="s">
        <v>202</v>
      </c>
      <c r="E42" s="11">
        <v>0</v>
      </c>
      <c r="F42" s="11">
        <v>0</v>
      </c>
      <c r="G42" s="11">
        <v>0</v>
      </c>
      <c r="H42" s="11">
        <v>0</v>
      </c>
      <c r="I42" s="13">
        <f t="shared" si="3"/>
        <v>0</v>
      </c>
      <c r="J42" s="11">
        <v>0</v>
      </c>
      <c r="K42" s="11">
        <v>0</v>
      </c>
      <c r="L42" s="11">
        <v>0</v>
      </c>
      <c r="M42" s="13">
        <v>0</v>
      </c>
      <c r="N42" s="11">
        <v>60.337499999999999</v>
      </c>
      <c r="O42" s="11">
        <v>6.25</v>
      </c>
      <c r="P42" s="11">
        <v>0</v>
      </c>
      <c r="Q42" s="11">
        <v>24.162500000000001</v>
      </c>
      <c r="R42" s="13">
        <f t="shared" si="0"/>
        <v>90.75</v>
      </c>
      <c r="S42">
        <v>0</v>
      </c>
      <c r="T42">
        <v>0</v>
      </c>
      <c r="U42" s="7">
        <f t="shared" si="4"/>
        <v>0</v>
      </c>
      <c r="V42">
        <v>0</v>
      </c>
      <c r="W42">
        <v>0</v>
      </c>
      <c r="X42">
        <v>0</v>
      </c>
      <c r="Y42">
        <v>0</v>
      </c>
      <c r="Z42" s="13">
        <f t="shared" si="5"/>
        <v>0</v>
      </c>
      <c r="AA42">
        <v>0</v>
      </c>
      <c r="AB42">
        <v>0</v>
      </c>
      <c r="AC42">
        <v>0</v>
      </c>
      <c r="AD42">
        <v>0</v>
      </c>
      <c r="AE42" s="7">
        <f t="shared" si="6"/>
        <v>0</v>
      </c>
      <c r="AF42">
        <v>0</v>
      </c>
      <c r="AG42">
        <v>0</v>
      </c>
      <c r="AH42">
        <v>0</v>
      </c>
      <c r="AI42" s="13">
        <f t="shared" si="1"/>
        <v>0</v>
      </c>
      <c r="AJ42" s="11" t="s">
        <v>51</v>
      </c>
      <c r="AK42" s="11">
        <v>33.75</v>
      </c>
      <c r="AL42" s="11">
        <v>57.7</v>
      </c>
      <c r="AM42" s="13">
        <f t="shared" si="7"/>
        <v>91.45</v>
      </c>
      <c r="AN42" s="18">
        <v>7</v>
      </c>
      <c r="AO42" s="18">
        <v>0</v>
      </c>
      <c r="AP42" s="18">
        <v>3</v>
      </c>
      <c r="AQ42" s="18">
        <v>0</v>
      </c>
      <c r="AR42" s="18">
        <f t="shared" si="8"/>
        <v>10</v>
      </c>
      <c r="AS42" t="s">
        <v>117</v>
      </c>
      <c r="AT42" s="9" t="s">
        <v>203</v>
      </c>
      <c r="AU42" s="11">
        <f>+((AN42*R42)+(AQ42*AI42)+(AP42*AM42))/AR42</f>
        <v>90.960000000000008</v>
      </c>
    </row>
    <row r="43" spans="1:47" hidden="1" x14ac:dyDescent="0.25">
      <c r="A43" t="s">
        <v>46</v>
      </c>
      <c r="B43" t="s">
        <v>204</v>
      </c>
      <c r="C43" t="s">
        <v>205</v>
      </c>
      <c r="D43" t="s">
        <v>206</v>
      </c>
      <c r="E43" s="11">
        <v>20</v>
      </c>
      <c r="F43" s="11">
        <v>20</v>
      </c>
      <c r="G43" s="11">
        <v>42.49</v>
      </c>
      <c r="H43" s="11">
        <v>5.5</v>
      </c>
      <c r="I43" s="13">
        <f t="shared" si="3"/>
        <v>87.990000000000009</v>
      </c>
      <c r="J43" s="11">
        <v>0</v>
      </c>
      <c r="K43" s="11">
        <v>0</v>
      </c>
      <c r="L43" s="11">
        <v>0</v>
      </c>
      <c r="M43" s="13">
        <v>0</v>
      </c>
      <c r="N43" s="11">
        <v>0</v>
      </c>
      <c r="O43" s="11">
        <v>0</v>
      </c>
      <c r="P43" s="11">
        <v>0</v>
      </c>
      <c r="Q43" s="11">
        <v>0</v>
      </c>
      <c r="R43" s="13">
        <f t="shared" si="0"/>
        <v>0</v>
      </c>
      <c r="S43">
        <v>0</v>
      </c>
      <c r="T43">
        <v>0</v>
      </c>
      <c r="U43" s="7">
        <f t="shared" si="4"/>
        <v>0</v>
      </c>
      <c r="V43">
        <v>0</v>
      </c>
      <c r="W43">
        <v>0</v>
      </c>
      <c r="X43">
        <v>0</v>
      </c>
      <c r="Y43">
        <v>0</v>
      </c>
      <c r="Z43" s="13">
        <f t="shared" si="5"/>
        <v>0</v>
      </c>
      <c r="AA43">
        <v>0</v>
      </c>
      <c r="AB43">
        <v>0</v>
      </c>
      <c r="AC43">
        <v>0</v>
      </c>
      <c r="AD43">
        <v>0</v>
      </c>
      <c r="AE43" s="7">
        <f t="shared" si="6"/>
        <v>0</v>
      </c>
      <c r="AF43">
        <v>0</v>
      </c>
      <c r="AG43">
        <v>0</v>
      </c>
      <c r="AH43">
        <v>0</v>
      </c>
      <c r="AI43" s="13">
        <f t="shared" si="1"/>
        <v>0</v>
      </c>
      <c r="AJ43" s="11" t="s">
        <v>51</v>
      </c>
      <c r="AK43" s="11" t="s">
        <v>51</v>
      </c>
      <c r="AL43" s="11" t="s">
        <v>51</v>
      </c>
      <c r="AM43" s="13">
        <f t="shared" si="7"/>
        <v>0</v>
      </c>
      <c r="AN43" s="18">
        <v>8</v>
      </c>
      <c r="AO43" s="18">
        <v>0</v>
      </c>
      <c r="AP43" s="18">
        <v>0</v>
      </c>
      <c r="AQ43" s="18">
        <v>0</v>
      </c>
      <c r="AR43" s="18">
        <f t="shared" si="8"/>
        <v>8</v>
      </c>
      <c r="AS43" t="s">
        <v>52</v>
      </c>
      <c r="AT43" s="9" t="s">
        <v>207</v>
      </c>
      <c r="AU43" s="30">
        <f>+((AN43*I43)+(AO43*AE43)+(AQ43*AI43)+(AP43*AM43))/AR43</f>
        <v>87.990000000000009</v>
      </c>
    </row>
    <row r="44" spans="1:47" hidden="1" x14ac:dyDescent="0.25">
      <c r="A44" t="s">
        <v>46</v>
      </c>
      <c r="B44" t="s">
        <v>208</v>
      </c>
      <c r="C44" t="s">
        <v>209</v>
      </c>
      <c r="D44" t="s">
        <v>210</v>
      </c>
      <c r="E44" s="11">
        <v>0</v>
      </c>
      <c r="F44" s="11">
        <v>25</v>
      </c>
      <c r="G44" s="11">
        <v>55.8</v>
      </c>
      <c r="H44" s="11">
        <v>3.125</v>
      </c>
      <c r="I44" s="13">
        <f t="shared" si="3"/>
        <v>83.924999999999997</v>
      </c>
      <c r="J44" s="11">
        <v>0</v>
      </c>
      <c r="K44" s="11">
        <v>0</v>
      </c>
      <c r="L44" s="11">
        <v>0</v>
      </c>
      <c r="M44" s="13">
        <v>0</v>
      </c>
      <c r="N44" s="11">
        <v>0</v>
      </c>
      <c r="O44" s="11">
        <v>0</v>
      </c>
      <c r="P44" s="11">
        <v>0</v>
      </c>
      <c r="Q44" s="11">
        <v>0</v>
      </c>
      <c r="R44" s="13">
        <f t="shared" si="0"/>
        <v>0</v>
      </c>
      <c r="S44">
        <v>0</v>
      </c>
      <c r="T44">
        <v>0</v>
      </c>
      <c r="U44" s="7">
        <f t="shared" si="4"/>
        <v>0</v>
      </c>
      <c r="V44">
        <v>0</v>
      </c>
      <c r="W44">
        <v>0</v>
      </c>
      <c r="X44">
        <v>0</v>
      </c>
      <c r="Y44">
        <v>0</v>
      </c>
      <c r="Z44" s="13">
        <f t="shared" si="5"/>
        <v>0</v>
      </c>
      <c r="AA44">
        <v>0</v>
      </c>
      <c r="AB44">
        <v>0</v>
      </c>
      <c r="AC44">
        <v>0</v>
      </c>
      <c r="AD44">
        <v>0</v>
      </c>
      <c r="AE44" s="7">
        <f t="shared" si="6"/>
        <v>0</v>
      </c>
      <c r="AF44">
        <v>0</v>
      </c>
      <c r="AG44">
        <v>0</v>
      </c>
      <c r="AH44">
        <v>0</v>
      </c>
      <c r="AI44" s="13">
        <f t="shared" si="1"/>
        <v>0</v>
      </c>
      <c r="AJ44" s="11" t="s">
        <v>51</v>
      </c>
      <c r="AK44" s="11" t="s">
        <v>51</v>
      </c>
      <c r="AL44" s="11" t="s">
        <v>51</v>
      </c>
      <c r="AM44" s="13">
        <f t="shared" si="7"/>
        <v>0</v>
      </c>
      <c r="AN44" s="18">
        <v>2</v>
      </c>
      <c r="AO44" s="18">
        <v>0</v>
      </c>
      <c r="AP44" s="18">
        <v>0</v>
      </c>
      <c r="AQ44" s="18">
        <v>0</v>
      </c>
      <c r="AR44" s="18">
        <f t="shared" si="8"/>
        <v>2</v>
      </c>
      <c r="AS44" t="s">
        <v>52</v>
      </c>
      <c r="AT44" s="9" t="s">
        <v>211</v>
      </c>
      <c r="AU44" s="30">
        <f>+((AN44*I44)+(AO44*AE44)+(AQ44*AI44)+(AP44*AM44))/AR44</f>
        <v>83.924999999999997</v>
      </c>
    </row>
    <row r="45" spans="1:47" hidden="1" x14ac:dyDescent="0.25">
      <c r="A45" t="s">
        <v>46</v>
      </c>
      <c r="B45" t="s">
        <v>212</v>
      </c>
      <c r="C45" t="s">
        <v>213</v>
      </c>
      <c r="D45" t="s">
        <v>214</v>
      </c>
      <c r="E45" s="11">
        <v>0</v>
      </c>
      <c r="F45" s="11">
        <v>0</v>
      </c>
      <c r="G45" s="11">
        <v>0</v>
      </c>
      <c r="H45" s="11">
        <v>0</v>
      </c>
      <c r="I45" s="13">
        <f t="shared" si="3"/>
        <v>0</v>
      </c>
      <c r="J45" s="11">
        <v>0</v>
      </c>
      <c r="K45" s="11">
        <v>0</v>
      </c>
      <c r="L45" s="11">
        <v>0</v>
      </c>
      <c r="M45" s="13">
        <v>0</v>
      </c>
      <c r="N45" s="11">
        <v>0</v>
      </c>
      <c r="O45" s="11">
        <v>0</v>
      </c>
      <c r="P45" s="11">
        <v>0</v>
      </c>
      <c r="Q45" s="11">
        <v>0</v>
      </c>
      <c r="R45" s="13">
        <f t="shared" si="0"/>
        <v>0</v>
      </c>
      <c r="S45">
        <v>0</v>
      </c>
      <c r="T45">
        <v>0</v>
      </c>
      <c r="U45" s="7">
        <f t="shared" si="4"/>
        <v>0</v>
      </c>
      <c r="V45" s="11">
        <v>3.125</v>
      </c>
      <c r="W45">
        <v>25</v>
      </c>
      <c r="X45">
        <v>57.1</v>
      </c>
      <c r="Y45">
        <v>0</v>
      </c>
      <c r="Z45" s="13">
        <f t="shared" si="5"/>
        <v>85.224999999999994</v>
      </c>
      <c r="AA45">
        <v>0</v>
      </c>
      <c r="AB45">
        <v>0</v>
      </c>
      <c r="AC45">
        <v>0</v>
      </c>
      <c r="AD45">
        <v>0</v>
      </c>
      <c r="AE45" s="7">
        <f t="shared" si="6"/>
        <v>0</v>
      </c>
      <c r="AF45">
        <v>0</v>
      </c>
      <c r="AG45">
        <v>0</v>
      </c>
      <c r="AH45">
        <v>0</v>
      </c>
      <c r="AI45" s="13">
        <f t="shared" si="1"/>
        <v>0</v>
      </c>
      <c r="AJ45" s="11" t="s">
        <v>51</v>
      </c>
      <c r="AK45" s="11" t="s">
        <v>51</v>
      </c>
      <c r="AL45" s="11" t="s">
        <v>51</v>
      </c>
      <c r="AM45" s="13">
        <f t="shared" si="7"/>
        <v>0</v>
      </c>
      <c r="AN45" s="18">
        <v>10</v>
      </c>
      <c r="AO45" s="18">
        <v>0</v>
      </c>
      <c r="AP45" s="18">
        <v>0</v>
      </c>
      <c r="AQ45" s="18">
        <v>0</v>
      </c>
      <c r="AR45" s="18">
        <f t="shared" si="8"/>
        <v>10</v>
      </c>
      <c r="AS45" t="s">
        <v>52</v>
      </c>
      <c r="AT45" s="9" t="s">
        <v>215</v>
      </c>
      <c r="AU45" s="30">
        <f>+((Z45*AN45)/AR45)</f>
        <v>85.224999999999994</v>
      </c>
    </row>
    <row r="46" spans="1:47" hidden="1" x14ac:dyDescent="0.25">
      <c r="A46" t="s">
        <v>46</v>
      </c>
      <c r="B46" t="s">
        <v>216</v>
      </c>
      <c r="C46" t="s">
        <v>217</v>
      </c>
      <c r="D46" t="s">
        <v>218</v>
      </c>
      <c r="E46" s="11">
        <v>0</v>
      </c>
      <c r="F46" s="11">
        <v>0</v>
      </c>
      <c r="G46" s="11">
        <v>0</v>
      </c>
      <c r="H46" s="11">
        <v>0</v>
      </c>
      <c r="I46" s="13">
        <f t="shared" si="3"/>
        <v>0</v>
      </c>
      <c r="J46" s="11">
        <v>57.82</v>
      </c>
      <c r="K46" s="11">
        <v>28.5</v>
      </c>
      <c r="L46" s="11">
        <v>4.5</v>
      </c>
      <c r="M46" s="13">
        <v>90.82</v>
      </c>
      <c r="N46" s="11">
        <v>0</v>
      </c>
      <c r="O46" s="11">
        <v>0</v>
      </c>
      <c r="P46" s="11">
        <v>0</v>
      </c>
      <c r="Q46" s="11">
        <v>0</v>
      </c>
      <c r="R46" s="13">
        <f t="shared" si="0"/>
        <v>0</v>
      </c>
      <c r="S46">
        <v>0</v>
      </c>
      <c r="T46">
        <v>0</v>
      </c>
      <c r="U46" s="7">
        <f t="shared" si="4"/>
        <v>0</v>
      </c>
      <c r="V46">
        <v>0</v>
      </c>
      <c r="W46">
        <v>0</v>
      </c>
      <c r="X46">
        <v>0</v>
      </c>
      <c r="Y46">
        <v>0</v>
      </c>
      <c r="Z46" s="13">
        <f t="shared" si="5"/>
        <v>0</v>
      </c>
      <c r="AA46">
        <v>0</v>
      </c>
      <c r="AB46">
        <v>0</v>
      </c>
      <c r="AC46">
        <v>0</v>
      </c>
      <c r="AD46">
        <v>0</v>
      </c>
      <c r="AE46" s="7">
        <f t="shared" si="6"/>
        <v>0</v>
      </c>
      <c r="AF46">
        <v>0</v>
      </c>
      <c r="AG46">
        <v>0</v>
      </c>
      <c r="AH46">
        <v>0</v>
      </c>
      <c r="AI46" s="13">
        <f t="shared" si="1"/>
        <v>0</v>
      </c>
      <c r="AJ46" s="11" t="s">
        <v>51</v>
      </c>
      <c r="AK46" s="11" t="s">
        <v>51</v>
      </c>
      <c r="AL46" s="11" t="s">
        <v>51</v>
      </c>
      <c r="AM46" s="13">
        <f t="shared" si="7"/>
        <v>0</v>
      </c>
      <c r="AN46" s="18">
        <v>2.625</v>
      </c>
      <c r="AO46" s="18">
        <v>0</v>
      </c>
      <c r="AP46" s="18">
        <v>0</v>
      </c>
      <c r="AQ46" s="18">
        <v>0</v>
      </c>
      <c r="AR46" s="18">
        <f t="shared" si="8"/>
        <v>2.625</v>
      </c>
      <c r="AS46" t="s">
        <v>87</v>
      </c>
      <c r="AT46" s="9" t="s">
        <v>219</v>
      </c>
      <c r="AU46" s="30">
        <f>+((AN46*M46)/AR46)</f>
        <v>90.82</v>
      </c>
    </row>
    <row r="47" spans="1:47" hidden="1" x14ac:dyDescent="0.25">
      <c r="A47" t="s">
        <v>46</v>
      </c>
      <c r="B47" t="s">
        <v>220</v>
      </c>
      <c r="C47" t="s">
        <v>221</v>
      </c>
      <c r="D47" t="s">
        <v>222</v>
      </c>
      <c r="E47" s="11">
        <v>20</v>
      </c>
      <c r="F47" s="11">
        <v>18</v>
      </c>
      <c r="G47" s="11">
        <v>38.89</v>
      </c>
      <c r="H47" s="11">
        <v>5.5</v>
      </c>
      <c r="I47" s="13">
        <f t="shared" si="3"/>
        <v>82.39</v>
      </c>
      <c r="J47" s="11">
        <v>0</v>
      </c>
      <c r="K47" s="11">
        <v>0</v>
      </c>
      <c r="L47" s="11">
        <v>0</v>
      </c>
      <c r="M47" s="13">
        <v>0</v>
      </c>
      <c r="N47" s="11">
        <v>39.47</v>
      </c>
      <c r="O47" s="11">
        <v>5.5</v>
      </c>
      <c r="P47" s="11">
        <v>18</v>
      </c>
      <c r="Q47" s="11">
        <v>20</v>
      </c>
      <c r="R47" s="13">
        <f t="shared" si="0"/>
        <v>82.97</v>
      </c>
      <c r="S47">
        <v>0</v>
      </c>
      <c r="T47">
        <v>0</v>
      </c>
      <c r="U47" s="7">
        <f t="shared" si="4"/>
        <v>0</v>
      </c>
      <c r="V47">
        <v>0</v>
      </c>
      <c r="W47">
        <v>0</v>
      </c>
      <c r="X47">
        <v>0</v>
      </c>
      <c r="Y47">
        <v>0</v>
      </c>
      <c r="Z47" s="13">
        <f t="shared" si="5"/>
        <v>0</v>
      </c>
      <c r="AA47">
        <v>0</v>
      </c>
      <c r="AB47">
        <v>0</v>
      </c>
      <c r="AC47">
        <v>0</v>
      </c>
      <c r="AD47">
        <v>0</v>
      </c>
      <c r="AE47" s="7">
        <f t="shared" si="6"/>
        <v>0</v>
      </c>
      <c r="AF47">
        <v>0</v>
      </c>
      <c r="AG47">
        <v>0</v>
      </c>
      <c r="AH47">
        <v>0</v>
      </c>
      <c r="AI47" s="13">
        <f t="shared" si="1"/>
        <v>0</v>
      </c>
      <c r="AJ47" s="11" t="s">
        <v>51</v>
      </c>
      <c r="AK47" s="11" t="s">
        <v>51</v>
      </c>
      <c r="AL47" s="11" t="s">
        <v>51</v>
      </c>
      <c r="AM47" s="13">
        <f t="shared" si="7"/>
        <v>0</v>
      </c>
      <c r="AN47" s="18">
        <v>36.836874999999999</v>
      </c>
      <c r="AO47" s="18">
        <v>0</v>
      </c>
      <c r="AP47" s="18">
        <v>0</v>
      </c>
      <c r="AQ47" s="18">
        <v>0</v>
      </c>
      <c r="AR47" s="18">
        <f t="shared" si="8"/>
        <v>36.836874999999999</v>
      </c>
      <c r="AS47" t="s">
        <v>52</v>
      </c>
      <c r="AT47" s="9" t="s">
        <v>223</v>
      </c>
      <c r="AU47" s="30">
        <f>+((AN47*I47)+(AO47*AE47)+(AQ47*AI47)+(AP47*AM47))/AR47</f>
        <v>82.39</v>
      </c>
    </row>
    <row r="48" spans="1:47" hidden="1" x14ac:dyDescent="0.25">
      <c r="A48" s="33" t="s">
        <v>46</v>
      </c>
      <c r="B48" s="32" t="s">
        <v>220</v>
      </c>
      <c r="C48" s="32" t="s">
        <v>221</v>
      </c>
      <c r="D48" s="32" t="s">
        <v>222</v>
      </c>
      <c r="E48" s="11">
        <v>20</v>
      </c>
      <c r="F48" s="11">
        <v>18</v>
      </c>
      <c r="G48" s="11">
        <v>38.89</v>
      </c>
      <c r="H48" s="11">
        <v>5.5</v>
      </c>
      <c r="I48" s="13">
        <f t="shared" si="3"/>
        <v>82.39</v>
      </c>
      <c r="J48" s="11">
        <v>0</v>
      </c>
      <c r="K48" s="11">
        <v>0</v>
      </c>
      <c r="L48" s="11">
        <v>0</v>
      </c>
      <c r="M48" s="13">
        <v>0</v>
      </c>
      <c r="N48" s="11">
        <v>39.47</v>
      </c>
      <c r="O48" s="11">
        <v>5.5</v>
      </c>
      <c r="P48" s="11">
        <v>18</v>
      </c>
      <c r="Q48" s="11">
        <v>20</v>
      </c>
      <c r="R48" s="13">
        <f t="shared" si="0"/>
        <v>82.97</v>
      </c>
      <c r="S48">
        <v>0</v>
      </c>
      <c r="T48">
        <v>0</v>
      </c>
      <c r="U48" s="7">
        <f t="shared" si="4"/>
        <v>0</v>
      </c>
      <c r="V48">
        <v>0</v>
      </c>
      <c r="W48">
        <v>0</v>
      </c>
      <c r="X48">
        <v>0</v>
      </c>
      <c r="Y48">
        <v>0</v>
      </c>
      <c r="Z48" s="13">
        <f t="shared" si="5"/>
        <v>0</v>
      </c>
      <c r="AA48">
        <v>0</v>
      </c>
      <c r="AB48">
        <v>0</v>
      </c>
      <c r="AC48">
        <v>0</v>
      </c>
      <c r="AD48">
        <v>0</v>
      </c>
      <c r="AE48" s="7">
        <f t="shared" si="6"/>
        <v>0</v>
      </c>
      <c r="AF48">
        <v>0</v>
      </c>
      <c r="AG48">
        <v>0</v>
      </c>
      <c r="AH48">
        <v>0</v>
      </c>
      <c r="AI48" s="13">
        <f t="shared" si="1"/>
        <v>0</v>
      </c>
      <c r="AJ48" s="11" t="s">
        <v>51</v>
      </c>
      <c r="AK48" s="11" t="s">
        <v>51</v>
      </c>
      <c r="AL48" s="11" t="s">
        <v>51</v>
      </c>
      <c r="AM48" s="13">
        <f t="shared" si="7"/>
        <v>0</v>
      </c>
      <c r="AN48" s="18">
        <v>3</v>
      </c>
      <c r="AO48" s="18">
        <v>0</v>
      </c>
      <c r="AP48" s="18">
        <v>0</v>
      </c>
      <c r="AQ48" s="18">
        <v>0</v>
      </c>
      <c r="AR48" s="18">
        <f t="shared" si="8"/>
        <v>3</v>
      </c>
      <c r="AS48" t="s">
        <v>117</v>
      </c>
      <c r="AT48" s="9" t="s">
        <v>223</v>
      </c>
      <c r="AU48" s="11">
        <f>+((AN48*R48)+(AQ48*AI48)+(AP48*AM48))/AR48</f>
        <v>82.97</v>
      </c>
    </row>
    <row r="49" spans="1:47" hidden="1" x14ac:dyDescent="0.25">
      <c r="A49" t="s">
        <v>46</v>
      </c>
      <c r="B49" t="s">
        <v>224</v>
      </c>
      <c r="C49" t="s">
        <v>225</v>
      </c>
      <c r="D49" t="s">
        <v>226</v>
      </c>
      <c r="E49" s="11">
        <v>0</v>
      </c>
      <c r="F49" s="11">
        <v>0</v>
      </c>
      <c r="G49" s="11">
        <v>0</v>
      </c>
      <c r="H49" s="11">
        <v>0</v>
      </c>
      <c r="I49" s="13">
        <f t="shared" si="3"/>
        <v>0</v>
      </c>
      <c r="J49" s="11">
        <v>52.49</v>
      </c>
      <c r="K49" s="11">
        <v>29.5</v>
      </c>
      <c r="L49" s="11">
        <v>4</v>
      </c>
      <c r="M49" s="13">
        <v>85.990000000000009</v>
      </c>
      <c r="N49" s="11">
        <v>0</v>
      </c>
      <c r="O49" s="11">
        <v>0</v>
      </c>
      <c r="P49" s="11">
        <v>0</v>
      </c>
      <c r="Q49" s="11">
        <v>0</v>
      </c>
      <c r="R49" s="13">
        <f t="shared" si="0"/>
        <v>0</v>
      </c>
      <c r="S49">
        <v>0</v>
      </c>
      <c r="T49">
        <v>0</v>
      </c>
      <c r="U49" s="7">
        <f t="shared" si="4"/>
        <v>0</v>
      </c>
      <c r="V49">
        <v>0</v>
      </c>
      <c r="W49">
        <v>0</v>
      </c>
      <c r="X49">
        <v>0</v>
      </c>
      <c r="Y49">
        <v>0</v>
      </c>
      <c r="Z49" s="13">
        <f t="shared" si="5"/>
        <v>0</v>
      </c>
      <c r="AA49">
        <v>0</v>
      </c>
      <c r="AB49">
        <v>0</v>
      </c>
      <c r="AC49">
        <v>0</v>
      </c>
      <c r="AD49">
        <v>0</v>
      </c>
      <c r="AE49" s="7">
        <f t="shared" si="6"/>
        <v>0</v>
      </c>
      <c r="AF49">
        <v>0</v>
      </c>
      <c r="AG49">
        <v>0</v>
      </c>
      <c r="AH49">
        <v>0</v>
      </c>
      <c r="AI49" s="13">
        <f t="shared" si="1"/>
        <v>0</v>
      </c>
      <c r="AJ49" s="11" t="s">
        <v>51</v>
      </c>
      <c r="AK49" s="11" t="s">
        <v>51</v>
      </c>
      <c r="AL49" s="11" t="s">
        <v>51</v>
      </c>
      <c r="AM49" s="13">
        <f t="shared" si="7"/>
        <v>0</v>
      </c>
      <c r="AN49" s="18">
        <v>2</v>
      </c>
      <c r="AO49" s="18">
        <v>0</v>
      </c>
      <c r="AP49" s="18">
        <v>0</v>
      </c>
      <c r="AQ49" s="18">
        <v>0</v>
      </c>
      <c r="AR49" s="18">
        <f t="shared" si="8"/>
        <v>2</v>
      </c>
      <c r="AS49" t="s">
        <v>87</v>
      </c>
      <c r="AT49" s="9" t="s">
        <v>227</v>
      </c>
      <c r="AU49" s="30">
        <f>+((AN49*M49)/AR49)</f>
        <v>85.990000000000009</v>
      </c>
    </row>
    <row r="50" spans="1:47" hidden="1" x14ac:dyDescent="0.25">
      <c r="A50" t="s">
        <v>46</v>
      </c>
      <c r="B50" t="s">
        <v>228</v>
      </c>
      <c r="C50" t="s">
        <v>229</v>
      </c>
      <c r="D50" t="s">
        <v>230</v>
      </c>
      <c r="E50" s="11">
        <v>20</v>
      </c>
      <c r="F50" s="11">
        <v>12</v>
      </c>
      <c r="G50" s="11">
        <v>46.18</v>
      </c>
      <c r="H50" s="11">
        <v>6.5</v>
      </c>
      <c r="I50" s="13">
        <f t="shared" si="3"/>
        <v>84.68</v>
      </c>
      <c r="J50" s="11">
        <v>0</v>
      </c>
      <c r="K50" s="11">
        <v>0</v>
      </c>
      <c r="L50" s="11">
        <v>0</v>
      </c>
      <c r="M50" s="13">
        <v>0</v>
      </c>
      <c r="N50" s="11">
        <v>0</v>
      </c>
      <c r="O50" s="11">
        <v>0</v>
      </c>
      <c r="P50" s="11">
        <v>0</v>
      </c>
      <c r="Q50" s="11">
        <v>0</v>
      </c>
      <c r="R50" s="13">
        <f t="shared" si="0"/>
        <v>0</v>
      </c>
      <c r="S50">
        <v>0</v>
      </c>
      <c r="T50">
        <v>0</v>
      </c>
      <c r="U50" s="7">
        <f t="shared" si="4"/>
        <v>0</v>
      </c>
      <c r="V50">
        <v>0</v>
      </c>
      <c r="W50">
        <v>0</v>
      </c>
      <c r="X50">
        <v>0</v>
      </c>
      <c r="Y50">
        <v>0</v>
      </c>
      <c r="Z50" s="13">
        <f t="shared" si="5"/>
        <v>0</v>
      </c>
      <c r="AA50">
        <v>0</v>
      </c>
      <c r="AB50">
        <v>0</v>
      </c>
      <c r="AC50">
        <v>0</v>
      </c>
      <c r="AD50">
        <v>0</v>
      </c>
      <c r="AE50" s="7">
        <f t="shared" si="6"/>
        <v>0</v>
      </c>
      <c r="AF50">
        <v>0</v>
      </c>
      <c r="AG50">
        <v>0</v>
      </c>
      <c r="AH50">
        <v>0</v>
      </c>
      <c r="AI50" s="13">
        <f t="shared" si="1"/>
        <v>0</v>
      </c>
      <c r="AJ50" s="11" t="s">
        <v>51</v>
      </c>
      <c r="AK50" s="11" t="s">
        <v>51</v>
      </c>
      <c r="AL50" s="11" t="s">
        <v>51</v>
      </c>
      <c r="AM50" s="13">
        <f t="shared" si="7"/>
        <v>0</v>
      </c>
      <c r="AN50" s="18">
        <v>6</v>
      </c>
      <c r="AO50" s="18">
        <v>0</v>
      </c>
      <c r="AP50" s="18">
        <v>0</v>
      </c>
      <c r="AQ50" s="18">
        <v>0</v>
      </c>
      <c r="AR50" s="18">
        <f t="shared" si="8"/>
        <v>6</v>
      </c>
      <c r="AS50" t="s">
        <v>52</v>
      </c>
      <c r="AT50" s="9" t="s">
        <v>231</v>
      </c>
      <c r="AU50" s="30">
        <f t="shared" ref="AU50:AU56" si="9">+((AN50*I50)+(AO50*AE50)+(AQ50*AI50)+(AP50*AM50))/AR50</f>
        <v>84.68</v>
      </c>
    </row>
    <row r="51" spans="1:47" hidden="1" x14ac:dyDescent="0.25">
      <c r="A51" t="s">
        <v>46</v>
      </c>
      <c r="B51" t="s">
        <v>232</v>
      </c>
      <c r="C51" t="s">
        <v>233</v>
      </c>
      <c r="D51" t="s">
        <v>234</v>
      </c>
      <c r="E51" s="11">
        <v>25</v>
      </c>
      <c r="F51" s="11">
        <v>0</v>
      </c>
      <c r="G51" s="11">
        <v>53.3</v>
      </c>
      <c r="H51" s="11">
        <v>4.375</v>
      </c>
      <c r="I51" s="13">
        <f t="shared" si="3"/>
        <v>82.674999999999997</v>
      </c>
      <c r="J51" s="11">
        <v>0</v>
      </c>
      <c r="K51" s="11">
        <v>0</v>
      </c>
      <c r="L51" s="11">
        <v>0</v>
      </c>
      <c r="M51" s="13">
        <v>0</v>
      </c>
      <c r="N51" s="11">
        <v>0</v>
      </c>
      <c r="O51" s="11">
        <v>0</v>
      </c>
      <c r="P51" s="11">
        <v>0</v>
      </c>
      <c r="Q51" s="11">
        <v>0</v>
      </c>
      <c r="R51" s="13">
        <f t="shared" si="0"/>
        <v>0</v>
      </c>
      <c r="S51">
        <v>0</v>
      </c>
      <c r="T51">
        <v>0</v>
      </c>
      <c r="U51" s="7">
        <f t="shared" si="4"/>
        <v>0</v>
      </c>
      <c r="V51">
        <v>0</v>
      </c>
      <c r="W51">
        <v>0</v>
      </c>
      <c r="X51">
        <v>0</v>
      </c>
      <c r="Y51">
        <v>0</v>
      </c>
      <c r="Z51" s="13">
        <f t="shared" si="5"/>
        <v>0</v>
      </c>
      <c r="AA51">
        <v>0</v>
      </c>
      <c r="AB51">
        <v>0</v>
      </c>
      <c r="AC51">
        <v>0</v>
      </c>
      <c r="AD51">
        <v>0</v>
      </c>
      <c r="AE51" s="7">
        <f t="shared" si="6"/>
        <v>0</v>
      </c>
      <c r="AF51">
        <v>41.66</v>
      </c>
      <c r="AG51">
        <v>20</v>
      </c>
      <c r="AH51">
        <v>23.04</v>
      </c>
      <c r="AI51" s="13">
        <f t="shared" si="1"/>
        <v>84.699999999999989</v>
      </c>
      <c r="AJ51" s="11" t="s">
        <v>51</v>
      </c>
      <c r="AK51" s="11" t="s">
        <v>51</v>
      </c>
      <c r="AL51" s="11" t="s">
        <v>51</v>
      </c>
      <c r="AM51" s="13">
        <f t="shared" si="7"/>
        <v>0</v>
      </c>
      <c r="AN51" s="18">
        <v>28</v>
      </c>
      <c r="AO51" s="18">
        <v>0</v>
      </c>
      <c r="AP51" s="18">
        <v>0</v>
      </c>
      <c r="AQ51" s="18">
        <v>12</v>
      </c>
      <c r="AR51" s="18">
        <f t="shared" si="8"/>
        <v>40</v>
      </c>
      <c r="AS51" t="s">
        <v>52</v>
      </c>
      <c r="AT51" s="9" t="s">
        <v>235</v>
      </c>
      <c r="AU51" s="30">
        <f t="shared" si="9"/>
        <v>83.282499999999999</v>
      </c>
    </row>
    <row r="52" spans="1:47" hidden="1" x14ac:dyDescent="0.25">
      <c r="A52" t="s">
        <v>46</v>
      </c>
      <c r="B52" t="s">
        <v>236</v>
      </c>
      <c r="C52" t="s">
        <v>237</v>
      </c>
      <c r="D52" t="s">
        <v>238</v>
      </c>
      <c r="E52" s="11">
        <v>22.5</v>
      </c>
      <c r="F52" s="11">
        <v>0</v>
      </c>
      <c r="G52" s="11">
        <v>59.85</v>
      </c>
      <c r="H52" s="11">
        <v>3.75</v>
      </c>
      <c r="I52" s="13">
        <f t="shared" si="3"/>
        <v>86.1</v>
      </c>
      <c r="J52" s="11">
        <v>0</v>
      </c>
      <c r="K52" s="11">
        <v>0</v>
      </c>
      <c r="L52" s="11">
        <v>0</v>
      </c>
      <c r="M52" s="13">
        <v>0</v>
      </c>
      <c r="N52" s="11">
        <v>0</v>
      </c>
      <c r="O52" s="11">
        <v>0</v>
      </c>
      <c r="P52" s="11">
        <v>0</v>
      </c>
      <c r="Q52" s="11">
        <v>0</v>
      </c>
      <c r="R52" s="13">
        <f t="shared" si="0"/>
        <v>0</v>
      </c>
      <c r="S52">
        <v>0</v>
      </c>
      <c r="T52">
        <v>0</v>
      </c>
      <c r="U52" s="7">
        <f t="shared" si="4"/>
        <v>0</v>
      </c>
      <c r="V52">
        <v>0</v>
      </c>
      <c r="W52">
        <v>0</v>
      </c>
      <c r="X52">
        <v>0</v>
      </c>
      <c r="Y52">
        <v>0</v>
      </c>
      <c r="Z52" s="13">
        <f t="shared" si="5"/>
        <v>0</v>
      </c>
      <c r="AA52">
        <v>0</v>
      </c>
      <c r="AB52">
        <v>0</v>
      </c>
      <c r="AC52">
        <v>0</v>
      </c>
      <c r="AD52">
        <v>0</v>
      </c>
      <c r="AE52" s="7">
        <f t="shared" si="6"/>
        <v>0</v>
      </c>
      <c r="AF52">
        <v>0</v>
      </c>
      <c r="AG52">
        <v>0</v>
      </c>
      <c r="AH52">
        <v>0</v>
      </c>
      <c r="AI52" s="13">
        <f t="shared" si="1"/>
        <v>0</v>
      </c>
      <c r="AJ52" s="11" t="s">
        <v>51</v>
      </c>
      <c r="AK52" s="11" t="s">
        <v>51</v>
      </c>
      <c r="AL52" s="11" t="s">
        <v>51</v>
      </c>
      <c r="AM52" s="13">
        <f t="shared" si="7"/>
        <v>0</v>
      </c>
      <c r="AN52" s="18">
        <v>8</v>
      </c>
      <c r="AO52" s="18">
        <v>0</v>
      </c>
      <c r="AP52" s="18">
        <v>0</v>
      </c>
      <c r="AQ52" s="18">
        <v>0</v>
      </c>
      <c r="AR52" s="18">
        <f t="shared" si="8"/>
        <v>8</v>
      </c>
      <c r="AS52" t="s">
        <v>52</v>
      </c>
      <c r="AT52" s="9" t="s">
        <v>239</v>
      </c>
      <c r="AU52" s="30">
        <f t="shared" si="9"/>
        <v>86.1</v>
      </c>
    </row>
    <row r="53" spans="1:47" hidden="1" x14ac:dyDescent="0.25">
      <c r="A53" t="s">
        <v>46</v>
      </c>
      <c r="B53" t="s">
        <v>240</v>
      </c>
      <c r="C53" t="s">
        <v>241</v>
      </c>
      <c r="D53" t="s">
        <v>242</v>
      </c>
      <c r="E53" s="11">
        <v>19.329999999999998</v>
      </c>
      <c r="F53" s="11">
        <v>18.329999999999998</v>
      </c>
      <c r="G53" s="11">
        <v>46.91</v>
      </c>
      <c r="H53" s="11">
        <v>3</v>
      </c>
      <c r="I53" s="13">
        <f t="shared" si="3"/>
        <v>87.57</v>
      </c>
      <c r="J53" s="11">
        <v>0</v>
      </c>
      <c r="K53" s="11">
        <v>0</v>
      </c>
      <c r="L53" s="11">
        <v>0</v>
      </c>
      <c r="M53" s="13">
        <v>0</v>
      </c>
      <c r="N53" s="11">
        <v>0</v>
      </c>
      <c r="O53" s="11">
        <v>0</v>
      </c>
      <c r="P53" s="11">
        <v>0</v>
      </c>
      <c r="Q53" s="11">
        <v>0</v>
      </c>
      <c r="R53" s="13">
        <f t="shared" si="0"/>
        <v>0</v>
      </c>
      <c r="S53">
        <v>0</v>
      </c>
      <c r="T53">
        <v>0</v>
      </c>
      <c r="U53" s="7">
        <f t="shared" si="4"/>
        <v>0</v>
      </c>
      <c r="V53">
        <v>0</v>
      </c>
      <c r="W53">
        <v>0</v>
      </c>
      <c r="X53">
        <v>0</v>
      </c>
      <c r="Y53">
        <v>0</v>
      </c>
      <c r="Z53" s="13">
        <f t="shared" si="5"/>
        <v>0</v>
      </c>
      <c r="AA53">
        <v>0</v>
      </c>
      <c r="AB53">
        <v>0</v>
      </c>
      <c r="AC53">
        <v>0</v>
      </c>
      <c r="AD53">
        <v>0</v>
      </c>
      <c r="AE53" s="7">
        <f t="shared" si="6"/>
        <v>0</v>
      </c>
      <c r="AF53">
        <v>0</v>
      </c>
      <c r="AG53">
        <v>0</v>
      </c>
      <c r="AH53">
        <v>0</v>
      </c>
      <c r="AI53" s="13">
        <f t="shared" si="1"/>
        <v>0</v>
      </c>
      <c r="AJ53" s="11" t="s">
        <v>51</v>
      </c>
      <c r="AK53" s="11" t="s">
        <v>51</v>
      </c>
      <c r="AL53" s="11" t="s">
        <v>51</v>
      </c>
      <c r="AM53" s="13">
        <f t="shared" si="7"/>
        <v>0</v>
      </c>
      <c r="AN53" s="18">
        <v>40</v>
      </c>
      <c r="AO53" s="18">
        <v>0</v>
      </c>
      <c r="AP53" s="18">
        <v>0</v>
      </c>
      <c r="AQ53" s="18">
        <v>0</v>
      </c>
      <c r="AR53" s="18">
        <f t="shared" si="8"/>
        <v>40</v>
      </c>
      <c r="AS53" t="s">
        <v>52</v>
      </c>
      <c r="AT53" s="9" t="s">
        <v>243</v>
      </c>
      <c r="AU53" s="30">
        <f t="shared" si="9"/>
        <v>87.57</v>
      </c>
    </row>
    <row r="54" spans="1:47" hidden="1" x14ac:dyDescent="0.25">
      <c r="A54" t="s">
        <v>46</v>
      </c>
      <c r="B54" t="s">
        <v>244</v>
      </c>
      <c r="C54" t="s">
        <v>245</v>
      </c>
      <c r="D54" t="s">
        <v>246</v>
      </c>
      <c r="E54" s="11">
        <v>20</v>
      </c>
      <c r="F54" s="11">
        <v>13.67</v>
      </c>
      <c r="G54" s="11">
        <v>43.17</v>
      </c>
      <c r="H54" s="11">
        <v>3</v>
      </c>
      <c r="I54" s="13">
        <f t="shared" si="3"/>
        <v>79.84</v>
      </c>
      <c r="J54" s="11">
        <v>0</v>
      </c>
      <c r="K54" s="11">
        <v>0</v>
      </c>
      <c r="L54" s="11">
        <v>0</v>
      </c>
      <c r="M54" s="13">
        <v>0</v>
      </c>
      <c r="N54" s="11">
        <v>0</v>
      </c>
      <c r="O54" s="11">
        <v>0</v>
      </c>
      <c r="P54" s="11">
        <v>0</v>
      </c>
      <c r="Q54" s="11">
        <v>0</v>
      </c>
      <c r="R54" s="13">
        <f t="shared" si="0"/>
        <v>0</v>
      </c>
      <c r="S54">
        <v>0</v>
      </c>
      <c r="T54">
        <v>0</v>
      </c>
      <c r="U54" s="7">
        <f t="shared" si="4"/>
        <v>0</v>
      </c>
      <c r="V54">
        <v>0</v>
      </c>
      <c r="W54">
        <v>0</v>
      </c>
      <c r="X54">
        <v>0</v>
      </c>
      <c r="Y54">
        <v>0</v>
      </c>
      <c r="Z54" s="13">
        <f t="shared" si="5"/>
        <v>0</v>
      </c>
      <c r="AA54">
        <v>0</v>
      </c>
      <c r="AB54">
        <v>0</v>
      </c>
      <c r="AC54">
        <v>0</v>
      </c>
      <c r="AD54">
        <v>0</v>
      </c>
      <c r="AE54" s="7">
        <f t="shared" si="6"/>
        <v>0</v>
      </c>
      <c r="AF54">
        <v>33.340000000000003</v>
      </c>
      <c r="AG54">
        <v>20</v>
      </c>
      <c r="AH54">
        <v>26.72</v>
      </c>
      <c r="AI54" s="13">
        <f t="shared" si="1"/>
        <v>80.06</v>
      </c>
      <c r="AJ54" s="11" t="s">
        <v>51</v>
      </c>
      <c r="AK54" s="11" t="s">
        <v>51</v>
      </c>
      <c r="AL54" s="11" t="s">
        <v>51</v>
      </c>
      <c r="AM54" s="13">
        <f t="shared" si="7"/>
        <v>0</v>
      </c>
      <c r="AN54" s="18">
        <v>32</v>
      </c>
      <c r="AO54" s="18">
        <v>0</v>
      </c>
      <c r="AP54" s="18">
        <v>0</v>
      </c>
      <c r="AQ54" s="18">
        <v>8</v>
      </c>
      <c r="AR54" s="18">
        <f t="shared" si="8"/>
        <v>40</v>
      </c>
      <c r="AS54" t="s">
        <v>52</v>
      </c>
      <c r="AT54" s="9" t="s">
        <v>247</v>
      </c>
      <c r="AU54" s="30">
        <f t="shared" si="9"/>
        <v>79.884</v>
      </c>
    </row>
    <row r="55" spans="1:47" hidden="1" x14ac:dyDescent="0.25">
      <c r="A55" t="s">
        <v>46</v>
      </c>
      <c r="B55" t="s">
        <v>248</v>
      </c>
      <c r="C55" t="s">
        <v>249</v>
      </c>
      <c r="D55" t="s">
        <v>250</v>
      </c>
      <c r="E55" s="11">
        <v>20</v>
      </c>
      <c r="F55" s="11">
        <v>18</v>
      </c>
      <c r="G55" s="11">
        <v>36.450000000000003</v>
      </c>
      <c r="H55" s="11">
        <v>6.5</v>
      </c>
      <c r="I55" s="13">
        <f t="shared" si="3"/>
        <v>80.95</v>
      </c>
      <c r="J55" s="11">
        <v>0</v>
      </c>
      <c r="K55" s="11">
        <v>0</v>
      </c>
      <c r="L55" s="11">
        <v>0</v>
      </c>
      <c r="M55" s="13">
        <v>0</v>
      </c>
      <c r="N55" s="11">
        <v>0</v>
      </c>
      <c r="O55" s="11">
        <v>0</v>
      </c>
      <c r="P55" s="11">
        <v>0</v>
      </c>
      <c r="Q55" s="11">
        <v>0</v>
      </c>
      <c r="R55" s="13">
        <f t="shared" si="0"/>
        <v>0</v>
      </c>
      <c r="S55">
        <v>0</v>
      </c>
      <c r="T55">
        <v>0</v>
      </c>
      <c r="U55" s="7">
        <f t="shared" si="4"/>
        <v>0</v>
      </c>
      <c r="V55">
        <v>0</v>
      </c>
      <c r="W55">
        <v>0</v>
      </c>
      <c r="X55">
        <v>0</v>
      </c>
      <c r="Y55">
        <v>0</v>
      </c>
      <c r="Z55" s="13">
        <f t="shared" si="5"/>
        <v>0</v>
      </c>
      <c r="AA55">
        <v>0</v>
      </c>
      <c r="AB55">
        <v>0</v>
      </c>
      <c r="AC55">
        <v>0</v>
      </c>
      <c r="AD55">
        <v>0</v>
      </c>
      <c r="AE55" s="7">
        <f t="shared" si="6"/>
        <v>0</v>
      </c>
      <c r="AF55">
        <v>0</v>
      </c>
      <c r="AG55">
        <v>0</v>
      </c>
      <c r="AH55">
        <v>0</v>
      </c>
      <c r="AI55" s="13">
        <f t="shared" si="1"/>
        <v>0</v>
      </c>
      <c r="AJ55" s="11" t="s">
        <v>51</v>
      </c>
      <c r="AK55" s="11" t="s">
        <v>51</v>
      </c>
      <c r="AL55" s="11" t="s">
        <v>51</v>
      </c>
      <c r="AM55" s="13">
        <f t="shared" si="7"/>
        <v>0</v>
      </c>
      <c r="AN55" s="18">
        <v>11</v>
      </c>
      <c r="AO55" s="18">
        <v>0</v>
      </c>
      <c r="AP55" s="18">
        <v>0</v>
      </c>
      <c r="AQ55" s="18">
        <v>0</v>
      </c>
      <c r="AR55" s="18">
        <f t="shared" si="8"/>
        <v>11</v>
      </c>
      <c r="AS55" t="s">
        <v>52</v>
      </c>
      <c r="AT55" s="9" t="s">
        <v>251</v>
      </c>
      <c r="AU55" s="30">
        <f t="shared" si="9"/>
        <v>80.95</v>
      </c>
    </row>
    <row r="56" spans="1:47" hidden="1" x14ac:dyDescent="0.25">
      <c r="A56" t="s">
        <v>46</v>
      </c>
      <c r="B56" t="s">
        <v>252</v>
      </c>
      <c r="C56" t="s">
        <v>253</v>
      </c>
      <c r="D56" t="s">
        <v>254</v>
      </c>
      <c r="E56" s="11">
        <v>20</v>
      </c>
      <c r="F56" s="11">
        <v>18.670000000000002</v>
      </c>
      <c r="G56" s="11">
        <v>44.23</v>
      </c>
      <c r="H56" s="11">
        <v>2.5</v>
      </c>
      <c r="I56" s="13">
        <f t="shared" si="3"/>
        <v>85.4</v>
      </c>
      <c r="J56" s="11">
        <v>0</v>
      </c>
      <c r="K56" s="11">
        <v>0</v>
      </c>
      <c r="L56" s="11">
        <v>0</v>
      </c>
      <c r="M56" s="13">
        <v>0</v>
      </c>
      <c r="N56" s="11">
        <v>0</v>
      </c>
      <c r="O56" s="11">
        <v>0</v>
      </c>
      <c r="P56" s="11">
        <v>0</v>
      </c>
      <c r="Q56" s="11">
        <v>0</v>
      </c>
      <c r="R56" s="13">
        <f t="shared" si="0"/>
        <v>0</v>
      </c>
      <c r="S56">
        <v>0</v>
      </c>
      <c r="T56">
        <v>0</v>
      </c>
      <c r="U56" s="7">
        <f t="shared" si="4"/>
        <v>0</v>
      </c>
      <c r="V56">
        <v>0</v>
      </c>
      <c r="W56">
        <v>0</v>
      </c>
      <c r="X56">
        <v>0</v>
      </c>
      <c r="Y56">
        <v>0</v>
      </c>
      <c r="Z56" s="13">
        <f t="shared" si="5"/>
        <v>0</v>
      </c>
      <c r="AA56">
        <v>0</v>
      </c>
      <c r="AB56">
        <v>0</v>
      </c>
      <c r="AC56">
        <v>0</v>
      </c>
      <c r="AD56">
        <v>0</v>
      </c>
      <c r="AE56" s="7">
        <f t="shared" si="6"/>
        <v>0</v>
      </c>
      <c r="AF56">
        <v>0</v>
      </c>
      <c r="AG56">
        <v>0</v>
      </c>
      <c r="AH56">
        <v>0</v>
      </c>
      <c r="AI56" s="13">
        <f t="shared" si="1"/>
        <v>0</v>
      </c>
      <c r="AJ56" s="11" t="s">
        <v>51</v>
      </c>
      <c r="AK56" s="11" t="s">
        <v>51</v>
      </c>
      <c r="AL56" s="11" t="s">
        <v>51</v>
      </c>
      <c r="AM56" s="13">
        <f t="shared" si="7"/>
        <v>0</v>
      </c>
      <c r="AN56" s="18">
        <v>10</v>
      </c>
      <c r="AO56" s="18">
        <v>0</v>
      </c>
      <c r="AP56" s="18">
        <v>0</v>
      </c>
      <c r="AQ56" s="18">
        <v>0</v>
      </c>
      <c r="AR56" s="18">
        <f t="shared" si="8"/>
        <v>10</v>
      </c>
      <c r="AS56" t="s">
        <v>52</v>
      </c>
      <c r="AT56" s="9" t="s">
        <v>255</v>
      </c>
      <c r="AU56" s="30">
        <f t="shared" si="9"/>
        <v>85.4</v>
      </c>
    </row>
    <row r="57" spans="1:47" hidden="1" x14ac:dyDescent="0.25">
      <c r="A57" t="s">
        <v>46</v>
      </c>
      <c r="B57" t="s">
        <v>256</v>
      </c>
      <c r="C57" t="s">
        <v>257</v>
      </c>
      <c r="D57" t="s">
        <v>258</v>
      </c>
      <c r="E57" s="11">
        <v>0</v>
      </c>
      <c r="F57" s="11">
        <v>0</v>
      </c>
      <c r="G57" s="11">
        <v>0</v>
      </c>
      <c r="H57" s="11">
        <v>0</v>
      </c>
      <c r="I57" s="13">
        <f t="shared" si="3"/>
        <v>0</v>
      </c>
      <c r="J57" s="11">
        <v>83.785714285714278</v>
      </c>
      <c r="K57" s="11">
        <v>0</v>
      </c>
      <c r="L57" s="11">
        <v>0</v>
      </c>
      <c r="M57" s="13">
        <v>83.785714285714278</v>
      </c>
      <c r="N57" s="11">
        <v>0</v>
      </c>
      <c r="O57" s="11">
        <v>0</v>
      </c>
      <c r="P57" s="11">
        <v>0</v>
      </c>
      <c r="Q57" s="11">
        <v>0</v>
      </c>
      <c r="R57" s="13">
        <f t="shared" si="0"/>
        <v>0</v>
      </c>
      <c r="S57">
        <v>0</v>
      </c>
      <c r="T57">
        <v>0</v>
      </c>
      <c r="U57" s="7">
        <f t="shared" si="4"/>
        <v>0</v>
      </c>
      <c r="V57">
        <v>0</v>
      </c>
      <c r="W57">
        <v>0</v>
      </c>
      <c r="X57">
        <v>0</v>
      </c>
      <c r="Y57">
        <v>0</v>
      </c>
      <c r="Z57" s="13">
        <f t="shared" si="5"/>
        <v>0</v>
      </c>
      <c r="AA57">
        <v>0</v>
      </c>
      <c r="AB57">
        <v>0</v>
      </c>
      <c r="AC57">
        <v>0</v>
      </c>
      <c r="AD57">
        <v>0</v>
      </c>
      <c r="AE57" s="7">
        <f t="shared" si="6"/>
        <v>0</v>
      </c>
      <c r="AF57">
        <v>0</v>
      </c>
      <c r="AG57">
        <v>0</v>
      </c>
      <c r="AH57">
        <v>0</v>
      </c>
      <c r="AI57" s="13">
        <f t="shared" si="1"/>
        <v>0</v>
      </c>
      <c r="AJ57" s="11" t="s">
        <v>51</v>
      </c>
      <c r="AK57" s="11" t="s">
        <v>51</v>
      </c>
      <c r="AL57" s="11" t="s">
        <v>51</v>
      </c>
      <c r="AM57" s="13">
        <f t="shared" si="7"/>
        <v>0</v>
      </c>
      <c r="AN57" s="18">
        <v>4.5</v>
      </c>
      <c r="AO57" s="18">
        <v>0</v>
      </c>
      <c r="AP57" s="18">
        <v>0</v>
      </c>
      <c r="AQ57" s="18">
        <v>0</v>
      </c>
      <c r="AR57" s="18">
        <f t="shared" si="8"/>
        <v>4.5</v>
      </c>
      <c r="AS57" t="s">
        <v>87</v>
      </c>
      <c r="AT57" s="9" t="s">
        <v>259</v>
      </c>
      <c r="AU57" s="30">
        <f>+((AN57*M57)/AR57)</f>
        <v>83.785714285714278</v>
      </c>
    </row>
    <row r="58" spans="1:47" hidden="1" x14ac:dyDescent="0.25">
      <c r="A58" t="s">
        <v>46</v>
      </c>
      <c r="B58" t="s">
        <v>260</v>
      </c>
      <c r="C58" t="s">
        <v>261</v>
      </c>
      <c r="D58" t="s">
        <v>262</v>
      </c>
      <c r="E58" s="11">
        <v>0</v>
      </c>
      <c r="F58" s="11">
        <v>25</v>
      </c>
      <c r="G58" s="11">
        <v>41.8125</v>
      </c>
      <c r="H58" s="11">
        <v>9.375</v>
      </c>
      <c r="I58" s="13">
        <f t="shared" si="3"/>
        <v>76.1875</v>
      </c>
      <c r="J58" s="11">
        <v>0</v>
      </c>
      <c r="K58" s="11">
        <v>0</v>
      </c>
      <c r="L58" s="11">
        <v>0</v>
      </c>
      <c r="M58" s="13">
        <v>0</v>
      </c>
      <c r="N58" s="11">
        <v>0</v>
      </c>
      <c r="O58" s="11">
        <v>0</v>
      </c>
      <c r="P58" s="11">
        <v>0</v>
      </c>
      <c r="Q58" s="11">
        <v>0</v>
      </c>
      <c r="R58" s="13">
        <f t="shared" si="0"/>
        <v>0</v>
      </c>
      <c r="S58">
        <v>0</v>
      </c>
      <c r="T58">
        <v>0</v>
      </c>
      <c r="U58" s="7">
        <f t="shared" si="4"/>
        <v>0</v>
      </c>
      <c r="V58">
        <v>0</v>
      </c>
      <c r="W58">
        <v>0</v>
      </c>
      <c r="X58">
        <v>0</v>
      </c>
      <c r="Y58">
        <v>0</v>
      </c>
      <c r="Z58" s="13">
        <f t="shared" si="5"/>
        <v>0</v>
      </c>
      <c r="AA58">
        <v>0</v>
      </c>
      <c r="AB58">
        <v>0</v>
      </c>
      <c r="AC58">
        <v>0</v>
      </c>
      <c r="AD58">
        <v>0</v>
      </c>
      <c r="AE58" s="7">
        <f t="shared" si="6"/>
        <v>0</v>
      </c>
      <c r="AF58">
        <v>0</v>
      </c>
      <c r="AG58">
        <v>0</v>
      </c>
      <c r="AH58">
        <v>0</v>
      </c>
      <c r="AI58" s="13">
        <f t="shared" si="1"/>
        <v>0</v>
      </c>
      <c r="AJ58" s="11" t="s">
        <v>51</v>
      </c>
      <c r="AK58" s="11" t="s">
        <v>51</v>
      </c>
      <c r="AL58" s="11" t="s">
        <v>51</v>
      </c>
      <c r="AM58" s="13">
        <f t="shared" si="7"/>
        <v>0</v>
      </c>
      <c r="AN58" s="18">
        <v>3</v>
      </c>
      <c r="AO58" s="18">
        <v>0</v>
      </c>
      <c r="AP58" s="18">
        <v>0</v>
      </c>
      <c r="AQ58" s="18">
        <v>0</v>
      </c>
      <c r="AR58" s="18">
        <f t="shared" si="8"/>
        <v>3</v>
      </c>
      <c r="AS58" t="s">
        <v>52</v>
      </c>
      <c r="AT58" s="9" t="s">
        <v>263</v>
      </c>
      <c r="AU58" s="30">
        <f>+((AN58*I58)+(AO58*AE58)+(AQ58*AI58)+(AP58*AM58))/AR58</f>
        <v>76.1875</v>
      </c>
    </row>
    <row r="59" spans="1:47" hidden="1" x14ac:dyDescent="0.25">
      <c r="A59" t="s">
        <v>46</v>
      </c>
      <c r="B59" t="s">
        <v>264</v>
      </c>
      <c r="C59" t="s">
        <v>265</v>
      </c>
      <c r="D59" t="s">
        <v>266</v>
      </c>
      <c r="E59" s="11">
        <v>0</v>
      </c>
      <c r="F59" s="11">
        <v>0</v>
      </c>
      <c r="G59" s="11">
        <v>0</v>
      </c>
      <c r="H59" s="11">
        <v>0</v>
      </c>
      <c r="I59" s="13">
        <f t="shared" si="3"/>
        <v>0</v>
      </c>
      <c r="J59" s="11">
        <v>51.8</v>
      </c>
      <c r="K59" s="11">
        <v>30</v>
      </c>
      <c r="L59" s="11">
        <v>4</v>
      </c>
      <c r="M59" s="13">
        <v>85.8</v>
      </c>
      <c r="N59" s="11">
        <v>0</v>
      </c>
      <c r="O59" s="11">
        <v>0</v>
      </c>
      <c r="P59" s="11">
        <v>0</v>
      </c>
      <c r="Q59" s="11">
        <v>0</v>
      </c>
      <c r="R59" s="13">
        <f t="shared" si="0"/>
        <v>0</v>
      </c>
      <c r="S59">
        <v>0</v>
      </c>
      <c r="T59">
        <v>0</v>
      </c>
      <c r="U59" s="7">
        <f t="shared" si="4"/>
        <v>0</v>
      </c>
      <c r="V59">
        <v>0</v>
      </c>
      <c r="W59">
        <v>0</v>
      </c>
      <c r="X59">
        <v>0</v>
      </c>
      <c r="Y59">
        <v>0</v>
      </c>
      <c r="Z59" s="13">
        <f t="shared" si="5"/>
        <v>0</v>
      </c>
      <c r="AA59">
        <v>0</v>
      </c>
      <c r="AB59">
        <v>0</v>
      </c>
      <c r="AC59">
        <v>0</v>
      </c>
      <c r="AD59">
        <v>0</v>
      </c>
      <c r="AE59" s="7">
        <f t="shared" si="6"/>
        <v>0</v>
      </c>
      <c r="AF59">
        <v>0</v>
      </c>
      <c r="AG59">
        <v>0</v>
      </c>
      <c r="AH59">
        <v>0</v>
      </c>
      <c r="AI59" s="13">
        <f t="shared" si="1"/>
        <v>0</v>
      </c>
      <c r="AJ59" s="11" t="s">
        <v>51</v>
      </c>
      <c r="AK59" s="11" t="s">
        <v>51</v>
      </c>
      <c r="AL59" s="11" t="s">
        <v>51</v>
      </c>
      <c r="AM59" s="13">
        <f t="shared" si="7"/>
        <v>0</v>
      </c>
      <c r="AN59" s="18">
        <v>2.375</v>
      </c>
      <c r="AO59" s="18">
        <v>0</v>
      </c>
      <c r="AP59" s="18">
        <v>0</v>
      </c>
      <c r="AQ59" s="18">
        <v>0</v>
      </c>
      <c r="AR59" s="18">
        <f t="shared" si="8"/>
        <v>2.375</v>
      </c>
      <c r="AS59" t="s">
        <v>87</v>
      </c>
      <c r="AT59" s="9" t="s">
        <v>268</v>
      </c>
      <c r="AU59" s="30">
        <f>+((AN59*M59)/AR59)</f>
        <v>85.8</v>
      </c>
    </row>
    <row r="60" spans="1:47" hidden="1" x14ac:dyDescent="0.25">
      <c r="A60" t="s">
        <v>46</v>
      </c>
      <c r="B60" t="s">
        <v>269</v>
      </c>
      <c r="C60" t="s">
        <v>270</v>
      </c>
      <c r="D60" t="s">
        <v>271</v>
      </c>
      <c r="E60" s="11">
        <v>20</v>
      </c>
      <c r="F60" s="11">
        <v>18.670000000000002</v>
      </c>
      <c r="G60" s="11">
        <v>44.46</v>
      </c>
      <c r="H60" s="11">
        <v>6</v>
      </c>
      <c r="I60" s="13">
        <f t="shared" si="3"/>
        <v>89.13</v>
      </c>
      <c r="J60" s="11">
        <v>0</v>
      </c>
      <c r="K60" s="11">
        <v>0</v>
      </c>
      <c r="L60" s="11">
        <v>0</v>
      </c>
      <c r="M60" s="13">
        <v>0</v>
      </c>
      <c r="N60" s="11">
        <v>0</v>
      </c>
      <c r="O60" s="11">
        <v>0</v>
      </c>
      <c r="P60" s="11">
        <v>0</v>
      </c>
      <c r="Q60" s="11">
        <v>0</v>
      </c>
      <c r="R60" s="13">
        <f t="shared" si="0"/>
        <v>0</v>
      </c>
      <c r="S60">
        <v>0</v>
      </c>
      <c r="T60">
        <v>0</v>
      </c>
      <c r="U60" s="7">
        <f t="shared" si="4"/>
        <v>0</v>
      </c>
      <c r="V60">
        <v>0</v>
      </c>
      <c r="W60">
        <v>0</v>
      </c>
      <c r="X60">
        <v>0</v>
      </c>
      <c r="Y60">
        <v>0</v>
      </c>
      <c r="Z60" s="13">
        <f t="shared" si="5"/>
        <v>0</v>
      </c>
      <c r="AA60">
        <v>3.75</v>
      </c>
      <c r="AB60">
        <v>50</v>
      </c>
      <c r="AC60">
        <v>15</v>
      </c>
      <c r="AD60">
        <v>20</v>
      </c>
      <c r="AE60" s="7">
        <f t="shared" si="6"/>
        <v>88.75</v>
      </c>
      <c r="AF60">
        <v>0</v>
      </c>
      <c r="AG60">
        <v>0</v>
      </c>
      <c r="AH60">
        <v>0</v>
      </c>
      <c r="AI60" s="13">
        <f t="shared" si="1"/>
        <v>0</v>
      </c>
      <c r="AJ60" s="11">
        <v>19.329999999999998</v>
      </c>
      <c r="AK60" s="11" t="s">
        <v>85</v>
      </c>
      <c r="AL60" s="11">
        <v>43.19</v>
      </c>
      <c r="AM60" s="13">
        <f t="shared" si="7"/>
        <v>62.519999999999996</v>
      </c>
      <c r="AN60" s="18">
        <v>29</v>
      </c>
      <c r="AO60" s="18">
        <v>8</v>
      </c>
      <c r="AP60" s="18">
        <v>3</v>
      </c>
      <c r="AQ60" s="18">
        <v>0</v>
      </c>
      <c r="AR60" s="18">
        <f t="shared" si="8"/>
        <v>40</v>
      </c>
      <c r="AS60" t="s">
        <v>52</v>
      </c>
      <c r="AT60" s="9" t="s">
        <v>272</v>
      </c>
      <c r="AU60" s="30">
        <f>+((AN60*I60)+(AO60*AE60)+(AQ60*AI60)+(AP60*AM60))/AR60</f>
        <v>87.058250000000001</v>
      </c>
    </row>
    <row r="61" spans="1:47" hidden="1" x14ac:dyDescent="0.25">
      <c r="A61" t="s">
        <v>46</v>
      </c>
      <c r="B61" t="s">
        <v>273</v>
      </c>
      <c r="C61" t="s">
        <v>274</v>
      </c>
      <c r="D61" t="s">
        <v>275</v>
      </c>
      <c r="E61" s="11">
        <v>17.670000000000002</v>
      </c>
      <c r="F61" s="11">
        <v>19.329999999999998</v>
      </c>
      <c r="G61" s="11">
        <v>44.48</v>
      </c>
      <c r="H61" s="11">
        <v>5.5</v>
      </c>
      <c r="I61" s="13">
        <f t="shared" si="3"/>
        <v>86.97999999999999</v>
      </c>
      <c r="J61" s="11">
        <v>0</v>
      </c>
      <c r="K61" s="11">
        <v>0</v>
      </c>
      <c r="L61" s="11">
        <v>0</v>
      </c>
      <c r="M61" s="13">
        <v>0</v>
      </c>
      <c r="N61" s="11">
        <v>0</v>
      </c>
      <c r="O61" s="11">
        <v>0</v>
      </c>
      <c r="P61" s="11">
        <v>0</v>
      </c>
      <c r="Q61" s="11">
        <v>0</v>
      </c>
      <c r="R61" s="13">
        <f t="shared" si="0"/>
        <v>0</v>
      </c>
      <c r="S61">
        <v>0</v>
      </c>
      <c r="T61">
        <v>0</v>
      </c>
      <c r="U61" s="7">
        <f t="shared" si="4"/>
        <v>0</v>
      </c>
      <c r="V61">
        <v>0</v>
      </c>
      <c r="W61">
        <v>0</v>
      </c>
      <c r="X61">
        <v>0</v>
      </c>
      <c r="Y61">
        <v>0</v>
      </c>
      <c r="Z61" s="13">
        <f t="shared" si="5"/>
        <v>0</v>
      </c>
      <c r="AA61">
        <v>0</v>
      </c>
      <c r="AB61">
        <v>0</v>
      </c>
      <c r="AC61">
        <v>0</v>
      </c>
      <c r="AD61">
        <v>0</v>
      </c>
      <c r="AE61" s="7">
        <f t="shared" si="6"/>
        <v>0</v>
      </c>
      <c r="AF61">
        <v>0</v>
      </c>
      <c r="AG61">
        <v>0</v>
      </c>
      <c r="AH61">
        <v>0</v>
      </c>
      <c r="AI61" s="13">
        <f t="shared" si="1"/>
        <v>0</v>
      </c>
      <c r="AJ61" s="11" t="s">
        <v>51</v>
      </c>
      <c r="AK61" s="11" t="s">
        <v>51</v>
      </c>
      <c r="AL61" s="11" t="s">
        <v>51</v>
      </c>
      <c r="AM61" s="13">
        <f t="shared" si="7"/>
        <v>0</v>
      </c>
      <c r="AN61" s="18">
        <v>8</v>
      </c>
      <c r="AO61" s="18">
        <v>0</v>
      </c>
      <c r="AP61" s="18">
        <v>0</v>
      </c>
      <c r="AQ61" s="18">
        <v>0</v>
      </c>
      <c r="AR61" s="18">
        <f t="shared" si="8"/>
        <v>8</v>
      </c>
      <c r="AS61" t="s">
        <v>52</v>
      </c>
      <c r="AT61" s="9" t="s">
        <v>276</v>
      </c>
      <c r="AU61" s="30">
        <f>+((AN61*I61)+(AO61*AE61)+(AQ61*AI61)+(AP61*AM61))/AR61</f>
        <v>86.97999999999999</v>
      </c>
    </row>
    <row r="62" spans="1:47" hidden="1" x14ac:dyDescent="0.25">
      <c r="A62" t="s">
        <v>46</v>
      </c>
      <c r="B62" t="s">
        <v>277</v>
      </c>
      <c r="C62" t="s">
        <v>278</v>
      </c>
      <c r="D62" t="s">
        <v>279</v>
      </c>
      <c r="E62" s="11">
        <v>20</v>
      </c>
      <c r="F62" s="11">
        <v>17.329999999999998</v>
      </c>
      <c r="G62" s="11">
        <v>46.27</v>
      </c>
      <c r="H62" s="11">
        <v>3</v>
      </c>
      <c r="I62" s="13">
        <f t="shared" si="3"/>
        <v>86.6</v>
      </c>
      <c r="J62" s="11">
        <v>0</v>
      </c>
      <c r="K62" s="11">
        <v>0</v>
      </c>
      <c r="L62" s="11">
        <v>0</v>
      </c>
      <c r="M62" s="13">
        <v>0</v>
      </c>
      <c r="N62" s="11">
        <v>0</v>
      </c>
      <c r="O62" s="11">
        <v>0</v>
      </c>
      <c r="P62" s="11">
        <v>0</v>
      </c>
      <c r="Q62" s="11">
        <v>0</v>
      </c>
      <c r="R62" s="13">
        <f t="shared" si="0"/>
        <v>0</v>
      </c>
      <c r="S62">
        <v>0</v>
      </c>
      <c r="T62">
        <v>0</v>
      </c>
      <c r="U62" s="7">
        <f t="shared" si="4"/>
        <v>0</v>
      </c>
      <c r="V62">
        <v>0</v>
      </c>
      <c r="W62">
        <v>0</v>
      </c>
      <c r="X62">
        <v>0</v>
      </c>
      <c r="Y62">
        <v>0</v>
      </c>
      <c r="Z62" s="13">
        <f t="shared" si="5"/>
        <v>0</v>
      </c>
      <c r="AA62">
        <v>0</v>
      </c>
      <c r="AB62">
        <v>0</v>
      </c>
      <c r="AC62">
        <v>0</v>
      </c>
      <c r="AD62">
        <v>0</v>
      </c>
      <c r="AE62" s="7">
        <f t="shared" si="6"/>
        <v>0</v>
      </c>
      <c r="AF62">
        <v>0</v>
      </c>
      <c r="AG62">
        <v>0</v>
      </c>
      <c r="AH62">
        <v>0</v>
      </c>
      <c r="AI62" s="13">
        <f t="shared" si="1"/>
        <v>0</v>
      </c>
      <c r="AJ62" s="11" t="s">
        <v>51</v>
      </c>
      <c r="AK62" s="11" t="s">
        <v>51</v>
      </c>
      <c r="AL62" s="11" t="s">
        <v>51</v>
      </c>
      <c r="AM62" s="13">
        <f t="shared" si="7"/>
        <v>0</v>
      </c>
      <c r="AN62" s="18">
        <v>7</v>
      </c>
      <c r="AO62" s="18">
        <v>0</v>
      </c>
      <c r="AP62" s="18">
        <v>0</v>
      </c>
      <c r="AQ62" s="18">
        <v>0</v>
      </c>
      <c r="AR62" s="18">
        <f t="shared" si="8"/>
        <v>7</v>
      </c>
      <c r="AS62" t="s">
        <v>52</v>
      </c>
      <c r="AT62" s="9" t="s">
        <v>280</v>
      </c>
      <c r="AU62" s="30">
        <f>+((AN62*I62)+(AO62*AE62)+(AQ62*AI62)+(AP62*AM62))/AR62</f>
        <v>86.6</v>
      </c>
    </row>
    <row r="63" spans="1:47" hidden="1" x14ac:dyDescent="0.25">
      <c r="A63" t="s">
        <v>46</v>
      </c>
      <c r="B63" t="s">
        <v>281</v>
      </c>
      <c r="C63" t="s">
        <v>282</v>
      </c>
      <c r="D63" t="s">
        <v>283</v>
      </c>
      <c r="E63" s="11">
        <v>19.670000000000002</v>
      </c>
      <c r="F63" s="11">
        <v>20</v>
      </c>
      <c r="G63" s="11">
        <v>48.45</v>
      </c>
      <c r="H63" s="11">
        <v>2.5</v>
      </c>
      <c r="I63" s="13">
        <f t="shared" si="3"/>
        <v>90.62</v>
      </c>
      <c r="J63" s="11">
        <v>0</v>
      </c>
      <c r="K63" s="11">
        <v>0</v>
      </c>
      <c r="L63" s="11">
        <v>0</v>
      </c>
      <c r="M63" s="13">
        <v>0</v>
      </c>
      <c r="N63" s="11">
        <v>0</v>
      </c>
      <c r="O63" s="11">
        <v>0</v>
      </c>
      <c r="P63" s="11">
        <v>0</v>
      </c>
      <c r="Q63" s="11">
        <v>0</v>
      </c>
      <c r="R63" s="13">
        <f t="shared" si="0"/>
        <v>0</v>
      </c>
      <c r="S63">
        <v>0</v>
      </c>
      <c r="T63">
        <v>0</v>
      </c>
      <c r="U63" s="7">
        <f t="shared" si="4"/>
        <v>0</v>
      </c>
      <c r="V63">
        <v>0</v>
      </c>
      <c r="W63">
        <v>0</v>
      </c>
      <c r="X63">
        <v>0</v>
      </c>
      <c r="Y63">
        <v>0</v>
      </c>
      <c r="Z63" s="13">
        <f t="shared" si="5"/>
        <v>0</v>
      </c>
      <c r="AA63">
        <v>0</v>
      </c>
      <c r="AB63">
        <v>0</v>
      </c>
      <c r="AC63">
        <v>0</v>
      </c>
      <c r="AD63">
        <v>0</v>
      </c>
      <c r="AE63" s="7">
        <f t="shared" si="6"/>
        <v>0</v>
      </c>
      <c r="AF63">
        <v>0</v>
      </c>
      <c r="AG63">
        <v>0</v>
      </c>
      <c r="AH63">
        <v>0</v>
      </c>
      <c r="AI63" s="13">
        <f t="shared" si="1"/>
        <v>0</v>
      </c>
      <c r="AJ63" s="11" t="s">
        <v>51</v>
      </c>
      <c r="AK63" s="11" t="s">
        <v>51</v>
      </c>
      <c r="AL63" s="11" t="s">
        <v>51</v>
      </c>
      <c r="AM63" s="13">
        <f t="shared" si="7"/>
        <v>0</v>
      </c>
      <c r="AN63" s="18">
        <v>7</v>
      </c>
      <c r="AO63" s="18">
        <v>0</v>
      </c>
      <c r="AP63" s="18">
        <v>0</v>
      </c>
      <c r="AQ63" s="18">
        <v>0</v>
      </c>
      <c r="AR63" s="18">
        <f t="shared" si="8"/>
        <v>7</v>
      </c>
      <c r="AS63" t="s">
        <v>52</v>
      </c>
      <c r="AT63" s="9" t="s">
        <v>284</v>
      </c>
      <c r="AU63" s="30">
        <f>+((AN63*I63)+(AO63*AE63)+(AQ63*AI63)+(AP63*AM63))/AR63</f>
        <v>90.62</v>
      </c>
    </row>
    <row r="64" spans="1:47" hidden="1" x14ac:dyDescent="0.25">
      <c r="A64" t="s">
        <v>46</v>
      </c>
      <c r="B64" t="s">
        <v>285</v>
      </c>
      <c r="C64" t="s">
        <v>286</v>
      </c>
      <c r="D64" t="s">
        <v>287</v>
      </c>
      <c r="E64" s="11">
        <v>0</v>
      </c>
      <c r="F64" s="11">
        <v>0</v>
      </c>
      <c r="G64" s="11">
        <v>56.033333333333339</v>
      </c>
      <c r="H64" s="11">
        <v>9.1666666666666643</v>
      </c>
      <c r="I64" s="13">
        <f t="shared" si="3"/>
        <v>65.2</v>
      </c>
      <c r="J64" s="11">
        <v>0</v>
      </c>
      <c r="K64" s="11">
        <v>0</v>
      </c>
      <c r="L64" s="11">
        <v>0</v>
      </c>
      <c r="M64" s="13">
        <v>0</v>
      </c>
      <c r="N64" s="11">
        <v>0</v>
      </c>
      <c r="O64" s="11">
        <v>0</v>
      </c>
      <c r="P64" s="11">
        <v>0</v>
      </c>
      <c r="Q64" s="11">
        <v>0</v>
      </c>
      <c r="R64" s="13">
        <f t="shared" si="0"/>
        <v>0</v>
      </c>
      <c r="S64">
        <v>0</v>
      </c>
      <c r="T64">
        <v>0</v>
      </c>
      <c r="U64" s="7">
        <f t="shared" si="4"/>
        <v>0</v>
      </c>
      <c r="V64">
        <v>0</v>
      </c>
      <c r="W64">
        <v>0</v>
      </c>
      <c r="X64">
        <v>0</v>
      </c>
      <c r="Y64">
        <v>0</v>
      </c>
      <c r="Z64" s="13">
        <f t="shared" si="5"/>
        <v>0</v>
      </c>
      <c r="AA64">
        <v>0</v>
      </c>
      <c r="AB64">
        <v>0</v>
      </c>
      <c r="AC64">
        <v>0</v>
      </c>
      <c r="AD64">
        <v>0</v>
      </c>
      <c r="AE64" s="7">
        <f t="shared" si="6"/>
        <v>0</v>
      </c>
      <c r="AF64">
        <v>0</v>
      </c>
      <c r="AG64">
        <v>0</v>
      </c>
      <c r="AH64">
        <v>0</v>
      </c>
      <c r="AI64" s="13">
        <f t="shared" si="1"/>
        <v>0</v>
      </c>
      <c r="AJ64" s="11" t="s">
        <v>51</v>
      </c>
      <c r="AK64" s="11" t="s">
        <v>51</v>
      </c>
      <c r="AL64" s="11" t="s">
        <v>51</v>
      </c>
      <c r="AM64" s="13">
        <f t="shared" si="7"/>
        <v>0</v>
      </c>
      <c r="AN64" s="18">
        <v>6</v>
      </c>
      <c r="AO64" s="18">
        <v>0</v>
      </c>
      <c r="AP64" s="18">
        <v>0</v>
      </c>
      <c r="AQ64" s="18">
        <v>0</v>
      </c>
      <c r="AR64" s="18">
        <f t="shared" si="8"/>
        <v>6</v>
      </c>
      <c r="AS64" t="s">
        <v>52</v>
      </c>
      <c r="AT64" s="9" t="s">
        <v>288</v>
      </c>
      <c r="AU64" s="30">
        <f>+((AN64*I64)+(AO64*AE64)+(AQ64*AI64)+(AP64*AM64))/AR64</f>
        <v>65.2</v>
      </c>
    </row>
    <row r="65" spans="1:47" ht="19.5" hidden="1" customHeight="1" x14ac:dyDescent="0.25">
      <c r="A65" t="s">
        <v>46</v>
      </c>
      <c r="B65" t="s">
        <v>289</v>
      </c>
      <c r="C65" t="s">
        <v>290</v>
      </c>
      <c r="D65" t="s">
        <v>291</v>
      </c>
      <c r="E65" s="11">
        <v>0</v>
      </c>
      <c r="F65" s="11">
        <v>0</v>
      </c>
      <c r="G65" s="11">
        <v>0</v>
      </c>
      <c r="H65" s="11">
        <v>0</v>
      </c>
      <c r="I65" s="13">
        <f t="shared" si="3"/>
        <v>0</v>
      </c>
      <c r="J65" s="15">
        <v>83.028571428571411</v>
      </c>
      <c r="K65" s="11">
        <v>0</v>
      </c>
      <c r="L65" s="11">
        <v>2.8571428571428568</v>
      </c>
      <c r="M65" s="13">
        <v>85.885714285714272</v>
      </c>
      <c r="N65" s="11">
        <v>0</v>
      </c>
      <c r="O65" s="11">
        <v>0</v>
      </c>
      <c r="P65" s="11">
        <v>0</v>
      </c>
      <c r="Q65" s="11">
        <v>0</v>
      </c>
      <c r="R65" s="13">
        <f t="shared" si="0"/>
        <v>0</v>
      </c>
      <c r="S65">
        <v>0</v>
      </c>
      <c r="T65">
        <v>0</v>
      </c>
      <c r="U65" s="7">
        <f t="shared" si="4"/>
        <v>0</v>
      </c>
      <c r="V65">
        <v>0</v>
      </c>
      <c r="W65">
        <v>0</v>
      </c>
      <c r="X65">
        <v>0</v>
      </c>
      <c r="Y65">
        <v>0</v>
      </c>
      <c r="Z65" s="13">
        <f t="shared" si="5"/>
        <v>0</v>
      </c>
      <c r="AA65">
        <v>0</v>
      </c>
      <c r="AB65">
        <v>0</v>
      </c>
      <c r="AC65">
        <v>0</v>
      </c>
      <c r="AD65">
        <v>0</v>
      </c>
      <c r="AE65" s="7">
        <f t="shared" si="6"/>
        <v>0</v>
      </c>
      <c r="AF65">
        <v>0</v>
      </c>
      <c r="AG65">
        <v>0</v>
      </c>
      <c r="AH65">
        <v>0</v>
      </c>
      <c r="AI65" s="13">
        <f t="shared" si="1"/>
        <v>0</v>
      </c>
      <c r="AJ65" s="11" t="s">
        <v>51</v>
      </c>
      <c r="AK65" s="11" t="s">
        <v>51</v>
      </c>
      <c r="AL65" s="11" t="s">
        <v>51</v>
      </c>
      <c r="AM65" s="13">
        <f t="shared" si="7"/>
        <v>0</v>
      </c>
      <c r="AN65" s="18">
        <v>4.5</v>
      </c>
      <c r="AO65" s="18">
        <v>0</v>
      </c>
      <c r="AP65" s="18">
        <v>0</v>
      </c>
      <c r="AQ65" s="18">
        <v>0</v>
      </c>
      <c r="AR65" s="18">
        <f t="shared" si="8"/>
        <v>4.5</v>
      </c>
      <c r="AS65" t="s">
        <v>87</v>
      </c>
      <c r="AT65" s="9" t="s">
        <v>292</v>
      </c>
      <c r="AU65" s="30">
        <f>+((AN65*M65)/AR65)</f>
        <v>85.885714285714272</v>
      </c>
    </row>
    <row r="66" spans="1:47" hidden="1" x14ac:dyDescent="0.25">
      <c r="A66" t="s">
        <v>46</v>
      </c>
      <c r="B66" t="s">
        <v>293</v>
      </c>
      <c r="C66" t="s">
        <v>294</v>
      </c>
      <c r="D66" t="s">
        <v>295</v>
      </c>
      <c r="E66" s="11">
        <v>0</v>
      </c>
      <c r="F66" s="11">
        <v>0</v>
      </c>
      <c r="G66" s="11">
        <v>0</v>
      </c>
      <c r="H66" s="11">
        <v>0</v>
      </c>
      <c r="I66" s="13">
        <f t="shared" si="3"/>
        <v>0</v>
      </c>
      <c r="J66" s="11">
        <v>0</v>
      </c>
      <c r="K66" s="11">
        <v>0</v>
      </c>
      <c r="L66" s="11">
        <v>2.5</v>
      </c>
      <c r="M66" s="13">
        <v>2.5</v>
      </c>
      <c r="N66" s="11">
        <v>0</v>
      </c>
      <c r="O66" s="11">
        <v>0</v>
      </c>
      <c r="P66" s="11">
        <v>0</v>
      </c>
      <c r="Q66" s="11">
        <v>0</v>
      </c>
      <c r="R66" s="13">
        <f t="shared" si="0"/>
        <v>0</v>
      </c>
      <c r="S66">
        <v>0</v>
      </c>
      <c r="T66">
        <v>0</v>
      </c>
      <c r="U66" s="7">
        <f t="shared" si="4"/>
        <v>0</v>
      </c>
      <c r="V66">
        <v>0</v>
      </c>
      <c r="W66">
        <v>0</v>
      </c>
      <c r="X66">
        <v>0</v>
      </c>
      <c r="Y66">
        <v>0</v>
      </c>
      <c r="Z66" s="13">
        <f t="shared" si="5"/>
        <v>0</v>
      </c>
      <c r="AA66">
        <v>0</v>
      </c>
      <c r="AB66">
        <v>0</v>
      </c>
      <c r="AC66">
        <v>0</v>
      </c>
      <c r="AD66">
        <v>0</v>
      </c>
      <c r="AE66" s="7">
        <f t="shared" si="6"/>
        <v>0</v>
      </c>
      <c r="AF66">
        <v>0</v>
      </c>
      <c r="AG66">
        <v>0</v>
      </c>
      <c r="AH66">
        <v>0</v>
      </c>
      <c r="AI66" s="13">
        <f t="shared" si="1"/>
        <v>0</v>
      </c>
      <c r="AJ66" s="11" t="s">
        <v>51</v>
      </c>
      <c r="AK66" s="11" t="s">
        <v>51</v>
      </c>
      <c r="AL66" s="11" t="s">
        <v>51</v>
      </c>
      <c r="AM66" s="13">
        <f t="shared" si="7"/>
        <v>0</v>
      </c>
      <c r="AN66" s="18">
        <v>2</v>
      </c>
      <c r="AO66" s="18">
        <v>0</v>
      </c>
      <c r="AP66" s="18">
        <v>0</v>
      </c>
      <c r="AQ66" s="18">
        <v>0</v>
      </c>
      <c r="AR66" s="18">
        <f t="shared" si="8"/>
        <v>2</v>
      </c>
      <c r="AS66" t="s">
        <v>87</v>
      </c>
      <c r="AT66" s="9" t="s">
        <v>66</v>
      </c>
      <c r="AU66" s="30">
        <f>+((AN66*M66)/AR66)</f>
        <v>2.5</v>
      </c>
    </row>
    <row r="67" spans="1:47" hidden="1" x14ac:dyDescent="0.25">
      <c r="A67" t="s">
        <v>46</v>
      </c>
      <c r="B67" t="s">
        <v>296</v>
      </c>
      <c r="C67" t="s">
        <v>297</v>
      </c>
      <c r="D67" t="s">
        <v>298</v>
      </c>
      <c r="E67" s="11">
        <v>20</v>
      </c>
      <c r="F67" s="11">
        <v>12.33</v>
      </c>
      <c r="G67" s="11">
        <v>39.46</v>
      </c>
      <c r="H67" s="11">
        <v>2.5</v>
      </c>
      <c r="I67" s="13">
        <f t="shared" si="3"/>
        <v>74.289999999999992</v>
      </c>
      <c r="J67" s="11">
        <v>0</v>
      </c>
      <c r="K67" s="11">
        <v>0</v>
      </c>
      <c r="L67" s="11">
        <v>0</v>
      </c>
      <c r="M67" s="13">
        <v>0</v>
      </c>
      <c r="N67" s="11">
        <v>0</v>
      </c>
      <c r="O67" s="11">
        <v>0</v>
      </c>
      <c r="P67" s="11">
        <v>0</v>
      </c>
      <c r="Q67" s="11">
        <v>0</v>
      </c>
      <c r="R67" s="13">
        <f t="shared" si="0"/>
        <v>0</v>
      </c>
      <c r="S67">
        <v>0</v>
      </c>
      <c r="T67">
        <v>0</v>
      </c>
      <c r="U67" s="7">
        <f t="shared" si="4"/>
        <v>0</v>
      </c>
      <c r="V67">
        <v>0</v>
      </c>
      <c r="W67">
        <v>0</v>
      </c>
      <c r="X67">
        <v>0</v>
      </c>
      <c r="Y67">
        <v>0</v>
      </c>
      <c r="Z67" s="13">
        <f t="shared" si="5"/>
        <v>0</v>
      </c>
      <c r="AA67">
        <v>3.75</v>
      </c>
      <c r="AB67">
        <v>12.5</v>
      </c>
      <c r="AC67">
        <v>4.88</v>
      </c>
      <c r="AD67">
        <v>10</v>
      </c>
      <c r="AE67" s="7">
        <f t="shared" si="6"/>
        <v>31.13</v>
      </c>
      <c r="AF67">
        <v>0</v>
      </c>
      <c r="AG67">
        <v>0</v>
      </c>
      <c r="AH67">
        <v>0</v>
      </c>
      <c r="AI67" s="13">
        <f t="shared" si="1"/>
        <v>0</v>
      </c>
      <c r="AJ67" s="11" t="s">
        <v>51</v>
      </c>
      <c r="AK67" s="11" t="s">
        <v>51</v>
      </c>
      <c r="AL67" s="11" t="s">
        <v>51</v>
      </c>
      <c r="AM67" s="13">
        <f t="shared" si="7"/>
        <v>0</v>
      </c>
      <c r="AN67" s="18">
        <v>25</v>
      </c>
      <c r="AO67" s="18">
        <v>15</v>
      </c>
      <c r="AP67" s="18">
        <v>0</v>
      </c>
      <c r="AQ67" s="18">
        <v>0</v>
      </c>
      <c r="AR67" s="18">
        <f t="shared" si="8"/>
        <v>40</v>
      </c>
      <c r="AS67" t="s">
        <v>52</v>
      </c>
      <c r="AT67" s="9" t="s">
        <v>300</v>
      </c>
      <c r="AU67" s="30">
        <f>+((AN67*I67)+(AO67*AE67)+(AQ67*AI67)+(AP67*AM67))/AR67</f>
        <v>58.104999999999997</v>
      </c>
    </row>
    <row r="68" spans="1:47" hidden="1" x14ac:dyDescent="0.25">
      <c r="A68" t="s">
        <v>46</v>
      </c>
      <c r="B68" s="32" t="s">
        <v>301</v>
      </c>
      <c r="C68" s="32" t="s">
        <v>302</v>
      </c>
      <c r="D68" s="32" t="s">
        <v>303</v>
      </c>
      <c r="E68" s="11">
        <v>0</v>
      </c>
      <c r="F68" s="11">
        <v>0</v>
      </c>
      <c r="G68" s="11">
        <v>0</v>
      </c>
      <c r="H68" s="11">
        <v>0</v>
      </c>
      <c r="I68" s="13">
        <f t="shared" si="3"/>
        <v>0</v>
      </c>
      <c r="J68" s="11">
        <v>0</v>
      </c>
      <c r="K68" s="11">
        <v>0</v>
      </c>
      <c r="L68" s="11">
        <v>0</v>
      </c>
      <c r="M68" s="13">
        <v>0</v>
      </c>
      <c r="N68" s="11">
        <v>62.125</v>
      </c>
      <c r="O68" s="11">
        <v>3.125</v>
      </c>
      <c r="P68" s="11">
        <v>0</v>
      </c>
      <c r="Q68" s="11">
        <v>25</v>
      </c>
      <c r="R68" s="13">
        <f t="shared" si="0"/>
        <v>90.25</v>
      </c>
      <c r="S68">
        <v>0</v>
      </c>
      <c r="T68">
        <v>0</v>
      </c>
      <c r="U68" s="7">
        <f t="shared" si="4"/>
        <v>0</v>
      </c>
      <c r="V68">
        <v>0</v>
      </c>
      <c r="W68">
        <v>0</v>
      </c>
      <c r="X68">
        <v>0</v>
      </c>
      <c r="Y68">
        <v>0</v>
      </c>
      <c r="Z68" s="13">
        <f t="shared" si="5"/>
        <v>0</v>
      </c>
      <c r="AA68">
        <v>0</v>
      </c>
      <c r="AB68">
        <v>0</v>
      </c>
      <c r="AC68">
        <v>0</v>
      </c>
      <c r="AD68">
        <v>0</v>
      </c>
      <c r="AE68" s="7">
        <f t="shared" si="6"/>
        <v>0</v>
      </c>
      <c r="AF68">
        <v>33.340000000000003</v>
      </c>
      <c r="AG68">
        <v>20</v>
      </c>
      <c r="AH68">
        <v>26.83</v>
      </c>
      <c r="AI68" s="13">
        <f t="shared" si="1"/>
        <v>80.17</v>
      </c>
      <c r="AJ68" s="11" t="s">
        <v>51</v>
      </c>
      <c r="AK68" s="11" t="s">
        <v>51</v>
      </c>
      <c r="AL68" s="11" t="s">
        <v>51</v>
      </c>
      <c r="AM68" s="13">
        <f t="shared" si="7"/>
        <v>0</v>
      </c>
      <c r="AN68" s="18">
        <v>3</v>
      </c>
      <c r="AO68" s="18">
        <v>0</v>
      </c>
      <c r="AP68" s="18">
        <v>0</v>
      </c>
      <c r="AQ68" s="18">
        <v>17</v>
      </c>
      <c r="AR68" s="18">
        <f t="shared" si="8"/>
        <v>20</v>
      </c>
      <c r="AS68" t="s">
        <v>117</v>
      </c>
      <c r="AT68" s="9" t="s">
        <v>304</v>
      </c>
      <c r="AU68" s="11">
        <f>+((AN68*R68)+(AQ68*AI68)+(AP68*AM68))/AR68</f>
        <v>81.682000000000002</v>
      </c>
    </row>
    <row r="69" spans="1:47" hidden="1" x14ac:dyDescent="0.25">
      <c r="A69" t="s">
        <v>46</v>
      </c>
      <c r="B69" t="s">
        <v>305</v>
      </c>
      <c r="C69" t="s">
        <v>306</v>
      </c>
      <c r="D69" t="s">
        <v>307</v>
      </c>
      <c r="E69" s="11">
        <v>19.730000000000004</v>
      </c>
      <c r="F69" s="11">
        <v>20</v>
      </c>
      <c r="G69" s="11">
        <v>46.9</v>
      </c>
      <c r="H69" s="11">
        <v>2.5</v>
      </c>
      <c r="I69" s="13">
        <f t="shared" si="3"/>
        <v>89.13</v>
      </c>
      <c r="J69" s="11">
        <v>0</v>
      </c>
      <c r="K69" s="11">
        <v>0</v>
      </c>
      <c r="L69" s="11">
        <v>0</v>
      </c>
      <c r="M69" s="13">
        <v>0</v>
      </c>
      <c r="N69" s="11">
        <v>0</v>
      </c>
      <c r="O69" s="11">
        <v>0</v>
      </c>
      <c r="P69" s="11">
        <v>0</v>
      </c>
      <c r="Q69" s="11">
        <v>0</v>
      </c>
      <c r="R69" s="13">
        <f t="shared" ref="R69:R132" si="10">+SUM(N69:Q69)</f>
        <v>0</v>
      </c>
      <c r="S69">
        <v>0</v>
      </c>
      <c r="T69">
        <v>0</v>
      </c>
      <c r="U69" s="7">
        <f t="shared" si="4"/>
        <v>0</v>
      </c>
      <c r="V69">
        <v>0</v>
      </c>
      <c r="W69">
        <v>0</v>
      </c>
      <c r="X69">
        <v>0</v>
      </c>
      <c r="Y69">
        <v>0</v>
      </c>
      <c r="Z69" s="13">
        <f t="shared" si="5"/>
        <v>0</v>
      </c>
      <c r="AA69">
        <v>0</v>
      </c>
      <c r="AB69">
        <v>0</v>
      </c>
      <c r="AC69">
        <v>0</v>
      </c>
      <c r="AD69">
        <v>0</v>
      </c>
      <c r="AE69" s="7">
        <f t="shared" si="6"/>
        <v>0</v>
      </c>
      <c r="AF69">
        <v>50</v>
      </c>
      <c r="AG69">
        <v>17.329999999999998</v>
      </c>
      <c r="AH69">
        <v>29</v>
      </c>
      <c r="AI69" s="13">
        <f t="shared" ref="AI69:AI132" si="11">+SUM(AF69:AH69)</f>
        <v>96.33</v>
      </c>
      <c r="AJ69" s="11" t="s">
        <v>51</v>
      </c>
      <c r="AK69" s="11" t="s">
        <v>51</v>
      </c>
      <c r="AL69" s="11" t="s">
        <v>51</v>
      </c>
      <c r="AM69" s="13">
        <f t="shared" si="7"/>
        <v>0</v>
      </c>
      <c r="AN69" s="18">
        <v>32</v>
      </c>
      <c r="AO69" s="18">
        <v>0</v>
      </c>
      <c r="AP69" s="18">
        <v>0</v>
      </c>
      <c r="AQ69" s="18">
        <v>8</v>
      </c>
      <c r="AR69" s="18">
        <f t="shared" si="8"/>
        <v>40</v>
      </c>
      <c r="AS69" t="s">
        <v>52</v>
      </c>
      <c r="AT69" s="9" t="s">
        <v>308</v>
      </c>
      <c r="AU69" s="30">
        <f>+((AN69*I69)+(AO69*AE69)+(AQ69*AI69)+(AP69*AM69))/AR69</f>
        <v>90.57</v>
      </c>
    </row>
    <row r="70" spans="1:47" hidden="1" x14ac:dyDescent="0.25">
      <c r="A70" t="s">
        <v>46</v>
      </c>
      <c r="B70" t="s">
        <v>309</v>
      </c>
      <c r="C70" t="s">
        <v>310</v>
      </c>
      <c r="D70" t="s">
        <v>311</v>
      </c>
      <c r="E70" s="11">
        <v>20</v>
      </c>
      <c r="F70" s="11">
        <v>20</v>
      </c>
      <c r="G70" s="11">
        <v>49.43</v>
      </c>
      <c r="H70" s="11">
        <v>6</v>
      </c>
      <c r="I70" s="13">
        <f t="shared" ref="I70:I133" si="12">+SUM(E70:H70)</f>
        <v>95.43</v>
      </c>
      <c r="J70" s="11">
        <v>0</v>
      </c>
      <c r="K70" s="11">
        <v>0</v>
      </c>
      <c r="L70" s="11">
        <v>0</v>
      </c>
      <c r="M70" s="13">
        <v>0</v>
      </c>
      <c r="N70" s="11">
        <v>0</v>
      </c>
      <c r="O70" s="11">
        <v>0</v>
      </c>
      <c r="P70" s="11">
        <v>0</v>
      </c>
      <c r="Q70" s="11">
        <v>0</v>
      </c>
      <c r="R70" s="13">
        <f t="shared" si="10"/>
        <v>0</v>
      </c>
      <c r="S70">
        <v>0</v>
      </c>
      <c r="T70">
        <v>0</v>
      </c>
      <c r="U70" s="7">
        <f t="shared" ref="U70:U133" si="13">+SUM(S70:T70)</f>
        <v>0</v>
      </c>
      <c r="V70">
        <v>0</v>
      </c>
      <c r="W70">
        <v>0</v>
      </c>
      <c r="X70">
        <v>0</v>
      </c>
      <c r="Y70">
        <v>0</v>
      </c>
      <c r="Z70" s="13">
        <f t="shared" ref="Z70:Z133" si="14">+SUM(V70:Y70)</f>
        <v>0</v>
      </c>
      <c r="AA70">
        <v>0</v>
      </c>
      <c r="AB70">
        <v>0</v>
      </c>
      <c r="AC70">
        <v>0</v>
      </c>
      <c r="AD70">
        <v>0</v>
      </c>
      <c r="AE70" s="7">
        <f t="shared" ref="AE70:AE133" si="15">+SUM(AA70:AD70)</f>
        <v>0</v>
      </c>
      <c r="AF70">
        <v>0</v>
      </c>
      <c r="AG70">
        <v>0</v>
      </c>
      <c r="AH70">
        <v>0</v>
      </c>
      <c r="AI70" s="13">
        <f t="shared" si="11"/>
        <v>0</v>
      </c>
      <c r="AJ70" s="11" t="s">
        <v>51</v>
      </c>
      <c r="AK70" s="11" t="s">
        <v>51</v>
      </c>
      <c r="AL70" s="11" t="s">
        <v>51</v>
      </c>
      <c r="AM70" s="13">
        <f t="shared" ref="AM70:AM133" si="16">+SUM(AJ70:AL70)</f>
        <v>0</v>
      </c>
      <c r="AN70" s="18">
        <v>3</v>
      </c>
      <c r="AO70" s="18">
        <v>0</v>
      </c>
      <c r="AP70" s="18">
        <v>0</v>
      </c>
      <c r="AQ70" s="18">
        <v>0</v>
      </c>
      <c r="AR70" s="18">
        <f t="shared" ref="AR70:AR133" si="17">+SUM(AN70:AQ70)</f>
        <v>3</v>
      </c>
      <c r="AS70" t="s">
        <v>52</v>
      </c>
      <c r="AT70" s="9" t="s">
        <v>312</v>
      </c>
      <c r="AU70" s="30">
        <f>+((AN70*I70)+(AO70*AE70)+(AQ70*AI70)+(AP70*AM70))/AR70</f>
        <v>95.43</v>
      </c>
    </row>
    <row r="71" spans="1:47" hidden="1" x14ac:dyDescent="0.25">
      <c r="A71" t="s">
        <v>46</v>
      </c>
      <c r="B71" t="s">
        <v>313</v>
      </c>
      <c r="C71" t="s">
        <v>310</v>
      </c>
      <c r="D71" t="s">
        <v>314</v>
      </c>
      <c r="E71" s="11">
        <v>25</v>
      </c>
      <c r="F71" s="11">
        <v>0</v>
      </c>
      <c r="G71" s="11">
        <v>56.4</v>
      </c>
      <c r="H71" s="11">
        <v>4.375</v>
      </c>
      <c r="I71" s="13">
        <f t="shared" si="12"/>
        <v>85.775000000000006</v>
      </c>
      <c r="J71" s="11">
        <v>0</v>
      </c>
      <c r="K71" s="11">
        <v>0</v>
      </c>
      <c r="L71" s="11">
        <v>0</v>
      </c>
      <c r="M71" s="13">
        <v>0</v>
      </c>
      <c r="N71" s="11">
        <v>0</v>
      </c>
      <c r="O71" s="11">
        <v>0</v>
      </c>
      <c r="P71" s="11">
        <v>0</v>
      </c>
      <c r="Q71" s="11">
        <v>0</v>
      </c>
      <c r="R71" s="13">
        <f t="shared" si="10"/>
        <v>0</v>
      </c>
      <c r="S71">
        <v>0</v>
      </c>
      <c r="T71">
        <v>0</v>
      </c>
      <c r="U71" s="7">
        <f t="shared" si="13"/>
        <v>0</v>
      </c>
      <c r="V71">
        <v>0</v>
      </c>
      <c r="W71">
        <v>0</v>
      </c>
      <c r="X71">
        <v>0</v>
      </c>
      <c r="Y71">
        <v>0</v>
      </c>
      <c r="Z71" s="13">
        <f t="shared" si="14"/>
        <v>0</v>
      </c>
      <c r="AA71">
        <v>0</v>
      </c>
      <c r="AB71">
        <v>0</v>
      </c>
      <c r="AC71">
        <v>0</v>
      </c>
      <c r="AD71">
        <v>0</v>
      </c>
      <c r="AE71" s="7">
        <f t="shared" si="15"/>
        <v>0</v>
      </c>
      <c r="AF71">
        <v>0</v>
      </c>
      <c r="AG71">
        <v>0</v>
      </c>
      <c r="AH71">
        <v>0</v>
      </c>
      <c r="AI71" s="13">
        <f t="shared" si="11"/>
        <v>0</v>
      </c>
      <c r="AJ71" s="11" t="s">
        <v>51</v>
      </c>
      <c r="AK71" s="11" t="s">
        <v>51</v>
      </c>
      <c r="AL71" s="11" t="s">
        <v>51</v>
      </c>
      <c r="AM71" s="13">
        <f t="shared" si="16"/>
        <v>0</v>
      </c>
      <c r="AN71" s="18">
        <v>3</v>
      </c>
      <c r="AO71" s="18">
        <v>0</v>
      </c>
      <c r="AP71" s="18">
        <v>0</v>
      </c>
      <c r="AQ71" s="18">
        <v>0</v>
      </c>
      <c r="AR71" s="18">
        <f t="shared" si="17"/>
        <v>3</v>
      </c>
      <c r="AS71" t="s">
        <v>52</v>
      </c>
      <c r="AT71" s="9" t="s">
        <v>315</v>
      </c>
      <c r="AU71" s="30">
        <f>+((AN71*I71)+(AO71*AE71)+(AQ71*AI71)+(AP71*AM71))/AR71</f>
        <v>85.77500000000002</v>
      </c>
    </row>
    <row r="72" spans="1:47" hidden="1" x14ac:dyDescent="0.25">
      <c r="A72" t="s">
        <v>46</v>
      </c>
      <c r="B72" t="s">
        <v>316</v>
      </c>
      <c r="C72" t="s">
        <v>317</v>
      </c>
      <c r="D72" t="s">
        <v>318</v>
      </c>
      <c r="E72" s="11">
        <v>0</v>
      </c>
      <c r="F72" s="11">
        <v>20</v>
      </c>
      <c r="G72" s="11">
        <v>0</v>
      </c>
      <c r="H72" s="11">
        <v>2.5</v>
      </c>
      <c r="I72" s="13">
        <f t="shared" si="12"/>
        <v>22.5</v>
      </c>
      <c r="J72" s="11">
        <v>0</v>
      </c>
      <c r="K72" s="11">
        <v>0</v>
      </c>
      <c r="L72" s="11">
        <v>0</v>
      </c>
      <c r="M72" s="13">
        <v>0</v>
      </c>
      <c r="N72" s="11">
        <v>0</v>
      </c>
      <c r="O72" s="11">
        <v>0</v>
      </c>
      <c r="P72" s="11">
        <v>0</v>
      </c>
      <c r="Q72" s="11">
        <v>0</v>
      </c>
      <c r="R72" s="13">
        <f t="shared" si="10"/>
        <v>0</v>
      </c>
      <c r="S72">
        <v>0</v>
      </c>
      <c r="T72">
        <v>0</v>
      </c>
      <c r="U72" s="7">
        <f t="shared" si="13"/>
        <v>0</v>
      </c>
      <c r="V72">
        <v>0</v>
      </c>
      <c r="W72">
        <v>0</v>
      </c>
      <c r="X72">
        <v>0</v>
      </c>
      <c r="Y72">
        <v>0</v>
      </c>
      <c r="Z72" s="13">
        <f t="shared" si="14"/>
        <v>0</v>
      </c>
      <c r="AA72">
        <v>0</v>
      </c>
      <c r="AB72">
        <v>0</v>
      </c>
      <c r="AC72">
        <v>0</v>
      </c>
      <c r="AD72">
        <v>0</v>
      </c>
      <c r="AE72" s="7">
        <f t="shared" si="15"/>
        <v>0</v>
      </c>
      <c r="AF72">
        <v>0</v>
      </c>
      <c r="AG72">
        <v>0</v>
      </c>
      <c r="AH72">
        <v>0</v>
      </c>
      <c r="AI72" s="13">
        <f t="shared" si="11"/>
        <v>0</v>
      </c>
      <c r="AJ72" s="11" t="s">
        <v>51</v>
      </c>
      <c r="AK72" s="11" t="s">
        <v>51</v>
      </c>
      <c r="AL72" s="11" t="s">
        <v>51</v>
      </c>
      <c r="AM72" s="13">
        <f t="shared" si="16"/>
        <v>0</v>
      </c>
      <c r="AN72" s="18">
        <v>6</v>
      </c>
      <c r="AO72" s="18">
        <v>0</v>
      </c>
      <c r="AP72" s="18">
        <v>0</v>
      </c>
      <c r="AQ72" s="18">
        <v>0</v>
      </c>
      <c r="AR72" s="18">
        <f t="shared" si="17"/>
        <v>6</v>
      </c>
      <c r="AS72" t="s">
        <v>52</v>
      </c>
      <c r="AT72" s="9" t="s">
        <v>319</v>
      </c>
      <c r="AU72" s="30">
        <f>+((AN72*I72)+(AO72*AE72)+(AQ72*AI72)+(AP72*AM72))/AR72</f>
        <v>22.5</v>
      </c>
    </row>
    <row r="73" spans="1:47" hidden="1" x14ac:dyDescent="0.25">
      <c r="A73" t="s">
        <v>46</v>
      </c>
      <c r="B73" s="32" t="s">
        <v>320</v>
      </c>
      <c r="C73" s="32" t="s">
        <v>321</v>
      </c>
      <c r="D73" s="32" t="s">
        <v>322</v>
      </c>
      <c r="E73" s="11">
        <v>0</v>
      </c>
      <c r="F73" s="11">
        <v>0</v>
      </c>
      <c r="G73" s="11">
        <v>0</v>
      </c>
      <c r="H73" s="11">
        <v>0</v>
      </c>
      <c r="I73" s="13">
        <f t="shared" si="12"/>
        <v>0</v>
      </c>
      <c r="J73" s="11">
        <v>0</v>
      </c>
      <c r="K73" s="11">
        <v>0</v>
      </c>
      <c r="L73" s="11">
        <v>0</v>
      </c>
      <c r="M73" s="13">
        <v>0</v>
      </c>
      <c r="N73" s="11">
        <v>47.31</v>
      </c>
      <c r="O73" s="11">
        <v>4.5</v>
      </c>
      <c r="P73" s="11">
        <v>20</v>
      </c>
      <c r="Q73" s="11">
        <v>19</v>
      </c>
      <c r="R73" s="13">
        <f t="shared" si="10"/>
        <v>90.81</v>
      </c>
      <c r="S73">
        <v>0</v>
      </c>
      <c r="T73">
        <v>0</v>
      </c>
      <c r="U73" s="7">
        <f t="shared" si="13"/>
        <v>0</v>
      </c>
      <c r="V73">
        <v>0</v>
      </c>
      <c r="W73">
        <v>0</v>
      </c>
      <c r="X73">
        <v>0</v>
      </c>
      <c r="Y73">
        <v>0</v>
      </c>
      <c r="Z73" s="13">
        <f t="shared" si="14"/>
        <v>0</v>
      </c>
      <c r="AA73">
        <v>0</v>
      </c>
      <c r="AB73">
        <v>0</v>
      </c>
      <c r="AC73">
        <v>0</v>
      </c>
      <c r="AD73">
        <v>0</v>
      </c>
      <c r="AE73" s="7">
        <f t="shared" si="15"/>
        <v>0</v>
      </c>
      <c r="AF73">
        <v>0</v>
      </c>
      <c r="AG73">
        <v>0</v>
      </c>
      <c r="AH73">
        <v>0</v>
      </c>
      <c r="AI73" s="13">
        <f t="shared" si="11"/>
        <v>0</v>
      </c>
      <c r="AJ73" s="11" t="s">
        <v>51</v>
      </c>
      <c r="AK73" s="11" t="s">
        <v>51</v>
      </c>
      <c r="AL73" s="11" t="s">
        <v>51</v>
      </c>
      <c r="AM73" s="13">
        <f t="shared" si="16"/>
        <v>0</v>
      </c>
      <c r="AN73" s="18">
        <v>10</v>
      </c>
      <c r="AO73" s="18">
        <v>0</v>
      </c>
      <c r="AP73" s="18">
        <v>0</v>
      </c>
      <c r="AQ73" s="18">
        <v>0</v>
      </c>
      <c r="AR73" s="18">
        <f t="shared" si="17"/>
        <v>10</v>
      </c>
      <c r="AS73" t="s">
        <v>117</v>
      </c>
      <c r="AT73" s="9" t="s">
        <v>323</v>
      </c>
      <c r="AU73" s="11">
        <f>+((AN73*R73)+(AQ73*AI73)+(AP73*AM73))/AR73</f>
        <v>90.81</v>
      </c>
    </row>
    <row r="74" spans="1:47" hidden="1" x14ac:dyDescent="0.25">
      <c r="A74" t="s">
        <v>46</v>
      </c>
      <c r="B74" t="s">
        <v>324</v>
      </c>
      <c r="C74" t="s">
        <v>325</v>
      </c>
      <c r="D74" t="s">
        <v>326</v>
      </c>
      <c r="E74" s="11">
        <v>20</v>
      </c>
      <c r="F74" s="11">
        <v>19.329999999999998</v>
      </c>
      <c r="G74" s="11">
        <v>37.72</v>
      </c>
      <c r="H74" s="11">
        <v>3.5</v>
      </c>
      <c r="I74" s="13">
        <f t="shared" si="12"/>
        <v>80.55</v>
      </c>
      <c r="J74" s="11">
        <v>0</v>
      </c>
      <c r="K74" s="11">
        <v>0</v>
      </c>
      <c r="L74" s="11">
        <v>0</v>
      </c>
      <c r="M74" s="13">
        <v>0</v>
      </c>
      <c r="N74" s="11">
        <v>0</v>
      </c>
      <c r="O74" s="11">
        <v>0</v>
      </c>
      <c r="P74" s="11">
        <v>0</v>
      </c>
      <c r="Q74" s="11">
        <v>0</v>
      </c>
      <c r="R74" s="13">
        <f t="shared" si="10"/>
        <v>0</v>
      </c>
      <c r="S74">
        <v>0</v>
      </c>
      <c r="T74">
        <v>0</v>
      </c>
      <c r="U74" s="7">
        <f t="shared" si="13"/>
        <v>0</v>
      </c>
      <c r="V74">
        <v>0</v>
      </c>
      <c r="W74">
        <v>0</v>
      </c>
      <c r="X74">
        <v>0</v>
      </c>
      <c r="Y74">
        <v>0</v>
      </c>
      <c r="Z74" s="13">
        <f t="shared" si="14"/>
        <v>0</v>
      </c>
      <c r="AA74">
        <v>0</v>
      </c>
      <c r="AB74">
        <v>0</v>
      </c>
      <c r="AC74">
        <v>0</v>
      </c>
      <c r="AD74">
        <v>0</v>
      </c>
      <c r="AE74" s="7">
        <f t="shared" si="15"/>
        <v>0</v>
      </c>
      <c r="AF74">
        <v>0</v>
      </c>
      <c r="AG74">
        <v>0</v>
      </c>
      <c r="AH74">
        <v>0</v>
      </c>
      <c r="AI74" s="13">
        <f t="shared" si="11"/>
        <v>0</v>
      </c>
      <c r="AJ74" s="11" t="s">
        <v>51</v>
      </c>
      <c r="AK74" s="11" t="s">
        <v>51</v>
      </c>
      <c r="AL74" s="11" t="s">
        <v>51</v>
      </c>
      <c r="AM74" s="13">
        <f t="shared" si="16"/>
        <v>0</v>
      </c>
      <c r="AN74" s="18">
        <v>3</v>
      </c>
      <c r="AO74" s="18">
        <v>0</v>
      </c>
      <c r="AP74" s="18">
        <v>0</v>
      </c>
      <c r="AQ74" s="18">
        <v>0</v>
      </c>
      <c r="AR74" s="18">
        <f t="shared" si="17"/>
        <v>3</v>
      </c>
      <c r="AS74" t="s">
        <v>52</v>
      </c>
      <c r="AT74" s="9" t="s">
        <v>327</v>
      </c>
      <c r="AU74" s="30">
        <f t="shared" ref="AU74:AU79" si="18">+((AN74*I74)+(AO74*AE74)+(AQ74*AI74)+(AP74*AM74))/AR74</f>
        <v>80.55</v>
      </c>
    </row>
    <row r="75" spans="1:47" hidden="1" x14ac:dyDescent="0.25">
      <c r="A75" t="s">
        <v>46</v>
      </c>
      <c r="B75" t="s">
        <v>328</v>
      </c>
      <c r="C75" t="s">
        <v>329</v>
      </c>
      <c r="D75" t="s">
        <v>330</v>
      </c>
      <c r="E75" s="11">
        <v>0</v>
      </c>
      <c r="F75" s="11">
        <v>25</v>
      </c>
      <c r="G75" s="11">
        <v>55.287500000000001</v>
      </c>
      <c r="H75" s="11">
        <v>3.125</v>
      </c>
      <c r="I75" s="13">
        <f t="shared" si="12"/>
        <v>83.412499999999994</v>
      </c>
      <c r="J75" s="11">
        <v>0</v>
      </c>
      <c r="K75" s="11">
        <v>0</v>
      </c>
      <c r="L75" s="11">
        <v>0</v>
      </c>
      <c r="M75" s="13">
        <v>0</v>
      </c>
      <c r="N75" s="11">
        <v>0</v>
      </c>
      <c r="O75" s="11">
        <v>0</v>
      </c>
      <c r="P75" s="11">
        <v>0</v>
      </c>
      <c r="Q75" s="11">
        <v>0</v>
      </c>
      <c r="R75" s="13">
        <f t="shared" si="10"/>
        <v>0</v>
      </c>
      <c r="S75">
        <v>0</v>
      </c>
      <c r="T75">
        <v>0</v>
      </c>
      <c r="U75" s="7">
        <f t="shared" si="13"/>
        <v>0</v>
      </c>
      <c r="V75">
        <v>0</v>
      </c>
      <c r="W75">
        <v>0</v>
      </c>
      <c r="X75">
        <v>0</v>
      </c>
      <c r="Y75">
        <v>0</v>
      </c>
      <c r="Z75" s="13">
        <f t="shared" si="14"/>
        <v>0</v>
      </c>
      <c r="AA75">
        <v>0</v>
      </c>
      <c r="AB75">
        <v>0</v>
      </c>
      <c r="AC75">
        <v>0</v>
      </c>
      <c r="AD75">
        <v>0</v>
      </c>
      <c r="AE75" s="7">
        <f t="shared" si="15"/>
        <v>0</v>
      </c>
      <c r="AF75">
        <v>0</v>
      </c>
      <c r="AG75">
        <v>0</v>
      </c>
      <c r="AH75">
        <v>0</v>
      </c>
      <c r="AI75" s="13">
        <f t="shared" si="11"/>
        <v>0</v>
      </c>
      <c r="AJ75" s="11" t="s">
        <v>51</v>
      </c>
      <c r="AK75" s="11" t="s">
        <v>51</v>
      </c>
      <c r="AL75" s="11" t="s">
        <v>51</v>
      </c>
      <c r="AM75" s="13">
        <f t="shared" si="16"/>
        <v>0</v>
      </c>
      <c r="AN75" s="18">
        <v>3</v>
      </c>
      <c r="AO75" s="18">
        <v>0</v>
      </c>
      <c r="AP75" s="18">
        <v>0</v>
      </c>
      <c r="AQ75" s="18">
        <v>0</v>
      </c>
      <c r="AR75" s="18">
        <f t="shared" si="17"/>
        <v>3</v>
      </c>
      <c r="AS75" t="s">
        <v>52</v>
      </c>
      <c r="AT75" s="9" t="s">
        <v>331</v>
      </c>
      <c r="AU75" s="30">
        <f t="shared" si="18"/>
        <v>83.412499999999994</v>
      </c>
    </row>
    <row r="76" spans="1:47" hidden="1" x14ac:dyDescent="0.25">
      <c r="A76" t="s">
        <v>46</v>
      </c>
      <c r="B76" t="s">
        <v>332</v>
      </c>
      <c r="C76" t="s">
        <v>333</v>
      </c>
      <c r="D76" t="s">
        <v>334</v>
      </c>
      <c r="E76" t="s">
        <v>71</v>
      </c>
      <c r="F76" t="s">
        <v>50</v>
      </c>
      <c r="G76" t="s">
        <v>61</v>
      </c>
      <c r="H76" s="11">
        <v>0</v>
      </c>
      <c r="I76" s="13">
        <f t="shared" si="12"/>
        <v>0</v>
      </c>
      <c r="J76" s="11">
        <v>0</v>
      </c>
      <c r="K76" s="11">
        <v>0</v>
      </c>
      <c r="L76" s="11">
        <v>0</v>
      </c>
      <c r="M76" s="13">
        <v>0</v>
      </c>
      <c r="N76" s="11">
        <v>0</v>
      </c>
      <c r="O76" s="11">
        <v>0</v>
      </c>
      <c r="P76" s="11">
        <v>0</v>
      </c>
      <c r="Q76" s="11">
        <v>0</v>
      </c>
      <c r="R76" s="13">
        <f t="shared" si="10"/>
        <v>0</v>
      </c>
      <c r="S76">
        <v>0</v>
      </c>
      <c r="T76">
        <v>0</v>
      </c>
      <c r="U76" s="7">
        <f t="shared" si="13"/>
        <v>0</v>
      </c>
      <c r="V76">
        <v>0</v>
      </c>
      <c r="W76">
        <v>0</v>
      </c>
      <c r="X76">
        <v>0</v>
      </c>
      <c r="Y76">
        <v>0</v>
      </c>
      <c r="Z76" s="13">
        <f t="shared" si="14"/>
        <v>0</v>
      </c>
      <c r="AA76">
        <v>0</v>
      </c>
      <c r="AB76">
        <v>0</v>
      </c>
      <c r="AC76">
        <v>0</v>
      </c>
      <c r="AD76">
        <v>0</v>
      </c>
      <c r="AE76" s="7">
        <f t="shared" si="15"/>
        <v>0</v>
      </c>
      <c r="AF76">
        <v>0</v>
      </c>
      <c r="AG76">
        <v>0</v>
      </c>
      <c r="AH76">
        <v>0</v>
      </c>
      <c r="AI76" s="13">
        <f t="shared" si="11"/>
        <v>0</v>
      </c>
      <c r="AJ76" s="11" t="s">
        <v>51</v>
      </c>
      <c r="AK76" s="11" t="s">
        <v>51</v>
      </c>
      <c r="AL76" s="11" t="s">
        <v>51</v>
      </c>
      <c r="AM76" s="13">
        <f t="shared" si="16"/>
        <v>0</v>
      </c>
      <c r="AN76" s="18">
        <v>40</v>
      </c>
      <c r="AO76" s="18">
        <v>0</v>
      </c>
      <c r="AP76" s="18">
        <v>0</v>
      </c>
      <c r="AQ76" s="18">
        <v>0</v>
      </c>
      <c r="AR76" s="18">
        <f t="shared" si="17"/>
        <v>40</v>
      </c>
      <c r="AS76" t="s">
        <v>52</v>
      </c>
      <c r="AT76" s="9" t="s">
        <v>72</v>
      </c>
      <c r="AU76" s="30">
        <f t="shared" si="18"/>
        <v>0</v>
      </c>
    </row>
    <row r="77" spans="1:47" hidden="1" x14ac:dyDescent="0.25">
      <c r="A77" t="s">
        <v>46</v>
      </c>
      <c r="B77" t="s">
        <v>335</v>
      </c>
      <c r="C77" t="s">
        <v>336</v>
      </c>
      <c r="D77" t="s">
        <v>337</v>
      </c>
      <c r="E77" s="11">
        <v>20</v>
      </c>
      <c r="F77" s="11">
        <v>20</v>
      </c>
      <c r="G77" s="11">
        <v>46.06</v>
      </c>
      <c r="H77" s="11">
        <v>3</v>
      </c>
      <c r="I77" s="13">
        <f t="shared" si="12"/>
        <v>89.06</v>
      </c>
      <c r="J77" s="11">
        <v>0</v>
      </c>
      <c r="K77" s="11">
        <v>0</v>
      </c>
      <c r="L77" s="11">
        <v>0</v>
      </c>
      <c r="M77" s="13">
        <v>0</v>
      </c>
      <c r="N77" s="11">
        <v>0</v>
      </c>
      <c r="O77" s="11">
        <v>0</v>
      </c>
      <c r="P77" s="11">
        <v>0</v>
      </c>
      <c r="Q77" s="11">
        <v>0</v>
      </c>
      <c r="R77" s="13">
        <f t="shared" si="10"/>
        <v>0</v>
      </c>
      <c r="S77">
        <v>0</v>
      </c>
      <c r="T77">
        <v>0</v>
      </c>
      <c r="U77" s="7">
        <f t="shared" si="13"/>
        <v>0</v>
      </c>
      <c r="V77">
        <v>0</v>
      </c>
      <c r="W77">
        <v>0</v>
      </c>
      <c r="X77">
        <v>0</v>
      </c>
      <c r="Y77">
        <v>0</v>
      </c>
      <c r="Z77" s="13">
        <f t="shared" si="14"/>
        <v>0</v>
      </c>
      <c r="AA77">
        <v>0</v>
      </c>
      <c r="AB77">
        <v>12.5</v>
      </c>
      <c r="AC77">
        <v>12.38</v>
      </c>
      <c r="AD77">
        <v>18.75</v>
      </c>
      <c r="AE77" s="7">
        <f t="shared" si="15"/>
        <v>43.63</v>
      </c>
      <c r="AF77">
        <v>0</v>
      </c>
      <c r="AG77">
        <v>0</v>
      </c>
      <c r="AH77">
        <v>0</v>
      </c>
      <c r="AI77" s="13">
        <f t="shared" si="11"/>
        <v>0</v>
      </c>
      <c r="AJ77" s="11" t="s">
        <v>51</v>
      </c>
      <c r="AK77" s="11" t="s">
        <v>51</v>
      </c>
      <c r="AL77" s="11" t="s">
        <v>51</v>
      </c>
      <c r="AM77" s="13">
        <f t="shared" si="16"/>
        <v>0</v>
      </c>
      <c r="AN77" s="18">
        <v>35</v>
      </c>
      <c r="AO77" s="18">
        <v>5</v>
      </c>
      <c r="AP77" s="18">
        <v>0</v>
      </c>
      <c r="AQ77" s="18">
        <v>0</v>
      </c>
      <c r="AR77" s="18">
        <f t="shared" si="17"/>
        <v>40</v>
      </c>
      <c r="AS77" t="s">
        <v>52</v>
      </c>
      <c r="AT77" s="9" t="s">
        <v>338</v>
      </c>
      <c r="AU77" s="30">
        <f t="shared" si="18"/>
        <v>83.381249999999994</v>
      </c>
    </row>
    <row r="78" spans="1:47" hidden="1" x14ac:dyDescent="0.25">
      <c r="A78" t="s">
        <v>46</v>
      </c>
      <c r="B78" t="s">
        <v>339</v>
      </c>
      <c r="C78" t="s">
        <v>340</v>
      </c>
      <c r="D78" t="s">
        <v>341</v>
      </c>
      <c r="E78" s="11">
        <v>19.670000000000002</v>
      </c>
      <c r="F78" s="11">
        <v>19.329999999999998</v>
      </c>
      <c r="G78" s="11">
        <v>44.53</v>
      </c>
      <c r="H78" s="11">
        <v>4.5</v>
      </c>
      <c r="I78" s="13">
        <f t="shared" si="12"/>
        <v>88.03</v>
      </c>
      <c r="J78" s="11">
        <v>53.44</v>
      </c>
      <c r="K78" s="11">
        <v>30</v>
      </c>
      <c r="L78" s="11">
        <v>4.5</v>
      </c>
      <c r="M78" s="13">
        <v>87.94</v>
      </c>
      <c r="N78" s="11">
        <v>0</v>
      </c>
      <c r="O78" s="11">
        <v>0</v>
      </c>
      <c r="P78" s="11">
        <v>0</v>
      </c>
      <c r="Q78" s="11">
        <v>0</v>
      </c>
      <c r="R78" s="13">
        <f t="shared" si="10"/>
        <v>0</v>
      </c>
      <c r="S78">
        <v>0</v>
      </c>
      <c r="T78">
        <v>0</v>
      </c>
      <c r="U78" s="7">
        <f t="shared" si="13"/>
        <v>0</v>
      </c>
      <c r="V78">
        <v>0</v>
      </c>
      <c r="W78">
        <v>0</v>
      </c>
      <c r="X78">
        <v>0</v>
      </c>
      <c r="Y78">
        <v>0</v>
      </c>
      <c r="Z78" s="13">
        <f t="shared" si="14"/>
        <v>0</v>
      </c>
      <c r="AA78">
        <v>0</v>
      </c>
      <c r="AB78">
        <v>0</v>
      </c>
      <c r="AC78">
        <v>0</v>
      </c>
      <c r="AD78">
        <v>0</v>
      </c>
      <c r="AE78" s="7">
        <f t="shared" si="15"/>
        <v>0</v>
      </c>
      <c r="AF78">
        <v>46.66</v>
      </c>
      <c r="AG78">
        <v>18</v>
      </c>
      <c r="AH78">
        <v>29</v>
      </c>
      <c r="AI78" s="13">
        <f t="shared" si="11"/>
        <v>93.66</v>
      </c>
      <c r="AJ78" s="11" t="s">
        <v>51</v>
      </c>
      <c r="AK78" s="11" t="s">
        <v>51</v>
      </c>
      <c r="AL78" s="11" t="s">
        <v>51</v>
      </c>
      <c r="AM78" s="13">
        <f t="shared" si="16"/>
        <v>0</v>
      </c>
      <c r="AN78" s="18">
        <v>17.25</v>
      </c>
      <c r="AO78" s="18">
        <v>0</v>
      </c>
      <c r="AP78" s="18">
        <v>0</v>
      </c>
      <c r="AQ78" s="18">
        <v>0</v>
      </c>
      <c r="AR78" s="18">
        <f t="shared" si="17"/>
        <v>17.25</v>
      </c>
      <c r="AS78" t="s">
        <v>52</v>
      </c>
      <c r="AT78" s="9" t="s">
        <v>342</v>
      </c>
      <c r="AU78" s="30">
        <f t="shared" si="18"/>
        <v>88.03</v>
      </c>
    </row>
    <row r="79" spans="1:47" hidden="1" x14ac:dyDescent="0.25">
      <c r="A79" t="s">
        <v>46</v>
      </c>
      <c r="B79" t="s">
        <v>339</v>
      </c>
      <c r="C79" t="s">
        <v>340</v>
      </c>
      <c r="D79" t="s">
        <v>341</v>
      </c>
      <c r="E79" s="11">
        <v>19.670000000000002</v>
      </c>
      <c r="F79" s="11">
        <v>19.329999999999998</v>
      </c>
      <c r="G79" s="11">
        <v>44.53</v>
      </c>
      <c r="H79" s="11">
        <v>4.5</v>
      </c>
      <c r="I79" s="13">
        <f t="shared" si="12"/>
        <v>88.03</v>
      </c>
      <c r="J79" s="11">
        <v>53.44</v>
      </c>
      <c r="K79" s="11">
        <v>30</v>
      </c>
      <c r="L79" s="11">
        <v>4.5</v>
      </c>
      <c r="M79" s="13">
        <v>87.94</v>
      </c>
      <c r="N79" s="11">
        <v>0</v>
      </c>
      <c r="O79" s="11">
        <v>0</v>
      </c>
      <c r="P79" s="11">
        <v>0</v>
      </c>
      <c r="Q79" s="11">
        <v>0</v>
      </c>
      <c r="R79" s="13">
        <f t="shared" si="10"/>
        <v>0</v>
      </c>
      <c r="S79">
        <v>0</v>
      </c>
      <c r="T79">
        <v>0</v>
      </c>
      <c r="U79" s="7">
        <f t="shared" si="13"/>
        <v>0</v>
      </c>
      <c r="V79">
        <v>0</v>
      </c>
      <c r="W79">
        <v>0</v>
      </c>
      <c r="X79">
        <v>0</v>
      </c>
      <c r="Y79">
        <v>0</v>
      </c>
      <c r="Z79" s="13">
        <f t="shared" si="14"/>
        <v>0</v>
      </c>
      <c r="AA79">
        <v>0</v>
      </c>
      <c r="AB79">
        <v>0</v>
      </c>
      <c r="AC79">
        <v>0</v>
      </c>
      <c r="AD79">
        <v>0</v>
      </c>
      <c r="AE79" s="7">
        <f t="shared" si="15"/>
        <v>0</v>
      </c>
      <c r="AF79">
        <v>46.66</v>
      </c>
      <c r="AG79">
        <v>18</v>
      </c>
      <c r="AH79">
        <v>29</v>
      </c>
      <c r="AI79" s="13">
        <f t="shared" si="11"/>
        <v>93.66</v>
      </c>
      <c r="AJ79" s="11" t="s">
        <v>51</v>
      </c>
      <c r="AK79" s="11" t="s">
        <v>51</v>
      </c>
      <c r="AL79" s="11" t="s">
        <v>51</v>
      </c>
      <c r="AM79" s="13">
        <f t="shared" si="16"/>
        <v>0</v>
      </c>
      <c r="AN79" s="18">
        <v>5</v>
      </c>
      <c r="AO79" s="18">
        <v>0</v>
      </c>
      <c r="AP79" s="18">
        <v>0</v>
      </c>
      <c r="AQ79" s="18">
        <v>17.75</v>
      </c>
      <c r="AR79" s="18">
        <f t="shared" si="17"/>
        <v>22.75</v>
      </c>
      <c r="AS79" t="s">
        <v>87</v>
      </c>
      <c r="AT79" s="9" t="s">
        <v>344</v>
      </c>
      <c r="AU79" s="30">
        <f t="shared" si="18"/>
        <v>92.42263736263736</v>
      </c>
    </row>
    <row r="80" spans="1:47" hidden="1" x14ac:dyDescent="0.25">
      <c r="A80" t="s">
        <v>46</v>
      </c>
      <c r="B80" t="s">
        <v>345</v>
      </c>
      <c r="C80" t="s">
        <v>346</v>
      </c>
      <c r="D80" t="s">
        <v>347</v>
      </c>
      <c r="E80" s="11">
        <v>0</v>
      </c>
      <c r="F80" s="11">
        <v>0</v>
      </c>
      <c r="G80" s="11">
        <v>0</v>
      </c>
      <c r="H80" s="11">
        <v>0</v>
      </c>
      <c r="I80" s="13">
        <f t="shared" si="12"/>
        <v>0</v>
      </c>
      <c r="J80" s="11">
        <v>0</v>
      </c>
      <c r="K80" s="11">
        <v>0</v>
      </c>
      <c r="L80" s="11">
        <v>0</v>
      </c>
      <c r="M80" s="13">
        <v>0</v>
      </c>
      <c r="N80" s="11">
        <v>0</v>
      </c>
      <c r="O80" s="11">
        <v>0</v>
      </c>
      <c r="P80" s="11">
        <v>0</v>
      </c>
      <c r="Q80" s="11">
        <v>0</v>
      </c>
      <c r="R80" s="13">
        <f t="shared" si="10"/>
        <v>0</v>
      </c>
      <c r="S80">
        <v>65.62</v>
      </c>
      <c r="T80">
        <v>29.5</v>
      </c>
      <c r="U80" s="7">
        <f t="shared" si="13"/>
        <v>95.12</v>
      </c>
      <c r="V80">
        <v>0</v>
      </c>
      <c r="W80">
        <v>0</v>
      </c>
      <c r="X80">
        <v>0</v>
      </c>
      <c r="Y80">
        <v>0</v>
      </c>
      <c r="Z80" s="13">
        <f t="shared" si="14"/>
        <v>0</v>
      </c>
      <c r="AA80">
        <v>0</v>
      </c>
      <c r="AB80">
        <v>0</v>
      </c>
      <c r="AC80">
        <v>0</v>
      </c>
      <c r="AD80">
        <v>0</v>
      </c>
      <c r="AE80" s="7">
        <f t="shared" si="15"/>
        <v>0</v>
      </c>
      <c r="AF80">
        <v>0</v>
      </c>
      <c r="AG80">
        <v>0</v>
      </c>
      <c r="AH80">
        <v>0</v>
      </c>
      <c r="AI80" s="13">
        <f t="shared" si="11"/>
        <v>0</v>
      </c>
      <c r="AJ80" s="11" t="s">
        <v>51</v>
      </c>
      <c r="AK80" s="11" t="s">
        <v>51</v>
      </c>
      <c r="AL80" s="11" t="s">
        <v>51</v>
      </c>
      <c r="AM80" s="13">
        <f t="shared" si="16"/>
        <v>0</v>
      </c>
      <c r="AN80" s="18">
        <v>4</v>
      </c>
      <c r="AO80" s="18">
        <v>0</v>
      </c>
      <c r="AP80" s="18">
        <v>0</v>
      </c>
      <c r="AQ80" s="18">
        <v>0</v>
      </c>
      <c r="AR80" s="18">
        <f t="shared" si="17"/>
        <v>4</v>
      </c>
      <c r="AS80" t="s">
        <v>52</v>
      </c>
      <c r="AT80" s="9" t="s">
        <v>348</v>
      </c>
      <c r="AU80" s="30">
        <f>+((U80*AN80)/AR80)</f>
        <v>95.12</v>
      </c>
    </row>
    <row r="81" spans="1:47" hidden="1" x14ac:dyDescent="0.25">
      <c r="A81" t="s">
        <v>46</v>
      </c>
      <c r="B81" t="s">
        <v>349</v>
      </c>
      <c r="C81" t="s">
        <v>350</v>
      </c>
      <c r="D81" t="s">
        <v>351</v>
      </c>
      <c r="E81" s="11">
        <v>0</v>
      </c>
      <c r="F81" s="11">
        <v>0</v>
      </c>
      <c r="G81" s="11">
        <v>0</v>
      </c>
      <c r="H81" s="11">
        <v>0</v>
      </c>
      <c r="I81" s="13">
        <f t="shared" si="12"/>
        <v>0</v>
      </c>
      <c r="J81" s="11">
        <v>54.16</v>
      </c>
      <c r="K81" s="11">
        <v>30</v>
      </c>
      <c r="L81" s="11">
        <v>2.5</v>
      </c>
      <c r="M81" s="13">
        <v>86.66</v>
      </c>
      <c r="N81" s="11">
        <v>0</v>
      </c>
      <c r="O81" s="11">
        <v>0</v>
      </c>
      <c r="P81" s="11">
        <v>0</v>
      </c>
      <c r="Q81" s="11">
        <v>0</v>
      </c>
      <c r="R81" s="13">
        <f t="shared" si="10"/>
        <v>0</v>
      </c>
      <c r="S81">
        <v>0</v>
      </c>
      <c r="T81">
        <v>0</v>
      </c>
      <c r="U81" s="7">
        <f t="shared" si="13"/>
        <v>0</v>
      </c>
      <c r="V81">
        <v>0</v>
      </c>
      <c r="W81">
        <v>0</v>
      </c>
      <c r="X81">
        <v>0</v>
      </c>
      <c r="Y81">
        <v>0</v>
      </c>
      <c r="Z81" s="13">
        <f t="shared" si="14"/>
        <v>0</v>
      </c>
      <c r="AA81">
        <v>0</v>
      </c>
      <c r="AB81">
        <v>0</v>
      </c>
      <c r="AC81">
        <v>0</v>
      </c>
      <c r="AD81">
        <v>0</v>
      </c>
      <c r="AE81" s="7">
        <f t="shared" si="15"/>
        <v>0</v>
      </c>
      <c r="AF81">
        <v>0</v>
      </c>
      <c r="AG81">
        <v>0</v>
      </c>
      <c r="AH81">
        <v>0</v>
      </c>
      <c r="AI81" s="13">
        <f t="shared" si="11"/>
        <v>0</v>
      </c>
      <c r="AJ81" s="11" t="s">
        <v>51</v>
      </c>
      <c r="AK81" s="11" t="s">
        <v>51</v>
      </c>
      <c r="AL81" s="11" t="s">
        <v>51</v>
      </c>
      <c r="AM81" s="13">
        <f t="shared" si="16"/>
        <v>0</v>
      </c>
      <c r="AN81" s="18">
        <v>2</v>
      </c>
      <c r="AO81" s="18">
        <v>0</v>
      </c>
      <c r="AP81" s="18">
        <v>0</v>
      </c>
      <c r="AQ81" s="18">
        <v>0</v>
      </c>
      <c r="AR81" s="18">
        <f t="shared" si="17"/>
        <v>2</v>
      </c>
      <c r="AS81" t="s">
        <v>87</v>
      </c>
      <c r="AT81" s="9" t="s">
        <v>185</v>
      </c>
      <c r="AU81" s="30">
        <f>+((AN81*M81)/AR81)</f>
        <v>86.66</v>
      </c>
    </row>
    <row r="82" spans="1:47" hidden="1" x14ac:dyDescent="0.25">
      <c r="A82" t="s">
        <v>46</v>
      </c>
      <c r="B82" t="s">
        <v>352</v>
      </c>
      <c r="C82" t="s">
        <v>353</v>
      </c>
      <c r="D82" t="s">
        <v>354</v>
      </c>
      <c r="E82" s="11">
        <v>25</v>
      </c>
      <c r="F82" s="11">
        <v>0</v>
      </c>
      <c r="G82" s="11">
        <v>54.4375</v>
      </c>
      <c r="H82" s="11">
        <v>5.625</v>
      </c>
      <c r="I82" s="13">
        <f t="shared" si="12"/>
        <v>85.0625</v>
      </c>
      <c r="J82" s="11">
        <v>0</v>
      </c>
      <c r="K82" s="11">
        <v>0</v>
      </c>
      <c r="L82" s="11">
        <v>0</v>
      </c>
      <c r="M82" s="13">
        <v>0</v>
      </c>
      <c r="N82" s="11">
        <v>0</v>
      </c>
      <c r="O82" s="11">
        <v>0</v>
      </c>
      <c r="P82" s="11">
        <v>0</v>
      </c>
      <c r="Q82" s="11">
        <v>0</v>
      </c>
      <c r="R82" s="13">
        <f t="shared" si="10"/>
        <v>0</v>
      </c>
      <c r="S82">
        <v>0</v>
      </c>
      <c r="T82">
        <v>0</v>
      </c>
      <c r="U82" s="7">
        <f t="shared" si="13"/>
        <v>0</v>
      </c>
      <c r="V82">
        <v>0</v>
      </c>
      <c r="W82">
        <v>0</v>
      </c>
      <c r="X82">
        <v>0</v>
      </c>
      <c r="Y82">
        <v>0</v>
      </c>
      <c r="Z82" s="13">
        <f t="shared" si="14"/>
        <v>0</v>
      </c>
      <c r="AA82">
        <v>15</v>
      </c>
      <c r="AB82">
        <v>50</v>
      </c>
      <c r="AC82">
        <v>15</v>
      </c>
      <c r="AD82">
        <v>13.75</v>
      </c>
      <c r="AE82" s="7">
        <f t="shared" si="15"/>
        <v>93.75</v>
      </c>
      <c r="AF82">
        <v>0</v>
      </c>
      <c r="AG82">
        <v>0</v>
      </c>
      <c r="AH82">
        <v>0</v>
      </c>
      <c r="AI82" s="13">
        <f t="shared" si="11"/>
        <v>0</v>
      </c>
      <c r="AJ82" s="11" t="s">
        <v>51</v>
      </c>
      <c r="AK82" s="11" t="s">
        <v>51</v>
      </c>
      <c r="AL82" s="11" t="s">
        <v>51</v>
      </c>
      <c r="AM82" s="13">
        <f t="shared" si="16"/>
        <v>0</v>
      </c>
      <c r="AN82" s="18">
        <v>35</v>
      </c>
      <c r="AO82" s="18">
        <v>5</v>
      </c>
      <c r="AP82" s="18">
        <v>0</v>
      </c>
      <c r="AQ82" s="18">
        <v>0</v>
      </c>
      <c r="AR82" s="18">
        <f t="shared" si="17"/>
        <v>40</v>
      </c>
      <c r="AS82" t="s">
        <v>52</v>
      </c>
      <c r="AT82" s="9" t="s">
        <v>355</v>
      </c>
      <c r="AU82" s="30">
        <f>+((AN82*I82)+(AO82*AE82)+(AQ82*AI82)+(AP82*AM82))/AR82</f>
        <v>86.1484375</v>
      </c>
    </row>
    <row r="83" spans="1:47" hidden="1" x14ac:dyDescent="0.25">
      <c r="A83" t="s">
        <v>46</v>
      </c>
      <c r="B83" t="s">
        <v>356</v>
      </c>
      <c r="C83" t="s">
        <v>357</v>
      </c>
      <c r="D83" t="s">
        <v>358</v>
      </c>
      <c r="E83" s="11">
        <v>0</v>
      </c>
      <c r="F83" s="11">
        <v>0</v>
      </c>
      <c r="G83" s="11">
        <v>0</v>
      </c>
      <c r="H83" s="11">
        <v>0</v>
      </c>
      <c r="I83" s="13">
        <f t="shared" si="12"/>
        <v>0</v>
      </c>
      <c r="J83" s="11">
        <v>0</v>
      </c>
      <c r="K83" s="11">
        <v>0</v>
      </c>
      <c r="L83" s="11">
        <v>0</v>
      </c>
      <c r="M83" s="13">
        <v>0</v>
      </c>
      <c r="N83" s="11">
        <v>0</v>
      </c>
      <c r="O83" s="11">
        <v>0</v>
      </c>
      <c r="P83" s="11">
        <v>0</v>
      </c>
      <c r="Q83" s="11">
        <v>0</v>
      </c>
      <c r="R83" s="13">
        <f t="shared" si="10"/>
        <v>0</v>
      </c>
      <c r="S83">
        <v>0</v>
      </c>
      <c r="T83">
        <v>0</v>
      </c>
      <c r="U83" s="7">
        <f t="shared" si="13"/>
        <v>0</v>
      </c>
      <c r="V83">
        <v>5</v>
      </c>
      <c r="W83">
        <v>14.67</v>
      </c>
      <c r="X83">
        <v>42.78</v>
      </c>
      <c r="Y83">
        <v>17.579999999999998</v>
      </c>
      <c r="Z83" s="13">
        <f t="shared" si="14"/>
        <v>80.03</v>
      </c>
      <c r="AA83">
        <v>0</v>
      </c>
      <c r="AB83">
        <v>0</v>
      </c>
      <c r="AC83">
        <v>0</v>
      </c>
      <c r="AD83">
        <v>0</v>
      </c>
      <c r="AE83" s="7">
        <f t="shared" si="15"/>
        <v>0</v>
      </c>
      <c r="AF83">
        <v>50</v>
      </c>
      <c r="AG83">
        <v>18.670000000000002</v>
      </c>
      <c r="AH83">
        <v>29.25</v>
      </c>
      <c r="AI83" s="13">
        <f t="shared" si="11"/>
        <v>97.92</v>
      </c>
      <c r="AJ83" s="11" t="s">
        <v>51</v>
      </c>
      <c r="AK83" s="11" t="s">
        <v>51</v>
      </c>
      <c r="AL83" s="11" t="s">
        <v>51</v>
      </c>
      <c r="AM83" s="13">
        <f t="shared" si="16"/>
        <v>0</v>
      </c>
      <c r="AN83" s="18">
        <v>32</v>
      </c>
      <c r="AO83" s="18">
        <v>0</v>
      </c>
      <c r="AP83" s="18">
        <v>0</v>
      </c>
      <c r="AQ83" s="18">
        <v>8</v>
      </c>
      <c r="AR83" s="18">
        <f t="shared" si="17"/>
        <v>40</v>
      </c>
      <c r="AS83" t="s">
        <v>52</v>
      </c>
      <c r="AT83" s="9" t="s">
        <v>359</v>
      </c>
      <c r="AU83" s="30">
        <f>+((AN83*Z83)+(AO83*AE83)+(AQ83*AI83)+(AP83*AM83))/AR83</f>
        <v>83.608000000000004</v>
      </c>
    </row>
    <row r="84" spans="1:47" hidden="1" x14ac:dyDescent="0.25">
      <c r="A84" t="s">
        <v>46</v>
      </c>
      <c r="B84" t="s">
        <v>360</v>
      </c>
      <c r="C84" t="s">
        <v>361</v>
      </c>
      <c r="D84" t="s">
        <v>362</v>
      </c>
      <c r="E84" s="11">
        <v>0</v>
      </c>
      <c r="F84" s="11">
        <v>0</v>
      </c>
      <c r="G84" s="11">
        <v>0</v>
      </c>
      <c r="H84" s="11">
        <v>0</v>
      </c>
      <c r="I84" s="13">
        <f t="shared" si="12"/>
        <v>0</v>
      </c>
      <c r="J84" s="11">
        <v>0</v>
      </c>
      <c r="K84" s="11">
        <v>0</v>
      </c>
      <c r="L84" s="11">
        <v>0</v>
      </c>
      <c r="M84" s="13">
        <v>0</v>
      </c>
      <c r="N84" s="11">
        <v>0</v>
      </c>
      <c r="O84" s="11">
        <v>0</v>
      </c>
      <c r="P84" s="11">
        <v>0</v>
      </c>
      <c r="Q84" s="11">
        <v>0</v>
      </c>
      <c r="R84" s="13">
        <f t="shared" si="10"/>
        <v>0</v>
      </c>
      <c r="S84">
        <v>0</v>
      </c>
      <c r="T84">
        <v>0</v>
      </c>
      <c r="U84" s="7">
        <f t="shared" si="13"/>
        <v>0</v>
      </c>
      <c r="V84">
        <v>3.5</v>
      </c>
      <c r="W84">
        <v>20</v>
      </c>
      <c r="X84">
        <v>46.96</v>
      </c>
      <c r="Y84">
        <v>20</v>
      </c>
      <c r="Z84" s="13">
        <f t="shared" si="14"/>
        <v>90.460000000000008</v>
      </c>
      <c r="AA84">
        <v>0</v>
      </c>
      <c r="AB84">
        <v>0</v>
      </c>
      <c r="AC84">
        <v>0</v>
      </c>
      <c r="AD84">
        <v>0</v>
      </c>
      <c r="AE84" s="7">
        <f t="shared" si="15"/>
        <v>0</v>
      </c>
      <c r="AF84">
        <v>0</v>
      </c>
      <c r="AG84">
        <v>0</v>
      </c>
      <c r="AH84">
        <v>0</v>
      </c>
      <c r="AI84" s="13">
        <f t="shared" si="11"/>
        <v>0</v>
      </c>
      <c r="AJ84" s="11" t="s">
        <v>51</v>
      </c>
      <c r="AK84" s="11" t="s">
        <v>51</v>
      </c>
      <c r="AL84" s="11" t="s">
        <v>51</v>
      </c>
      <c r="AM84" s="13">
        <f t="shared" si="16"/>
        <v>0</v>
      </c>
      <c r="AN84" s="18">
        <v>10</v>
      </c>
      <c r="AO84" s="18">
        <v>0</v>
      </c>
      <c r="AP84" s="18">
        <v>0</v>
      </c>
      <c r="AQ84" s="18">
        <v>0</v>
      </c>
      <c r="AR84" s="18">
        <f t="shared" si="17"/>
        <v>10</v>
      </c>
      <c r="AS84" t="s">
        <v>52</v>
      </c>
      <c r="AT84" s="9" t="s">
        <v>363</v>
      </c>
      <c r="AU84" s="30">
        <f>+((Z84*AN84)/AR84)</f>
        <v>90.460000000000008</v>
      </c>
    </row>
    <row r="85" spans="1:47" hidden="1" x14ac:dyDescent="0.25">
      <c r="A85" t="s">
        <v>46</v>
      </c>
      <c r="B85" s="32" t="s">
        <v>364</v>
      </c>
      <c r="C85" s="32" t="s">
        <v>365</v>
      </c>
      <c r="D85" s="32" t="s">
        <v>366</v>
      </c>
      <c r="E85" s="11">
        <v>0</v>
      </c>
      <c r="F85" s="11">
        <v>0</v>
      </c>
      <c r="G85" s="11">
        <v>0</v>
      </c>
      <c r="H85" s="11">
        <v>0</v>
      </c>
      <c r="I85" s="13">
        <f t="shared" si="12"/>
        <v>0</v>
      </c>
      <c r="J85" s="11">
        <v>0</v>
      </c>
      <c r="K85" s="11">
        <v>0</v>
      </c>
      <c r="L85" s="11">
        <v>0</v>
      </c>
      <c r="M85" s="13">
        <v>0</v>
      </c>
      <c r="N85" s="11">
        <v>55.5625</v>
      </c>
      <c r="O85" s="11">
        <v>5</v>
      </c>
      <c r="P85" s="11">
        <v>0</v>
      </c>
      <c r="Q85" s="11">
        <v>25</v>
      </c>
      <c r="R85" s="13">
        <f t="shared" si="10"/>
        <v>85.5625</v>
      </c>
      <c r="S85">
        <v>0</v>
      </c>
      <c r="T85">
        <v>0</v>
      </c>
      <c r="U85" s="7">
        <f t="shared" si="13"/>
        <v>0</v>
      </c>
      <c r="V85">
        <v>0</v>
      </c>
      <c r="W85">
        <v>0</v>
      </c>
      <c r="X85">
        <v>0</v>
      </c>
      <c r="Y85">
        <v>0</v>
      </c>
      <c r="Z85" s="13">
        <f t="shared" si="14"/>
        <v>0</v>
      </c>
      <c r="AA85">
        <v>0</v>
      </c>
      <c r="AB85">
        <v>0</v>
      </c>
      <c r="AC85">
        <v>0</v>
      </c>
      <c r="AD85">
        <v>0</v>
      </c>
      <c r="AE85" s="7">
        <f t="shared" si="15"/>
        <v>0</v>
      </c>
      <c r="AF85">
        <v>0</v>
      </c>
      <c r="AG85">
        <v>0</v>
      </c>
      <c r="AH85">
        <v>0</v>
      </c>
      <c r="AI85" s="13">
        <f t="shared" si="11"/>
        <v>0</v>
      </c>
      <c r="AJ85" s="11" t="s">
        <v>51</v>
      </c>
      <c r="AK85" s="11" t="s">
        <v>51</v>
      </c>
      <c r="AL85" s="11" t="s">
        <v>51</v>
      </c>
      <c r="AM85" s="13">
        <f t="shared" si="16"/>
        <v>0</v>
      </c>
      <c r="AN85" s="18">
        <v>10</v>
      </c>
      <c r="AO85" s="18">
        <v>0</v>
      </c>
      <c r="AP85" s="18">
        <v>0</v>
      </c>
      <c r="AQ85" s="18">
        <v>0</v>
      </c>
      <c r="AR85" s="18">
        <f t="shared" si="17"/>
        <v>10</v>
      </c>
      <c r="AS85" t="s">
        <v>117</v>
      </c>
      <c r="AT85" s="9" t="s">
        <v>367</v>
      </c>
      <c r="AU85" s="11">
        <f>+((AN85*R85)+(AQ85*AI85)+(AP85*AM85))/AR85</f>
        <v>85.5625</v>
      </c>
    </row>
    <row r="86" spans="1:47" hidden="1" x14ac:dyDescent="0.25">
      <c r="A86" t="s">
        <v>46</v>
      </c>
      <c r="B86" t="s">
        <v>368</v>
      </c>
      <c r="C86" t="s">
        <v>369</v>
      </c>
      <c r="D86" t="s">
        <v>370</v>
      </c>
      <c r="E86" s="11">
        <v>0</v>
      </c>
      <c r="F86" s="11">
        <v>17.087499999999999</v>
      </c>
      <c r="G86" s="11">
        <v>51.912500000000001</v>
      </c>
      <c r="H86" s="11">
        <v>3.125</v>
      </c>
      <c r="I86" s="13">
        <f t="shared" si="12"/>
        <v>72.125</v>
      </c>
      <c r="J86" s="11">
        <v>0</v>
      </c>
      <c r="K86" s="11">
        <v>0</v>
      </c>
      <c r="L86" s="11">
        <v>0</v>
      </c>
      <c r="M86" s="13">
        <v>0</v>
      </c>
      <c r="N86" s="11">
        <v>52.36</v>
      </c>
      <c r="O86" s="11">
        <v>3.125</v>
      </c>
      <c r="P86" s="11">
        <v>17.087499999999999</v>
      </c>
      <c r="Q86" s="11">
        <v>0</v>
      </c>
      <c r="R86" s="13">
        <f t="shared" si="10"/>
        <v>72.572499999999991</v>
      </c>
      <c r="S86">
        <v>0</v>
      </c>
      <c r="T86">
        <v>0</v>
      </c>
      <c r="U86" s="7">
        <f t="shared" si="13"/>
        <v>0</v>
      </c>
      <c r="V86">
        <v>0</v>
      </c>
      <c r="W86">
        <v>0</v>
      </c>
      <c r="X86">
        <v>0</v>
      </c>
      <c r="Y86">
        <v>0</v>
      </c>
      <c r="Z86" s="13">
        <f t="shared" si="14"/>
        <v>0</v>
      </c>
      <c r="AA86">
        <v>15</v>
      </c>
      <c r="AB86">
        <v>21.25</v>
      </c>
      <c r="AC86">
        <v>14.25</v>
      </c>
      <c r="AD86">
        <v>18.75</v>
      </c>
      <c r="AE86" s="7">
        <f t="shared" si="15"/>
        <v>69.25</v>
      </c>
      <c r="AF86">
        <v>0</v>
      </c>
      <c r="AG86">
        <v>0</v>
      </c>
      <c r="AH86">
        <v>0</v>
      </c>
      <c r="AI86" s="13">
        <f t="shared" si="11"/>
        <v>0</v>
      </c>
      <c r="AJ86" s="11" t="s">
        <v>51</v>
      </c>
      <c r="AK86" s="11" t="s">
        <v>51</v>
      </c>
      <c r="AL86" s="11" t="s">
        <v>51</v>
      </c>
      <c r="AM86" s="13">
        <f t="shared" si="16"/>
        <v>0</v>
      </c>
      <c r="AN86" s="18">
        <v>23</v>
      </c>
      <c r="AO86" s="18">
        <v>10</v>
      </c>
      <c r="AP86" s="18">
        <v>0</v>
      </c>
      <c r="AQ86" s="18">
        <v>0</v>
      </c>
      <c r="AR86" s="18">
        <f t="shared" si="17"/>
        <v>33</v>
      </c>
      <c r="AS86" t="s">
        <v>52</v>
      </c>
      <c r="AT86" s="9" t="s">
        <v>371</v>
      </c>
      <c r="AU86" s="30">
        <f>+((AN86*I86)+(AO86*AE86)+(AQ86*AI86)+(AP86*AM86))/AR86</f>
        <v>71.253787878787875</v>
      </c>
    </row>
    <row r="87" spans="1:47" hidden="1" x14ac:dyDescent="0.25">
      <c r="A87" s="33" t="s">
        <v>46</v>
      </c>
      <c r="B87" s="32" t="s">
        <v>368</v>
      </c>
      <c r="C87" s="32" t="s">
        <v>369</v>
      </c>
      <c r="D87" s="32" t="s">
        <v>370</v>
      </c>
      <c r="E87" s="11">
        <v>0</v>
      </c>
      <c r="F87" s="11">
        <v>17.087499999999999</v>
      </c>
      <c r="G87" s="11">
        <v>51.912500000000001</v>
      </c>
      <c r="H87" s="11">
        <v>3.125</v>
      </c>
      <c r="I87" s="13">
        <f t="shared" si="12"/>
        <v>72.125</v>
      </c>
      <c r="J87" s="11">
        <v>0</v>
      </c>
      <c r="K87" s="11">
        <v>0</v>
      </c>
      <c r="L87" s="11">
        <v>0</v>
      </c>
      <c r="M87" s="13">
        <v>0</v>
      </c>
      <c r="N87" s="11">
        <v>52.36</v>
      </c>
      <c r="O87" s="11">
        <v>3.125</v>
      </c>
      <c r="P87" s="11">
        <v>17.087499999999999</v>
      </c>
      <c r="Q87" s="11">
        <v>0</v>
      </c>
      <c r="R87" s="13">
        <f t="shared" si="10"/>
        <v>72.572499999999991</v>
      </c>
      <c r="S87">
        <v>0</v>
      </c>
      <c r="T87">
        <v>0</v>
      </c>
      <c r="U87" s="7">
        <f t="shared" si="13"/>
        <v>0</v>
      </c>
      <c r="V87">
        <v>0</v>
      </c>
      <c r="W87">
        <v>0</v>
      </c>
      <c r="X87">
        <v>0</v>
      </c>
      <c r="Y87">
        <v>0</v>
      </c>
      <c r="Z87" s="13">
        <f t="shared" si="14"/>
        <v>0</v>
      </c>
      <c r="AA87">
        <v>15</v>
      </c>
      <c r="AB87">
        <v>21.25</v>
      </c>
      <c r="AC87">
        <v>14.25</v>
      </c>
      <c r="AD87">
        <v>18.75</v>
      </c>
      <c r="AE87" s="7">
        <f t="shared" si="15"/>
        <v>69.25</v>
      </c>
      <c r="AF87">
        <v>0</v>
      </c>
      <c r="AG87">
        <v>0</v>
      </c>
      <c r="AH87">
        <v>0</v>
      </c>
      <c r="AI87" s="13">
        <f t="shared" si="11"/>
        <v>0</v>
      </c>
      <c r="AJ87" s="11" t="s">
        <v>51</v>
      </c>
      <c r="AK87" s="11" t="s">
        <v>51</v>
      </c>
      <c r="AL87" s="11" t="s">
        <v>51</v>
      </c>
      <c r="AM87" s="13">
        <f t="shared" si="16"/>
        <v>0</v>
      </c>
      <c r="AN87" s="18">
        <v>7</v>
      </c>
      <c r="AO87" s="18">
        <v>0</v>
      </c>
      <c r="AP87" s="18">
        <v>0</v>
      </c>
      <c r="AQ87" s="18">
        <v>0</v>
      </c>
      <c r="AR87" s="18">
        <f t="shared" si="17"/>
        <v>7</v>
      </c>
      <c r="AS87" t="s">
        <v>117</v>
      </c>
      <c r="AT87" s="9" t="s">
        <v>372</v>
      </c>
      <c r="AU87" s="11">
        <f>+((AN87*R87)+(AQ87*AI87)+(AP87*AM87))/AR87</f>
        <v>72.572499999999991</v>
      </c>
    </row>
    <row r="88" spans="1:47" hidden="1" x14ac:dyDescent="0.25">
      <c r="A88" t="s">
        <v>46</v>
      </c>
      <c r="B88" t="s">
        <v>373</v>
      </c>
      <c r="C88" t="s">
        <v>374</v>
      </c>
      <c r="D88" t="s">
        <v>375</v>
      </c>
      <c r="E88" s="11">
        <v>19</v>
      </c>
      <c r="F88" s="11">
        <v>17.329999999999998</v>
      </c>
      <c r="G88" s="11">
        <v>50</v>
      </c>
      <c r="H88" s="11">
        <v>2.5</v>
      </c>
      <c r="I88" s="13">
        <f t="shared" si="12"/>
        <v>88.83</v>
      </c>
      <c r="J88" s="11">
        <v>0</v>
      </c>
      <c r="K88" s="11">
        <v>0</v>
      </c>
      <c r="L88" s="11">
        <v>0</v>
      </c>
      <c r="M88" s="13">
        <v>0</v>
      </c>
      <c r="N88" s="11">
        <v>0</v>
      </c>
      <c r="O88" s="11">
        <v>0</v>
      </c>
      <c r="P88" s="11">
        <v>0</v>
      </c>
      <c r="Q88" s="11">
        <v>0</v>
      </c>
      <c r="R88" s="13">
        <f t="shared" si="10"/>
        <v>0</v>
      </c>
      <c r="S88">
        <v>0</v>
      </c>
      <c r="T88">
        <v>0</v>
      </c>
      <c r="U88" s="7">
        <f t="shared" si="13"/>
        <v>0</v>
      </c>
      <c r="V88">
        <v>0</v>
      </c>
      <c r="W88">
        <v>0</v>
      </c>
      <c r="X88">
        <v>0</v>
      </c>
      <c r="Y88">
        <v>0</v>
      </c>
      <c r="Z88" s="13">
        <f t="shared" si="14"/>
        <v>0</v>
      </c>
      <c r="AA88">
        <v>0</v>
      </c>
      <c r="AB88">
        <v>0</v>
      </c>
      <c r="AC88">
        <v>0</v>
      </c>
      <c r="AD88">
        <v>0</v>
      </c>
      <c r="AE88" s="7">
        <f t="shared" si="15"/>
        <v>0</v>
      </c>
      <c r="AF88">
        <v>0</v>
      </c>
      <c r="AG88">
        <v>0</v>
      </c>
      <c r="AH88">
        <v>0</v>
      </c>
      <c r="AI88" s="13">
        <f t="shared" si="11"/>
        <v>0</v>
      </c>
      <c r="AJ88" s="11" t="s">
        <v>51</v>
      </c>
      <c r="AK88" s="11" t="s">
        <v>51</v>
      </c>
      <c r="AL88" s="11" t="s">
        <v>51</v>
      </c>
      <c r="AM88" s="13">
        <f t="shared" si="16"/>
        <v>0</v>
      </c>
      <c r="AN88" s="18">
        <v>3</v>
      </c>
      <c r="AO88" s="18">
        <v>0</v>
      </c>
      <c r="AP88" s="18">
        <v>0</v>
      </c>
      <c r="AQ88" s="18">
        <v>0</v>
      </c>
      <c r="AR88" s="18">
        <f t="shared" si="17"/>
        <v>3</v>
      </c>
      <c r="AS88" t="s">
        <v>52</v>
      </c>
      <c r="AT88" s="9" t="s">
        <v>376</v>
      </c>
      <c r="AU88" s="30">
        <f>+((AN88*I88)+(AO88*AE88)+(AQ88*AI88)+(AP88*AM88))/AR88</f>
        <v>88.83</v>
      </c>
    </row>
    <row r="89" spans="1:47" ht="16.5" hidden="1" customHeight="1" x14ac:dyDescent="0.25">
      <c r="A89" t="s">
        <v>46</v>
      </c>
      <c r="B89" t="s">
        <v>377</v>
      </c>
      <c r="C89" t="s">
        <v>378</v>
      </c>
      <c r="D89" t="s">
        <v>379</v>
      </c>
      <c r="E89" s="11">
        <v>20</v>
      </c>
      <c r="F89" s="11">
        <v>17.670000000000002</v>
      </c>
      <c r="G89" s="11">
        <v>46.5</v>
      </c>
      <c r="H89" s="11">
        <v>7</v>
      </c>
      <c r="I89" s="13">
        <f t="shared" si="12"/>
        <v>91.17</v>
      </c>
      <c r="J89" s="11">
        <v>0</v>
      </c>
      <c r="K89" s="11">
        <v>0</v>
      </c>
      <c r="L89" s="11">
        <v>0</v>
      </c>
      <c r="M89" s="13">
        <v>0</v>
      </c>
      <c r="N89" s="11">
        <v>0</v>
      </c>
      <c r="O89" s="11">
        <v>0</v>
      </c>
      <c r="P89" s="11">
        <v>0</v>
      </c>
      <c r="Q89" s="11">
        <v>0</v>
      </c>
      <c r="R89" s="13">
        <f t="shared" si="10"/>
        <v>0</v>
      </c>
      <c r="S89">
        <v>0</v>
      </c>
      <c r="T89">
        <v>0</v>
      </c>
      <c r="U89" s="7">
        <f t="shared" si="13"/>
        <v>0</v>
      </c>
      <c r="V89">
        <v>0</v>
      </c>
      <c r="W89">
        <v>0</v>
      </c>
      <c r="X89">
        <v>0</v>
      </c>
      <c r="Y89">
        <v>0</v>
      </c>
      <c r="Z89" s="13">
        <f t="shared" si="14"/>
        <v>0</v>
      </c>
      <c r="AA89">
        <v>15</v>
      </c>
      <c r="AB89">
        <v>50</v>
      </c>
      <c r="AC89">
        <v>15</v>
      </c>
      <c r="AD89">
        <v>18.75</v>
      </c>
      <c r="AE89" s="7">
        <f t="shared" si="15"/>
        <v>98.75</v>
      </c>
      <c r="AF89">
        <v>0</v>
      </c>
      <c r="AG89">
        <v>0</v>
      </c>
      <c r="AH89">
        <v>0</v>
      </c>
      <c r="AI89" s="13">
        <f t="shared" si="11"/>
        <v>0</v>
      </c>
      <c r="AJ89" s="11" t="s">
        <v>51</v>
      </c>
      <c r="AK89" s="11" t="s">
        <v>51</v>
      </c>
      <c r="AL89" s="11" t="s">
        <v>51</v>
      </c>
      <c r="AM89" s="13">
        <f t="shared" si="16"/>
        <v>0</v>
      </c>
      <c r="AN89" s="18">
        <v>29.25</v>
      </c>
      <c r="AO89" s="18">
        <v>10.75</v>
      </c>
      <c r="AP89" s="18">
        <v>0</v>
      </c>
      <c r="AQ89" s="18">
        <v>0</v>
      </c>
      <c r="AR89" s="18">
        <f t="shared" si="17"/>
        <v>40</v>
      </c>
      <c r="AS89" t="s">
        <v>52</v>
      </c>
      <c r="AT89" s="9" t="s">
        <v>380</v>
      </c>
      <c r="AU89" s="30">
        <f>+((AN89*I89)+(AO89*AE89)+(AQ89*AI89)+(AP89*AM89))/AR89</f>
        <v>93.207124999999991</v>
      </c>
    </row>
    <row r="90" spans="1:47" hidden="1" x14ac:dyDescent="0.25">
      <c r="A90" t="s">
        <v>46</v>
      </c>
      <c r="B90" t="s">
        <v>381</v>
      </c>
      <c r="C90" t="s">
        <v>382</v>
      </c>
      <c r="D90" t="s">
        <v>383</v>
      </c>
      <c r="E90" s="11">
        <v>20</v>
      </c>
      <c r="F90" s="11">
        <v>20</v>
      </c>
      <c r="G90" s="11">
        <v>47.38</v>
      </c>
      <c r="H90" s="11">
        <v>4.5</v>
      </c>
      <c r="I90" s="13">
        <f t="shared" si="12"/>
        <v>91.88</v>
      </c>
      <c r="J90" s="11">
        <v>0</v>
      </c>
      <c r="K90" s="11">
        <v>0</v>
      </c>
      <c r="L90" s="11">
        <v>0</v>
      </c>
      <c r="M90" s="13">
        <v>0</v>
      </c>
      <c r="N90" s="11">
        <v>46.46</v>
      </c>
      <c r="O90" s="11">
        <v>4.5</v>
      </c>
      <c r="P90" s="11">
        <v>20</v>
      </c>
      <c r="Q90" s="11">
        <v>20</v>
      </c>
      <c r="R90" s="13">
        <f t="shared" si="10"/>
        <v>90.960000000000008</v>
      </c>
      <c r="S90">
        <v>0</v>
      </c>
      <c r="T90">
        <v>0</v>
      </c>
      <c r="U90" s="7">
        <f t="shared" si="13"/>
        <v>0</v>
      </c>
      <c r="V90">
        <v>0</v>
      </c>
      <c r="W90">
        <v>0</v>
      </c>
      <c r="X90">
        <v>0</v>
      </c>
      <c r="Y90">
        <v>0</v>
      </c>
      <c r="Z90" s="13">
        <f t="shared" si="14"/>
        <v>0</v>
      </c>
      <c r="AA90" s="11">
        <v>0</v>
      </c>
      <c r="AB90" s="11">
        <v>58.82352941176471</v>
      </c>
      <c r="AC90" s="11">
        <v>17.647058823529413</v>
      </c>
      <c r="AD90" s="11">
        <v>23.529411764705877</v>
      </c>
      <c r="AE90" s="7">
        <f t="shared" si="15"/>
        <v>100</v>
      </c>
      <c r="AF90">
        <v>50</v>
      </c>
      <c r="AG90">
        <v>20</v>
      </c>
      <c r="AH90">
        <v>26.19</v>
      </c>
      <c r="AI90" s="13">
        <f t="shared" si="11"/>
        <v>96.19</v>
      </c>
      <c r="AJ90" s="11" t="s">
        <v>51</v>
      </c>
      <c r="AK90" s="11" t="s">
        <v>51</v>
      </c>
      <c r="AL90" s="11" t="s">
        <v>51</v>
      </c>
      <c r="AM90" s="13">
        <f t="shared" si="16"/>
        <v>0</v>
      </c>
      <c r="AN90" s="18">
        <v>16.25</v>
      </c>
      <c r="AO90" s="18">
        <v>8.75</v>
      </c>
      <c r="AP90" s="18">
        <v>0</v>
      </c>
      <c r="AQ90" s="18">
        <v>0</v>
      </c>
      <c r="AR90" s="18">
        <f t="shared" si="17"/>
        <v>25</v>
      </c>
      <c r="AS90" t="s">
        <v>52</v>
      </c>
      <c r="AT90" s="9" t="s">
        <v>384</v>
      </c>
      <c r="AU90" s="11">
        <f>+((AN90*I90)+(AO90*AE90)+(AQ90*AI90)+(AP90*AM90))/AR90</f>
        <v>94.722000000000008</v>
      </c>
    </row>
    <row r="91" spans="1:47" hidden="1" x14ac:dyDescent="0.25">
      <c r="A91" s="33" t="s">
        <v>46</v>
      </c>
      <c r="B91" s="32" t="s">
        <v>381</v>
      </c>
      <c r="C91" s="32" t="s">
        <v>382</v>
      </c>
      <c r="D91" s="32" t="s">
        <v>383</v>
      </c>
      <c r="E91" s="11">
        <v>20</v>
      </c>
      <c r="F91" s="11">
        <v>20</v>
      </c>
      <c r="G91" s="11">
        <v>47.38</v>
      </c>
      <c r="H91" s="11">
        <v>4.5</v>
      </c>
      <c r="I91" s="13">
        <f t="shared" si="12"/>
        <v>91.88</v>
      </c>
      <c r="J91" s="11">
        <v>0</v>
      </c>
      <c r="K91" s="11">
        <v>0</v>
      </c>
      <c r="L91" s="11">
        <v>0</v>
      </c>
      <c r="M91" s="13">
        <v>0</v>
      </c>
      <c r="N91" s="11">
        <v>46.46</v>
      </c>
      <c r="O91" s="11">
        <v>4.5</v>
      </c>
      <c r="P91" s="11">
        <v>20</v>
      </c>
      <c r="Q91" s="11">
        <v>20</v>
      </c>
      <c r="R91" s="13">
        <f t="shared" si="10"/>
        <v>90.960000000000008</v>
      </c>
      <c r="S91">
        <v>0</v>
      </c>
      <c r="T91">
        <v>0</v>
      </c>
      <c r="U91" s="7">
        <f t="shared" si="13"/>
        <v>0</v>
      </c>
      <c r="V91">
        <v>0</v>
      </c>
      <c r="W91">
        <v>0</v>
      </c>
      <c r="X91">
        <v>0</v>
      </c>
      <c r="Y91">
        <v>0</v>
      </c>
      <c r="Z91" s="13">
        <f t="shared" si="14"/>
        <v>0</v>
      </c>
      <c r="AA91" s="11">
        <v>0</v>
      </c>
      <c r="AB91" s="11">
        <v>58.82352941176471</v>
      </c>
      <c r="AC91" s="11">
        <v>17.647058823529413</v>
      </c>
      <c r="AD91" s="11">
        <v>23.529411764705877</v>
      </c>
      <c r="AE91" s="7">
        <f t="shared" si="15"/>
        <v>100</v>
      </c>
      <c r="AF91">
        <v>50</v>
      </c>
      <c r="AG91">
        <v>20</v>
      </c>
      <c r="AH91">
        <v>26.19</v>
      </c>
      <c r="AI91" s="13">
        <f t="shared" si="11"/>
        <v>96.19</v>
      </c>
      <c r="AJ91" s="11" t="s">
        <v>51</v>
      </c>
      <c r="AK91" s="11" t="s">
        <v>51</v>
      </c>
      <c r="AL91" s="11" t="s">
        <v>51</v>
      </c>
      <c r="AM91" s="13">
        <f t="shared" si="16"/>
        <v>0</v>
      </c>
      <c r="AN91" s="18">
        <v>7</v>
      </c>
      <c r="AO91" s="18">
        <v>0</v>
      </c>
      <c r="AP91" s="18">
        <v>0</v>
      </c>
      <c r="AQ91" s="18">
        <v>8</v>
      </c>
      <c r="AR91" s="18">
        <f t="shared" si="17"/>
        <v>15</v>
      </c>
      <c r="AS91" t="s">
        <v>117</v>
      </c>
      <c r="AT91" s="9" t="s">
        <v>385</v>
      </c>
      <c r="AU91" s="11">
        <f>+((AN91*R91)+(AQ91*AI91)+(AP91*AM91))/AR91</f>
        <v>93.74933333333334</v>
      </c>
    </row>
    <row r="92" spans="1:47" hidden="1" x14ac:dyDescent="0.25">
      <c r="A92" t="s">
        <v>46</v>
      </c>
      <c r="B92" t="s">
        <v>386</v>
      </c>
      <c r="C92" t="s">
        <v>387</v>
      </c>
      <c r="D92" t="s">
        <v>388</v>
      </c>
      <c r="E92" s="11">
        <v>19</v>
      </c>
      <c r="F92" s="11">
        <v>19.670000000000002</v>
      </c>
      <c r="G92" s="11">
        <v>44.56</v>
      </c>
      <c r="H92" s="11">
        <v>5.5</v>
      </c>
      <c r="I92" s="13">
        <f t="shared" si="12"/>
        <v>88.73</v>
      </c>
      <c r="J92" s="11">
        <v>0</v>
      </c>
      <c r="K92" s="11">
        <v>0</v>
      </c>
      <c r="L92" s="11">
        <v>0</v>
      </c>
      <c r="M92" s="13">
        <v>0</v>
      </c>
      <c r="N92" s="11">
        <v>0</v>
      </c>
      <c r="O92" s="11">
        <v>0</v>
      </c>
      <c r="P92" s="11">
        <v>0</v>
      </c>
      <c r="Q92" s="11">
        <v>0</v>
      </c>
      <c r="R92" s="13">
        <f t="shared" si="10"/>
        <v>0</v>
      </c>
      <c r="S92">
        <v>0</v>
      </c>
      <c r="T92">
        <v>0</v>
      </c>
      <c r="U92" s="7">
        <f t="shared" si="13"/>
        <v>0</v>
      </c>
      <c r="V92">
        <v>0</v>
      </c>
      <c r="W92">
        <v>0</v>
      </c>
      <c r="X92">
        <v>0</v>
      </c>
      <c r="Y92">
        <v>0</v>
      </c>
      <c r="Z92" s="13">
        <f t="shared" si="14"/>
        <v>0</v>
      </c>
      <c r="AA92">
        <v>0</v>
      </c>
      <c r="AB92">
        <v>0</v>
      </c>
      <c r="AC92">
        <v>0</v>
      </c>
      <c r="AD92">
        <v>0</v>
      </c>
      <c r="AE92" s="7">
        <f t="shared" si="15"/>
        <v>0</v>
      </c>
      <c r="AF92">
        <v>0</v>
      </c>
      <c r="AG92">
        <v>0</v>
      </c>
      <c r="AH92">
        <v>0</v>
      </c>
      <c r="AI92" s="13">
        <f t="shared" si="11"/>
        <v>0</v>
      </c>
      <c r="AJ92" s="11" t="s">
        <v>51</v>
      </c>
      <c r="AK92" s="11" t="s">
        <v>51</v>
      </c>
      <c r="AL92" s="11" t="s">
        <v>51</v>
      </c>
      <c r="AM92" s="13">
        <f t="shared" si="16"/>
        <v>0</v>
      </c>
      <c r="AN92" s="18">
        <v>40</v>
      </c>
      <c r="AO92" s="18">
        <v>0</v>
      </c>
      <c r="AP92" s="18">
        <v>0</v>
      </c>
      <c r="AQ92" s="18">
        <v>0</v>
      </c>
      <c r="AR92" s="18">
        <f t="shared" si="17"/>
        <v>40</v>
      </c>
      <c r="AS92" t="s">
        <v>52</v>
      </c>
      <c r="AT92" s="9" t="s">
        <v>389</v>
      </c>
      <c r="AU92" s="30">
        <f t="shared" ref="AU92:AU99" si="19">+((AN92*I92)+(AO92*AE92)+(AQ92*AI92)+(AP92*AM92))/AR92</f>
        <v>88.73</v>
      </c>
    </row>
    <row r="93" spans="1:47" hidden="1" x14ac:dyDescent="0.25">
      <c r="A93" t="s">
        <v>46</v>
      </c>
      <c r="B93" t="s">
        <v>390</v>
      </c>
      <c r="C93" t="s">
        <v>391</v>
      </c>
      <c r="D93" t="s">
        <v>392</v>
      </c>
      <c r="E93" s="11">
        <v>19.829999999999998</v>
      </c>
      <c r="F93" s="11">
        <v>15.67</v>
      </c>
      <c r="G93" s="11">
        <v>47.21</v>
      </c>
      <c r="H93" s="11">
        <v>4</v>
      </c>
      <c r="I93" s="13">
        <f t="shared" si="12"/>
        <v>86.710000000000008</v>
      </c>
      <c r="J93" s="11">
        <v>0</v>
      </c>
      <c r="K93" s="11">
        <v>0</v>
      </c>
      <c r="L93" s="11">
        <v>0</v>
      </c>
      <c r="M93" s="13">
        <v>0</v>
      </c>
      <c r="N93" s="11">
        <v>0</v>
      </c>
      <c r="O93" s="11">
        <v>0</v>
      </c>
      <c r="P93" s="11">
        <v>0</v>
      </c>
      <c r="Q93" s="11">
        <v>0</v>
      </c>
      <c r="R93" s="13">
        <f t="shared" si="10"/>
        <v>0</v>
      </c>
      <c r="S93">
        <v>0</v>
      </c>
      <c r="T93">
        <v>0</v>
      </c>
      <c r="U93" s="7">
        <f t="shared" si="13"/>
        <v>0</v>
      </c>
      <c r="V93">
        <v>0</v>
      </c>
      <c r="W93">
        <v>0</v>
      </c>
      <c r="X93">
        <v>0</v>
      </c>
      <c r="Y93">
        <v>0</v>
      </c>
      <c r="Z93" s="13">
        <f t="shared" si="14"/>
        <v>0</v>
      </c>
      <c r="AA93">
        <v>0</v>
      </c>
      <c r="AB93">
        <v>0</v>
      </c>
      <c r="AC93">
        <v>0</v>
      </c>
      <c r="AD93">
        <v>0</v>
      </c>
      <c r="AE93" s="7">
        <f t="shared" si="15"/>
        <v>0</v>
      </c>
      <c r="AF93">
        <v>0</v>
      </c>
      <c r="AG93">
        <v>0</v>
      </c>
      <c r="AH93">
        <v>0</v>
      </c>
      <c r="AI93" s="13">
        <f t="shared" si="11"/>
        <v>0</v>
      </c>
      <c r="AJ93" s="11" t="s">
        <v>51</v>
      </c>
      <c r="AK93" s="11" t="s">
        <v>51</v>
      </c>
      <c r="AL93" s="11" t="s">
        <v>51</v>
      </c>
      <c r="AM93" s="13">
        <f t="shared" si="16"/>
        <v>0</v>
      </c>
      <c r="AN93" s="18">
        <v>20</v>
      </c>
      <c r="AO93" s="18">
        <v>0</v>
      </c>
      <c r="AP93" s="18">
        <v>0</v>
      </c>
      <c r="AQ93" s="18">
        <v>0</v>
      </c>
      <c r="AR93" s="18">
        <f t="shared" si="17"/>
        <v>20</v>
      </c>
      <c r="AS93" t="s">
        <v>52</v>
      </c>
      <c r="AT93" s="9" t="s">
        <v>393</v>
      </c>
      <c r="AU93" s="30">
        <f t="shared" si="19"/>
        <v>86.710000000000008</v>
      </c>
    </row>
    <row r="94" spans="1:47" hidden="1" x14ac:dyDescent="0.25">
      <c r="A94" t="s">
        <v>46</v>
      </c>
      <c r="B94" t="s">
        <v>394</v>
      </c>
      <c r="C94" t="s">
        <v>395</v>
      </c>
      <c r="D94" t="s">
        <v>396</v>
      </c>
      <c r="E94" s="11">
        <v>20</v>
      </c>
      <c r="F94" s="11">
        <v>16.670000000000002</v>
      </c>
      <c r="G94" s="11">
        <v>43.94</v>
      </c>
      <c r="H94" s="11">
        <v>5</v>
      </c>
      <c r="I94" s="13">
        <f t="shared" si="12"/>
        <v>85.61</v>
      </c>
      <c r="J94" s="11">
        <v>0</v>
      </c>
      <c r="K94" s="11">
        <v>0</v>
      </c>
      <c r="L94" s="11">
        <v>0</v>
      </c>
      <c r="M94" s="13">
        <v>0</v>
      </c>
      <c r="N94" s="11">
        <v>0</v>
      </c>
      <c r="O94" s="11">
        <v>0</v>
      </c>
      <c r="P94" s="11">
        <v>0</v>
      </c>
      <c r="Q94" s="11">
        <v>0</v>
      </c>
      <c r="R94" s="13">
        <f t="shared" si="10"/>
        <v>0</v>
      </c>
      <c r="S94">
        <v>0</v>
      </c>
      <c r="T94">
        <v>0</v>
      </c>
      <c r="U94" s="7">
        <f t="shared" si="13"/>
        <v>0</v>
      </c>
      <c r="V94">
        <v>0</v>
      </c>
      <c r="W94">
        <v>0</v>
      </c>
      <c r="X94">
        <v>0</v>
      </c>
      <c r="Y94">
        <v>0</v>
      </c>
      <c r="Z94" s="13">
        <f t="shared" si="14"/>
        <v>0</v>
      </c>
      <c r="AA94">
        <v>0</v>
      </c>
      <c r="AB94">
        <v>0</v>
      </c>
      <c r="AC94">
        <v>0</v>
      </c>
      <c r="AD94">
        <v>0</v>
      </c>
      <c r="AE94" s="7">
        <f t="shared" si="15"/>
        <v>0</v>
      </c>
      <c r="AF94">
        <v>50</v>
      </c>
      <c r="AG94">
        <v>16.670000000000002</v>
      </c>
      <c r="AH94">
        <v>26.83</v>
      </c>
      <c r="AI94" s="13">
        <f t="shared" si="11"/>
        <v>93.5</v>
      </c>
      <c r="AJ94" s="11" t="s">
        <v>51</v>
      </c>
      <c r="AK94" s="11" t="s">
        <v>51</v>
      </c>
      <c r="AL94" s="11" t="s">
        <v>51</v>
      </c>
      <c r="AM94" s="13">
        <f t="shared" si="16"/>
        <v>0</v>
      </c>
      <c r="AN94" s="18">
        <v>32</v>
      </c>
      <c r="AO94" s="18">
        <v>0</v>
      </c>
      <c r="AP94" s="18">
        <v>0</v>
      </c>
      <c r="AQ94" s="18">
        <v>8</v>
      </c>
      <c r="AR94" s="18">
        <f t="shared" si="17"/>
        <v>40</v>
      </c>
      <c r="AS94" t="s">
        <v>52</v>
      </c>
      <c r="AT94" s="9" t="s">
        <v>255</v>
      </c>
      <c r="AU94" s="30">
        <f t="shared" si="19"/>
        <v>87.188000000000002</v>
      </c>
    </row>
    <row r="95" spans="1:47" hidden="1" x14ac:dyDescent="0.25">
      <c r="A95" t="s">
        <v>46</v>
      </c>
      <c r="B95" t="s">
        <v>397</v>
      </c>
      <c r="C95" t="s">
        <v>398</v>
      </c>
      <c r="D95" t="s">
        <v>399</v>
      </c>
      <c r="E95" s="11">
        <v>20</v>
      </c>
      <c r="F95" s="11">
        <v>20</v>
      </c>
      <c r="G95" s="11">
        <v>42.07</v>
      </c>
      <c r="H95" s="11">
        <v>2.5</v>
      </c>
      <c r="I95" s="13">
        <f t="shared" si="12"/>
        <v>84.57</v>
      </c>
      <c r="J95" s="11">
        <v>0</v>
      </c>
      <c r="K95" s="11">
        <v>0</v>
      </c>
      <c r="L95" s="11">
        <v>0</v>
      </c>
      <c r="M95" s="13">
        <v>0</v>
      </c>
      <c r="N95" s="11">
        <v>0</v>
      </c>
      <c r="O95" s="11">
        <v>0</v>
      </c>
      <c r="P95" s="11">
        <v>0</v>
      </c>
      <c r="Q95" s="11">
        <v>0</v>
      </c>
      <c r="R95" s="13">
        <f t="shared" si="10"/>
        <v>0</v>
      </c>
      <c r="S95">
        <v>0</v>
      </c>
      <c r="T95">
        <v>0</v>
      </c>
      <c r="U95" s="7">
        <f t="shared" si="13"/>
        <v>0</v>
      </c>
      <c r="V95">
        <v>0</v>
      </c>
      <c r="W95">
        <v>0</v>
      </c>
      <c r="X95">
        <v>0</v>
      </c>
      <c r="Y95">
        <v>0</v>
      </c>
      <c r="Z95" s="13">
        <f t="shared" si="14"/>
        <v>0</v>
      </c>
      <c r="AA95">
        <v>0</v>
      </c>
      <c r="AB95">
        <v>0</v>
      </c>
      <c r="AC95">
        <v>0</v>
      </c>
      <c r="AD95">
        <v>0</v>
      </c>
      <c r="AE95" s="7">
        <f t="shared" si="15"/>
        <v>0</v>
      </c>
      <c r="AF95">
        <v>0</v>
      </c>
      <c r="AG95">
        <v>0</v>
      </c>
      <c r="AH95">
        <v>0</v>
      </c>
      <c r="AI95" s="13">
        <f t="shared" si="11"/>
        <v>0</v>
      </c>
      <c r="AJ95" s="11" t="s">
        <v>51</v>
      </c>
      <c r="AK95" s="11" t="s">
        <v>51</v>
      </c>
      <c r="AL95" s="11" t="s">
        <v>51</v>
      </c>
      <c r="AM95" s="13">
        <f t="shared" si="16"/>
        <v>0</v>
      </c>
      <c r="AN95" s="18">
        <v>4</v>
      </c>
      <c r="AO95" s="18">
        <v>0</v>
      </c>
      <c r="AP95" s="18">
        <v>0</v>
      </c>
      <c r="AQ95" s="18">
        <v>0</v>
      </c>
      <c r="AR95" s="18">
        <f t="shared" si="17"/>
        <v>4</v>
      </c>
      <c r="AS95" t="s">
        <v>52</v>
      </c>
      <c r="AT95" s="9" t="s">
        <v>400</v>
      </c>
      <c r="AU95" s="30">
        <f t="shared" si="19"/>
        <v>84.57</v>
      </c>
    </row>
    <row r="96" spans="1:47" hidden="1" x14ac:dyDescent="0.25">
      <c r="A96" t="s">
        <v>46</v>
      </c>
      <c r="B96" t="s">
        <v>401</v>
      </c>
      <c r="C96" t="s">
        <v>402</v>
      </c>
      <c r="D96" t="s">
        <v>403</v>
      </c>
      <c r="E96" s="11">
        <v>20</v>
      </c>
      <c r="F96" s="11">
        <v>20</v>
      </c>
      <c r="G96" s="11">
        <v>41.52</v>
      </c>
      <c r="H96" s="11">
        <v>4.5</v>
      </c>
      <c r="I96" s="13">
        <f t="shared" si="12"/>
        <v>86.02000000000001</v>
      </c>
      <c r="J96" s="11">
        <v>0</v>
      </c>
      <c r="K96" s="11">
        <v>0</v>
      </c>
      <c r="L96" s="11">
        <v>0</v>
      </c>
      <c r="M96" s="13">
        <v>0</v>
      </c>
      <c r="N96" s="11">
        <v>0</v>
      </c>
      <c r="O96" s="11">
        <v>0</v>
      </c>
      <c r="P96" s="11">
        <v>0</v>
      </c>
      <c r="Q96" s="11">
        <v>0</v>
      </c>
      <c r="R96" s="13">
        <f t="shared" si="10"/>
        <v>0</v>
      </c>
      <c r="S96">
        <v>0</v>
      </c>
      <c r="T96">
        <v>0</v>
      </c>
      <c r="U96" s="7">
        <f t="shared" si="13"/>
        <v>0</v>
      </c>
      <c r="V96">
        <v>0</v>
      </c>
      <c r="W96">
        <v>0</v>
      </c>
      <c r="X96">
        <v>0</v>
      </c>
      <c r="Y96">
        <v>0</v>
      </c>
      <c r="Z96" s="13">
        <f t="shared" si="14"/>
        <v>0</v>
      </c>
      <c r="AA96">
        <v>0</v>
      </c>
      <c r="AB96">
        <v>0</v>
      </c>
      <c r="AC96">
        <v>0</v>
      </c>
      <c r="AD96">
        <v>0</v>
      </c>
      <c r="AE96" s="7">
        <f t="shared" si="15"/>
        <v>0</v>
      </c>
      <c r="AF96">
        <v>0</v>
      </c>
      <c r="AG96">
        <v>0</v>
      </c>
      <c r="AH96">
        <v>0</v>
      </c>
      <c r="AI96" s="13">
        <f t="shared" si="11"/>
        <v>0</v>
      </c>
      <c r="AJ96" s="11" t="s">
        <v>51</v>
      </c>
      <c r="AK96" s="11" t="s">
        <v>51</v>
      </c>
      <c r="AL96" s="11" t="s">
        <v>51</v>
      </c>
      <c r="AM96" s="13">
        <f t="shared" si="16"/>
        <v>0</v>
      </c>
      <c r="AN96" s="18">
        <v>20</v>
      </c>
      <c r="AO96" s="18">
        <v>0</v>
      </c>
      <c r="AP96" s="18">
        <v>0</v>
      </c>
      <c r="AQ96" s="18">
        <v>0</v>
      </c>
      <c r="AR96" s="18">
        <f t="shared" si="17"/>
        <v>20</v>
      </c>
      <c r="AS96" t="s">
        <v>52</v>
      </c>
      <c r="AT96" s="9" t="s">
        <v>404</v>
      </c>
      <c r="AU96" s="30">
        <f t="shared" si="19"/>
        <v>86.02000000000001</v>
      </c>
    </row>
    <row r="97" spans="1:47" hidden="1" x14ac:dyDescent="0.25">
      <c r="A97" t="s">
        <v>46</v>
      </c>
      <c r="B97" t="s">
        <v>405</v>
      </c>
      <c r="C97" t="s">
        <v>406</v>
      </c>
      <c r="D97" t="s">
        <v>407</v>
      </c>
      <c r="E97" s="11">
        <v>20</v>
      </c>
      <c r="F97" s="11">
        <v>20</v>
      </c>
      <c r="G97" s="11">
        <v>44.63</v>
      </c>
      <c r="H97" s="11">
        <v>3.5</v>
      </c>
      <c r="I97" s="13">
        <f t="shared" si="12"/>
        <v>88.13</v>
      </c>
      <c r="J97" s="11">
        <v>0</v>
      </c>
      <c r="K97" s="11">
        <v>0</v>
      </c>
      <c r="L97" s="11">
        <v>0</v>
      </c>
      <c r="M97" s="13">
        <v>0</v>
      </c>
      <c r="N97" s="11">
        <v>0</v>
      </c>
      <c r="O97" s="11">
        <v>0</v>
      </c>
      <c r="P97" s="11">
        <v>0</v>
      </c>
      <c r="Q97" s="11">
        <v>0</v>
      </c>
      <c r="R97" s="13">
        <f t="shared" si="10"/>
        <v>0</v>
      </c>
      <c r="S97">
        <v>0</v>
      </c>
      <c r="T97">
        <v>0</v>
      </c>
      <c r="U97" s="7">
        <f t="shared" si="13"/>
        <v>0</v>
      </c>
      <c r="V97">
        <v>0</v>
      </c>
      <c r="W97">
        <v>0</v>
      </c>
      <c r="X97">
        <v>0</v>
      </c>
      <c r="Y97">
        <v>0</v>
      </c>
      <c r="Z97" s="13">
        <f t="shared" si="14"/>
        <v>0</v>
      </c>
      <c r="AA97">
        <v>3.75</v>
      </c>
      <c r="AB97">
        <v>12.5</v>
      </c>
      <c r="AC97">
        <v>13.12</v>
      </c>
      <c r="AD97">
        <v>15</v>
      </c>
      <c r="AE97" s="7">
        <f t="shared" si="15"/>
        <v>44.37</v>
      </c>
      <c r="AF97">
        <v>0</v>
      </c>
      <c r="AG97">
        <v>0</v>
      </c>
      <c r="AH97">
        <v>0</v>
      </c>
      <c r="AI97" s="13">
        <f t="shared" si="11"/>
        <v>0</v>
      </c>
      <c r="AJ97" s="11" t="s">
        <v>51</v>
      </c>
      <c r="AK97" s="11" t="s">
        <v>51</v>
      </c>
      <c r="AL97" s="11" t="s">
        <v>51</v>
      </c>
      <c r="AM97" s="13">
        <f t="shared" si="16"/>
        <v>0</v>
      </c>
      <c r="AN97" s="18">
        <v>35</v>
      </c>
      <c r="AO97" s="18">
        <v>5</v>
      </c>
      <c r="AP97" s="18">
        <v>0</v>
      </c>
      <c r="AQ97" s="18">
        <v>0</v>
      </c>
      <c r="AR97" s="18">
        <f t="shared" si="17"/>
        <v>40</v>
      </c>
      <c r="AS97" t="s">
        <v>52</v>
      </c>
      <c r="AT97" s="9" t="s">
        <v>408</v>
      </c>
      <c r="AU97" s="30">
        <f t="shared" si="19"/>
        <v>82.66</v>
      </c>
    </row>
    <row r="98" spans="1:47" hidden="1" x14ac:dyDescent="0.25">
      <c r="A98" t="s">
        <v>46</v>
      </c>
      <c r="B98" t="s">
        <v>409</v>
      </c>
      <c r="C98" t="s">
        <v>410</v>
      </c>
      <c r="D98" t="s">
        <v>411</v>
      </c>
      <c r="E98" s="11">
        <v>25</v>
      </c>
      <c r="F98" s="11">
        <v>0</v>
      </c>
      <c r="G98" s="11">
        <v>59.15</v>
      </c>
      <c r="H98" s="11">
        <v>6.25</v>
      </c>
      <c r="I98" s="13">
        <f t="shared" si="12"/>
        <v>90.4</v>
      </c>
      <c r="J98" s="11">
        <v>0</v>
      </c>
      <c r="K98" s="11">
        <v>0</v>
      </c>
      <c r="L98" s="11">
        <v>0</v>
      </c>
      <c r="M98" s="13">
        <v>0</v>
      </c>
      <c r="N98" s="11">
        <v>0</v>
      </c>
      <c r="O98" s="11">
        <v>0</v>
      </c>
      <c r="P98" s="11">
        <v>0</v>
      </c>
      <c r="Q98" s="11">
        <v>0</v>
      </c>
      <c r="R98" s="13">
        <f t="shared" si="10"/>
        <v>0</v>
      </c>
      <c r="S98">
        <v>0</v>
      </c>
      <c r="T98">
        <v>0</v>
      </c>
      <c r="U98" s="7">
        <f t="shared" si="13"/>
        <v>0</v>
      </c>
      <c r="V98">
        <v>0</v>
      </c>
      <c r="W98">
        <v>0</v>
      </c>
      <c r="X98">
        <v>0</v>
      </c>
      <c r="Y98">
        <v>0</v>
      </c>
      <c r="Z98" s="13">
        <f t="shared" si="14"/>
        <v>0</v>
      </c>
      <c r="AA98">
        <v>0</v>
      </c>
      <c r="AB98">
        <v>0</v>
      </c>
      <c r="AC98">
        <v>0</v>
      </c>
      <c r="AD98">
        <v>0</v>
      </c>
      <c r="AE98" s="7">
        <f t="shared" si="15"/>
        <v>0</v>
      </c>
      <c r="AF98">
        <v>0</v>
      </c>
      <c r="AG98">
        <v>0</v>
      </c>
      <c r="AH98">
        <v>0</v>
      </c>
      <c r="AI98" s="13">
        <f t="shared" si="11"/>
        <v>0</v>
      </c>
      <c r="AJ98" s="11" t="s">
        <v>51</v>
      </c>
      <c r="AK98" s="11" t="s">
        <v>51</v>
      </c>
      <c r="AL98" s="11" t="s">
        <v>51</v>
      </c>
      <c r="AM98" s="13">
        <f t="shared" si="16"/>
        <v>0</v>
      </c>
      <c r="AN98" s="18">
        <v>40</v>
      </c>
      <c r="AO98" s="18">
        <v>0</v>
      </c>
      <c r="AP98" s="18">
        <v>0</v>
      </c>
      <c r="AQ98" s="18">
        <v>0</v>
      </c>
      <c r="AR98" s="18">
        <f t="shared" si="17"/>
        <v>40</v>
      </c>
      <c r="AS98" t="s">
        <v>52</v>
      </c>
      <c r="AT98" s="9" t="s">
        <v>413</v>
      </c>
      <c r="AU98" s="30">
        <f t="shared" si="19"/>
        <v>90.4</v>
      </c>
    </row>
    <row r="99" spans="1:47" hidden="1" x14ac:dyDescent="0.25">
      <c r="A99" t="s">
        <v>46</v>
      </c>
      <c r="B99" t="s">
        <v>414</v>
      </c>
      <c r="C99" t="s">
        <v>415</v>
      </c>
      <c r="D99" t="s">
        <v>416</v>
      </c>
      <c r="E99" s="11">
        <v>0</v>
      </c>
      <c r="F99" s="11">
        <v>0</v>
      </c>
      <c r="G99" s="11">
        <v>57.300000000000011</v>
      </c>
      <c r="H99" s="11">
        <v>6.6666666666666652</v>
      </c>
      <c r="I99" s="13">
        <f t="shared" si="12"/>
        <v>63.966666666666676</v>
      </c>
      <c r="J99" s="11">
        <v>0</v>
      </c>
      <c r="K99" s="11">
        <v>0</v>
      </c>
      <c r="L99" s="11">
        <v>0</v>
      </c>
      <c r="M99" s="13">
        <v>0</v>
      </c>
      <c r="N99" s="11">
        <v>0</v>
      </c>
      <c r="O99" s="11">
        <v>0</v>
      </c>
      <c r="P99" s="11">
        <v>0</v>
      </c>
      <c r="Q99" s="11">
        <v>0</v>
      </c>
      <c r="R99" s="13">
        <f t="shared" si="10"/>
        <v>0</v>
      </c>
      <c r="S99">
        <v>0</v>
      </c>
      <c r="T99">
        <v>0</v>
      </c>
      <c r="U99" s="7">
        <f t="shared" si="13"/>
        <v>0</v>
      </c>
      <c r="V99">
        <v>0</v>
      </c>
      <c r="W99">
        <v>0</v>
      </c>
      <c r="X99">
        <v>0</v>
      </c>
      <c r="Y99">
        <v>0</v>
      </c>
      <c r="Z99" s="13">
        <f t="shared" si="14"/>
        <v>0</v>
      </c>
      <c r="AA99">
        <v>0</v>
      </c>
      <c r="AB99">
        <v>0</v>
      </c>
      <c r="AC99">
        <v>0</v>
      </c>
      <c r="AD99">
        <v>0</v>
      </c>
      <c r="AE99" s="7">
        <f t="shared" si="15"/>
        <v>0</v>
      </c>
      <c r="AF99">
        <v>0</v>
      </c>
      <c r="AG99">
        <v>0</v>
      </c>
      <c r="AH99">
        <v>0</v>
      </c>
      <c r="AI99" s="13">
        <f t="shared" si="11"/>
        <v>0</v>
      </c>
      <c r="AJ99" s="11" t="s">
        <v>51</v>
      </c>
      <c r="AK99" s="11" t="s">
        <v>51</v>
      </c>
      <c r="AL99" s="11" t="s">
        <v>51</v>
      </c>
      <c r="AM99" s="13">
        <f t="shared" si="16"/>
        <v>0</v>
      </c>
      <c r="AN99" s="18">
        <v>2</v>
      </c>
      <c r="AO99" s="18">
        <v>0</v>
      </c>
      <c r="AP99" s="18">
        <v>0</v>
      </c>
      <c r="AQ99" s="18">
        <v>0</v>
      </c>
      <c r="AR99" s="18">
        <f t="shared" si="17"/>
        <v>2</v>
      </c>
      <c r="AS99" t="s">
        <v>52</v>
      </c>
      <c r="AT99" s="9" t="s">
        <v>417</v>
      </c>
      <c r="AU99" s="30">
        <f t="shared" si="19"/>
        <v>63.966666666666676</v>
      </c>
    </row>
    <row r="100" spans="1:47" s="6" customFormat="1" hidden="1" x14ac:dyDescent="0.25">
      <c r="A100" s="6" t="s">
        <v>46</v>
      </c>
      <c r="B100" s="6" t="s">
        <v>418</v>
      </c>
      <c r="C100" s="6" t="s">
        <v>419</v>
      </c>
      <c r="D100" s="6" t="s">
        <v>420</v>
      </c>
      <c r="E100" s="12">
        <v>0</v>
      </c>
      <c r="F100" s="12">
        <v>0</v>
      </c>
      <c r="G100" s="12">
        <v>0</v>
      </c>
      <c r="H100" s="12">
        <v>0</v>
      </c>
      <c r="I100" s="13">
        <f t="shared" si="12"/>
        <v>0</v>
      </c>
      <c r="J100" s="14">
        <v>80.425714285714278</v>
      </c>
      <c r="K100" s="14">
        <v>0</v>
      </c>
      <c r="L100" s="14">
        <v>6.4285714285714279</v>
      </c>
      <c r="M100" s="13">
        <v>86.854285714285709</v>
      </c>
      <c r="N100" s="12">
        <v>0</v>
      </c>
      <c r="O100" s="12">
        <v>0</v>
      </c>
      <c r="P100" s="12">
        <v>0</v>
      </c>
      <c r="Q100" s="12">
        <v>0</v>
      </c>
      <c r="R100" s="13">
        <f t="shared" si="10"/>
        <v>0</v>
      </c>
      <c r="S100" s="6">
        <v>0</v>
      </c>
      <c r="T100" s="6">
        <v>0</v>
      </c>
      <c r="U100" s="7">
        <f t="shared" si="13"/>
        <v>0</v>
      </c>
      <c r="V100" s="6">
        <v>0</v>
      </c>
      <c r="W100" s="6">
        <v>0</v>
      </c>
      <c r="X100" s="6">
        <v>0</v>
      </c>
      <c r="Y100" s="6">
        <v>0</v>
      </c>
      <c r="Z100" s="13">
        <f t="shared" si="14"/>
        <v>0</v>
      </c>
      <c r="AA100" s="6">
        <v>0</v>
      </c>
      <c r="AB100" s="6">
        <v>0</v>
      </c>
      <c r="AC100" s="6">
        <v>0</v>
      </c>
      <c r="AD100" s="6">
        <v>0</v>
      </c>
      <c r="AE100" s="7">
        <f t="shared" si="15"/>
        <v>0</v>
      </c>
      <c r="AF100" s="6">
        <v>0</v>
      </c>
      <c r="AG100" s="6">
        <v>0</v>
      </c>
      <c r="AH100" s="6">
        <v>0</v>
      </c>
      <c r="AI100" s="13">
        <f t="shared" si="11"/>
        <v>0</v>
      </c>
      <c r="AJ100" s="12" t="s">
        <v>51</v>
      </c>
      <c r="AK100" s="12" t="s">
        <v>51</v>
      </c>
      <c r="AL100" s="12" t="s">
        <v>51</v>
      </c>
      <c r="AM100" s="13">
        <f t="shared" si="16"/>
        <v>0</v>
      </c>
      <c r="AN100" s="21">
        <v>2.125</v>
      </c>
      <c r="AO100" s="21">
        <v>0</v>
      </c>
      <c r="AP100" s="21">
        <v>0</v>
      </c>
      <c r="AQ100" s="21">
        <v>0</v>
      </c>
      <c r="AR100" s="18">
        <f t="shared" si="17"/>
        <v>2.125</v>
      </c>
      <c r="AS100" s="6" t="s">
        <v>87</v>
      </c>
      <c r="AT100" s="10" t="s">
        <v>931</v>
      </c>
      <c r="AU100" s="30">
        <f>+((AN100*M100)/AR100)</f>
        <v>86.854285714285709</v>
      </c>
    </row>
    <row r="101" spans="1:47" hidden="1" x14ac:dyDescent="0.25">
      <c r="A101" t="s">
        <v>46</v>
      </c>
      <c r="B101" t="s">
        <v>421</v>
      </c>
      <c r="C101" t="s">
        <v>422</v>
      </c>
      <c r="D101" t="s">
        <v>423</v>
      </c>
      <c r="E101" s="11">
        <v>15.92</v>
      </c>
      <c r="F101" s="11">
        <v>19</v>
      </c>
      <c r="G101" s="11">
        <v>32.35</v>
      </c>
      <c r="H101" s="11">
        <v>4.5</v>
      </c>
      <c r="I101" s="13">
        <f t="shared" si="12"/>
        <v>71.77000000000001</v>
      </c>
      <c r="J101" s="11">
        <v>0</v>
      </c>
      <c r="K101" s="11">
        <v>0</v>
      </c>
      <c r="L101" s="11">
        <v>0</v>
      </c>
      <c r="M101" s="13">
        <v>0</v>
      </c>
      <c r="N101" s="11">
        <v>0</v>
      </c>
      <c r="O101" s="11">
        <v>0</v>
      </c>
      <c r="P101" s="11">
        <v>0</v>
      </c>
      <c r="Q101" s="11">
        <v>0</v>
      </c>
      <c r="R101" s="13">
        <f t="shared" si="10"/>
        <v>0</v>
      </c>
      <c r="S101">
        <v>0</v>
      </c>
      <c r="T101">
        <v>0</v>
      </c>
      <c r="U101" s="7">
        <f t="shared" si="13"/>
        <v>0</v>
      </c>
      <c r="V101">
        <v>0</v>
      </c>
      <c r="W101">
        <v>0</v>
      </c>
      <c r="X101">
        <v>0</v>
      </c>
      <c r="Y101">
        <v>0</v>
      </c>
      <c r="Z101" s="13">
        <f t="shared" si="14"/>
        <v>0</v>
      </c>
      <c r="AA101">
        <v>11.25</v>
      </c>
      <c r="AB101">
        <v>12.5</v>
      </c>
      <c r="AC101">
        <v>12.75</v>
      </c>
      <c r="AD101">
        <v>12.5</v>
      </c>
      <c r="AE101" s="7">
        <f t="shared" si="15"/>
        <v>49</v>
      </c>
      <c r="AF101">
        <v>0</v>
      </c>
      <c r="AG101">
        <v>0</v>
      </c>
      <c r="AH101">
        <v>0</v>
      </c>
      <c r="AI101" s="13">
        <f t="shared" si="11"/>
        <v>0</v>
      </c>
      <c r="AJ101" s="11" t="s">
        <v>51</v>
      </c>
      <c r="AK101" s="11" t="s">
        <v>51</v>
      </c>
      <c r="AL101" s="11" t="s">
        <v>51</v>
      </c>
      <c r="AM101" s="13">
        <f t="shared" si="16"/>
        <v>0</v>
      </c>
      <c r="AN101" s="18">
        <v>35</v>
      </c>
      <c r="AO101" s="18">
        <v>5</v>
      </c>
      <c r="AP101" s="18">
        <v>0</v>
      </c>
      <c r="AQ101" s="18">
        <v>0</v>
      </c>
      <c r="AR101" s="18">
        <f t="shared" si="17"/>
        <v>40</v>
      </c>
      <c r="AS101" t="s">
        <v>52</v>
      </c>
      <c r="AT101" s="9" t="s">
        <v>424</v>
      </c>
      <c r="AU101" s="30">
        <f>+((AN101*I101)+(AO101*AE101)+(AQ101*AI101)+(AP101*AM101))/AR101</f>
        <v>68.923750000000013</v>
      </c>
    </row>
    <row r="102" spans="1:47" hidden="1" x14ac:dyDescent="0.25">
      <c r="A102" t="s">
        <v>46</v>
      </c>
      <c r="B102" t="s">
        <v>425</v>
      </c>
      <c r="C102" t="s">
        <v>426</v>
      </c>
      <c r="D102" t="s">
        <v>427</v>
      </c>
      <c r="E102" s="11">
        <v>0</v>
      </c>
      <c r="F102" s="11">
        <v>0</v>
      </c>
      <c r="G102" s="11">
        <v>0</v>
      </c>
      <c r="H102" s="11">
        <v>0</v>
      </c>
      <c r="I102" s="13">
        <f t="shared" si="12"/>
        <v>0</v>
      </c>
      <c r="J102" s="11">
        <v>0</v>
      </c>
      <c r="K102" s="11">
        <v>0</v>
      </c>
      <c r="L102" s="11">
        <v>0</v>
      </c>
      <c r="M102" s="13">
        <v>0</v>
      </c>
      <c r="N102" s="11">
        <v>0</v>
      </c>
      <c r="O102" s="11">
        <v>0</v>
      </c>
      <c r="P102" s="11">
        <v>0</v>
      </c>
      <c r="Q102" s="11">
        <v>0</v>
      </c>
      <c r="R102" s="13">
        <f t="shared" si="10"/>
        <v>0</v>
      </c>
      <c r="S102">
        <v>55.11</v>
      </c>
      <c r="T102">
        <v>30</v>
      </c>
      <c r="U102" s="7">
        <f t="shared" si="13"/>
        <v>85.11</v>
      </c>
      <c r="V102">
        <v>0</v>
      </c>
      <c r="W102">
        <v>0</v>
      </c>
      <c r="X102">
        <v>0</v>
      </c>
      <c r="Y102">
        <v>0</v>
      </c>
      <c r="Z102" s="13">
        <f t="shared" si="14"/>
        <v>0</v>
      </c>
      <c r="AA102">
        <v>0</v>
      </c>
      <c r="AB102">
        <v>0</v>
      </c>
      <c r="AC102">
        <v>0</v>
      </c>
      <c r="AD102">
        <v>0</v>
      </c>
      <c r="AE102" s="7">
        <f t="shared" si="15"/>
        <v>0</v>
      </c>
      <c r="AF102">
        <v>0</v>
      </c>
      <c r="AG102">
        <v>0</v>
      </c>
      <c r="AH102">
        <v>0</v>
      </c>
      <c r="AI102" s="13">
        <f t="shared" si="11"/>
        <v>0</v>
      </c>
      <c r="AJ102" s="11" t="s">
        <v>51</v>
      </c>
      <c r="AK102" s="11" t="s">
        <v>51</v>
      </c>
      <c r="AL102" s="11" t="s">
        <v>51</v>
      </c>
      <c r="AM102" s="13">
        <f t="shared" si="16"/>
        <v>0</v>
      </c>
      <c r="AN102" s="18">
        <v>4</v>
      </c>
      <c r="AO102" s="18">
        <v>0</v>
      </c>
      <c r="AP102" s="18">
        <v>0</v>
      </c>
      <c r="AQ102" s="18">
        <v>0</v>
      </c>
      <c r="AR102" s="18">
        <f t="shared" si="17"/>
        <v>4</v>
      </c>
      <c r="AS102" t="s">
        <v>52</v>
      </c>
      <c r="AT102" s="9" t="s">
        <v>428</v>
      </c>
      <c r="AU102" s="30">
        <f>+((U102*AN102)/AR102)</f>
        <v>85.11</v>
      </c>
    </row>
    <row r="103" spans="1:47" s="16" customFormat="1" hidden="1" x14ac:dyDescent="0.25">
      <c r="A103" s="16" t="s">
        <v>46</v>
      </c>
      <c r="B103" s="16" t="s">
        <v>429</v>
      </c>
      <c r="C103" s="16" t="s">
        <v>430</v>
      </c>
      <c r="D103" s="16" t="s">
        <v>431</v>
      </c>
      <c r="E103" s="17">
        <v>0</v>
      </c>
      <c r="F103" s="17">
        <v>0</v>
      </c>
      <c r="G103" s="17">
        <v>0</v>
      </c>
      <c r="H103" s="17">
        <v>0</v>
      </c>
      <c r="I103" s="13">
        <f t="shared" si="12"/>
        <v>0</v>
      </c>
      <c r="J103" s="17">
        <v>0</v>
      </c>
      <c r="K103" s="17">
        <v>0</v>
      </c>
      <c r="L103" s="17">
        <v>0</v>
      </c>
      <c r="M103" s="17">
        <v>0</v>
      </c>
      <c r="N103" s="17">
        <v>43.99</v>
      </c>
      <c r="O103" s="17">
        <v>3</v>
      </c>
      <c r="P103" s="17">
        <v>17.5</v>
      </c>
      <c r="Q103" s="17">
        <v>20</v>
      </c>
      <c r="R103" s="13">
        <f t="shared" si="10"/>
        <v>84.490000000000009</v>
      </c>
      <c r="S103" s="16">
        <v>0</v>
      </c>
      <c r="T103" s="16">
        <v>0</v>
      </c>
      <c r="U103" s="7">
        <f t="shared" si="13"/>
        <v>0</v>
      </c>
      <c r="V103" s="16">
        <v>3</v>
      </c>
      <c r="W103" s="16">
        <v>17.5</v>
      </c>
      <c r="X103" s="16">
        <v>43.99</v>
      </c>
      <c r="Y103" s="16">
        <v>20</v>
      </c>
      <c r="Z103" s="13">
        <f t="shared" si="14"/>
        <v>84.490000000000009</v>
      </c>
      <c r="AA103" s="16">
        <v>0</v>
      </c>
      <c r="AB103" s="16">
        <v>0</v>
      </c>
      <c r="AC103" s="16">
        <v>0</v>
      </c>
      <c r="AD103" s="16">
        <v>0</v>
      </c>
      <c r="AE103" s="7">
        <f t="shared" si="15"/>
        <v>0</v>
      </c>
      <c r="AF103" s="16">
        <v>0</v>
      </c>
      <c r="AG103" s="16">
        <v>0</v>
      </c>
      <c r="AH103" s="16">
        <v>0</v>
      </c>
      <c r="AI103" s="13">
        <f t="shared" si="11"/>
        <v>0</v>
      </c>
      <c r="AJ103" s="17" t="s">
        <v>51</v>
      </c>
      <c r="AK103" s="17" t="s">
        <v>51</v>
      </c>
      <c r="AL103" s="17" t="s">
        <v>51</v>
      </c>
      <c r="AM103" s="13">
        <f t="shared" si="16"/>
        <v>0</v>
      </c>
      <c r="AN103" s="22">
        <v>37</v>
      </c>
      <c r="AO103" s="22">
        <v>0</v>
      </c>
      <c r="AP103" s="22">
        <v>0</v>
      </c>
      <c r="AQ103" s="22">
        <v>0</v>
      </c>
      <c r="AR103" s="18">
        <f t="shared" si="17"/>
        <v>37</v>
      </c>
      <c r="AS103" s="16" t="s">
        <v>52</v>
      </c>
      <c r="AT103" s="1" t="s">
        <v>432</v>
      </c>
      <c r="AU103" s="30">
        <f>+((Z103*AN103)/AR103)</f>
        <v>84.490000000000009</v>
      </c>
    </row>
    <row r="104" spans="1:47" s="25" customFormat="1" hidden="1" x14ac:dyDescent="0.25">
      <c r="A104" s="25" t="s">
        <v>46</v>
      </c>
      <c r="B104" s="34" t="s">
        <v>429</v>
      </c>
      <c r="C104" s="34" t="s">
        <v>430</v>
      </c>
      <c r="D104" s="34" t="s">
        <v>431</v>
      </c>
      <c r="E104" s="26">
        <v>0</v>
      </c>
      <c r="F104" s="26">
        <v>0</v>
      </c>
      <c r="G104" s="26">
        <v>0</v>
      </c>
      <c r="H104" s="26">
        <v>0</v>
      </c>
      <c r="I104" s="27">
        <f t="shared" si="12"/>
        <v>0</v>
      </c>
      <c r="J104" s="26">
        <v>0</v>
      </c>
      <c r="K104" s="26">
        <v>0</v>
      </c>
      <c r="L104" s="26">
        <v>0</v>
      </c>
      <c r="M104" s="27">
        <v>0</v>
      </c>
      <c r="N104" s="26">
        <v>48.94</v>
      </c>
      <c r="O104" s="26">
        <v>3</v>
      </c>
      <c r="P104" s="26">
        <v>17.5</v>
      </c>
      <c r="Q104" s="26">
        <v>20</v>
      </c>
      <c r="R104" s="27">
        <f t="shared" si="10"/>
        <v>89.44</v>
      </c>
      <c r="S104" s="25">
        <v>0</v>
      </c>
      <c r="T104" s="25">
        <v>0</v>
      </c>
      <c r="U104" s="28">
        <f t="shared" si="13"/>
        <v>0</v>
      </c>
      <c r="V104" s="25">
        <v>3</v>
      </c>
      <c r="W104" s="25">
        <v>17.5</v>
      </c>
      <c r="X104" s="25">
        <v>43.99</v>
      </c>
      <c r="Y104" s="25">
        <v>20</v>
      </c>
      <c r="Z104" s="27">
        <f t="shared" si="14"/>
        <v>84.490000000000009</v>
      </c>
      <c r="AA104" s="25">
        <v>0</v>
      </c>
      <c r="AB104" s="25">
        <v>0</v>
      </c>
      <c r="AC104" s="25">
        <v>0</v>
      </c>
      <c r="AD104" s="25">
        <v>0</v>
      </c>
      <c r="AE104" s="28">
        <f t="shared" si="15"/>
        <v>0</v>
      </c>
      <c r="AF104" s="25">
        <v>0</v>
      </c>
      <c r="AG104" s="25">
        <v>0</v>
      </c>
      <c r="AH104" s="25">
        <v>0</v>
      </c>
      <c r="AI104" s="27">
        <f t="shared" si="11"/>
        <v>0</v>
      </c>
      <c r="AJ104" s="26" t="s">
        <v>51</v>
      </c>
      <c r="AK104" s="26" t="s">
        <v>51</v>
      </c>
      <c r="AL104" s="26" t="s">
        <v>51</v>
      </c>
      <c r="AM104" s="27">
        <f t="shared" si="16"/>
        <v>0</v>
      </c>
      <c r="AN104" s="23">
        <v>3</v>
      </c>
      <c r="AO104" s="23">
        <v>0</v>
      </c>
      <c r="AP104" s="23">
        <v>0</v>
      </c>
      <c r="AQ104" s="23">
        <v>0</v>
      </c>
      <c r="AR104" s="23">
        <f t="shared" si="17"/>
        <v>3</v>
      </c>
      <c r="AS104" s="25" t="s">
        <v>117</v>
      </c>
      <c r="AT104" s="29" t="s">
        <v>432</v>
      </c>
      <c r="AU104" s="26">
        <f>+((AN104*R104)+(AQ104*AI104)+(AP104*AM104))/AR104</f>
        <v>89.44</v>
      </c>
    </row>
    <row r="105" spans="1:47" hidden="1" x14ac:dyDescent="0.25">
      <c r="A105" t="s">
        <v>46</v>
      </c>
      <c r="B105" t="s">
        <v>433</v>
      </c>
      <c r="C105" t="s">
        <v>434</v>
      </c>
      <c r="D105" t="s">
        <v>435</v>
      </c>
      <c r="E105" s="11">
        <v>20</v>
      </c>
      <c r="F105" s="11">
        <v>20</v>
      </c>
      <c r="G105" s="11">
        <v>43.31</v>
      </c>
      <c r="H105" s="11">
        <v>7</v>
      </c>
      <c r="I105" s="13">
        <f t="shared" si="12"/>
        <v>90.31</v>
      </c>
      <c r="J105" s="11">
        <v>0</v>
      </c>
      <c r="K105" s="11">
        <v>0</v>
      </c>
      <c r="L105" s="11">
        <v>0</v>
      </c>
      <c r="M105" s="13">
        <v>0</v>
      </c>
      <c r="N105" s="11">
        <v>43.31</v>
      </c>
      <c r="O105" s="11">
        <v>7</v>
      </c>
      <c r="P105" s="11">
        <v>20</v>
      </c>
      <c r="Q105" s="11">
        <v>20</v>
      </c>
      <c r="R105" s="13">
        <f t="shared" si="10"/>
        <v>90.31</v>
      </c>
      <c r="S105">
        <v>0</v>
      </c>
      <c r="T105">
        <v>0</v>
      </c>
      <c r="U105" s="7">
        <f t="shared" si="13"/>
        <v>0</v>
      </c>
      <c r="V105">
        <v>0</v>
      </c>
      <c r="W105">
        <v>0</v>
      </c>
      <c r="X105">
        <v>0</v>
      </c>
      <c r="Y105">
        <v>0</v>
      </c>
      <c r="Z105" s="13">
        <f t="shared" si="14"/>
        <v>0</v>
      </c>
      <c r="AA105">
        <v>0</v>
      </c>
      <c r="AB105">
        <v>0</v>
      </c>
      <c r="AC105">
        <v>0</v>
      </c>
      <c r="AD105">
        <v>0</v>
      </c>
      <c r="AE105" s="7">
        <f t="shared" si="15"/>
        <v>0</v>
      </c>
      <c r="AF105">
        <v>0</v>
      </c>
      <c r="AG105">
        <v>0</v>
      </c>
      <c r="AH105">
        <v>0</v>
      </c>
      <c r="AI105" s="13">
        <f t="shared" si="11"/>
        <v>0</v>
      </c>
      <c r="AJ105" s="11" t="s">
        <v>51</v>
      </c>
      <c r="AK105" s="11" t="s">
        <v>51</v>
      </c>
      <c r="AL105" s="11" t="s">
        <v>51</v>
      </c>
      <c r="AM105" s="13">
        <f t="shared" si="16"/>
        <v>0</v>
      </c>
      <c r="AN105" s="18">
        <v>6</v>
      </c>
      <c r="AO105" s="18">
        <v>0</v>
      </c>
      <c r="AP105" s="18">
        <v>0</v>
      </c>
      <c r="AQ105" s="18">
        <v>0</v>
      </c>
      <c r="AR105" s="18">
        <f t="shared" si="17"/>
        <v>6</v>
      </c>
      <c r="AS105" t="s">
        <v>52</v>
      </c>
      <c r="AT105" s="9" t="s">
        <v>436</v>
      </c>
      <c r="AU105" s="30">
        <f>+((AN105*I105)+(AO105*AE105)+(AQ105*AI105)+(AP105*AM105))/AR105</f>
        <v>90.31</v>
      </c>
    </row>
    <row r="106" spans="1:47" hidden="1" x14ac:dyDescent="0.25">
      <c r="A106" t="s">
        <v>46</v>
      </c>
      <c r="B106" s="32" t="s">
        <v>433</v>
      </c>
      <c r="C106" s="32" t="s">
        <v>434</v>
      </c>
      <c r="D106" s="32" t="s">
        <v>435</v>
      </c>
      <c r="E106" s="11">
        <v>20</v>
      </c>
      <c r="F106" s="11">
        <v>20</v>
      </c>
      <c r="G106" s="11">
        <v>42.74</v>
      </c>
      <c r="H106" s="11">
        <v>7</v>
      </c>
      <c r="I106" s="13">
        <f t="shared" si="12"/>
        <v>89.740000000000009</v>
      </c>
      <c r="J106" s="11">
        <v>0</v>
      </c>
      <c r="K106" s="11">
        <v>0</v>
      </c>
      <c r="L106" s="11">
        <v>0</v>
      </c>
      <c r="M106" s="13">
        <v>0</v>
      </c>
      <c r="N106" s="11">
        <v>46.19</v>
      </c>
      <c r="O106" s="11">
        <v>7</v>
      </c>
      <c r="P106" s="11">
        <v>20</v>
      </c>
      <c r="Q106" s="11">
        <v>20</v>
      </c>
      <c r="R106" s="13">
        <f t="shared" si="10"/>
        <v>93.19</v>
      </c>
      <c r="S106">
        <v>0</v>
      </c>
      <c r="T106">
        <v>0</v>
      </c>
      <c r="U106" s="7">
        <f t="shared" si="13"/>
        <v>0</v>
      </c>
      <c r="V106">
        <v>0</v>
      </c>
      <c r="W106">
        <v>0</v>
      </c>
      <c r="X106">
        <v>0</v>
      </c>
      <c r="Y106">
        <v>0</v>
      </c>
      <c r="Z106" s="13">
        <f t="shared" si="14"/>
        <v>0</v>
      </c>
      <c r="AA106">
        <v>0</v>
      </c>
      <c r="AB106">
        <v>0</v>
      </c>
      <c r="AC106">
        <v>0</v>
      </c>
      <c r="AD106">
        <v>0</v>
      </c>
      <c r="AE106" s="7">
        <f t="shared" si="15"/>
        <v>0</v>
      </c>
      <c r="AF106">
        <v>0</v>
      </c>
      <c r="AG106">
        <v>0</v>
      </c>
      <c r="AH106">
        <v>0</v>
      </c>
      <c r="AI106" s="13">
        <f t="shared" si="11"/>
        <v>0</v>
      </c>
      <c r="AJ106" s="11" t="s">
        <v>51</v>
      </c>
      <c r="AK106" s="11" t="s">
        <v>51</v>
      </c>
      <c r="AL106" s="11" t="s">
        <v>51</v>
      </c>
      <c r="AM106" s="13">
        <f t="shared" si="16"/>
        <v>0</v>
      </c>
      <c r="AN106" s="18">
        <v>2</v>
      </c>
      <c r="AO106" s="18">
        <v>0</v>
      </c>
      <c r="AP106" s="18">
        <v>0</v>
      </c>
      <c r="AQ106" s="18">
        <v>0</v>
      </c>
      <c r="AR106" s="18">
        <f t="shared" si="17"/>
        <v>2</v>
      </c>
      <c r="AS106" t="s">
        <v>117</v>
      </c>
      <c r="AT106" s="9" t="s">
        <v>436</v>
      </c>
      <c r="AU106" s="11">
        <f>+((AN106*R106)+(AQ106*AI106)+(AP106*AM106))/AR106</f>
        <v>93.19</v>
      </c>
    </row>
    <row r="107" spans="1:47" hidden="1" x14ac:dyDescent="0.25">
      <c r="A107" t="s">
        <v>46</v>
      </c>
      <c r="B107" t="s">
        <v>437</v>
      </c>
      <c r="C107" t="s">
        <v>438</v>
      </c>
      <c r="D107" t="s">
        <v>439</v>
      </c>
      <c r="E107" s="11">
        <v>19.670000000000002</v>
      </c>
      <c r="F107" s="11">
        <v>20</v>
      </c>
      <c r="G107" s="11">
        <v>47.58</v>
      </c>
      <c r="H107" s="11">
        <v>9.5</v>
      </c>
      <c r="I107" s="13">
        <f t="shared" si="12"/>
        <v>96.75</v>
      </c>
      <c r="J107" s="11">
        <v>0</v>
      </c>
      <c r="K107" s="11">
        <v>0</v>
      </c>
      <c r="L107" s="11">
        <v>0</v>
      </c>
      <c r="M107" s="13">
        <v>0</v>
      </c>
      <c r="N107" s="11">
        <v>0</v>
      </c>
      <c r="O107" s="11">
        <v>0</v>
      </c>
      <c r="P107" s="11">
        <v>0</v>
      </c>
      <c r="Q107" s="11">
        <v>0</v>
      </c>
      <c r="R107" s="13">
        <f t="shared" si="10"/>
        <v>0</v>
      </c>
      <c r="S107">
        <v>0</v>
      </c>
      <c r="T107">
        <v>0</v>
      </c>
      <c r="U107" s="7">
        <f t="shared" si="13"/>
        <v>0</v>
      </c>
      <c r="V107">
        <v>0</v>
      </c>
      <c r="W107">
        <v>0</v>
      </c>
      <c r="X107">
        <v>0</v>
      </c>
      <c r="Y107">
        <v>0</v>
      </c>
      <c r="Z107" s="13">
        <f t="shared" si="14"/>
        <v>0</v>
      </c>
      <c r="AA107">
        <v>0</v>
      </c>
      <c r="AB107">
        <v>0</v>
      </c>
      <c r="AC107">
        <v>0</v>
      </c>
      <c r="AD107">
        <v>0</v>
      </c>
      <c r="AE107" s="7">
        <f t="shared" si="15"/>
        <v>0</v>
      </c>
      <c r="AF107">
        <v>0</v>
      </c>
      <c r="AG107">
        <v>0</v>
      </c>
      <c r="AH107">
        <v>0</v>
      </c>
      <c r="AI107" s="13">
        <f t="shared" si="11"/>
        <v>0</v>
      </c>
      <c r="AJ107" s="11" t="s">
        <v>51</v>
      </c>
      <c r="AK107" s="11" t="s">
        <v>51</v>
      </c>
      <c r="AL107" s="11" t="s">
        <v>51</v>
      </c>
      <c r="AM107" s="13">
        <f t="shared" si="16"/>
        <v>0</v>
      </c>
      <c r="AN107" s="18">
        <v>40</v>
      </c>
      <c r="AO107" s="18">
        <v>0</v>
      </c>
      <c r="AP107" s="18">
        <v>0</v>
      </c>
      <c r="AQ107" s="18">
        <v>0</v>
      </c>
      <c r="AR107" s="18">
        <f t="shared" si="17"/>
        <v>40</v>
      </c>
      <c r="AS107" t="s">
        <v>52</v>
      </c>
      <c r="AT107" s="9" t="s">
        <v>440</v>
      </c>
      <c r="AU107" s="30">
        <f>+((AN107*I107)+(AO107*AE107)+(AQ107*AI107)+(AP107*AM107))/AR107</f>
        <v>96.75</v>
      </c>
    </row>
    <row r="108" spans="1:47" hidden="1" x14ac:dyDescent="0.25">
      <c r="A108" t="s">
        <v>46</v>
      </c>
      <c r="B108" t="s">
        <v>441</v>
      </c>
      <c r="C108" t="s">
        <v>442</v>
      </c>
      <c r="D108" t="s">
        <v>443</v>
      </c>
      <c r="E108" s="11">
        <v>25</v>
      </c>
      <c r="F108" s="11">
        <v>0</v>
      </c>
      <c r="G108" s="11">
        <v>51.674999999999997</v>
      </c>
      <c r="H108" s="11">
        <v>8.75</v>
      </c>
      <c r="I108" s="13">
        <f t="shared" si="12"/>
        <v>85.424999999999997</v>
      </c>
      <c r="J108" s="11">
        <v>0</v>
      </c>
      <c r="K108" s="11">
        <v>0</v>
      </c>
      <c r="L108" s="11">
        <v>0</v>
      </c>
      <c r="M108" s="13">
        <v>0</v>
      </c>
      <c r="N108" s="11">
        <v>0</v>
      </c>
      <c r="O108" s="11">
        <v>0</v>
      </c>
      <c r="P108" s="11">
        <v>0</v>
      </c>
      <c r="Q108" s="11">
        <v>0</v>
      </c>
      <c r="R108" s="13">
        <f t="shared" si="10"/>
        <v>0</v>
      </c>
      <c r="S108">
        <v>0</v>
      </c>
      <c r="T108">
        <v>0</v>
      </c>
      <c r="U108" s="7">
        <f t="shared" si="13"/>
        <v>0</v>
      </c>
      <c r="V108">
        <v>0</v>
      </c>
      <c r="W108">
        <v>0</v>
      </c>
      <c r="X108">
        <v>0</v>
      </c>
      <c r="Y108">
        <v>0</v>
      </c>
      <c r="Z108" s="13">
        <f t="shared" si="14"/>
        <v>0</v>
      </c>
      <c r="AA108">
        <v>0</v>
      </c>
      <c r="AB108">
        <v>0</v>
      </c>
      <c r="AC108">
        <v>0</v>
      </c>
      <c r="AD108">
        <v>0</v>
      </c>
      <c r="AE108" s="7">
        <f t="shared" si="15"/>
        <v>0</v>
      </c>
      <c r="AF108">
        <v>0</v>
      </c>
      <c r="AG108">
        <v>0</v>
      </c>
      <c r="AH108">
        <v>0</v>
      </c>
      <c r="AI108" s="13">
        <f t="shared" si="11"/>
        <v>0</v>
      </c>
      <c r="AJ108" s="11" t="s">
        <v>51</v>
      </c>
      <c r="AK108" s="11" t="s">
        <v>51</v>
      </c>
      <c r="AL108" s="11" t="s">
        <v>51</v>
      </c>
      <c r="AM108" s="13">
        <f t="shared" si="16"/>
        <v>0</v>
      </c>
      <c r="AN108" s="18">
        <v>40</v>
      </c>
      <c r="AO108" s="18">
        <v>0</v>
      </c>
      <c r="AP108" s="18">
        <v>0</v>
      </c>
      <c r="AQ108" s="18">
        <v>0</v>
      </c>
      <c r="AR108" s="18">
        <f t="shared" si="17"/>
        <v>40</v>
      </c>
      <c r="AS108" t="s">
        <v>52</v>
      </c>
      <c r="AT108" s="9" t="s">
        <v>444</v>
      </c>
      <c r="AU108" s="30">
        <f>+((AN108*I108)+(AO108*AE108)+(AQ108*AI108)+(AP108*AM108))/AR108</f>
        <v>85.424999999999997</v>
      </c>
    </row>
    <row r="109" spans="1:47" s="6" customFormat="1" hidden="1" x14ac:dyDescent="0.25">
      <c r="A109" s="6" t="s">
        <v>46</v>
      </c>
      <c r="B109" s="6" t="s">
        <v>445</v>
      </c>
      <c r="C109" s="6" t="s">
        <v>446</v>
      </c>
      <c r="D109" s="6" t="s">
        <v>447</v>
      </c>
      <c r="E109" s="12">
        <v>0</v>
      </c>
      <c r="F109" s="12">
        <v>0</v>
      </c>
      <c r="G109" s="12">
        <v>0</v>
      </c>
      <c r="H109" s="12">
        <v>0</v>
      </c>
      <c r="I109" s="13">
        <f t="shared" si="12"/>
        <v>0</v>
      </c>
      <c r="J109" s="14">
        <v>51.69</v>
      </c>
      <c r="K109" s="14">
        <v>30</v>
      </c>
      <c r="L109" s="14">
        <v>4.75</v>
      </c>
      <c r="M109" s="13">
        <v>86.44</v>
      </c>
      <c r="N109" s="12">
        <v>0</v>
      </c>
      <c r="O109" s="12">
        <v>0</v>
      </c>
      <c r="P109" s="12">
        <v>0</v>
      </c>
      <c r="Q109" s="12">
        <v>0</v>
      </c>
      <c r="R109" s="13">
        <f t="shared" si="10"/>
        <v>0</v>
      </c>
      <c r="S109" s="6">
        <v>0</v>
      </c>
      <c r="T109" s="6">
        <v>0</v>
      </c>
      <c r="U109" s="7">
        <f t="shared" si="13"/>
        <v>0</v>
      </c>
      <c r="V109" s="6">
        <v>0</v>
      </c>
      <c r="W109" s="6">
        <v>0</v>
      </c>
      <c r="X109" s="6">
        <v>0</v>
      </c>
      <c r="Y109" s="6">
        <v>0</v>
      </c>
      <c r="Z109" s="13">
        <f t="shared" si="14"/>
        <v>0</v>
      </c>
      <c r="AA109" s="6">
        <v>0</v>
      </c>
      <c r="AB109" s="6">
        <v>0</v>
      </c>
      <c r="AC109" s="6">
        <v>0</v>
      </c>
      <c r="AD109" s="6">
        <v>0</v>
      </c>
      <c r="AE109" s="7">
        <f t="shared" si="15"/>
        <v>0</v>
      </c>
      <c r="AF109" s="6">
        <v>0</v>
      </c>
      <c r="AG109" s="6">
        <v>0</v>
      </c>
      <c r="AH109" s="6">
        <v>0</v>
      </c>
      <c r="AI109" s="13">
        <f t="shared" si="11"/>
        <v>0</v>
      </c>
      <c r="AJ109" s="12" t="s">
        <v>51</v>
      </c>
      <c r="AK109" s="12" t="s">
        <v>51</v>
      </c>
      <c r="AL109" s="12" t="s">
        <v>51</v>
      </c>
      <c r="AM109" s="13">
        <f t="shared" si="16"/>
        <v>0</v>
      </c>
      <c r="AN109" s="21">
        <v>2</v>
      </c>
      <c r="AO109" s="21">
        <v>0</v>
      </c>
      <c r="AP109" s="21">
        <v>0</v>
      </c>
      <c r="AQ109" s="21">
        <v>0</v>
      </c>
      <c r="AR109" s="18">
        <f t="shared" si="17"/>
        <v>2</v>
      </c>
      <c r="AS109" s="6" t="s">
        <v>87</v>
      </c>
      <c r="AT109" s="10" t="s">
        <v>932</v>
      </c>
      <c r="AU109" s="30">
        <f>+((AN109*M109)/AR109)</f>
        <v>86.44</v>
      </c>
    </row>
    <row r="110" spans="1:47" hidden="1" x14ac:dyDescent="0.25">
      <c r="A110" t="s">
        <v>46</v>
      </c>
      <c r="B110" t="s">
        <v>448</v>
      </c>
      <c r="C110" t="s">
        <v>449</v>
      </c>
      <c r="D110" t="s">
        <v>450</v>
      </c>
      <c r="E110" s="11">
        <v>17.5</v>
      </c>
      <c r="F110" s="11">
        <v>18.329999999999998</v>
      </c>
      <c r="G110" s="11">
        <v>39.520000000000003</v>
      </c>
      <c r="H110" s="11">
        <v>7</v>
      </c>
      <c r="I110" s="13">
        <f t="shared" si="12"/>
        <v>82.35</v>
      </c>
      <c r="J110" s="11">
        <v>0</v>
      </c>
      <c r="K110" s="11">
        <v>0</v>
      </c>
      <c r="L110" s="11">
        <v>0</v>
      </c>
      <c r="M110" s="13">
        <v>0</v>
      </c>
      <c r="N110" s="11">
        <v>0</v>
      </c>
      <c r="O110" s="11">
        <v>0</v>
      </c>
      <c r="P110" s="11">
        <v>0</v>
      </c>
      <c r="Q110" s="11">
        <v>0</v>
      </c>
      <c r="R110" s="13">
        <f t="shared" si="10"/>
        <v>0</v>
      </c>
      <c r="S110">
        <v>0</v>
      </c>
      <c r="T110">
        <v>0</v>
      </c>
      <c r="U110" s="7">
        <f t="shared" si="13"/>
        <v>0</v>
      </c>
      <c r="V110">
        <v>0</v>
      </c>
      <c r="W110">
        <v>0</v>
      </c>
      <c r="X110">
        <v>0</v>
      </c>
      <c r="Y110">
        <v>0</v>
      </c>
      <c r="Z110" s="13">
        <f t="shared" si="14"/>
        <v>0</v>
      </c>
      <c r="AA110">
        <v>0</v>
      </c>
      <c r="AB110">
        <v>38.75</v>
      </c>
      <c r="AC110">
        <v>15</v>
      </c>
      <c r="AD110">
        <v>20</v>
      </c>
      <c r="AE110" s="7">
        <f t="shared" si="15"/>
        <v>73.75</v>
      </c>
      <c r="AF110">
        <v>50</v>
      </c>
      <c r="AG110">
        <v>17.329999999999998</v>
      </c>
      <c r="AH110">
        <v>25.57</v>
      </c>
      <c r="AI110" s="13">
        <f t="shared" si="11"/>
        <v>92.9</v>
      </c>
      <c r="AJ110" s="11" t="s">
        <v>51</v>
      </c>
      <c r="AK110" s="11" t="s">
        <v>51</v>
      </c>
      <c r="AL110" s="11" t="s">
        <v>51</v>
      </c>
      <c r="AM110" s="13">
        <f t="shared" si="16"/>
        <v>0</v>
      </c>
      <c r="AN110" s="18">
        <v>25.75</v>
      </c>
      <c r="AO110" s="18">
        <v>6.25</v>
      </c>
      <c r="AP110" s="18">
        <v>0</v>
      </c>
      <c r="AQ110" s="18">
        <v>8</v>
      </c>
      <c r="AR110" s="18">
        <f t="shared" si="17"/>
        <v>40</v>
      </c>
      <c r="AS110" t="s">
        <v>52</v>
      </c>
      <c r="AT110" s="9" t="s">
        <v>451</v>
      </c>
      <c r="AU110" s="30">
        <f>+((AN110*I110)+(AO110*AE110)+(AQ110*AI110)+(AP110*AM110))/AR110</f>
        <v>83.116249999999994</v>
      </c>
    </row>
    <row r="111" spans="1:47" hidden="1" x14ac:dyDescent="0.25">
      <c r="A111" t="s">
        <v>46</v>
      </c>
      <c r="B111" t="s">
        <v>452</v>
      </c>
      <c r="C111" t="s">
        <v>453</v>
      </c>
      <c r="D111" t="s">
        <v>454</v>
      </c>
      <c r="E111" s="11">
        <v>20</v>
      </c>
      <c r="F111" s="11">
        <v>20</v>
      </c>
      <c r="G111" s="11">
        <v>41.36</v>
      </c>
      <c r="H111" s="11">
        <v>5.5</v>
      </c>
      <c r="I111" s="13">
        <f t="shared" si="12"/>
        <v>86.86</v>
      </c>
      <c r="J111" s="11">
        <v>0</v>
      </c>
      <c r="K111" s="11">
        <v>0</v>
      </c>
      <c r="L111" s="11">
        <v>0</v>
      </c>
      <c r="M111" s="13">
        <v>0</v>
      </c>
      <c r="N111" s="11">
        <v>0</v>
      </c>
      <c r="O111" s="11">
        <v>0</v>
      </c>
      <c r="P111" s="11">
        <v>0</v>
      </c>
      <c r="Q111" s="11">
        <v>0</v>
      </c>
      <c r="R111" s="13">
        <f t="shared" si="10"/>
        <v>0</v>
      </c>
      <c r="S111">
        <v>0</v>
      </c>
      <c r="T111">
        <v>0</v>
      </c>
      <c r="U111" s="7">
        <f t="shared" si="13"/>
        <v>0</v>
      </c>
      <c r="V111">
        <v>0</v>
      </c>
      <c r="W111">
        <v>0</v>
      </c>
      <c r="X111">
        <v>0</v>
      </c>
      <c r="Y111">
        <v>0</v>
      </c>
      <c r="Z111" s="13">
        <f t="shared" si="14"/>
        <v>0</v>
      </c>
      <c r="AA111">
        <v>0</v>
      </c>
      <c r="AB111">
        <v>0</v>
      </c>
      <c r="AC111">
        <v>0</v>
      </c>
      <c r="AD111">
        <v>0</v>
      </c>
      <c r="AE111" s="7">
        <f t="shared" si="15"/>
        <v>0</v>
      </c>
      <c r="AF111">
        <v>50</v>
      </c>
      <c r="AG111">
        <v>0</v>
      </c>
      <c r="AH111">
        <v>36.659999999999997</v>
      </c>
      <c r="AI111" s="13">
        <f t="shared" si="11"/>
        <v>86.66</v>
      </c>
      <c r="AJ111" s="11" t="s">
        <v>51</v>
      </c>
      <c r="AK111" s="11" t="s">
        <v>51</v>
      </c>
      <c r="AL111" s="11" t="s">
        <v>51</v>
      </c>
      <c r="AM111" s="13">
        <f t="shared" si="16"/>
        <v>0</v>
      </c>
      <c r="AN111" s="18">
        <v>35</v>
      </c>
      <c r="AO111" s="18">
        <v>0</v>
      </c>
      <c r="AP111" s="18">
        <v>0</v>
      </c>
      <c r="AQ111" s="18">
        <v>5</v>
      </c>
      <c r="AR111" s="18">
        <f t="shared" si="17"/>
        <v>40</v>
      </c>
      <c r="AS111" t="s">
        <v>52</v>
      </c>
      <c r="AT111" s="9" t="s">
        <v>455</v>
      </c>
      <c r="AU111" s="30">
        <f>+((AN111*I111)+(AO111*AE111)+(AQ111*AI111)+(AP111*AM111))/AR111</f>
        <v>86.834999999999994</v>
      </c>
    </row>
    <row r="112" spans="1:47" hidden="1" x14ac:dyDescent="0.25">
      <c r="A112" t="s">
        <v>46</v>
      </c>
      <c r="B112" t="s">
        <v>456</v>
      </c>
      <c r="C112" t="s">
        <v>457</v>
      </c>
      <c r="D112" t="s">
        <v>458</v>
      </c>
      <c r="E112" s="11">
        <v>0</v>
      </c>
      <c r="F112" s="11">
        <v>0</v>
      </c>
      <c r="G112" s="11">
        <v>89.2</v>
      </c>
      <c r="H112" s="11">
        <v>0</v>
      </c>
      <c r="I112" s="13">
        <f t="shared" si="12"/>
        <v>89.2</v>
      </c>
      <c r="J112" s="11">
        <v>0</v>
      </c>
      <c r="K112" s="11">
        <v>0</v>
      </c>
      <c r="L112" s="11">
        <v>0</v>
      </c>
      <c r="M112" s="13">
        <v>0</v>
      </c>
      <c r="N112" s="11">
        <v>0</v>
      </c>
      <c r="O112" s="11">
        <v>0</v>
      </c>
      <c r="P112" s="11">
        <v>0</v>
      </c>
      <c r="Q112" s="11">
        <v>0</v>
      </c>
      <c r="R112" s="13">
        <f t="shared" si="10"/>
        <v>0</v>
      </c>
      <c r="S112">
        <v>0</v>
      </c>
      <c r="T112">
        <v>0</v>
      </c>
      <c r="U112" s="7">
        <f t="shared" si="13"/>
        <v>0</v>
      </c>
      <c r="V112">
        <v>0</v>
      </c>
      <c r="W112">
        <v>0</v>
      </c>
      <c r="X112">
        <v>0</v>
      </c>
      <c r="Y112">
        <v>0</v>
      </c>
      <c r="Z112" s="13">
        <f t="shared" si="14"/>
        <v>0</v>
      </c>
      <c r="AA112">
        <v>0</v>
      </c>
      <c r="AB112">
        <v>0</v>
      </c>
      <c r="AC112">
        <v>0</v>
      </c>
      <c r="AD112">
        <v>0</v>
      </c>
      <c r="AE112" s="7">
        <f t="shared" si="15"/>
        <v>0</v>
      </c>
      <c r="AF112">
        <v>0</v>
      </c>
      <c r="AG112">
        <v>0</v>
      </c>
      <c r="AH112">
        <v>0</v>
      </c>
      <c r="AI112" s="13">
        <f t="shared" si="11"/>
        <v>0</v>
      </c>
      <c r="AJ112" s="11" t="s">
        <v>51</v>
      </c>
      <c r="AK112" s="11" t="s">
        <v>51</v>
      </c>
      <c r="AL112" s="11" t="s">
        <v>51</v>
      </c>
      <c r="AM112" s="13">
        <f t="shared" si="16"/>
        <v>0</v>
      </c>
      <c r="AN112" s="18">
        <v>7</v>
      </c>
      <c r="AO112" s="18">
        <v>0</v>
      </c>
      <c r="AP112" s="18">
        <v>0</v>
      </c>
      <c r="AQ112" s="18">
        <v>0</v>
      </c>
      <c r="AR112" s="18">
        <f t="shared" si="17"/>
        <v>7</v>
      </c>
      <c r="AS112" t="s">
        <v>52</v>
      </c>
      <c r="AT112" s="9" t="s">
        <v>459</v>
      </c>
      <c r="AU112" s="30">
        <f>+((AN112*I112)+(AO112*AE112)+(AQ112*AI112)+(AP112*AM112))/AR112</f>
        <v>89.2</v>
      </c>
    </row>
    <row r="113" spans="1:47" hidden="1" x14ac:dyDescent="0.25">
      <c r="A113" t="s">
        <v>46</v>
      </c>
      <c r="B113" t="s">
        <v>460</v>
      </c>
      <c r="C113" t="s">
        <v>461</v>
      </c>
      <c r="D113" t="s">
        <v>462</v>
      </c>
      <c r="E113" s="11">
        <v>0</v>
      </c>
      <c r="F113" s="11">
        <v>0</v>
      </c>
      <c r="G113" s="11">
        <v>0</v>
      </c>
      <c r="H113" s="11">
        <v>60</v>
      </c>
      <c r="I113" s="13">
        <f t="shared" si="12"/>
        <v>60</v>
      </c>
      <c r="J113" s="11">
        <v>0</v>
      </c>
      <c r="K113" s="11">
        <v>0</v>
      </c>
      <c r="L113" s="11">
        <v>0</v>
      </c>
      <c r="M113" s="13">
        <v>0</v>
      </c>
      <c r="N113" s="11">
        <v>0</v>
      </c>
      <c r="O113" s="11">
        <v>0</v>
      </c>
      <c r="P113" s="11">
        <v>0</v>
      </c>
      <c r="Q113" s="11">
        <v>0</v>
      </c>
      <c r="R113" s="13">
        <f t="shared" si="10"/>
        <v>0</v>
      </c>
      <c r="S113">
        <v>0</v>
      </c>
      <c r="T113">
        <v>0</v>
      </c>
      <c r="U113" s="7">
        <f t="shared" si="13"/>
        <v>0</v>
      </c>
      <c r="V113">
        <v>0</v>
      </c>
      <c r="W113">
        <v>0</v>
      </c>
      <c r="X113">
        <v>0</v>
      </c>
      <c r="Y113">
        <v>0</v>
      </c>
      <c r="Z113" s="13">
        <f t="shared" si="14"/>
        <v>0</v>
      </c>
      <c r="AA113">
        <v>0</v>
      </c>
      <c r="AB113">
        <v>0</v>
      </c>
      <c r="AC113">
        <v>0</v>
      </c>
      <c r="AD113">
        <v>0</v>
      </c>
      <c r="AE113" s="7">
        <f t="shared" si="15"/>
        <v>0</v>
      </c>
      <c r="AF113">
        <v>0</v>
      </c>
      <c r="AG113">
        <v>0</v>
      </c>
      <c r="AH113">
        <v>0</v>
      </c>
      <c r="AI113" s="13">
        <f t="shared" si="11"/>
        <v>0</v>
      </c>
      <c r="AJ113" s="11" t="s">
        <v>51</v>
      </c>
      <c r="AK113" s="11" t="s">
        <v>51</v>
      </c>
      <c r="AL113" s="11" t="s">
        <v>51</v>
      </c>
      <c r="AM113" s="13">
        <f t="shared" si="16"/>
        <v>0</v>
      </c>
      <c r="AN113" s="18">
        <v>3</v>
      </c>
      <c r="AO113" s="18">
        <v>0</v>
      </c>
      <c r="AP113" s="18">
        <v>0</v>
      </c>
      <c r="AQ113" s="18">
        <v>0</v>
      </c>
      <c r="AR113" s="18">
        <f t="shared" si="17"/>
        <v>3</v>
      </c>
      <c r="AS113" t="s">
        <v>52</v>
      </c>
      <c r="AT113" s="9" t="s">
        <v>116</v>
      </c>
      <c r="AU113" s="30">
        <f>+((AN113*I113)+(AO113*AE113)+(AQ113*AI113)+(AP113*AM113))/AR113</f>
        <v>60</v>
      </c>
    </row>
    <row r="114" spans="1:47" hidden="1" x14ac:dyDescent="0.25">
      <c r="A114" t="s">
        <v>46</v>
      </c>
      <c r="B114" t="s">
        <v>463</v>
      </c>
      <c r="C114" t="s">
        <v>464</v>
      </c>
      <c r="D114" t="s">
        <v>465</v>
      </c>
      <c r="E114" s="11">
        <v>0</v>
      </c>
      <c r="F114" s="11">
        <v>0</v>
      </c>
      <c r="G114" s="11">
        <v>0</v>
      </c>
      <c r="H114" s="11">
        <v>0</v>
      </c>
      <c r="I114" s="13">
        <f t="shared" si="12"/>
        <v>0</v>
      </c>
      <c r="J114" s="11">
        <v>0</v>
      </c>
      <c r="K114" s="11">
        <v>0</v>
      </c>
      <c r="L114" s="11">
        <v>0</v>
      </c>
      <c r="M114" s="13">
        <v>0</v>
      </c>
      <c r="N114" s="11">
        <v>0</v>
      </c>
      <c r="O114" s="11">
        <v>0</v>
      </c>
      <c r="P114" s="11">
        <v>0</v>
      </c>
      <c r="Q114" s="11">
        <v>0</v>
      </c>
      <c r="R114" s="13">
        <f t="shared" si="10"/>
        <v>0</v>
      </c>
      <c r="S114">
        <v>0</v>
      </c>
      <c r="T114">
        <v>0</v>
      </c>
      <c r="U114" s="7">
        <f t="shared" si="13"/>
        <v>0</v>
      </c>
      <c r="V114">
        <v>4.5</v>
      </c>
      <c r="W114">
        <v>20</v>
      </c>
      <c r="X114">
        <v>44.97</v>
      </c>
      <c r="Y114">
        <v>20</v>
      </c>
      <c r="Z114" s="13">
        <f t="shared" si="14"/>
        <v>89.47</v>
      </c>
      <c r="AA114">
        <v>0</v>
      </c>
      <c r="AB114">
        <v>0</v>
      </c>
      <c r="AC114">
        <v>0</v>
      </c>
      <c r="AD114">
        <v>0</v>
      </c>
      <c r="AE114" s="7">
        <f t="shared" si="15"/>
        <v>0</v>
      </c>
      <c r="AF114">
        <v>0</v>
      </c>
      <c r="AG114">
        <v>0</v>
      </c>
      <c r="AH114">
        <v>0</v>
      </c>
      <c r="AI114" s="13">
        <f t="shared" si="11"/>
        <v>0</v>
      </c>
      <c r="AJ114" s="11" t="s">
        <v>51</v>
      </c>
      <c r="AK114" s="11" t="s">
        <v>51</v>
      </c>
      <c r="AL114" s="11" t="s">
        <v>51</v>
      </c>
      <c r="AM114" s="13">
        <f t="shared" si="16"/>
        <v>0</v>
      </c>
      <c r="AN114" s="18">
        <v>37.75</v>
      </c>
      <c r="AO114" s="18">
        <v>0</v>
      </c>
      <c r="AP114" s="18">
        <v>0</v>
      </c>
      <c r="AQ114" s="18">
        <v>0</v>
      </c>
      <c r="AR114" s="18">
        <f t="shared" si="17"/>
        <v>37.75</v>
      </c>
      <c r="AS114" t="s">
        <v>52</v>
      </c>
      <c r="AT114" s="9" t="s">
        <v>466</v>
      </c>
      <c r="AU114" s="30">
        <f>+((Z114*AN114)/AR114)</f>
        <v>89.47</v>
      </c>
    </row>
    <row r="115" spans="1:47" hidden="1" x14ac:dyDescent="0.25">
      <c r="A115" t="s">
        <v>46</v>
      </c>
      <c r="B115" t="s">
        <v>467</v>
      </c>
      <c r="C115" t="s">
        <v>464</v>
      </c>
      <c r="D115" t="s">
        <v>468</v>
      </c>
      <c r="E115" s="11">
        <v>20</v>
      </c>
      <c r="F115" s="11">
        <v>19.329999999999998</v>
      </c>
      <c r="G115" s="11">
        <v>42.02</v>
      </c>
      <c r="H115" s="11">
        <v>4</v>
      </c>
      <c r="I115" s="13">
        <f t="shared" si="12"/>
        <v>85.35</v>
      </c>
      <c r="J115" s="11">
        <v>0</v>
      </c>
      <c r="K115" s="11">
        <v>0</v>
      </c>
      <c r="L115" s="11">
        <v>0</v>
      </c>
      <c r="M115" s="13">
        <v>0</v>
      </c>
      <c r="N115" s="11">
        <v>0</v>
      </c>
      <c r="O115" s="11">
        <v>0</v>
      </c>
      <c r="P115" s="11">
        <v>0</v>
      </c>
      <c r="Q115" s="11">
        <v>0</v>
      </c>
      <c r="R115" s="13">
        <f t="shared" si="10"/>
        <v>0</v>
      </c>
      <c r="S115">
        <v>0</v>
      </c>
      <c r="T115">
        <v>0</v>
      </c>
      <c r="U115" s="7">
        <f t="shared" si="13"/>
        <v>0</v>
      </c>
      <c r="V115">
        <v>0</v>
      </c>
      <c r="W115">
        <v>0</v>
      </c>
      <c r="X115">
        <v>0</v>
      </c>
      <c r="Y115">
        <v>0</v>
      </c>
      <c r="Z115" s="13">
        <f t="shared" si="14"/>
        <v>0</v>
      </c>
      <c r="AA115">
        <v>0</v>
      </c>
      <c r="AB115">
        <v>0</v>
      </c>
      <c r="AC115">
        <v>0</v>
      </c>
      <c r="AD115">
        <v>0</v>
      </c>
      <c r="AE115" s="7">
        <f t="shared" si="15"/>
        <v>0</v>
      </c>
      <c r="AF115">
        <v>0</v>
      </c>
      <c r="AG115">
        <v>0</v>
      </c>
      <c r="AH115">
        <v>0</v>
      </c>
      <c r="AI115" s="13">
        <f t="shared" si="11"/>
        <v>0</v>
      </c>
      <c r="AJ115" s="11" t="s">
        <v>51</v>
      </c>
      <c r="AK115" s="11" t="s">
        <v>51</v>
      </c>
      <c r="AL115" s="11" t="s">
        <v>51</v>
      </c>
      <c r="AM115" s="13">
        <f t="shared" si="16"/>
        <v>0</v>
      </c>
      <c r="AN115" s="18">
        <v>4</v>
      </c>
      <c r="AO115" s="18">
        <v>0</v>
      </c>
      <c r="AP115" s="18">
        <v>0</v>
      </c>
      <c r="AQ115" s="18">
        <v>0</v>
      </c>
      <c r="AR115" s="18">
        <f t="shared" si="17"/>
        <v>4</v>
      </c>
      <c r="AS115" t="s">
        <v>52</v>
      </c>
      <c r="AT115" s="9" t="s">
        <v>469</v>
      </c>
      <c r="AU115" s="30">
        <f>+((AN115*I115)+(AO115*AE115)+(AQ115*AI115)+(AP115*AM115))/AR115</f>
        <v>85.35</v>
      </c>
    </row>
    <row r="116" spans="1:47" hidden="1" x14ac:dyDescent="0.25">
      <c r="A116" t="s">
        <v>46</v>
      </c>
      <c r="B116" t="s">
        <v>470</v>
      </c>
      <c r="C116" t="s">
        <v>471</v>
      </c>
      <c r="D116" t="s">
        <v>472</v>
      </c>
      <c r="E116" s="11">
        <v>20</v>
      </c>
      <c r="F116" s="11">
        <v>20</v>
      </c>
      <c r="G116" s="11">
        <v>48.23</v>
      </c>
      <c r="H116" s="11">
        <v>3</v>
      </c>
      <c r="I116" s="13">
        <f t="shared" si="12"/>
        <v>91.22999999999999</v>
      </c>
      <c r="J116" s="11">
        <v>0</v>
      </c>
      <c r="K116" s="11">
        <v>0</v>
      </c>
      <c r="L116" s="11">
        <v>0</v>
      </c>
      <c r="M116" s="13">
        <v>0</v>
      </c>
      <c r="N116" s="11">
        <v>0</v>
      </c>
      <c r="O116" s="11">
        <v>0</v>
      </c>
      <c r="P116" s="11">
        <v>0</v>
      </c>
      <c r="Q116" s="11">
        <v>0</v>
      </c>
      <c r="R116" s="13">
        <f t="shared" si="10"/>
        <v>0</v>
      </c>
      <c r="S116">
        <v>0</v>
      </c>
      <c r="T116">
        <v>0</v>
      </c>
      <c r="U116" s="7">
        <f t="shared" si="13"/>
        <v>0</v>
      </c>
      <c r="V116">
        <v>0</v>
      </c>
      <c r="W116">
        <v>0</v>
      </c>
      <c r="X116">
        <v>0</v>
      </c>
      <c r="Y116">
        <v>0</v>
      </c>
      <c r="Z116" s="13">
        <f t="shared" si="14"/>
        <v>0</v>
      </c>
      <c r="AA116">
        <v>0</v>
      </c>
      <c r="AB116">
        <v>0</v>
      </c>
      <c r="AC116">
        <v>0</v>
      </c>
      <c r="AD116">
        <v>0</v>
      </c>
      <c r="AE116" s="7">
        <f t="shared" si="15"/>
        <v>0</v>
      </c>
      <c r="AF116">
        <v>50</v>
      </c>
      <c r="AG116">
        <v>20</v>
      </c>
      <c r="AH116">
        <v>21.8</v>
      </c>
      <c r="AI116" s="13">
        <f t="shared" si="11"/>
        <v>91.8</v>
      </c>
      <c r="AJ116" s="11" t="s">
        <v>51</v>
      </c>
      <c r="AK116" s="11" t="s">
        <v>51</v>
      </c>
      <c r="AL116" s="11" t="s">
        <v>51</v>
      </c>
      <c r="AM116" s="13">
        <f t="shared" si="16"/>
        <v>0</v>
      </c>
      <c r="AN116" s="18">
        <v>32</v>
      </c>
      <c r="AO116" s="18">
        <v>0</v>
      </c>
      <c r="AP116" s="18">
        <v>0</v>
      </c>
      <c r="AQ116" s="18">
        <v>8</v>
      </c>
      <c r="AR116" s="18">
        <f t="shared" si="17"/>
        <v>40</v>
      </c>
      <c r="AS116" t="s">
        <v>52</v>
      </c>
      <c r="AT116" s="9" t="s">
        <v>473</v>
      </c>
      <c r="AU116" s="30">
        <f>+((AN116*I116)+(AO116*AE116)+(AQ116*AI116)+(AP116*AM116))/AR116</f>
        <v>91.343999999999994</v>
      </c>
    </row>
    <row r="117" spans="1:47" hidden="1" x14ac:dyDescent="0.25">
      <c r="A117" t="s">
        <v>46</v>
      </c>
      <c r="B117" t="s">
        <v>474</v>
      </c>
      <c r="C117" t="s">
        <v>475</v>
      </c>
      <c r="D117" t="s">
        <v>476</v>
      </c>
      <c r="E117" s="11">
        <v>20</v>
      </c>
      <c r="F117" s="11">
        <v>20</v>
      </c>
      <c r="G117" s="11">
        <v>43.76</v>
      </c>
      <c r="H117" s="11">
        <v>3</v>
      </c>
      <c r="I117" s="13">
        <f t="shared" si="12"/>
        <v>86.759999999999991</v>
      </c>
      <c r="J117" s="11">
        <v>0</v>
      </c>
      <c r="K117" s="11">
        <v>0</v>
      </c>
      <c r="L117" s="11">
        <v>0</v>
      </c>
      <c r="M117" s="13">
        <v>0</v>
      </c>
      <c r="N117" s="11">
        <v>0</v>
      </c>
      <c r="O117" s="11">
        <v>0</v>
      </c>
      <c r="P117" s="11">
        <v>0</v>
      </c>
      <c r="Q117" s="11">
        <v>0</v>
      </c>
      <c r="R117" s="13">
        <f t="shared" si="10"/>
        <v>0</v>
      </c>
      <c r="S117">
        <v>0</v>
      </c>
      <c r="T117">
        <v>0</v>
      </c>
      <c r="U117" s="7">
        <f t="shared" si="13"/>
        <v>0</v>
      </c>
      <c r="V117">
        <v>0</v>
      </c>
      <c r="W117">
        <v>0</v>
      </c>
      <c r="X117">
        <v>0</v>
      </c>
      <c r="Y117">
        <v>0</v>
      </c>
      <c r="Z117" s="13">
        <f t="shared" si="14"/>
        <v>0</v>
      </c>
      <c r="AA117">
        <v>0</v>
      </c>
      <c r="AB117">
        <v>0</v>
      </c>
      <c r="AC117">
        <v>0</v>
      </c>
      <c r="AD117">
        <v>0</v>
      </c>
      <c r="AE117" s="7">
        <f t="shared" si="15"/>
        <v>0</v>
      </c>
      <c r="AF117">
        <v>0</v>
      </c>
      <c r="AG117">
        <v>0</v>
      </c>
      <c r="AH117">
        <v>0</v>
      </c>
      <c r="AI117" s="13">
        <f t="shared" si="11"/>
        <v>0</v>
      </c>
      <c r="AJ117" s="11" t="s">
        <v>51</v>
      </c>
      <c r="AK117" s="11" t="s">
        <v>51</v>
      </c>
      <c r="AL117" s="11" t="s">
        <v>51</v>
      </c>
      <c r="AM117" s="13">
        <f t="shared" si="16"/>
        <v>0</v>
      </c>
      <c r="AN117" s="18">
        <v>4</v>
      </c>
      <c r="AO117" s="18">
        <v>0</v>
      </c>
      <c r="AP117" s="18">
        <v>0</v>
      </c>
      <c r="AQ117" s="18">
        <v>0</v>
      </c>
      <c r="AR117" s="18">
        <f t="shared" si="17"/>
        <v>4</v>
      </c>
      <c r="AS117" t="s">
        <v>52</v>
      </c>
      <c r="AT117" s="9" t="s">
        <v>477</v>
      </c>
      <c r="AU117" s="30">
        <f>+((AN117*I117)+(AO117*AE117)+(AQ117*AI117)+(AP117*AM117))/AR117</f>
        <v>86.759999999999991</v>
      </c>
    </row>
    <row r="118" spans="1:47" hidden="1" x14ac:dyDescent="0.25">
      <c r="A118" t="s">
        <v>46</v>
      </c>
      <c r="B118" t="s">
        <v>478</v>
      </c>
      <c r="C118" t="s">
        <v>479</v>
      </c>
      <c r="D118" t="s">
        <v>480</v>
      </c>
      <c r="E118" s="11">
        <v>20</v>
      </c>
      <c r="F118" s="11">
        <v>6.6700000000000008</v>
      </c>
      <c r="G118" s="11">
        <v>41.95</v>
      </c>
      <c r="H118" s="11">
        <v>2.5</v>
      </c>
      <c r="I118" s="13">
        <f t="shared" si="12"/>
        <v>71.12</v>
      </c>
      <c r="J118" s="11">
        <v>0</v>
      </c>
      <c r="K118" s="11">
        <v>0</v>
      </c>
      <c r="L118" s="11">
        <v>0</v>
      </c>
      <c r="M118" s="13">
        <v>0</v>
      </c>
      <c r="N118" s="11">
        <v>0</v>
      </c>
      <c r="O118" s="11">
        <v>0</v>
      </c>
      <c r="P118" s="11">
        <v>0</v>
      </c>
      <c r="Q118" s="11">
        <v>0</v>
      </c>
      <c r="R118" s="13">
        <f t="shared" si="10"/>
        <v>0</v>
      </c>
      <c r="S118">
        <v>0</v>
      </c>
      <c r="T118">
        <v>0</v>
      </c>
      <c r="U118" s="7">
        <f t="shared" si="13"/>
        <v>0</v>
      </c>
      <c r="V118">
        <v>0</v>
      </c>
      <c r="W118">
        <v>0</v>
      </c>
      <c r="X118">
        <v>0</v>
      </c>
      <c r="Y118">
        <v>0</v>
      </c>
      <c r="Z118" s="13">
        <f t="shared" si="14"/>
        <v>0</v>
      </c>
      <c r="AA118">
        <v>0</v>
      </c>
      <c r="AB118">
        <v>0</v>
      </c>
      <c r="AC118">
        <v>0</v>
      </c>
      <c r="AD118">
        <v>0</v>
      </c>
      <c r="AE118" s="7">
        <f t="shared" si="15"/>
        <v>0</v>
      </c>
      <c r="AF118">
        <v>0</v>
      </c>
      <c r="AG118">
        <v>0</v>
      </c>
      <c r="AH118">
        <v>0</v>
      </c>
      <c r="AI118" s="13">
        <f t="shared" si="11"/>
        <v>0</v>
      </c>
      <c r="AJ118" s="11" t="s">
        <v>50</v>
      </c>
      <c r="AK118" s="11" t="s">
        <v>267</v>
      </c>
      <c r="AL118" s="11">
        <v>43.17</v>
      </c>
      <c r="AM118" s="13">
        <f t="shared" si="16"/>
        <v>43.17</v>
      </c>
      <c r="AN118" s="18">
        <v>37</v>
      </c>
      <c r="AO118" s="18">
        <v>0</v>
      </c>
      <c r="AP118" s="18">
        <v>3</v>
      </c>
      <c r="AQ118" s="18">
        <v>0</v>
      </c>
      <c r="AR118" s="18">
        <f t="shared" si="17"/>
        <v>40</v>
      </c>
      <c r="AS118" t="s">
        <v>52</v>
      </c>
      <c r="AT118" s="9" t="s">
        <v>481</v>
      </c>
      <c r="AU118" s="30">
        <f>+((AN118*I118)+(AO118*AE118)+(AQ118*AI118)+(AP118*AM118))/AR118</f>
        <v>69.023749999999993</v>
      </c>
    </row>
    <row r="119" spans="1:47" hidden="1" x14ac:dyDescent="0.25">
      <c r="A119" t="s">
        <v>46</v>
      </c>
      <c r="B119" t="s">
        <v>482</v>
      </c>
      <c r="C119" t="s">
        <v>483</v>
      </c>
      <c r="D119" t="s">
        <v>484</v>
      </c>
      <c r="E119" s="11">
        <v>20</v>
      </c>
      <c r="F119" s="11">
        <v>20</v>
      </c>
      <c r="G119" s="11">
        <v>45.13</v>
      </c>
      <c r="H119" s="11">
        <v>5</v>
      </c>
      <c r="I119" s="13">
        <f t="shared" si="12"/>
        <v>90.13</v>
      </c>
      <c r="J119" s="11">
        <v>0</v>
      </c>
      <c r="K119" s="11">
        <v>0</v>
      </c>
      <c r="L119" s="11">
        <v>0</v>
      </c>
      <c r="M119" s="13">
        <v>0</v>
      </c>
      <c r="N119" s="11">
        <v>0</v>
      </c>
      <c r="O119" s="11">
        <v>0</v>
      </c>
      <c r="P119" s="11">
        <v>0</v>
      </c>
      <c r="Q119" s="11">
        <v>0</v>
      </c>
      <c r="R119" s="13">
        <f t="shared" si="10"/>
        <v>0</v>
      </c>
      <c r="S119">
        <v>0</v>
      </c>
      <c r="T119">
        <v>0</v>
      </c>
      <c r="U119" s="7">
        <f t="shared" si="13"/>
        <v>0</v>
      </c>
      <c r="V119">
        <v>0</v>
      </c>
      <c r="W119">
        <v>0</v>
      </c>
      <c r="X119">
        <v>0</v>
      </c>
      <c r="Y119">
        <v>0</v>
      </c>
      <c r="Z119" s="13">
        <f t="shared" si="14"/>
        <v>0</v>
      </c>
      <c r="AA119">
        <v>0</v>
      </c>
      <c r="AB119">
        <v>0</v>
      </c>
      <c r="AC119">
        <v>0</v>
      </c>
      <c r="AD119">
        <v>0</v>
      </c>
      <c r="AE119" s="7">
        <f t="shared" si="15"/>
        <v>0</v>
      </c>
      <c r="AF119">
        <v>0</v>
      </c>
      <c r="AG119">
        <v>0</v>
      </c>
      <c r="AH119">
        <v>0</v>
      </c>
      <c r="AI119" s="13">
        <f t="shared" si="11"/>
        <v>0</v>
      </c>
      <c r="AJ119" s="11" t="s">
        <v>51</v>
      </c>
      <c r="AK119" s="11" t="s">
        <v>51</v>
      </c>
      <c r="AL119" s="11" t="s">
        <v>51</v>
      </c>
      <c r="AM119" s="13">
        <f t="shared" si="16"/>
        <v>0</v>
      </c>
      <c r="AN119" s="18">
        <v>8</v>
      </c>
      <c r="AO119" s="18">
        <v>0</v>
      </c>
      <c r="AP119" s="18">
        <v>0</v>
      </c>
      <c r="AQ119" s="18">
        <v>0</v>
      </c>
      <c r="AR119" s="18">
        <f t="shared" si="17"/>
        <v>8</v>
      </c>
      <c r="AS119" t="s">
        <v>52</v>
      </c>
      <c r="AT119" s="9" t="s">
        <v>485</v>
      </c>
      <c r="AU119" s="30">
        <f>+((AN119*I119)+(AO119*AE119)+(AQ119*AI119)+(AP119*AM119))/AR119</f>
        <v>90.13</v>
      </c>
    </row>
    <row r="120" spans="1:47" hidden="1" x14ac:dyDescent="0.25">
      <c r="A120" t="s">
        <v>46</v>
      </c>
      <c r="B120" t="s">
        <v>486</v>
      </c>
      <c r="C120" t="s">
        <v>487</v>
      </c>
      <c r="D120" t="s">
        <v>488</v>
      </c>
      <c r="E120" s="11">
        <v>0</v>
      </c>
      <c r="F120" s="11">
        <v>0</v>
      </c>
      <c r="G120" s="11">
        <v>0</v>
      </c>
      <c r="H120" s="11">
        <v>0</v>
      </c>
      <c r="I120" s="13">
        <f t="shared" si="12"/>
        <v>0</v>
      </c>
      <c r="J120" s="11">
        <v>0</v>
      </c>
      <c r="K120" s="11">
        <v>0</v>
      </c>
      <c r="L120" s="11">
        <v>0</v>
      </c>
      <c r="M120" s="13">
        <v>0</v>
      </c>
      <c r="N120" s="11">
        <v>0</v>
      </c>
      <c r="O120" s="11">
        <v>0</v>
      </c>
      <c r="P120" s="11">
        <v>0</v>
      </c>
      <c r="Q120" s="11">
        <v>0</v>
      </c>
      <c r="R120" s="13">
        <f t="shared" si="10"/>
        <v>0</v>
      </c>
      <c r="S120">
        <v>0</v>
      </c>
      <c r="T120">
        <v>0</v>
      </c>
      <c r="U120" s="7">
        <f t="shared" si="13"/>
        <v>0</v>
      </c>
      <c r="V120">
        <v>6.25</v>
      </c>
      <c r="W120">
        <v>0</v>
      </c>
      <c r="X120">
        <v>56.625</v>
      </c>
      <c r="Y120">
        <v>23.987500000000004</v>
      </c>
      <c r="Z120" s="13">
        <f t="shared" si="14"/>
        <v>86.862500000000011</v>
      </c>
      <c r="AA120">
        <v>0</v>
      </c>
      <c r="AB120">
        <v>0</v>
      </c>
      <c r="AC120">
        <v>0</v>
      </c>
      <c r="AD120">
        <v>0</v>
      </c>
      <c r="AE120" s="7">
        <f t="shared" si="15"/>
        <v>0</v>
      </c>
      <c r="AF120">
        <v>0</v>
      </c>
      <c r="AG120">
        <v>0</v>
      </c>
      <c r="AH120">
        <v>0</v>
      </c>
      <c r="AI120" s="13">
        <f t="shared" si="11"/>
        <v>0</v>
      </c>
      <c r="AJ120" s="11" t="s">
        <v>51</v>
      </c>
      <c r="AK120" s="11" t="s">
        <v>51</v>
      </c>
      <c r="AL120" s="11" t="s">
        <v>51</v>
      </c>
      <c r="AM120" s="13">
        <f t="shared" si="16"/>
        <v>0</v>
      </c>
      <c r="AN120" s="18">
        <v>40</v>
      </c>
      <c r="AO120" s="18">
        <v>0</v>
      </c>
      <c r="AP120" s="18">
        <v>0</v>
      </c>
      <c r="AQ120" s="18">
        <v>0</v>
      </c>
      <c r="AR120" s="18">
        <f t="shared" si="17"/>
        <v>40</v>
      </c>
      <c r="AS120" t="s">
        <v>52</v>
      </c>
      <c r="AT120" s="9" t="s">
        <v>489</v>
      </c>
      <c r="AU120" s="30">
        <f>+((Z120*AN120)/AR120)</f>
        <v>86.862500000000011</v>
      </c>
    </row>
    <row r="121" spans="1:47" hidden="1" x14ac:dyDescent="0.25">
      <c r="A121" t="s">
        <v>46</v>
      </c>
      <c r="B121" t="s">
        <v>490</v>
      </c>
      <c r="C121" t="s">
        <v>491</v>
      </c>
      <c r="D121" t="s">
        <v>492</v>
      </c>
      <c r="E121" s="11">
        <v>0</v>
      </c>
      <c r="F121" s="11">
        <v>0</v>
      </c>
      <c r="G121" s="11">
        <v>0</v>
      </c>
      <c r="H121" s="11">
        <v>0</v>
      </c>
      <c r="I121" s="13">
        <f t="shared" si="12"/>
        <v>0</v>
      </c>
      <c r="J121" s="11">
        <v>0</v>
      </c>
      <c r="K121" s="11">
        <v>0</v>
      </c>
      <c r="L121" s="11">
        <v>0</v>
      </c>
      <c r="M121" s="13">
        <v>0</v>
      </c>
      <c r="N121" s="11">
        <v>0</v>
      </c>
      <c r="O121" s="11">
        <v>0</v>
      </c>
      <c r="P121" s="11">
        <v>0</v>
      </c>
      <c r="Q121" s="11">
        <v>0</v>
      </c>
      <c r="R121" s="13">
        <f t="shared" si="10"/>
        <v>0</v>
      </c>
      <c r="S121">
        <v>0</v>
      </c>
      <c r="T121">
        <v>0</v>
      </c>
      <c r="U121" s="7">
        <f t="shared" si="13"/>
        <v>0</v>
      </c>
      <c r="V121">
        <v>5.625</v>
      </c>
      <c r="W121">
        <v>0</v>
      </c>
      <c r="X121">
        <v>53.6</v>
      </c>
      <c r="Y121">
        <v>25</v>
      </c>
      <c r="Z121" s="13">
        <f t="shared" si="14"/>
        <v>84.224999999999994</v>
      </c>
      <c r="AA121">
        <v>0</v>
      </c>
      <c r="AB121">
        <v>0</v>
      </c>
      <c r="AC121">
        <v>0</v>
      </c>
      <c r="AD121">
        <v>0</v>
      </c>
      <c r="AE121" s="7">
        <f t="shared" si="15"/>
        <v>0</v>
      </c>
      <c r="AF121">
        <v>0</v>
      </c>
      <c r="AG121">
        <v>0</v>
      </c>
      <c r="AH121">
        <v>0</v>
      </c>
      <c r="AI121" s="13">
        <f t="shared" si="11"/>
        <v>0</v>
      </c>
      <c r="AJ121" s="11" t="s">
        <v>51</v>
      </c>
      <c r="AK121" s="11" t="s">
        <v>51</v>
      </c>
      <c r="AL121" s="11" t="s">
        <v>51</v>
      </c>
      <c r="AM121" s="13">
        <f t="shared" si="16"/>
        <v>0</v>
      </c>
      <c r="AN121" s="18">
        <v>36.25</v>
      </c>
      <c r="AO121" s="18">
        <v>0</v>
      </c>
      <c r="AP121" s="18">
        <v>0</v>
      </c>
      <c r="AQ121" s="18">
        <v>0</v>
      </c>
      <c r="AR121" s="18">
        <f t="shared" si="17"/>
        <v>36.25</v>
      </c>
      <c r="AS121" t="s">
        <v>52</v>
      </c>
      <c r="AT121" s="9" t="s">
        <v>493</v>
      </c>
      <c r="AU121" s="30">
        <f>+((Z121*AN121)/AR121)</f>
        <v>84.224999999999994</v>
      </c>
    </row>
    <row r="122" spans="1:47" hidden="1" x14ac:dyDescent="0.25">
      <c r="A122" t="s">
        <v>46</v>
      </c>
      <c r="B122" t="s">
        <v>494</v>
      </c>
      <c r="C122" t="s">
        <v>495</v>
      </c>
      <c r="D122" t="s">
        <v>496</v>
      </c>
      <c r="E122" s="11">
        <v>19.670000000000002</v>
      </c>
      <c r="F122" s="11">
        <v>19.670000000000002</v>
      </c>
      <c r="G122" s="11">
        <v>46.72</v>
      </c>
      <c r="H122" s="11">
        <v>5.5</v>
      </c>
      <c r="I122" s="13">
        <f t="shared" si="12"/>
        <v>91.56</v>
      </c>
      <c r="J122" s="11">
        <v>0</v>
      </c>
      <c r="K122" s="11">
        <v>0</v>
      </c>
      <c r="L122" s="11">
        <v>0</v>
      </c>
      <c r="M122" s="13">
        <v>0</v>
      </c>
      <c r="N122" s="11">
        <v>0</v>
      </c>
      <c r="O122" s="11">
        <v>0</v>
      </c>
      <c r="P122" s="11">
        <v>0</v>
      </c>
      <c r="Q122" s="11">
        <v>0</v>
      </c>
      <c r="R122" s="13">
        <f t="shared" si="10"/>
        <v>0</v>
      </c>
      <c r="S122">
        <v>0</v>
      </c>
      <c r="T122">
        <v>0</v>
      </c>
      <c r="U122" s="7">
        <f t="shared" si="13"/>
        <v>0</v>
      </c>
      <c r="V122">
        <v>0</v>
      </c>
      <c r="W122">
        <v>0</v>
      </c>
      <c r="X122">
        <v>0</v>
      </c>
      <c r="Y122">
        <v>0</v>
      </c>
      <c r="Z122" s="13">
        <f t="shared" si="14"/>
        <v>0</v>
      </c>
      <c r="AA122">
        <v>0</v>
      </c>
      <c r="AB122">
        <v>0</v>
      </c>
      <c r="AC122">
        <v>0</v>
      </c>
      <c r="AD122">
        <v>0</v>
      </c>
      <c r="AE122" s="7">
        <f t="shared" si="15"/>
        <v>0</v>
      </c>
      <c r="AF122">
        <v>0</v>
      </c>
      <c r="AG122">
        <v>0</v>
      </c>
      <c r="AH122">
        <v>0</v>
      </c>
      <c r="AI122" s="13">
        <f t="shared" si="11"/>
        <v>0</v>
      </c>
      <c r="AJ122" s="11" t="s">
        <v>51</v>
      </c>
      <c r="AK122" s="11" t="s">
        <v>51</v>
      </c>
      <c r="AL122" s="11" t="s">
        <v>51</v>
      </c>
      <c r="AM122" s="13">
        <f t="shared" si="16"/>
        <v>0</v>
      </c>
      <c r="AN122" s="18">
        <v>40</v>
      </c>
      <c r="AO122" s="18">
        <v>0</v>
      </c>
      <c r="AP122" s="18">
        <v>0</v>
      </c>
      <c r="AQ122" s="18">
        <v>0</v>
      </c>
      <c r="AR122" s="18">
        <f t="shared" si="17"/>
        <v>40</v>
      </c>
      <c r="AS122" t="s">
        <v>52</v>
      </c>
      <c r="AT122" s="9" t="s">
        <v>497</v>
      </c>
      <c r="AU122" s="30">
        <f>+((AN122*I122)+(AO122*AE122)+(AQ122*AI122)+(AP122*AM122))/AR122</f>
        <v>91.56</v>
      </c>
    </row>
    <row r="123" spans="1:47" hidden="1" x14ac:dyDescent="0.25">
      <c r="A123" t="s">
        <v>46</v>
      </c>
      <c r="B123" s="32" t="s">
        <v>498</v>
      </c>
      <c r="C123" s="32" t="s">
        <v>499</v>
      </c>
      <c r="D123" s="32" t="s">
        <v>500</v>
      </c>
      <c r="E123" s="11">
        <v>0</v>
      </c>
      <c r="F123" s="11">
        <v>0</v>
      </c>
      <c r="G123" s="11">
        <v>0</v>
      </c>
      <c r="H123" s="11">
        <v>0</v>
      </c>
      <c r="I123" s="13">
        <f t="shared" si="12"/>
        <v>0</v>
      </c>
      <c r="J123" s="11">
        <v>0</v>
      </c>
      <c r="K123" s="11">
        <v>0</v>
      </c>
      <c r="L123" s="11">
        <v>0</v>
      </c>
      <c r="M123" s="13">
        <v>0</v>
      </c>
      <c r="N123" s="11">
        <v>57.975000000000001</v>
      </c>
      <c r="O123" s="11">
        <v>3.75</v>
      </c>
      <c r="P123" s="11">
        <v>0</v>
      </c>
      <c r="Q123" s="11">
        <v>25</v>
      </c>
      <c r="R123" s="13">
        <f t="shared" si="10"/>
        <v>86.724999999999994</v>
      </c>
      <c r="S123">
        <v>0</v>
      </c>
      <c r="T123">
        <v>0</v>
      </c>
      <c r="U123" s="7">
        <f t="shared" si="13"/>
        <v>0</v>
      </c>
      <c r="V123">
        <v>0</v>
      </c>
      <c r="W123">
        <v>0</v>
      </c>
      <c r="X123">
        <v>0</v>
      </c>
      <c r="Y123">
        <v>0</v>
      </c>
      <c r="Z123" s="13">
        <f t="shared" si="14"/>
        <v>0</v>
      </c>
      <c r="AA123">
        <v>0</v>
      </c>
      <c r="AB123">
        <v>0</v>
      </c>
      <c r="AC123">
        <v>0</v>
      </c>
      <c r="AD123">
        <v>0</v>
      </c>
      <c r="AE123" s="7">
        <f t="shared" si="15"/>
        <v>0</v>
      </c>
      <c r="AF123">
        <v>0</v>
      </c>
      <c r="AG123">
        <v>0</v>
      </c>
      <c r="AH123">
        <v>0</v>
      </c>
      <c r="AI123" s="13">
        <f t="shared" si="11"/>
        <v>0</v>
      </c>
      <c r="AJ123" s="11" t="s">
        <v>51</v>
      </c>
      <c r="AK123" s="11" t="s">
        <v>51</v>
      </c>
      <c r="AL123" s="11" t="s">
        <v>51</v>
      </c>
      <c r="AM123" s="13">
        <f t="shared" si="16"/>
        <v>0</v>
      </c>
      <c r="AN123" s="18">
        <v>10</v>
      </c>
      <c r="AO123" s="18">
        <v>0</v>
      </c>
      <c r="AP123" s="18">
        <v>0</v>
      </c>
      <c r="AQ123" s="18">
        <v>0</v>
      </c>
      <c r="AR123" s="18">
        <f t="shared" si="17"/>
        <v>10</v>
      </c>
      <c r="AS123" t="s">
        <v>117</v>
      </c>
      <c r="AT123" s="9" t="s">
        <v>501</v>
      </c>
      <c r="AU123" s="11">
        <f>+((AN123*R123)+(AQ123*AI123)+(AP123*AM123))/AR123</f>
        <v>86.724999999999994</v>
      </c>
    </row>
    <row r="124" spans="1:47" hidden="1" x14ac:dyDescent="0.25">
      <c r="A124" t="s">
        <v>46</v>
      </c>
      <c r="B124" t="s">
        <v>502</v>
      </c>
      <c r="C124" t="s">
        <v>503</v>
      </c>
      <c r="D124" t="s">
        <v>504</v>
      </c>
      <c r="E124" s="11">
        <v>0</v>
      </c>
      <c r="F124" s="11">
        <v>0</v>
      </c>
      <c r="G124" s="11">
        <v>67.283333333333346</v>
      </c>
      <c r="H124" s="11">
        <v>4.1666666666666661</v>
      </c>
      <c r="I124" s="13">
        <f t="shared" si="12"/>
        <v>71.450000000000017</v>
      </c>
      <c r="J124" s="11">
        <v>0</v>
      </c>
      <c r="K124" s="11">
        <v>0</v>
      </c>
      <c r="L124" s="11">
        <v>0</v>
      </c>
      <c r="M124" s="13">
        <v>0</v>
      </c>
      <c r="N124" s="11">
        <v>0</v>
      </c>
      <c r="O124" s="11">
        <v>0</v>
      </c>
      <c r="P124" s="11">
        <v>0</v>
      </c>
      <c r="Q124" s="11">
        <v>0</v>
      </c>
      <c r="R124" s="13">
        <f t="shared" si="10"/>
        <v>0</v>
      </c>
      <c r="S124">
        <v>0</v>
      </c>
      <c r="T124">
        <v>0</v>
      </c>
      <c r="U124" s="7">
        <f t="shared" si="13"/>
        <v>0</v>
      </c>
      <c r="V124">
        <v>0</v>
      </c>
      <c r="W124">
        <v>0</v>
      </c>
      <c r="X124">
        <v>0</v>
      </c>
      <c r="Y124">
        <v>0</v>
      </c>
      <c r="Z124" s="13">
        <f t="shared" si="14"/>
        <v>0</v>
      </c>
      <c r="AA124">
        <v>0</v>
      </c>
      <c r="AB124">
        <v>0</v>
      </c>
      <c r="AC124">
        <v>0</v>
      </c>
      <c r="AD124">
        <v>0</v>
      </c>
      <c r="AE124" s="7">
        <f t="shared" si="15"/>
        <v>0</v>
      </c>
      <c r="AF124">
        <v>0</v>
      </c>
      <c r="AG124">
        <v>0</v>
      </c>
      <c r="AH124">
        <v>0</v>
      </c>
      <c r="AI124" s="13">
        <f t="shared" si="11"/>
        <v>0</v>
      </c>
      <c r="AJ124" s="11" t="s">
        <v>51</v>
      </c>
      <c r="AK124" s="11" t="s">
        <v>51</v>
      </c>
      <c r="AL124" s="11" t="s">
        <v>51</v>
      </c>
      <c r="AM124" s="13">
        <f t="shared" si="16"/>
        <v>0</v>
      </c>
      <c r="AN124" s="18">
        <v>6</v>
      </c>
      <c r="AO124" s="18">
        <v>0</v>
      </c>
      <c r="AP124" s="18">
        <v>0</v>
      </c>
      <c r="AQ124" s="18">
        <v>0</v>
      </c>
      <c r="AR124" s="18">
        <f t="shared" si="17"/>
        <v>6</v>
      </c>
      <c r="AS124" t="s">
        <v>52</v>
      </c>
      <c r="AT124" s="9" t="s">
        <v>505</v>
      </c>
      <c r="AU124" s="30">
        <f>+((AN124*I124)+(AO124*AE124)+(AQ124*AI124)+(AP124*AM124))/AR124</f>
        <v>71.450000000000017</v>
      </c>
    </row>
    <row r="125" spans="1:47" hidden="1" x14ac:dyDescent="0.25">
      <c r="A125" t="s">
        <v>46</v>
      </c>
      <c r="B125" t="s">
        <v>506</v>
      </c>
      <c r="C125" t="s">
        <v>507</v>
      </c>
      <c r="D125" t="s">
        <v>508</v>
      </c>
      <c r="E125" s="11">
        <v>0</v>
      </c>
      <c r="F125" s="11">
        <v>0</v>
      </c>
      <c r="G125" s="11">
        <v>0</v>
      </c>
      <c r="H125" s="11">
        <v>0</v>
      </c>
      <c r="I125" s="13">
        <f t="shared" si="12"/>
        <v>0</v>
      </c>
      <c r="J125" s="11">
        <v>55.42</v>
      </c>
      <c r="K125" s="11">
        <v>28</v>
      </c>
      <c r="L125" s="11">
        <v>3.5</v>
      </c>
      <c r="M125" s="13">
        <v>86.92</v>
      </c>
      <c r="N125" s="11">
        <v>0</v>
      </c>
      <c r="O125" s="11">
        <v>0</v>
      </c>
      <c r="P125" s="11">
        <v>0</v>
      </c>
      <c r="Q125" s="11">
        <v>0</v>
      </c>
      <c r="R125" s="13">
        <f t="shared" si="10"/>
        <v>0</v>
      </c>
      <c r="S125">
        <v>0</v>
      </c>
      <c r="T125">
        <v>0</v>
      </c>
      <c r="U125" s="7">
        <f t="shared" si="13"/>
        <v>0</v>
      </c>
      <c r="V125">
        <v>0</v>
      </c>
      <c r="W125">
        <v>0</v>
      </c>
      <c r="X125">
        <v>0</v>
      </c>
      <c r="Y125">
        <v>0</v>
      </c>
      <c r="Z125" s="13">
        <f t="shared" si="14"/>
        <v>0</v>
      </c>
      <c r="AA125">
        <v>0</v>
      </c>
      <c r="AB125">
        <v>0</v>
      </c>
      <c r="AC125">
        <v>0</v>
      </c>
      <c r="AD125">
        <v>0</v>
      </c>
      <c r="AE125" s="7">
        <f t="shared" si="15"/>
        <v>0</v>
      </c>
      <c r="AF125">
        <v>0</v>
      </c>
      <c r="AG125">
        <v>0</v>
      </c>
      <c r="AH125">
        <v>0</v>
      </c>
      <c r="AI125" s="13">
        <f t="shared" si="11"/>
        <v>0</v>
      </c>
      <c r="AJ125" s="11" t="s">
        <v>51</v>
      </c>
      <c r="AK125" s="11" t="s">
        <v>51</v>
      </c>
      <c r="AL125" s="11" t="s">
        <v>51</v>
      </c>
      <c r="AM125" s="13">
        <f t="shared" si="16"/>
        <v>0</v>
      </c>
      <c r="AN125" s="18">
        <v>2.25</v>
      </c>
      <c r="AO125" s="18">
        <v>0</v>
      </c>
      <c r="AP125" s="18">
        <v>0</v>
      </c>
      <c r="AQ125" s="18">
        <v>0</v>
      </c>
      <c r="AR125" s="18">
        <f t="shared" si="17"/>
        <v>2.25</v>
      </c>
      <c r="AS125" t="s">
        <v>87</v>
      </c>
      <c r="AT125" s="9" t="s">
        <v>509</v>
      </c>
      <c r="AU125" s="30">
        <f>+((AN125*M125)/AR125)</f>
        <v>86.92</v>
      </c>
    </row>
    <row r="126" spans="1:47" hidden="1" x14ac:dyDescent="0.25">
      <c r="A126" t="s">
        <v>46</v>
      </c>
      <c r="B126" t="s">
        <v>510</v>
      </c>
      <c r="C126" t="s">
        <v>511</v>
      </c>
      <c r="D126" t="s">
        <v>512</v>
      </c>
      <c r="E126" s="11">
        <v>0</v>
      </c>
      <c r="F126" s="11">
        <v>0</v>
      </c>
      <c r="G126" s="11">
        <v>0</v>
      </c>
      <c r="H126" s="11">
        <v>0</v>
      </c>
      <c r="I126" s="13">
        <f t="shared" si="12"/>
        <v>0</v>
      </c>
      <c r="J126" s="11">
        <v>0</v>
      </c>
      <c r="K126" s="11">
        <v>0</v>
      </c>
      <c r="L126" s="11">
        <v>0</v>
      </c>
      <c r="M126" s="13">
        <v>0</v>
      </c>
      <c r="N126" s="11">
        <v>0</v>
      </c>
      <c r="O126" s="11">
        <v>0</v>
      </c>
      <c r="P126" s="11">
        <v>0</v>
      </c>
      <c r="Q126" s="11">
        <v>0</v>
      </c>
      <c r="R126" s="13">
        <f t="shared" si="10"/>
        <v>0</v>
      </c>
      <c r="S126">
        <v>0</v>
      </c>
      <c r="T126">
        <v>0</v>
      </c>
      <c r="U126" s="7">
        <f t="shared" si="13"/>
        <v>0</v>
      </c>
      <c r="V126">
        <v>5.5</v>
      </c>
      <c r="W126">
        <v>20</v>
      </c>
      <c r="X126">
        <v>45.23</v>
      </c>
      <c r="Y126">
        <v>20</v>
      </c>
      <c r="Z126" s="13">
        <f t="shared" si="14"/>
        <v>90.72999999999999</v>
      </c>
      <c r="AA126">
        <v>0</v>
      </c>
      <c r="AB126">
        <v>0</v>
      </c>
      <c r="AC126">
        <v>0</v>
      </c>
      <c r="AD126">
        <v>0</v>
      </c>
      <c r="AE126" s="7">
        <f t="shared" si="15"/>
        <v>0</v>
      </c>
      <c r="AF126">
        <v>0</v>
      </c>
      <c r="AG126">
        <v>0</v>
      </c>
      <c r="AH126">
        <v>0</v>
      </c>
      <c r="AI126" s="13">
        <f t="shared" si="11"/>
        <v>0</v>
      </c>
      <c r="AJ126" s="11" t="s">
        <v>51</v>
      </c>
      <c r="AK126" s="11" t="s">
        <v>51</v>
      </c>
      <c r="AL126" s="11" t="s">
        <v>51</v>
      </c>
      <c r="AM126" s="13">
        <f t="shared" si="16"/>
        <v>0</v>
      </c>
      <c r="AN126" s="18">
        <v>40</v>
      </c>
      <c r="AO126" s="18">
        <v>0</v>
      </c>
      <c r="AP126" s="18">
        <v>0</v>
      </c>
      <c r="AQ126" s="18">
        <v>0</v>
      </c>
      <c r="AR126" s="18">
        <f t="shared" si="17"/>
        <v>40</v>
      </c>
      <c r="AS126" t="s">
        <v>52</v>
      </c>
      <c r="AT126" s="9" t="s">
        <v>513</v>
      </c>
      <c r="AU126" s="30">
        <f>+((Z126*AN126)/AR126)</f>
        <v>90.72999999999999</v>
      </c>
    </row>
    <row r="127" spans="1:47" hidden="1" x14ac:dyDescent="0.25">
      <c r="A127" t="s">
        <v>46</v>
      </c>
      <c r="B127" t="s">
        <v>514</v>
      </c>
      <c r="C127" t="s">
        <v>515</v>
      </c>
      <c r="D127" t="s">
        <v>516</v>
      </c>
      <c r="E127" s="11">
        <v>19.329999999999998</v>
      </c>
      <c r="F127" s="11">
        <v>13.330000000000002</v>
      </c>
      <c r="G127" s="11">
        <v>28.68</v>
      </c>
      <c r="H127" s="11">
        <v>3</v>
      </c>
      <c r="I127" s="13">
        <f t="shared" si="12"/>
        <v>64.34</v>
      </c>
      <c r="J127" s="11">
        <v>0</v>
      </c>
      <c r="K127" s="11">
        <v>0</v>
      </c>
      <c r="L127" s="11">
        <v>0</v>
      </c>
      <c r="M127" s="13">
        <v>0</v>
      </c>
      <c r="N127" s="11">
        <v>0</v>
      </c>
      <c r="O127" s="11">
        <v>0</v>
      </c>
      <c r="P127" s="11">
        <v>0</v>
      </c>
      <c r="Q127" s="11">
        <v>0</v>
      </c>
      <c r="R127" s="13">
        <f t="shared" si="10"/>
        <v>0</v>
      </c>
      <c r="S127">
        <v>0</v>
      </c>
      <c r="T127">
        <v>0</v>
      </c>
      <c r="U127" s="7">
        <f t="shared" si="13"/>
        <v>0</v>
      </c>
      <c r="V127">
        <v>0</v>
      </c>
      <c r="W127">
        <v>0</v>
      </c>
      <c r="X127">
        <v>0</v>
      </c>
      <c r="Y127">
        <v>0</v>
      </c>
      <c r="Z127" s="13">
        <f t="shared" si="14"/>
        <v>0</v>
      </c>
      <c r="AA127">
        <v>0</v>
      </c>
      <c r="AB127">
        <v>0</v>
      </c>
      <c r="AC127">
        <v>0</v>
      </c>
      <c r="AD127">
        <v>0</v>
      </c>
      <c r="AE127" s="7">
        <f t="shared" si="15"/>
        <v>0</v>
      </c>
      <c r="AF127">
        <v>0</v>
      </c>
      <c r="AG127">
        <v>0</v>
      </c>
      <c r="AH127">
        <v>0</v>
      </c>
      <c r="AI127" s="13">
        <f t="shared" si="11"/>
        <v>0</v>
      </c>
      <c r="AJ127" s="11" t="s">
        <v>51</v>
      </c>
      <c r="AK127" s="11" t="s">
        <v>51</v>
      </c>
      <c r="AL127" s="11" t="s">
        <v>51</v>
      </c>
      <c r="AM127" s="13">
        <f t="shared" si="16"/>
        <v>0</v>
      </c>
      <c r="AN127" s="18">
        <v>40</v>
      </c>
      <c r="AO127" s="18">
        <v>0</v>
      </c>
      <c r="AP127" s="18">
        <v>0</v>
      </c>
      <c r="AQ127" s="18">
        <v>0</v>
      </c>
      <c r="AR127" s="18">
        <f t="shared" si="17"/>
        <v>40</v>
      </c>
      <c r="AS127" t="s">
        <v>52</v>
      </c>
      <c r="AT127" s="9" t="s">
        <v>517</v>
      </c>
      <c r="AU127" s="30">
        <f>+((AN127*I127)+(AO127*AE127)+(AQ127*AI127)+(AP127*AM127))/AR127</f>
        <v>64.34</v>
      </c>
    </row>
    <row r="128" spans="1:47" hidden="1" x14ac:dyDescent="0.25">
      <c r="A128" t="s">
        <v>46</v>
      </c>
      <c r="B128" t="s">
        <v>518</v>
      </c>
      <c r="C128" t="s">
        <v>519</v>
      </c>
      <c r="D128" t="s">
        <v>520</v>
      </c>
      <c r="E128" s="11">
        <v>20</v>
      </c>
      <c r="F128" s="11">
        <v>20</v>
      </c>
      <c r="G128" s="11">
        <v>41.73</v>
      </c>
      <c r="H128" s="11">
        <v>7</v>
      </c>
      <c r="I128" s="13">
        <f t="shared" si="12"/>
        <v>88.72999999999999</v>
      </c>
      <c r="J128" s="11">
        <v>0</v>
      </c>
      <c r="K128" s="11">
        <v>0</v>
      </c>
      <c r="L128" s="11">
        <v>0</v>
      </c>
      <c r="M128" s="13">
        <v>0</v>
      </c>
      <c r="N128" s="11">
        <v>0</v>
      </c>
      <c r="O128" s="11">
        <v>0</v>
      </c>
      <c r="P128" s="11">
        <v>0</v>
      </c>
      <c r="Q128" s="11">
        <v>0</v>
      </c>
      <c r="R128" s="13">
        <f t="shared" si="10"/>
        <v>0</v>
      </c>
      <c r="S128">
        <v>0</v>
      </c>
      <c r="T128">
        <v>0</v>
      </c>
      <c r="U128" s="7">
        <f t="shared" si="13"/>
        <v>0</v>
      </c>
      <c r="V128">
        <v>0</v>
      </c>
      <c r="W128">
        <v>0</v>
      </c>
      <c r="X128">
        <v>0</v>
      </c>
      <c r="Y128">
        <v>0</v>
      </c>
      <c r="Z128" s="13">
        <f t="shared" si="14"/>
        <v>0</v>
      </c>
      <c r="AA128">
        <v>0</v>
      </c>
      <c r="AB128">
        <v>0</v>
      </c>
      <c r="AC128">
        <v>0</v>
      </c>
      <c r="AD128">
        <v>0</v>
      </c>
      <c r="AE128" s="7">
        <f t="shared" si="15"/>
        <v>0</v>
      </c>
      <c r="AF128">
        <v>0</v>
      </c>
      <c r="AG128">
        <v>0</v>
      </c>
      <c r="AH128">
        <v>0</v>
      </c>
      <c r="AI128" s="13">
        <f t="shared" si="11"/>
        <v>0</v>
      </c>
      <c r="AJ128" s="11" t="s">
        <v>51</v>
      </c>
      <c r="AK128" s="11" t="s">
        <v>51</v>
      </c>
      <c r="AL128" s="11" t="s">
        <v>51</v>
      </c>
      <c r="AM128" s="13">
        <f t="shared" si="16"/>
        <v>0</v>
      </c>
      <c r="AN128" s="18">
        <v>40</v>
      </c>
      <c r="AO128" s="18">
        <v>0</v>
      </c>
      <c r="AP128" s="18">
        <v>0</v>
      </c>
      <c r="AQ128" s="18">
        <v>0</v>
      </c>
      <c r="AR128" s="18">
        <f t="shared" si="17"/>
        <v>40</v>
      </c>
      <c r="AS128" t="s">
        <v>52</v>
      </c>
      <c r="AT128" s="9" t="s">
        <v>521</v>
      </c>
      <c r="AU128" s="30">
        <f>+((AN128*I128)+(AO128*AE128)+(AQ128*AI128)+(AP128*AM128))/AR128</f>
        <v>88.72999999999999</v>
      </c>
    </row>
    <row r="129" spans="1:47" hidden="1" x14ac:dyDescent="0.25">
      <c r="A129" t="s">
        <v>46</v>
      </c>
      <c r="B129" s="32" t="s">
        <v>522</v>
      </c>
      <c r="C129" s="32" t="s">
        <v>523</v>
      </c>
      <c r="D129" s="32" t="s">
        <v>524</v>
      </c>
      <c r="E129" s="11">
        <v>0</v>
      </c>
      <c r="F129" s="11">
        <v>0</v>
      </c>
      <c r="G129" s="11">
        <v>0</v>
      </c>
      <c r="H129" s="11">
        <v>0</v>
      </c>
      <c r="I129" s="13">
        <f t="shared" si="12"/>
        <v>0</v>
      </c>
      <c r="J129" s="11">
        <v>0</v>
      </c>
      <c r="K129" s="11">
        <v>0</v>
      </c>
      <c r="L129" s="11">
        <v>0</v>
      </c>
      <c r="M129" s="13">
        <v>0</v>
      </c>
      <c r="N129" s="11">
        <v>82.45</v>
      </c>
      <c r="O129" s="11">
        <v>4.1666666666666661</v>
      </c>
      <c r="P129" s="11">
        <v>0</v>
      </c>
      <c r="Q129" s="11">
        <v>0</v>
      </c>
      <c r="R129" s="13">
        <f t="shared" si="10"/>
        <v>86.616666666666674</v>
      </c>
      <c r="S129">
        <v>0</v>
      </c>
      <c r="T129">
        <v>0</v>
      </c>
      <c r="U129" s="7">
        <f t="shared" si="13"/>
        <v>0</v>
      </c>
      <c r="V129">
        <v>0</v>
      </c>
      <c r="W129">
        <v>0</v>
      </c>
      <c r="X129">
        <v>0</v>
      </c>
      <c r="Y129">
        <v>0</v>
      </c>
      <c r="Z129" s="13">
        <f t="shared" si="14"/>
        <v>0</v>
      </c>
      <c r="AA129">
        <v>0</v>
      </c>
      <c r="AB129">
        <v>0</v>
      </c>
      <c r="AC129">
        <v>0</v>
      </c>
      <c r="AD129">
        <v>0</v>
      </c>
      <c r="AE129" s="7">
        <f t="shared" si="15"/>
        <v>0</v>
      </c>
      <c r="AF129">
        <v>0</v>
      </c>
      <c r="AG129">
        <v>0</v>
      </c>
      <c r="AH129">
        <v>0</v>
      </c>
      <c r="AI129" s="13">
        <f t="shared" si="11"/>
        <v>0</v>
      </c>
      <c r="AJ129" s="11" t="s">
        <v>51</v>
      </c>
      <c r="AK129" s="11" t="s">
        <v>51</v>
      </c>
      <c r="AL129" s="11" t="s">
        <v>51</v>
      </c>
      <c r="AM129" s="13">
        <f t="shared" si="16"/>
        <v>0</v>
      </c>
      <c r="AN129" s="18">
        <v>7</v>
      </c>
      <c r="AO129" s="18">
        <v>0</v>
      </c>
      <c r="AP129" s="18">
        <v>0</v>
      </c>
      <c r="AQ129" s="18">
        <v>0</v>
      </c>
      <c r="AR129" s="18">
        <f t="shared" si="17"/>
        <v>7</v>
      </c>
      <c r="AS129" t="s">
        <v>117</v>
      </c>
      <c r="AT129" s="9" t="s">
        <v>525</v>
      </c>
      <c r="AU129" s="11">
        <f>+((AN129*R129)+(AQ129*AI129)+(AP129*AM129))/AR129</f>
        <v>86.616666666666674</v>
      </c>
    </row>
    <row r="130" spans="1:47" hidden="1" x14ac:dyDescent="0.25">
      <c r="A130" t="s">
        <v>46</v>
      </c>
      <c r="B130" t="s">
        <v>526</v>
      </c>
      <c r="C130" t="s">
        <v>527</v>
      </c>
      <c r="D130" t="s">
        <v>528</v>
      </c>
      <c r="E130" s="11">
        <v>25</v>
      </c>
      <c r="F130" s="11">
        <v>0</v>
      </c>
      <c r="G130" s="11">
        <v>60.45</v>
      </c>
      <c r="H130" s="11">
        <v>4.375</v>
      </c>
      <c r="I130" s="13">
        <f t="shared" si="12"/>
        <v>89.825000000000003</v>
      </c>
      <c r="J130" s="11">
        <v>0</v>
      </c>
      <c r="K130" s="11">
        <v>0</v>
      </c>
      <c r="L130" s="11">
        <v>0</v>
      </c>
      <c r="M130" s="13">
        <v>0</v>
      </c>
      <c r="N130" s="11">
        <v>0</v>
      </c>
      <c r="O130" s="11">
        <v>0</v>
      </c>
      <c r="P130" s="11">
        <v>0</v>
      </c>
      <c r="Q130" s="11">
        <v>0</v>
      </c>
      <c r="R130" s="13">
        <f t="shared" si="10"/>
        <v>0</v>
      </c>
      <c r="S130">
        <v>0</v>
      </c>
      <c r="T130">
        <v>0</v>
      </c>
      <c r="U130" s="7">
        <f t="shared" si="13"/>
        <v>0</v>
      </c>
      <c r="V130">
        <v>0</v>
      </c>
      <c r="W130">
        <v>0</v>
      </c>
      <c r="X130">
        <v>0</v>
      </c>
      <c r="Y130">
        <v>0</v>
      </c>
      <c r="Z130" s="13">
        <f t="shared" si="14"/>
        <v>0</v>
      </c>
      <c r="AA130">
        <v>0</v>
      </c>
      <c r="AB130">
        <v>0</v>
      </c>
      <c r="AC130">
        <v>0</v>
      </c>
      <c r="AD130">
        <v>0</v>
      </c>
      <c r="AE130" s="7">
        <f t="shared" si="15"/>
        <v>0</v>
      </c>
      <c r="AF130">
        <v>0</v>
      </c>
      <c r="AG130">
        <v>0</v>
      </c>
      <c r="AH130">
        <v>0</v>
      </c>
      <c r="AI130" s="13">
        <f t="shared" si="11"/>
        <v>0</v>
      </c>
      <c r="AJ130" s="11" t="s">
        <v>51</v>
      </c>
      <c r="AK130" s="11" t="s">
        <v>51</v>
      </c>
      <c r="AL130" s="11" t="s">
        <v>51</v>
      </c>
      <c r="AM130" s="13">
        <f t="shared" si="16"/>
        <v>0</v>
      </c>
      <c r="AN130" s="18">
        <v>20</v>
      </c>
      <c r="AO130" s="18">
        <v>0</v>
      </c>
      <c r="AP130" s="18">
        <v>0</v>
      </c>
      <c r="AQ130" s="18">
        <v>0</v>
      </c>
      <c r="AR130" s="18">
        <f t="shared" si="17"/>
        <v>20</v>
      </c>
      <c r="AS130" t="s">
        <v>52</v>
      </c>
      <c r="AT130" s="9" t="s">
        <v>529</v>
      </c>
      <c r="AU130" s="30">
        <f>+((AN130*I130)+(AO130*AE130)+(AQ130*AI130)+(AP130*AM130))/AR130</f>
        <v>89.825000000000003</v>
      </c>
    </row>
    <row r="131" spans="1:47" hidden="1" x14ac:dyDescent="0.25">
      <c r="A131" t="s">
        <v>46</v>
      </c>
      <c r="B131" s="32" t="s">
        <v>530</v>
      </c>
      <c r="C131" s="32" t="s">
        <v>531</v>
      </c>
      <c r="D131" s="32" t="s">
        <v>532</v>
      </c>
      <c r="E131" s="11">
        <v>0</v>
      </c>
      <c r="F131" s="11">
        <v>0</v>
      </c>
      <c r="G131" s="11">
        <v>0</v>
      </c>
      <c r="H131" s="11">
        <v>0</v>
      </c>
      <c r="I131" s="13">
        <f t="shared" si="12"/>
        <v>0</v>
      </c>
      <c r="J131" s="11">
        <v>0</v>
      </c>
      <c r="K131" s="11">
        <v>0</v>
      </c>
      <c r="L131" s="11">
        <v>0</v>
      </c>
      <c r="M131" s="13">
        <v>0</v>
      </c>
      <c r="N131" s="11">
        <v>42.7</v>
      </c>
      <c r="O131" s="11">
        <v>2.5</v>
      </c>
      <c r="P131" s="11">
        <v>20</v>
      </c>
      <c r="Q131" s="11">
        <v>20</v>
      </c>
      <c r="R131" s="13">
        <f t="shared" si="10"/>
        <v>85.2</v>
      </c>
      <c r="S131">
        <v>0</v>
      </c>
      <c r="T131">
        <v>0</v>
      </c>
      <c r="U131" s="7">
        <f t="shared" si="13"/>
        <v>0</v>
      </c>
      <c r="V131">
        <v>0</v>
      </c>
      <c r="W131">
        <v>0</v>
      </c>
      <c r="X131">
        <v>0</v>
      </c>
      <c r="Y131">
        <v>0</v>
      </c>
      <c r="Z131" s="13">
        <f t="shared" si="14"/>
        <v>0</v>
      </c>
      <c r="AA131">
        <v>0</v>
      </c>
      <c r="AB131">
        <v>0</v>
      </c>
      <c r="AC131">
        <v>0</v>
      </c>
      <c r="AD131">
        <v>0</v>
      </c>
      <c r="AE131" s="7">
        <f t="shared" si="15"/>
        <v>0</v>
      </c>
      <c r="AF131">
        <v>0</v>
      </c>
      <c r="AG131">
        <v>0</v>
      </c>
      <c r="AH131">
        <v>0</v>
      </c>
      <c r="AI131" s="13">
        <f t="shared" si="11"/>
        <v>0</v>
      </c>
      <c r="AJ131" s="11" t="s">
        <v>51</v>
      </c>
      <c r="AK131" s="11" t="s">
        <v>51</v>
      </c>
      <c r="AL131" s="11" t="s">
        <v>51</v>
      </c>
      <c r="AM131" s="13">
        <f t="shared" si="16"/>
        <v>0</v>
      </c>
      <c r="AN131" s="18">
        <v>4</v>
      </c>
      <c r="AO131" s="18">
        <v>0</v>
      </c>
      <c r="AP131" s="18">
        <v>0</v>
      </c>
      <c r="AQ131" s="18">
        <v>0</v>
      </c>
      <c r="AR131" s="18">
        <f t="shared" si="17"/>
        <v>4</v>
      </c>
      <c r="AS131" t="s">
        <v>117</v>
      </c>
      <c r="AT131" s="9" t="s">
        <v>533</v>
      </c>
      <c r="AU131" s="11">
        <f>+((AN131*R131)+(AQ131*AI131)+(AP131*AM131))/AR131</f>
        <v>85.2</v>
      </c>
    </row>
    <row r="132" spans="1:47" hidden="1" x14ac:dyDescent="0.25">
      <c r="A132" t="s">
        <v>46</v>
      </c>
      <c r="B132" s="32" t="s">
        <v>534</v>
      </c>
      <c r="C132" s="32" t="s">
        <v>535</v>
      </c>
      <c r="D132" s="32" t="s">
        <v>536</v>
      </c>
      <c r="E132" s="11">
        <v>0</v>
      </c>
      <c r="F132" s="11">
        <v>0</v>
      </c>
      <c r="G132" s="11">
        <v>0</v>
      </c>
      <c r="H132" s="11">
        <v>0</v>
      </c>
      <c r="I132" s="13">
        <f t="shared" si="12"/>
        <v>0</v>
      </c>
      <c r="J132" s="11">
        <v>0</v>
      </c>
      <c r="K132" s="11">
        <v>0</v>
      </c>
      <c r="L132" s="11">
        <v>0</v>
      </c>
      <c r="M132" s="13">
        <v>0</v>
      </c>
      <c r="N132" s="11">
        <v>75.083333333333343</v>
      </c>
      <c r="O132" s="11">
        <v>5.8333333333333321</v>
      </c>
      <c r="P132" s="11">
        <v>0</v>
      </c>
      <c r="Q132" s="11">
        <v>0</v>
      </c>
      <c r="R132" s="13">
        <f t="shared" si="10"/>
        <v>80.916666666666671</v>
      </c>
      <c r="S132">
        <v>0</v>
      </c>
      <c r="T132">
        <v>0</v>
      </c>
      <c r="U132" s="7">
        <f t="shared" si="13"/>
        <v>0</v>
      </c>
      <c r="V132">
        <v>0</v>
      </c>
      <c r="W132">
        <v>0</v>
      </c>
      <c r="X132">
        <v>0</v>
      </c>
      <c r="Y132">
        <v>0</v>
      </c>
      <c r="Z132" s="13">
        <f t="shared" si="14"/>
        <v>0</v>
      </c>
      <c r="AA132">
        <v>0</v>
      </c>
      <c r="AB132">
        <v>0</v>
      </c>
      <c r="AC132">
        <v>0</v>
      </c>
      <c r="AD132">
        <v>0</v>
      </c>
      <c r="AE132" s="7">
        <f t="shared" si="15"/>
        <v>0</v>
      </c>
      <c r="AF132">
        <v>0</v>
      </c>
      <c r="AG132">
        <v>0</v>
      </c>
      <c r="AH132">
        <v>0</v>
      </c>
      <c r="AI132" s="13">
        <f t="shared" si="11"/>
        <v>0</v>
      </c>
      <c r="AJ132" s="11" t="s">
        <v>51</v>
      </c>
      <c r="AK132" s="11" t="s">
        <v>51</v>
      </c>
      <c r="AL132" s="11" t="s">
        <v>51</v>
      </c>
      <c r="AM132" s="13">
        <f t="shared" si="16"/>
        <v>0</v>
      </c>
      <c r="AN132" s="18">
        <v>6</v>
      </c>
      <c r="AO132" s="18">
        <v>0</v>
      </c>
      <c r="AP132" s="18">
        <v>0</v>
      </c>
      <c r="AQ132" s="18">
        <v>0</v>
      </c>
      <c r="AR132" s="18">
        <f t="shared" si="17"/>
        <v>6</v>
      </c>
      <c r="AS132" t="s">
        <v>117</v>
      </c>
      <c r="AT132" s="9" t="s">
        <v>537</v>
      </c>
      <c r="AU132" s="11">
        <f>+((AN132*R132)+(AQ132*AI132)+(AP132*AM132))/AR132</f>
        <v>80.916666666666671</v>
      </c>
    </row>
    <row r="133" spans="1:47" hidden="1" x14ac:dyDescent="0.25">
      <c r="A133" t="s">
        <v>46</v>
      </c>
      <c r="B133" t="s">
        <v>538</v>
      </c>
      <c r="C133" t="s">
        <v>539</v>
      </c>
      <c r="D133" t="s">
        <v>540</v>
      </c>
      <c r="E133" s="11">
        <v>20</v>
      </c>
      <c r="F133" s="11">
        <v>20</v>
      </c>
      <c r="G133" s="11">
        <v>43.34</v>
      </c>
      <c r="H133" s="11">
        <v>4.5</v>
      </c>
      <c r="I133" s="13">
        <f t="shared" si="12"/>
        <v>87.84</v>
      </c>
      <c r="J133" s="11">
        <v>0</v>
      </c>
      <c r="K133" s="11">
        <v>0</v>
      </c>
      <c r="L133" s="11">
        <v>0</v>
      </c>
      <c r="M133" s="13">
        <v>0</v>
      </c>
      <c r="N133" s="11">
        <v>0</v>
      </c>
      <c r="O133" s="11">
        <v>0</v>
      </c>
      <c r="P133" s="11">
        <v>0</v>
      </c>
      <c r="Q133" s="11">
        <v>0</v>
      </c>
      <c r="R133" s="13">
        <f t="shared" ref="R133:R196" si="20">+SUM(N133:Q133)</f>
        <v>0</v>
      </c>
      <c r="S133">
        <v>0</v>
      </c>
      <c r="T133">
        <v>0</v>
      </c>
      <c r="U133" s="7">
        <f t="shared" si="13"/>
        <v>0</v>
      </c>
      <c r="V133">
        <v>0</v>
      </c>
      <c r="W133">
        <v>0</v>
      </c>
      <c r="X133">
        <v>0</v>
      </c>
      <c r="Y133">
        <v>0</v>
      </c>
      <c r="Z133" s="13">
        <f t="shared" si="14"/>
        <v>0</v>
      </c>
      <c r="AA133">
        <v>0</v>
      </c>
      <c r="AB133">
        <v>0</v>
      </c>
      <c r="AC133">
        <v>0</v>
      </c>
      <c r="AD133">
        <v>0</v>
      </c>
      <c r="AE133" s="7">
        <f t="shared" si="15"/>
        <v>0</v>
      </c>
      <c r="AF133">
        <v>0</v>
      </c>
      <c r="AG133">
        <v>0</v>
      </c>
      <c r="AH133">
        <v>0</v>
      </c>
      <c r="AI133" s="13">
        <f t="shared" ref="AI133:AI196" si="21">+SUM(AF133:AH133)</f>
        <v>0</v>
      </c>
      <c r="AJ133" s="11" t="s">
        <v>51</v>
      </c>
      <c r="AK133" s="11" t="s">
        <v>51</v>
      </c>
      <c r="AL133" s="11" t="s">
        <v>51</v>
      </c>
      <c r="AM133" s="13">
        <f t="shared" si="16"/>
        <v>0</v>
      </c>
      <c r="AN133" s="18">
        <v>39.25</v>
      </c>
      <c r="AO133" s="18">
        <v>0</v>
      </c>
      <c r="AP133" s="18">
        <v>0</v>
      </c>
      <c r="AQ133" s="18">
        <v>0</v>
      </c>
      <c r="AR133" s="18">
        <f t="shared" si="17"/>
        <v>39.25</v>
      </c>
      <c r="AS133" t="s">
        <v>52</v>
      </c>
      <c r="AT133" s="9" t="s">
        <v>541</v>
      </c>
      <c r="AU133" s="30">
        <f>+((AN133*I133)+(AO133*AE133)+(AQ133*AI133)+(AP133*AM133))/AR133</f>
        <v>87.84</v>
      </c>
    </row>
    <row r="134" spans="1:47" hidden="1" x14ac:dyDescent="0.25">
      <c r="A134" t="s">
        <v>46</v>
      </c>
      <c r="B134" t="s">
        <v>542</v>
      </c>
      <c r="C134" t="s">
        <v>543</v>
      </c>
      <c r="D134" t="s">
        <v>544</v>
      </c>
      <c r="E134" s="11">
        <v>20</v>
      </c>
      <c r="F134" s="11">
        <v>17</v>
      </c>
      <c r="G134" s="11">
        <v>39.090000000000003</v>
      </c>
      <c r="H134" s="11">
        <v>7</v>
      </c>
      <c r="I134" s="13">
        <f t="shared" ref="I134:I197" si="22">+SUM(E134:H134)</f>
        <v>83.09</v>
      </c>
      <c r="J134" s="11">
        <v>0</v>
      </c>
      <c r="K134" s="11">
        <v>0</v>
      </c>
      <c r="L134" s="11">
        <v>0</v>
      </c>
      <c r="M134" s="13">
        <v>0</v>
      </c>
      <c r="N134" s="11">
        <v>0</v>
      </c>
      <c r="O134" s="11">
        <v>0</v>
      </c>
      <c r="P134" s="11">
        <v>0</v>
      </c>
      <c r="Q134" s="11">
        <v>0</v>
      </c>
      <c r="R134" s="13">
        <f t="shared" si="20"/>
        <v>0</v>
      </c>
      <c r="S134">
        <v>0</v>
      </c>
      <c r="T134">
        <v>0</v>
      </c>
      <c r="U134" s="7">
        <f t="shared" ref="U134:U197" si="23">+SUM(S134:T134)</f>
        <v>0</v>
      </c>
      <c r="V134">
        <v>0</v>
      </c>
      <c r="W134">
        <v>0</v>
      </c>
      <c r="X134">
        <v>0</v>
      </c>
      <c r="Y134">
        <v>0</v>
      </c>
      <c r="Z134" s="13">
        <f t="shared" ref="Z134:Z197" si="24">+SUM(V134:Y134)</f>
        <v>0</v>
      </c>
      <c r="AA134">
        <v>0</v>
      </c>
      <c r="AB134">
        <v>0</v>
      </c>
      <c r="AC134">
        <v>0</v>
      </c>
      <c r="AD134">
        <v>0</v>
      </c>
      <c r="AE134" s="7">
        <f t="shared" ref="AE134:AE197" si="25">+SUM(AA134:AD134)</f>
        <v>0</v>
      </c>
      <c r="AF134">
        <v>0</v>
      </c>
      <c r="AG134">
        <v>0</v>
      </c>
      <c r="AH134">
        <v>0</v>
      </c>
      <c r="AI134" s="13">
        <f t="shared" si="21"/>
        <v>0</v>
      </c>
      <c r="AJ134" s="11" t="s">
        <v>51</v>
      </c>
      <c r="AK134" s="11" t="s">
        <v>51</v>
      </c>
      <c r="AL134" s="11" t="s">
        <v>51</v>
      </c>
      <c r="AM134" s="13">
        <f t="shared" ref="AM134:AM197" si="26">+SUM(AJ134:AL134)</f>
        <v>0</v>
      </c>
      <c r="AN134" s="18">
        <v>20</v>
      </c>
      <c r="AO134" s="18">
        <v>0</v>
      </c>
      <c r="AP134" s="18">
        <v>0</v>
      </c>
      <c r="AQ134" s="18">
        <v>0</v>
      </c>
      <c r="AR134" s="18">
        <f t="shared" ref="AR134:AR197" si="27">+SUM(AN134:AQ134)</f>
        <v>20</v>
      </c>
      <c r="AS134" t="s">
        <v>52</v>
      </c>
      <c r="AT134" s="9" t="s">
        <v>545</v>
      </c>
      <c r="AU134" s="30">
        <f>+((AN134*I134)+(AO134*AE134)+(AQ134*AI134)+(AP134*AM134))/AR134</f>
        <v>83.09</v>
      </c>
    </row>
    <row r="135" spans="1:47" hidden="1" x14ac:dyDescent="0.25">
      <c r="A135" t="s">
        <v>46</v>
      </c>
      <c r="B135" t="s">
        <v>546</v>
      </c>
      <c r="C135" t="s">
        <v>547</v>
      </c>
      <c r="D135" t="s">
        <v>548</v>
      </c>
      <c r="E135" s="11">
        <v>25</v>
      </c>
      <c r="F135" s="11">
        <v>0</v>
      </c>
      <c r="G135" s="11">
        <v>51.537500000000001</v>
      </c>
      <c r="H135" s="11">
        <v>8.125</v>
      </c>
      <c r="I135" s="13">
        <f t="shared" si="22"/>
        <v>84.662499999999994</v>
      </c>
      <c r="J135" s="11">
        <v>0</v>
      </c>
      <c r="K135" s="11">
        <v>0</v>
      </c>
      <c r="L135" s="11">
        <v>0</v>
      </c>
      <c r="M135" s="13">
        <v>0</v>
      </c>
      <c r="N135" s="11">
        <v>51.900000000000006</v>
      </c>
      <c r="O135" s="11">
        <v>8.125</v>
      </c>
      <c r="P135" s="11">
        <v>0</v>
      </c>
      <c r="Q135" s="11">
        <v>25</v>
      </c>
      <c r="R135" s="13">
        <f t="shared" si="20"/>
        <v>85.025000000000006</v>
      </c>
      <c r="S135">
        <v>0</v>
      </c>
      <c r="T135">
        <v>0</v>
      </c>
      <c r="U135" s="7">
        <f t="shared" si="23"/>
        <v>0</v>
      </c>
      <c r="V135">
        <v>0</v>
      </c>
      <c r="W135">
        <v>0</v>
      </c>
      <c r="X135">
        <v>0</v>
      </c>
      <c r="Y135">
        <v>0</v>
      </c>
      <c r="Z135" s="13">
        <f t="shared" si="24"/>
        <v>0</v>
      </c>
      <c r="AA135">
        <v>0</v>
      </c>
      <c r="AB135">
        <v>0</v>
      </c>
      <c r="AC135">
        <v>0</v>
      </c>
      <c r="AD135">
        <v>0</v>
      </c>
      <c r="AE135" s="7">
        <f t="shared" si="25"/>
        <v>0</v>
      </c>
      <c r="AF135">
        <v>38.340000000000003</v>
      </c>
      <c r="AG135">
        <v>20</v>
      </c>
      <c r="AH135">
        <v>30</v>
      </c>
      <c r="AI135" s="13">
        <f t="shared" si="21"/>
        <v>88.34</v>
      </c>
      <c r="AJ135" s="11">
        <v>18</v>
      </c>
      <c r="AK135" s="11">
        <v>26.5</v>
      </c>
      <c r="AL135" s="11">
        <v>41.52</v>
      </c>
      <c r="AM135" s="13">
        <f t="shared" si="26"/>
        <v>86.02000000000001</v>
      </c>
      <c r="AN135" s="18">
        <v>32</v>
      </c>
      <c r="AO135" s="18">
        <v>0</v>
      </c>
      <c r="AP135" s="18">
        <v>0</v>
      </c>
      <c r="AQ135" s="18">
        <v>5</v>
      </c>
      <c r="AR135" s="18">
        <f t="shared" si="27"/>
        <v>37</v>
      </c>
      <c r="AS135" t="s">
        <v>52</v>
      </c>
      <c r="AT135" s="9" t="s">
        <v>549</v>
      </c>
      <c r="AU135" s="11">
        <f>+((AN135*I135)+(AO135*AE135)+(AQ135*AI135))/AR135</f>
        <v>85.159459459459455</v>
      </c>
    </row>
    <row r="136" spans="1:47" hidden="1" x14ac:dyDescent="0.25">
      <c r="A136" s="33" t="s">
        <v>46</v>
      </c>
      <c r="B136" s="32" t="s">
        <v>546</v>
      </c>
      <c r="C136" s="32" t="s">
        <v>547</v>
      </c>
      <c r="D136" s="32" t="s">
        <v>548</v>
      </c>
      <c r="E136" s="11">
        <v>25</v>
      </c>
      <c r="F136" s="11">
        <v>0</v>
      </c>
      <c r="G136" s="11">
        <v>51.537500000000001</v>
      </c>
      <c r="H136" s="11">
        <v>8.125</v>
      </c>
      <c r="I136" s="13">
        <f t="shared" si="22"/>
        <v>84.662499999999994</v>
      </c>
      <c r="J136" s="11">
        <v>0</v>
      </c>
      <c r="K136" s="11">
        <v>0</v>
      </c>
      <c r="L136" s="11">
        <v>0</v>
      </c>
      <c r="M136" s="13">
        <v>0</v>
      </c>
      <c r="N136" s="11">
        <v>51.900000000000006</v>
      </c>
      <c r="O136" s="11">
        <v>8.125</v>
      </c>
      <c r="P136" s="11">
        <v>0</v>
      </c>
      <c r="Q136" s="11">
        <v>25</v>
      </c>
      <c r="R136" s="13">
        <f t="shared" si="20"/>
        <v>85.025000000000006</v>
      </c>
      <c r="S136">
        <v>0</v>
      </c>
      <c r="T136">
        <v>0</v>
      </c>
      <c r="U136" s="7">
        <f t="shared" si="23"/>
        <v>0</v>
      </c>
      <c r="V136">
        <v>0</v>
      </c>
      <c r="W136">
        <v>0</v>
      </c>
      <c r="X136">
        <v>0</v>
      </c>
      <c r="Y136">
        <v>0</v>
      </c>
      <c r="Z136" s="13">
        <f t="shared" si="24"/>
        <v>0</v>
      </c>
      <c r="AA136">
        <v>0</v>
      </c>
      <c r="AB136">
        <v>0</v>
      </c>
      <c r="AC136">
        <v>0</v>
      </c>
      <c r="AD136">
        <v>0</v>
      </c>
      <c r="AE136" s="7">
        <f t="shared" si="25"/>
        <v>0</v>
      </c>
      <c r="AF136">
        <v>38.340000000000003</v>
      </c>
      <c r="AG136">
        <v>20</v>
      </c>
      <c r="AH136">
        <v>30</v>
      </c>
      <c r="AI136" s="13">
        <f t="shared" si="21"/>
        <v>88.34</v>
      </c>
      <c r="AJ136" s="11">
        <v>18</v>
      </c>
      <c r="AK136" s="11">
        <v>26.5</v>
      </c>
      <c r="AL136" s="11">
        <v>41.52</v>
      </c>
      <c r="AM136" s="13">
        <f t="shared" si="26"/>
        <v>86.02000000000001</v>
      </c>
      <c r="AN136" s="18">
        <v>0</v>
      </c>
      <c r="AO136" s="18">
        <v>0</v>
      </c>
      <c r="AP136" s="18">
        <v>3</v>
      </c>
      <c r="AQ136" s="18">
        <v>0</v>
      </c>
      <c r="AR136" s="18">
        <f t="shared" si="27"/>
        <v>3</v>
      </c>
      <c r="AS136" t="s">
        <v>117</v>
      </c>
      <c r="AT136" s="9" t="s">
        <v>550</v>
      </c>
      <c r="AU136" s="11">
        <f>+((AP136*AM136))/AR136</f>
        <v>86.020000000000024</v>
      </c>
    </row>
    <row r="137" spans="1:47" hidden="1" x14ac:dyDescent="0.25">
      <c r="A137" t="s">
        <v>46</v>
      </c>
      <c r="B137" t="s">
        <v>551</v>
      </c>
      <c r="C137" t="s">
        <v>552</v>
      </c>
      <c r="D137" t="s">
        <v>553</v>
      </c>
      <c r="E137" s="11">
        <v>25</v>
      </c>
      <c r="F137" s="11">
        <v>0</v>
      </c>
      <c r="G137" s="11">
        <v>49.575000000000003</v>
      </c>
      <c r="H137" s="11">
        <v>3.125</v>
      </c>
      <c r="I137" s="13">
        <f t="shared" si="22"/>
        <v>77.7</v>
      </c>
      <c r="J137" s="11">
        <v>0</v>
      </c>
      <c r="K137" s="11">
        <v>0</v>
      </c>
      <c r="L137" s="11">
        <v>0</v>
      </c>
      <c r="M137" s="13">
        <v>0</v>
      </c>
      <c r="N137" s="11">
        <v>0</v>
      </c>
      <c r="O137" s="11">
        <v>0</v>
      </c>
      <c r="P137" s="11">
        <v>0</v>
      </c>
      <c r="Q137" s="11">
        <v>0</v>
      </c>
      <c r="R137" s="13">
        <f t="shared" si="20"/>
        <v>0</v>
      </c>
      <c r="S137">
        <v>0</v>
      </c>
      <c r="T137">
        <v>0</v>
      </c>
      <c r="U137" s="7">
        <f t="shared" si="23"/>
        <v>0</v>
      </c>
      <c r="V137">
        <v>0</v>
      </c>
      <c r="W137">
        <v>0</v>
      </c>
      <c r="X137">
        <v>0</v>
      </c>
      <c r="Y137">
        <v>0</v>
      </c>
      <c r="Z137" s="13">
        <f t="shared" si="24"/>
        <v>0</v>
      </c>
      <c r="AA137">
        <v>3.75</v>
      </c>
      <c r="AB137">
        <v>21.25</v>
      </c>
      <c r="AC137">
        <v>15</v>
      </c>
      <c r="AD137">
        <v>20</v>
      </c>
      <c r="AE137" s="7">
        <f t="shared" si="25"/>
        <v>60</v>
      </c>
      <c r="AF137">
        <v>0</v>
      </c>
      <c r="AG137">
        <v>0</v>
      </c>
      <c r="AH137">
        <v>0</v>
      </c>
      <c r="AI137" s="13">
        <f t="shared" si="21"/>
        <v>0</v>
      </c>
      <c r="AJ137" s="11" t="s">
        <v>51</v>
      </c>
      <c r="AK137" s="11" t="s">
        <v>51</v>
      </c>
      <c r="AL137" s="11" t="s">
        <v>51</v>
      </c>
      <c r="AM137" s="13">
        <f t="shared" si="26"/>
        <v>0</v>
      </c>
      <c r="AN137" s="18">
        <v>35</v>
      </c>
      <c r="AO137" s="18">
        <v>5</v>
      </c>
      <c r="AP137" s="18">
        <v>0</v>
      </c>
      <c r="AQ137" s="18">
        <v>0</v>
      </c>
      <c r="AR137" s="18">
        <f t="shared" si="27"/>
        <v>40</v>
      </c>
      <c r="AS137" t="s">
        <v>52</v>
      </c>
      <c r="AT137" s="9" t="s">
        <v>554</v>
      </c>
      <c r="AU137" s="30">
        <f>+((AN137*I137)+(AO137*AE137)+(AQ137*AI137)+(AP137*AM137))/AR137</f>
        <v>75.487499999999997</v>
      </c>
    </row>
    <row r="138" spans="1:47" s="6" customFormat="1" hidden="1" x14ac:dyDescent="0.25">
      <c r="A138" s="6" t="s">
        <v>46</v>
      </c>
      <c r="B138" s="6" t="s">
        <v>555</v>
      </c>
      <c r="C138" s="6" t="s">
        <v>556</v>
      </c>
      <c r="D138" s="6" t="s">
        <v>557</v>
      </c>
      <c r="E138" s="12">
        <v>0</v>
      </c>
      <c r="F138" s="12">
        <v>0</v>
      </c>
      <c r="G138" s="12">
        <v>0</v>
      </c>
      <c r="H138" s="12">
        <v>0</v>
      </c>
      <c r="I138" s="13">
        <f t="shared" si="22"/>
        <v>0</v>
      </c>
      <c r="J138" s="14">
        <v>57.28</v>
      </c>
      <c r="K138" s="14">
        <v>29</v>
      </c>
      <c r="L138" s="14">
        <v>2.5</v>
      </c>
      <c r="M138" s="13">
        <v>88.78</v>
      </c>
      <c r="N138" s="12">
        <v>0</v>
      </c>
      <c r="O138" s="12">
        <v>0</v>
      </c>
      <c r="P138" s="12">
        <v>0</v>
      </c>
      <c r="Q138" s="12">
        <v>0</v>
      </c>
      <c r="R138" s="13">
        <f t="shared" si="20"/>
        <v>0</v>
      </c>
      <c r="S138" s="6">
        <v>0</v>
      </c>
      <c r="T138" s="6">
        <v>0</v>
      </c>
      <c r="U138" s="7">
        <f t="shared" si="23"/>
        <v>0</v>
      </c>
      <c r="V138" s="6">
        <v>0</v>
      </c>
      <c r="W138" s="6">
        <v>0</v>
      </c>
      <c r="X138" s="6">
        <v>0</v>
      </c>
      <c r="Y138" s="6">
        <v>0</v>
      </c>
      <c r="Z138" s="13">
        <f t="shared" si="24"/>
        <v>0</v>
      </c>
      <c r="AA138" s="6">
        <v>0</v>
      </c>
      <c r="AB138" s="6">
        <v>0</v>
      </c>
      <c r="AC138" s="6">
        <v>0</v>
      </c>
      <c r="AD138" s="6">
        <v>0</v>
      </c>
      <c r="AE138" s="7">
        <f t="shared" si="25"/>
        <v>0</v>
      </c>
      <c r="AF138" s="6">
        <v>0</v>
      </c>
      <c r="AG138" s="6">
        <v>0</v>
      </c>
      <c r="AH138" s="6">
        <v>0</v>
      </c>
      <c r="AI138" s="13">
        <f t="shared" si="21"/>
        <v>0</v>
      </c>
      <c r="AJ138" s="12" t="s">
        <v>51</v>
      </c>
      <c r="AK138" s="12" t="s">
        <v>51</v>
      </c>
      <c r="AL138" s="12" t="s">
        <v>51</v>
      </c>
      <c r="AM138" s="13">
        <f t="shared" si="26"/>
        <v>0</v>
      </c>
      <c r="AN138" s="21">
        <v>1.1299999999999999</v>
      </c>
      <c r="AO138" s="21">
        <v>0</v>
      </c>
      <c r="AP138" s="21">
        <v>0</v>
      </c>
      <c r="AQ138" s="21">
        <v>0</v>
      </c>
      <c r="AR138" s="18">
        <f t="shared" si="27"/>
        <v>1.1299999999999999</v>
      </c>
      <c r="AS138" s="6" t="s">
        <v>87</v>
      </c>
      <c r="AT138" s="10" t="s">
        <v>709</v>
      </c>
      <c r="AU138" s="30">
        <f>+((AN138*M138)/AR138)</f>
        <v>88.78</v>
      </c>
    </row>
    <row r="139" spans="1:47" hidden="1" x14ac:dyDescent="0.25">
      <c r="A139" t="s">
        <v>46</v>
      </c>
      <c r="B139" t="s">
        <v>558</v>
      </c>
      <c r="C139" t="s">
        <v>559</v>
      </c>
      <c r="D139" t="s">
        <v>560</v>
      </c>
      <c r="E139" s="11">
        <v>20</v>
      </c>
      <c r="F139" s="11">
        <v>20</v>
      </c>
      <c r="G139" s="11">
        <v>50</v>
      </c>
      <c r="H139" s="11">
        <v>6</v>
      </c>
      <c r="I139" s="13">
        <f t="shared" si="22"/>
        <v>96</v>
      </c>
      <c r="J139" s="11">
        <v>0</v>
      </c>
      <c r="K139" s="11">
        <v>0</v>
      </c>
      <c r="L139" s="11">
        <v>0</v>
      </c>
      <c r="M139" s="13">
        <v>0</v>
      </c>
      <c r="N139" s="11">
        <v>0</v>
      </c>
      <c r="O139" s="11">
        <v>0</v>
      </c>
      <c r="P139" s="11">
        <v>0</v>
      </c>
      <c r="Q139" s="11">
        <v>0</v>
      </c>
      <c r="R139" s="13">
        <f t="shared" si="20"/>
        <v>0</v>
      </c>
      <c r="S139">
        <v>0</v>
      </c>
      <c r="T139">
        <v>0</v>
      </c>
      <c r="U139" s="7">
        <f t="shared" si="23"/>
        <v>0</v>
      </c>
      <c r="V139">
        <v>0</v>
      </c>
      <c r="W139">
        <v>0</v>
      </c>
      <c r="X139">
        <v>0</v>
      </c>
      <c r="Y139">
        <v>0</v>
      </c>
      <c r="Z139" s="13">
        <f t="shared" si="24"/>
        <v>0</v>
      </c>
      <c r="AA139">
        <v>0</v>
      </c>
      <c r="AB139">
        <v>0</v>
      </c>
      <c r="AC139">
        <v>0</v>
      </c>
      <c r="AD139">
        <v>0</v>
      </c>
      <c r="AE139" s="7">
        <f t="shared" si="25"/>
        <v>0</v>
      </c>
      <c r="AF139">
        <v>0</v>
      </c>
      <c r="AG139">
        <v>0</v>
      </c>
      <c r="AH139">
        <v>0</v>
      </c>
      <c r="AI139" s="13">
        <f t="shared" si="21"/>
        <v>0</v>
      </c>
      <c r="AJ139" s="11" t="s">
        <v>51</v>
      </c>
      <c r="AK139" s="11" t="s">
        <v>51</v>
      </c>
      <c r="AL139" s="11" t="s">
        <v>51</v>
      </c>
      <c r="AM139" s="13">
        <f t="shared" si="26"/>
        <v>0</v>
      </c>
      <c r="AN139" s="18">
        <v>40</v>
      </c>
      <c r="AO139" s="18">
        <v>0</v>
      </c>
      <c r="AP139" s="18">
        <v>0</v>
      </c>
      <c r="AQ139" s="18">
        <v>0</v>
      </c>
      <c r="AR139" s="18">
        <f t="shared" si="27"/>
        <v>40</v>
      </c>
      <c r="AS139" t="s">
        <v>52</v>
      </c>
      <c r="AT139" s="9" t="s">
        <v>561</v>
      </c>
      <c r="AU139" s="30">
        <f>+((AN139*I139)+(AO139*AE139)+(AQ139*AI139)+(AP139*AM139))/AR139</f>
        <v>96</v>
      </c>
    </row>
    <row r="140" spans="1:47" hidden="1" x14ac:dyDescent="0.25">
      <c r="A140" t="s">
        <v>46</v>
      </c>
      <c r="B140" t="s">
        <v>562</v>
      </c>
      <c r="C140" t="s">
        <v>563</v>
      </c>
      <c r="D140" t="s">
        <v>564</v>
      </c>
      <c r="E140" s="11">
        <v>19.670000000000002</v>
      </c>
      <c r="F140" s="11">
        <v>20</v>
      </c>
      <c r="G140" s="11">
        <v>43.12</v>
      </c>
      <c r="H140" s="11">
        <v>3.5</v>
      </c>
      <c r="I140" s="13">
        <f t="shared" si="22"/>
        <v>86.289999999999992</v>
      </c>
      <c r="J140" s="11">
        <v>0</v>
      </c>
      <c r="K140" s="11">
        <v>0</v>
      </c>
      <c r="L140" s="11">
        <v>0</v>
      </c>
      <c r="M140" s="13">
        <v>0</v>
      </c>
      <c r="N140" s="11">
        <v>0</v>
      </c>
      <c r="O140" s="11">
        <v>0</v>
      </c>
      <c r="P140" s="11">
        <v>0</v>
      </c>
      <c r="Q140" s="11">
        <v>0</v>
      </c>
      <c r="R140" s="13">
        <f t="shared" si="20"/>
        <v>0</v>
      </c>
      <c r="S140">
        <v>0</v>
      </c>
      <c r="T140">
        <v>0</v>
      </c>
      <c r="U140" s="7">
        <f t="shared" si="23"/>
        <v>0</v>
      </c>
      <c r="V140">
        <v>0</v>
      </c>
      <c r="W140">
        <v>0</v>
      </c>
      <c r="X140">
        <v>0</v>
      </c>
      <c r="Y140">
        <v>0</v>
      </c>
      <c r="Z140" s="13">
        <f t="shared" si="24"/>
        <v>0</v>
      </c>
      <c r="AA140">
        <v>0</v>
      </c>
      <c r="AB140">
        <v>0</v>
      </c>
      <c r="AC140">
        <v>0</v>
      </c>
      <c r="AD140">
        <v>0</v>
      </c>
      <c r="AE140" s="7">
        <f t="shared" si="25"/>
        <v>0</v>
      </c>
      <c r="AF140">
        <v>0</v>
      </c>
      <c r="AG140">
        <v>0</v>
      </c>
      <c r="AH140">
        <v>0</v>
      </c>
      <c r="AI140" s="13">
        <f t="shared" si="21"/>
        <v>0</v>
      </c>
      <c r="AJ140" s="11" t="s">
        <v>51</v>
      </c>
      <c r="AK140" s="11" t="s">
        <v>51</v>
      </c>
      <c r="AL140" s="11" t="s">
        <v>51</v>
      </c>
      <c r="AM140" s="13">
        <f t="shared" si="26"/>
        <v>0</v>
      </c>
      <c r="AN140" s="18">
        <v>9</v>
      </c>
      <c r="AO140" s="18">
        <v>0</v>
      </c>
      <c r="AP140" s="18">
        <v>0</v>
      </c>
      <c r="AQ140" s="18">
        <v>0</v>
      </c>
      <c r="AR140" s="18">
        <f t="shared" si="27"/>
        <v>9</v>
      </c>
      <c r="AS140" t="s">
        <v>52</v>
      </c>
      <c r="AT140" s="9" t="s">
        <v>565</v>
      </c>
      <c r="AU140" s="30">
        <f>+((AN140*I140)+(AO140*AE140)+(AQ140*AI140)+(AP140*AM140))/AR140</f>
        <v>86.289999999999992</v>
      </c>
    </row>
    <row r="141" spans="1:47" hidden="1" x14ac:dyDescent="0.25">
      <c r="A141" t="s">
        <v>46</v>
      </c>
      <c r="B141" t="s">
        <v>566</v>
      </c>
      <c r="C141" t="s">
        <v>567</v>
      </c>
      <c r="D141" t="s">
        <v>568</v>
      </c>
      <c r="E141" s="11">
        <v>0</v>
      </c>
      <c r="F141" s="11">
        <v>25</v>
      </c>
      <c r="G141" s="11">
        <v>55.462499999999999</v>
      </c>
      <c r="H141" s="11">
        <v>9.375</v>
      </c>
      <c r="I141" s="13">
        <f t="shared" si="22"/>
        <v>89.837500000000006</v>
      </c>
      <c r="J141" s="11">
        <v>0</v>
      </c>
      <c r="K141" s="11">
        <v>0</v>
      </c>
      <c r="L141" s="11">
        <v>0</v>
      </c>
      <c r="M141" s="13">
        <v>0</v>
      </c>
      <c r="N141" s="11">
        <v>0</v>
      </c>
      <c r="O141" s="11">
        <v>0</v>
      </c>
      <c r="P141" s="11">
        <v>0</v>
      </c>
      <c r="Q141" s="11">
        <v>0</v>
      </c>
      <c r="R141" s="13">
        <f t="shared" si="20"/>
        <v>0</v>
      </c>
      <c r="S141">
        <v>0</v>
      </c>
      <c r="T141">
        <v>0</v>
      </c>
      <c r="U141" s="7">
        <f t="shared" si="23"/>
        <v>0</v>
      </c>
      <c r="V141">
        <v>0</v>
      </c>
      <c r="W141">
        <v>0</v>
      </c>
      <c r="X141">
        <v>0</v>
      </c>
      <c r="Y141">
        <v>0</v>
      </c>
      <c r="Z141" s="13">
        <f t="shared" si="24"/>
        <v>0</v>
      </c>
      <c r="AA141">
        <v>0</v>
      </c>
      <c r="AB141">
        <v>0</v>
      </c>
      <c r="AC141">
        <v>0</v>
      </c>
      <c r="AD141">
        <v>0</v>
      </c>
      <c r="AE141" s="7">
        <f t="shared" si="25"/>
        <v>0</v>
      </c>
      <c r="AF141">
        <v>0</v>
      </c>
      <c r="AG141">
        <v>0</v>
      </c>
      <c r="AH141">
        <v>0</v>
      </c>
      <c r="AI141" s="13">
        <f t="shared" si="21"/>
        <v>0</v>
      </c>
      <c r="AJ141" s="11" t="s">
        <v>51</v>
      </c>
      <c r="AK141" s="11" t="s">
        <v>51</v>
      </c>
      <c r="AL141" s="11" t="s">
        <v>51</v>
      </c>
      <c r="AM141" s="13">
        <f t="shared" si="26"/>
        <v>0</v>
      </c>
      <c r="AN141" s="18">
        <v>40</v>
      </c>
      <c r="AO141" s="18">
        <v>0</v>
      </c>
      <c r="AP141" s="18">
        <v>0</v>
      </c>
      <c r="AQ141" s="18">
        <v>0</v>
      </c>
      <c r="AR141" s="18">
        <f t="shared" si="27"/>
        <v>40</v>
      </c>
      <c r="AS141" t="s">
        <v>52</v>
      </c>
      <c r="AT141" s="9" t="s">
        <v>569</v>
      </c>
      <c r="AU141" s="30">
        <f>+((AN141*I141)+(AO141*AE141)+(AQ141*AI141)+(AP141*AM141))/AR141</f>
        <v>89.837500000000006</v>
      </c>
    </row>
    <row r="142" spans="1:47" hidden="1" x14ac:dyDescent="0.25">
      <c r="A142" t="s">
        <v>46</v>
      </c>
      <c r="B142" t="s">
        <v>570</v>
      </c>
      <c r="C142" t="s">
        <v>571</v>
      </c>
      <c r="D142" t="s">
        <v>572</v>
      </c>
      <c r="E142" s="11">
        <v>20</v>
      </c>
      <c r="F142" s="11">
        <v>20</v>
      </c>
      <c r="G142" s="11">
        <v>44.31</v>
      </c>
      <c r="H142" s="11">
        <v>5.25</v>
      </c>
      <c r="I142" s="13">
        <f t="shared" si="22"/>
        <v>89.56</v>
      </c>
      <c r="J142" s="11">
        <v>53.17</v>
      </c>
      <c r="K142" s="11">
        <v>30</v>
      </c>
      <c r="L142" s="11">
        <v>5.25</v>
      </c>
      <c r="M142" s="13">
        <v>88.42</v>
      </c>
      <c r="N142" s="11">
        <v>0</v>
      </c>
      <c r="O142" s="11">
        <v>0</v>
      </c>
      <c r="P142" s="11">
        <v>0</v>
      </c>
      <c r="Q142" s="11">
        <v>0</v>
      </c>
      <c r="R142" s="13">
        <f t="shared" si="20"/>
        <v>0</v>
      </c>
      <c r="S142">
        <v>0</v>
      </c>
      <c r="T142">
        <v>0</v>
      </c>
      <c r="U142" s="7">
        <f t="shared" si="23"/>
        <v>0</v>
      </c>
      <c r="V142">
        <v>0</v>
      </c>
      <c r="W142">
        <v>0</v>
      </c>
      <c r="X142">
        <v>0</v>
      </c>
      <c r="Y142">
        <v>0</v>
      </c>
      <c r="Z142" s="13">
        <f t="shared" si="24"/>
        <v>0</v>
      </c>
      <c r="AA142">
        <v>15</v>
      </c>
      <c r="AB142">
        <v>50</v>
      </c>
      <c r="AC142">
        <v>15</v>
      </c>
      <c r="AD142">
        <v>20</v>
      </c>
      <c r="AE142" s="7">
        <f t="shared" si="25"/>
        <v>100</v>
      </c>
      <c r="AF142">
        <v>0</v>
      </c>
      <c r="AG142">
        <v>0</v>
      </c>
      <c r="AH142">
        <v>0</v>
      </c>
      <c r="AI142" s="13">
        <f t="shared" si="21"/>
        <v>0</v>
      </c>
      <c r="AJ142" s="11" t="s">
        <v>51</v>
      </c>
      <c r="AK142" s="11" t="s">
        <v>51</v>
      </c>
      <c r="AL142" s="11" t="s">
        <v>51</v>
      </c>
      <c r="AM142" s="13">
        <f t="shared" si="26"/>
        <v>0</v>
      </c>
      <c r="AN142" s="18">
        <v>25</v>
      </c>
      <c r="AO142" s="18">
        <v>15</v>
      </c>
      <c r="AP142" s="18">
        <v>0</v>
      </c>
      <c r="AQ142" s="18">
        <v>0</v>
      </c>
      <c r="AR142" s="18">
        <f t="shared" si="27"/>
        <v>40</v>
      </c>
      <c r="AS142" t="s">
        <v>52</v>
      </c>
      <c r="AT142" s="9" t="s">
        <v>574</v>
      </c>
      <c r="AU142" s="30">
        <f>+((AN142*I142)+(AO142*AE142)+(AQ142*AI142)+(AP142*AM142))/AR142</f>
        <v>93.474999999999994</v>
      </c>
    </row>
    <row r="143" spans="1:47" hidden="1" x14ac:dyDescent="0.25">
      <c r="A143" t="s">
        <v>46</v>
      </c>
      <c r="B143" t="s">
        <v>570</v>
      </c>
      <c r="C143" t="s">
        <v>571</v>
      </c>
      <c r="D143" t="s">
        <v>572</v>
      </c>
      <c r="E143" s="11">
        <v>20</v>
      </c>
      <c r="F143" s="11">
        <v>20</v>
      </c>
      <c r="G143" s="11">
        <v>44.31</v>
      </c>
      <c r="H143" s="11">
        <v>5.25</v>
      </c>
      <c r="I143" s="13">
        <f t="shared" si="22"/>
        <v>89.56</v>
      </c>
      <c r="J143" s="11">
        <v>53.17</v>
      </c>
      <c r="K143" s="11">
        <v>30</v>
      </c>
      <c r="L143" s="11">
        <v>5.25</v>
      </c>
      <c r="M143" s="13">
        <v>88.42</v>
      </c>
      <c r="N143" s="11">
        <v>0</v>
      </c>
      <c r="O143" s="11">
        <v>0</v>
      </c>
      <c r="P143" s="11">
        <v>0</v>
      </c>
      <c r="Q143" s="11">
        <v>0</v>
      </c>
      <c r="R143" s="13">
        <f t="shared" si="20"/>
        <v>0</v>
      </c>
      <c r="S143">
        <v>0</v>
      </c>
      <c r="T143">
        <v>0</v>
      </c>
      <c r="U143" s="7">
        <f t="shared" si="23"/>
        <v>0</v>
      </c>
      <c r="V143">
        <v>0</v>
      </c>
      <c r="W143">
        <v>0</v>
      </c>
      <c r="X143">
        <v>0</v>
      </c>
      <c r="Y143">
        <v>0</v>
      </c>
      <c r="Z143" s="13">
        <f t="shared" si="24"/>
        <v>0</v>
      </c>
      <c r="AA143">
        <v>15</v>
      </c>
      <c r="AB143">
        <v>50</v>
      </c>
      <c r="AC143">
        <v>15</v>
      </c>
      <c r="AD143">
        <v>20</v>
      </c>
      <c r="AE143" s="7">
        <f t="shared" si="25"/>
        <v>100</v>
      </c>
      <c r="AF143">
        <v>0</v>
      </c>
      <c r="AG143">
        <v>0</v>
      </c>
      <c r="AH143">
        <v>0</v>
      </c>
      <c r="AI143" s="13">
        <f t="shared" si="21"/>
        <v>0</v>
      </c>
      <c r="AJ143" s="11" t="s">
        <v>51</v>
      </c>
      <c r="AK143" s="11" t="s">
        <v>51</v>
      </c>
      <c r="AL143" s="11" t="s">
        <v>51</v>
      </c>
      <c r="AM143" s="13">
        <f t="shared" si="26"/>
        <v>0</v>
      </c>
      <c r="AN143" s="18">
        <v>2</v>
      </c>
      <c r="AO143" s="18">
        <v>0</v>
      </c>
      <c r="AP143" s="18">
        <v>0</v>
      </c>
      <c r="AQ143" s="18">
        <v>0</v>
      </c>
      <c r="AR143" s="18">
        <f t="shared" si="27"/>
        <v>2</v>
      </c>
      <c r="AS143" t="s">
        <v>87</v>
      </c>
      <c r="AT143" s="9" t="s">
        <v>573</v>
      </c>
      <c r="AU143" s="30">
        <f>+((AN143*M143)+(AO143*AE143)+(AQ143*AI143)+(AP143*AM143))/AR143</f>
        <v>88.42</v>
      </c>
    </row>
    <row r="144" spans="1:47" hidden="1" x14ac:dyDescent="0.25">
      <c r="A144" t="s">
        <v>46</v>
      </c>
      <c r="B144" t="s">
        <v>575</v>
      </c>
      <c r="C144" t="s">
        <v>576</v>
      </c>
      <c r="D144" t="s">
        <v>577</v>
      </c>
      <c r="E144" s="11">
        <v>25</v>
      </c>
      <c r="F144" s="11">
        <v>0</v>
      </c>
      <c r="G144" s="11">
        <v>61.35</v>
      </c>
      <c r="H144" s="11">
        <v>6.25</v>
      </c>
      <c r="I144" s="13">
        <f t="shared" si="22"/>
        <v>92.6</v>
      </c>
      <c r="J144" s="11">
        <v>0</v>
      </c>
      <c r="K144" s="11">
        <v>0</v>
      </c>
      <c r="L144" s="11">
        <v>0</v>
      </c>
      <c r="M144" s="13">
        <v>0</v>
      </c>
      <c r="N144" s="11">
        <v>0</v>
      </c>
      <c r="O144" s="11">
        <v>0</v>
      </c>
      <c r="P144" s="11">
        <v>0</v>
      </c>
      <c r="Q144" s="11">
        <v>0</v>
      </c>
      <c r="R144" s="13">
        <f t="shared" si="20"/>
        <v>0</v>
      </c>
      <c r="S144">
        <v>0</v>
      </c>
      <c r="T144">
        <v>0</v>
      </c>
      <c r="U144" s="7">
        <f t="shared" si="23"/>
        <v>0</v>
      </c>
      <c r="V144">
        <v>0</v>
      </c>
      <c r="W144">
        <v>0</v>
      </c>
      <c r="X144">
        <v>0</v>
      </c>
      <c r="Y144">
        <v>0</v>
      </c>
      <c r="Z144" s="13">
        <f t="shared" si="24"/>
        <v>0</v>
      </c>
      <c r="AA144">
        <v>3.75</v>
      </c>
      <c r="AB144">
        <v>12.5</v>
      </c>
      <c r="AC144">
        <v>15</v>
      </c>
      <c r="AD144">
        <v>20</v>
      </c>
      <c r="AE144" s="7">
        <f t="shared" si="25"/>
        <v>51.25</v>
      </c>
      <c r="AF144">
        <v>0</v>
      </c>
      <c r="AG144">
        <v>0</v>
      </c>
      <c r="AH144">
        <v>0</v>
      </c>
      <c r="AI144" s="13">
        <f t="shared" si="21"/>
        <v>0</v>
      </c>
      <c r="AJ144" s="11" t="s">
        <v>51</v>
      </c>
      <c r="AK144" s="11" t="s">
        <v>51</v>
      </c>
      <c r="AL144" s="11" t="s">
        <v>51</v>
      </c>
      <c r="AM144" s="13">
        <f t="shared" si="26"/>
        <v>0</v>
      </c>
      <c r="AN144" s="18">
        <v>35</v>
      </c>
      <c r="AO144" s="18">
        <v>5</v>
      </c>
      <c r="AP144" s="18">
        <v>0</v>
      </c>
      <c r="AQ144" s="18">
        <v>0</v>
      </c>
      <c r="AR144" s="18">
        <f t="shared" si="27"/>
        <v>40</v>
      </c>
      <c r="AS144" t="s">
        <v>52</v>
      </c>
      <c r="AT144" s="9" t="s">
        <v>578</v>
      </c>
      <c r="AU144" s="30">
        <f>+((AN144*I144)+(AO144*AE144)+(AQ144*AI144)+(AP144*AM144))/AR144</f>
        <v>87.431250000000006</v>
      </c>
    </row>
    <row r="145" spans="1:47" hidden="1" x14ac:dyDescent="0.25">
      <c r="A145" t="s">
        <v>46</v>
      </c>
      <c r="B145" t="s">
        <v>579</v>
      </c>
      <c r="C145" t="s">
        <v>580</v>
      </c>
      <c r="D145" t="s">
        <v>581</v>
      </c>
      <c r="E145" s="11">
        <v>0</v>
      </c>
      <c r="F145" s="11">
        <v>0</v>
      </c>
      <c r="G145" s="11">
        <v>0</v>
      </c>
      <c r="H145" s="11">
        <v>0</v>
      </c>
      <c r="I145" s="13">
        <f t="shared" si="22"/>
        <v>0</v>
      </c>
      <c r="J145" s="11">
        <v>82.071428571428569</v>
      </c>
      <c r="K145" s="11">
        <v>0</v>
      </c>
      <c r="L145" s="11">
        <v>4.2857142857142856</v>
      </c>
      <c r="M145" s="13">
        <v>86.357142857142861</v>
      </c>
      <c r="N145" s="11">
        <v>0</v>
      </c>
      <c r="O145" s="11">
        <v>0</v>
      </c>
      <c r="P145" s="11">
        <v>0</v>
      </c>
      <c r="Q145" s="11">
        <v>0</v>
      </c>
      <c r="R145" s="13">
        <f t="shared" si="20"/>
        <v>0</v>
      </c>
      <c r="S145">
        <v>0</v>
      </c>
      <c r="T145">
        <v>0</v>
      </c>
      <c r="U145" s="7">
        <f t="shared" si="23"/>
        <v>0</v>
      </c>
      <c r="V145">
        <v>0</v>
      </c>
      <c r="W145">
        <v>0</v>
      </c>
      <c r="X145">
        <v>0</v>
      </c>
      <c r="Y145">
        <v>0</v>
      </c>
      <c r="Z145" s="13">
        <f t="shared" si="24"/>
        <v>0</v>
      </c>
      <c r="AA145">
        <v>0</v>
      </c>
      <c r="AB145">
        <v>0</v>
      </c>
      <c r="AC145">
        <v>0</v>
      </c>
      <c r="AD145">
        <v>0</v>
      </c>
      <c r="AE145" s="7">
        <f t="shared" si="25"/>
        <v>0</v>
      </c>
      <c r="AF145">
        <v>0</v>
      </c>
      <c r="AG145">
        <v>0</v>
      </c>
      <c r="AH145">
        <v>0</v>
      </c>
      <c r="AI145" s="13">
        <f t="shared" si="21"/>
        <v>0</v>
      </c>
      <c r="AJ145" s="11" t="s">
        <v>51</v>
      </c>
      <c r="AK145" s="11" t="s">
        <v>51</v>
      </c>
      <c r="AL145" s="11" t="s">
        <v>51</v>
      </c>
      <c r="AM145" s="13">
        <f t="shared" si="26"/>
        <v>0</v>
      </c>
      <c r="AN145" s="18">
        <v>2</v>
      </c>
      <c r="AO145" s="18">
        <v>0</v>
      </c>
      <c r="AP145" s="18">
        <v>0</v>
      </c>
      <c r="AQ145" s="18">
        <v>0</v>
      </c>
      <c r="AR145" s="18">
        <f t="shared" si="27"/>
        <v>2</v>
      </c>
      <c r="AS145" t="s">
        <v>87</v>
      </c>
      <c r="AT145" s="9" t="s">
        <v>582</v>
      </c>
      <c r="AU145" s="30">
        <f>+((AN145*M145)/AR145)</f>
        <v>86.357142857142861</v>
      </c>
    </row>
    <row r="146" spans="1:47" hidden="1" x14ac:dyDescent="0.25">
      <c r="A146" t="s">
        <v>46</v>
      </c>
      <c r="B146" t="s">
        <v>583</v>
      </c>
      <c r="C146" t="s">
        <v>584</v>
      </c>
      <c r="D146" t="s">
        <v>585</v>
      </c>
      <c r="E146" s="11">
        <v>20</v>
      </c>
      <c r="F146" s="11">
        <v>15.67</v>
      </c>
      <c r="G146" s="11">
        <v>46.03</v>
      </c>
      <c r="H146" s="11">
        <v>7.5</v>
      </c>
      <c r="I146" s="13">
        <f t="shared" si="22"/>
        <v>89.2</v>
      </c>
      <c r="J146" s="11">
        <v>0</v>
      </c>
      <c r="K146" s="11">
        <v>0</v>
      </c>
      <c r="L146" s="11">
        <v>0</v>
      </c>
      <c r="M146" s="13">
        <v>0</v>
      </c>
      <c r="N146" s="11">
        <v>0</v>
      </c>
      <c r="O146" s="11">
        <v>0</v>
      </c>
      <c r="P146" s="11">
        <v>0</v>
      </c>
      <c r="Q146" s="11">
        <v>0</v>
      </c>
      <c r="R146" s="13">
        <f t="shared" si="20"/>
        <v>0</v>
      </c>
      <c r="S146">
        <v>0</v>
      </c>
      <c r="T146">
        <v>0</v>
      </c>
      <c r="U146" s="7">
        <f t="shared" si="23"/>
        <v>0</v>
      </c>
      <c r="V146">
        <v>0</v>
      </c>
      <c r="W146">
        <v>0</v>
      </c>
      <c r="X146">
        <v>0</v>
      </c>
      <c r="Y146">
        <v>0</v>
      </c>
      <c r="Z146" s="13">
        <f t="shared" si="24"/>
        <v>0</v>
      </c>
      <c r="AA146">
        <v>0</v>
      </c>
      <c r="AB146">
        <v>0</v>
      </c>
      <c r="AC146">
        <v>0</v>
      </c>
      <c r="AD146">
        <v>0</v>
      </c>
      <c r="AE146" s="7">
        <f t="shared" si="25"/>
        <v>0</v>
      </c>
      <c r="AF146">
        <v>0</v>
      </c>
      <c r="AG146">
        <v>0</v>
      </c>
      <c r="AH146">
        <v>0</v>
      </c>
      <c r="AI146" s="13">
        <f t="shared" si="21"/>
        <v>0</v>
      </c>
      <c r="AJ146" s="11" t="s">
        <v>51</v>
      </c>
      <c r="AK146" s="11" t="s">
        <v>51</v>
      </c>
      <c r="AL146" s="11" t="s">
        <v>51</v>
      </c>
      <c r="AM146" s="13">
        <f t="shared" si="26"/>
        <v>0</v>
      </c>
      <c r="AN146" s="18">
        <v>6</v>
      </c>
      <c r="AO146" s="18">
        <v>0</v>
      </c>
      <c r="AP146" s="18">
        <v>0</v>
      </c>
      <c r="AQ146" s="18">
        <v>0</v>
      </c>
      <c r="AR146" s="18">
        <f t="shared" si="27"/>
        <v>6</v>
      </c>
      <c r="AS146" t="s">
        <v>52</v>
      </c>
      <c r="AT146" s="9" t="s">
        <v>586</v>
      </c>
      <c r="AU146" s="30">
        <f>+((AN146*I146)+(AO146*AE146)+(AQ146*AI146)+(AP146*AM146))/AR146</f>
        <v>89.2</v>
      </c>
    </row>
    <row r="147" spans="1:47" hidden="1" x14ac:dyDescent="0.25">
      <c r="A147" t="s">
        <v>46</v>
      </c>
      <c r="B147" t="s">
        <v>587</v>
      </c>
      <c r="C147" t="s">
        <v>588</v>
      </c>
      <c r="D147" t="s">
        <v>589</v>
      </c>
      <c r="E147" s="11">
        <v>20</v>
      </c>
      <c r="F147" s="11">
        <v>19</v>
      </c>
      <c r="G147" s="11">
        <v>48.47</v>
      </c>
      <c r="H147" s="11">
        <v>4</v>
      </c>
      <c r="I147" s="13">
        <f t="shared" si="22"/>
        <v>91.47</v>
      </c>
      <c r="J147" s="11">
        <v>0</v>
      </c>
      <c r="K147" s="11">
        <v>0</v>
      </c>
      <c r="L147" s="11">
        <v>0</v>
      </c>
      <c r="M147" s="13">
        <v>0</v>
      </c>
      <c r="N147" s="11">
        <v>0</v>
      </c>
      <c r="O147" s="11">
        <v>0</v>
      </c>
      <c r="P147" s="11">
        <v>0</v>
      </c>
      <c r="Q147" s="11">
        <v>0</v>
      </c>
      <c r="R147" s="13">
        <f t="shared" si="20"/>
        <v>0</v>
      </c>
      <c r="S147">
        <v>0</v>
      </c>
      <c r="T147">
        <v>0</v>
      </c>
      <c r="U147" s="7">
        <f t="shared" si="23"/>
        <v>0</v>
      </c>
      <c r="V147">
        <v>0</v>
      </c>
      <c r="W147">
        <v>0</v>
      </c>
      <c r="X147">
        <v>0</v>
      </c>
      <c r="Y147">
        <v>0</v>
      </c>
      <c r="Z147" s="13">
        <f t="shared" si="24"/>
        <v>0</v>
      </c>
      <c r="AA147">
        <v>0</v>
      </c>
      <c r="AB147">
        <v>0</v>
      </c>
      <c r="AC147">
        <v>0</v>
      </c>
      <c r="AD147">
        <v>0</v>
      </c>
      <c r="AE147" s="7">
        <f t="shared" si="25"/>
        <v>0</v>
      </c>
      <c r="AF147">
        <v>0</v>
      </c>
      <c r="AG147">
        <v>0</v>
      </c>
      <c r="AH147">
        <v>0</v>
      </c>
      <c r="AI147" s="13">
        <f t="shared" si="21"/>
        <v>0</v>
      </c>
      <c r="AJ147" s="11" t="s">
        <v>51</v>
      </c>
      <c r="AK147" s="11" t="s">
        <v>51</v>
      </c>
      <c r="AL147" s="11" t="s">
        <v>51</v>
      </c>
      <c r="AM147" s="13">
        <f t="shared" si="26"/>
        <v>0</v>
      </c>
      <c r="AN147" s="18">
        <v>7</v>
      </c>
      <c r="AO147" s="18">
        <v>0</v>
      </c>
      <c r="AP147" s="18">
        <v>0</v>
      </c>
      <c r="AQ147" s="18">
        <v>0</v>
      </c>
      <c r="AR147" s="18">
        <f t="shared" si="27"/>
        <v>7</v>
      </c>
      <c r="AS147" t="s">
        <v>52</v>
      </c>
      <c r="AT147" s="9" t="s">
        <v>590</v>
      </c>
      <c r="AU147" s="30">
        <f>+((AN147*I147)+(AO147*AE147)+(AQ147*AI147)+(AP147*AM147))/AR147</f>
        <v>91.47</v>
      </c>
    </row>
    <row r="148" spans="1:47" x14ac:dyDescent="0.25">
      <c r="A148" t="s">
        <v>46</v>
      </c>
      <c r="B148" t="s">
        <v>591</v>
      </c>
      <c r="C148" t="s">
        <v>592</v>
      </c>
      <c r="D148" t="s">
        <v>593</v>
      </c>
      <c r="E148" s="11">
        <v>0</v>
      </c>
      <c r="F148" s="11">
        <v>0</v>
      </c>
      <c r="G148" s="11">
        <v>0</v>
      </c>
      <c r="H148" s="11">
        <v>0</v>
      </c>
      <c r="I148" s="13">
        <f t="shared" si="22"/>
        <v>0</v>
      </c>
      <c r="J148" s="11">
        <v>54.08</v>
      </c>
      <c r="K148" s="11">
        <v>30</v>
      </c>
      <c r="L148" s="11">
        <v>6</v>
      </c>
      <c r="M148" s="13">
        <v>90.08</v>
      </c>
      <c r="N148" s="11">
        <v>0</v>
      </c>
      <c r="O148" s="11">
        <v>0</v>
      </c>
      <c r="P148" s="11">
        <v>0</v>
      </c>
      <c r="Q148" s="11">
        <v>0</v>
      </c>
      <c r="R148" s="13">
        <f t="shared" si="20"/>
        <v>0</v>
      </c>
      <c r="S148">
        <v>0</v>
      </c>
      <c r="T148">
        <v>0</v>
      </c>
      <c r="U148" s="7">
        <f t="shared" si="23"/>
        <v>0</v>
      </c>
      <c r="V148">
        <v>0</v>
      </c>
      <c r="W148">
        <v>0</v>
      </c>
      <c r="X148">
        <v>0</v>
      </c>
      <c r="Y148">
        <v>0</v>
      </c>
      <c r="Z148" s="13">
        <f t="shared" si="24"/>
        <v>0</v>
      </c>
      <c r="AA148">
        <v>0</v>
      </c>
      <c r="AB148">
        <v>0</v>
      </c>
      <c r="AC148">
        <v>0</v>
      </c>
      <c r="AD148">
        <v>0</v>
      </c>
      <c r="AE148" s="7">
        <f t="shared" si="25"/>
        <v>0</v>
      </c>
      <c r="AF148">
        <v>0</v>
      </c>
      <c r="AG148">
        <v>0</v>
      </c>
      <c r="AH148">
        <v>0</v>
      </c>
      <c r="AI148" s="13">
        <f t="shared" si="21"/>
        <v>0</v>
      </c>
      <c r="AJ148" s="11" t="s">
        <v>51</v>
      </c>
      <c r="AK148" s="11" t="s">
        <v>51</v>
      </c>
      <c r="AL148" s="11" t="s">
        <v>51</v>
      </c>
      <c r="AM148" s="13">
        <f t="shared" si="26"/>
        <v>0</v>
      </c>
      <c r="AN148" s="18">
        <v>1.5</v>
      </c>
      <c r="AO148" s="18">
        <v>0</v>
      </c>
      <c r="AP148" s="18">
        <v>0</v>
      </c>
      <c r="AQ148" s="18">
        <v>0</v>
      </c>
      <c r="AR148" s="18">
        <f t="shared" si="27"/>
        <v>1.5</v>
      </c>
      <c r="AS148" t="s">
        <v>87</v>
      </c>
      <c r="AT148" s="9" t="s">
        <v>594</v>
      </c>
      <c r="AU148" s="30">
        <f>+((AN148*M148)/AR148)</f>
        <v>90.08</v>
      </c>
    </row>
    <row r="149" spans="1:47" hidden="1" x14ac:dyDescent="0.25">
      <c r="A149" t="s">
        <v>46</v>
      </c>
      <c r="B149" s="32" t="s">
        <v>595</v>
      </c>
      <c r="C149" s="32" t="s">
        <v>596</v>
      </c>
      <c r="D149" s="32" t="s">
        <v>597</v>
      </c>
      <c r="E149" s="11">
        <v>0</v>
      </c>
      <c r="F149" s="11">
        <v>0</v>
      </c>
      <c r="G149" s="11">
        <v>0</v>
      </c>
      <c r="H149" s="11">
        <v>0</v>
      </c>
      <c r="I149" s="13">
        <f t="shared" si="22"/>
        <v>0</v>
      </c>
      <c r="J149" s="11">
        <v>0</v>
      </c>
      <c r="K149" s="11">
        <v>0</v>
      </c>
      <c r="L149" s="11">
        <v>0</v>
      </c>
      <c r="M149" s="13">
        <v>0</v>
      </c>
      <c r="N149" s="11">
        <v>46.73</v>
      </c>
      <c r="O149" s="11">
        <v>2.5</v>
      </c>
      <c r="P149" s="11">
        <v>20</v>
      </c>
      <c r="Q149" s="11">
        <v>19.329999999999998</v>
      </c>
      <c r="R149" s="13">
        <f t="shared" si="20"/>
        <v>88.559999999999988</v>
      </c>
      <c r="S149">
        <v>0</v>
      </c>
      <c r="T149">
        <v>0</v>
      </c>
      <c r="U149" s="7">
        <f t="shared" si="23"/>
        <v>0</v>
      </c>
      <c r="V149">
        <v>0</v>
      </c>
      <c r="W149">
        <v>0</v>
      </c>
      <c r="X149">
        <v>0</v>
      </c>
      <c r="Y149">
        <v>0</v>
      </c>
      <c r="Z149" s="13">
        <f t="shared" si="24"/>
        <v>0</v>
      </c>
      <c r="AA149">
        <v>0</v>
      </c>
      <c r="AB149">
        <v>0</v>
      </c>
      <c r="AC149">
        <v>0</v>
      </c>
      <c r="AD149">
        <v>0</v>
      </c>
      <c r="AE149" s="7">
        <f t="shared" si="25"/>
        <v>0</v>
      </c>
      <c r="AF149">
        <v>0</v>
      </c>
      <c r="AG149">
        <v>0</v>
      </c>
      <c r="AH149">
        <v>0</v>
      </c>
      <c r="AI149" s="13">
        <f t="shared" si="21"/>
        <v>0</v>
      </c>
      <c r="AJ149" s="11" t="s">
        <v>51</v>
      </c>
      <c r="AK149" s="11" t="s">
        <v>51</v>
      </c>
      <c r="AL149" s="11" t="s">
        <v>51</v>
      </c>
      <c r="AM149" s="13">
        <f t="shared" si="26"/>
        <v>0</v>
      </c>
      <c r="AN149" s="18">
        <v>11</v>
      </c>
      <c r="AO149" s="18">
        <v>0</v>
      </c>
      <c r="AP149" s="18">
        <v>0</v>
      </c>
      <c r="AQ149" s="18">
        <v>0</v>
      </c>
      <c r="AR149" s="18">
        <f t="shared" si="27"/>
        <v>11</v>
      </c>
      <c r="AS149" t="s">
        <v>117</v>
      </c>
      <c r="AT149" s="9" t="s">
        <v>598</v>
      </c>
      <c r="AU149" s="11">
        <f>+((AN149*R149)+(AQ149*AI149)+(AP149*AM149))/AR149</f>
        <v>88.559999999999988</v>
      </c>
    </row>
    <row r="150" spans="1:47" hidden="1" x14ac:dyDescent="0.25">
      <c r="A150" t="s">
        <v>46</v>
      </c>
      <c r="B150" t="s">
        <v>599</v>
      </c>
      <c r="C150" t="s">
        <v>600</v>
      </c>
      <c r="D150" t="s">
        <v>601</v>
      </c>
      <c r="E150" s="11">
        <v>20</v>
      </c>
      <c r="F150" s="11">
        <v>20</v>
      </c>
      <c r="G150" s="11">
        <v>38.270000000000003</v>
      </c>
      <c r="H150" s="11">
        <v>5.5</v>
      </c>
      <c r="I150" s="13">
        <f t="shared" si="22"/>
        <v>83.77000000000001</v>
      </c>
      <c r="J150" s="11">
        <v>0</v>
      </c>
      <c r="K150" s="11">
        <v>0</v>
      </c>
      <c r="L150" s="11">
        <v>0</v>
      </c>
      <c r="M150" s="13">
        <v>0</v>
      </c>
      <c r="N150" s="11">
        <v>0</v>
      </c>
      <c r="O150" s="11">
        <v>0</v>
      </c>
      <c r="P150" s="11">
        <v>0</v>
      </c>
      <c r="Q150" s="11">
        <v>0</v>
      </c>
      <c r="R150" s="13">
        <f t="shared" si="20"/>
        <v>0</v>
      </c>
      <c r="S150">
        <v>0</v>
      </c>
      <c r="T150">
        <v>0</v>
      </c>
      <c r="U150" s="7">
        <f t="shared" si="23"/>
        <v>0</v>
      </c>
      <c r="V150">
        <v>0</v>
      </c>
      <c r="W150">
        <v>0</v>
      </c>
      <c r="X150">
        <v>0</v>
      </c>
      <c r="Y150">
        <v>0</v>
      </c>
      <c r="Z150" s="13">
        <f t="shared" si="24"/>
        <v>0</v>
      </c>
      <c r="AA150">
        <v>3.75</v>
      </c>
      <c r="AB150">
        <v>12.5</v>
      </c>
      <c r="AC150">
        <v>15</v>
      </c>
      <c r="AD150">
        <v>20</v>
      </c>
      <c r="AE150" s="7">
        <f t="shared" si="25"/>
        <v>51.25</v>
      </c>
      <c r="AF150">
        <v>0</v>
      </c>
      <c r="AG150">
        <v>0</v>
      </c>
      <c r="AH150">
        <v>0</v>
      </c>
      <c r="AI150" s="13">
        <f t="shared" si="21"/>
        <v>0</v>
      </c>
      <c r="AJ150" s="11" t="s">
        <v>51</v>
      </c>
      <c r="AK150" s="11">
        <v>37.5</v>
      </c>
      <c r="AL150" s="11">
        <v>47.387500000000003</v>
      </c>
      <c r="AM150" s="13">
        <f t="shared" si="26"/>
        <v>84.887500000000003</v>
      </c>
      <c r="AN150" s="18">
        <v>32</v>
      </c>
      <c r="AO150" s="18">
        <v>5</v>
      </c>
      <c r="AP150" s="18">
        <v>3</v>
      </c>
      <c r="AQ150" s="18">
        <v>0</v>
      </c>
      <c r="AR150" s="18">
        <f t="shared" si="27"/>
        <v>40</v>
      </c>
      <c r="AS150" t="s">
        <v>52</v>
      </c>
      <c r="AT150" s="9" t="s">
        <v>602</v>
      </c>
      <c r="AU150" s="30">
        <f t="shared" ref="AU150:AU156" si="28">+((AN150*I150)+(AO150*AE150)+(AQ150*AI150)+(AP150*AM150))/AR150</f>
        <v>79.788812500000006</v>
      </c>
    </row>
    <row r="151" spans="1:47" hidden="1" x14ac:dyDescent="0.25">
      <c r="A151" t="s">
        <v>46</v>
      </c>
      <c r="B151" t="s">
        <v>603</v>
      </c>
      <c r="C151" t="s">
        <v>604</v>
      </c>
      <c r="D151" t="s">
        <v>605</v>
      </c>
      <c r="E151" s="11">
        <v>19.329999999999998</v>
      </c>
      <c r="F151" s="11">
        <v>19</v>
      </c>
      <c r="G151" s="11">
        <v>45.65</v>
      </c>
      <c r="H151" s="11">
        <v>6</v>
      </c>
      <c r="I151" s="13">
        <f t="shared" si="22"/>
        <v>89.97999999999999</v>
      </c>
      <c r="J151" s="11">
        <v>0</v>
      </c>
      <c r="K151" s="11">
        <v>0</v>
      </c>
      <c r="L151" s="11">
        <v>0</v>
      </c>
      <c r="M151" s="13">
        <v>0</v>
      </c>
      <c r="N151" s="11">
        <v>0</v>
      </c>
      <c r="O151" s="11">
        <v>0</v>
      </c>
      <c r="P151" s="11">
        <v>0</v>
      </c>
      <c r="Q151" s="11">
        <v>0</v>
      </c>
      <c r="R151" s="13">
        <f t="shared" si="20"/>
        <v>0</v>
      </c>
      <c r="S151">
        <v>0</v>
      </c>
      <c r="T151">
        <v>0</v>
      </c>
      <c r="U151" s="7">
        <f t="shared" si="23"/>
        <v>0</v>
      </c>
      <c r="V151">
        <v>0</v>
      </c>
      <c r="W151">
        <v>0</v>
      </c>
      <c r="X151">
        <v>0</v>
      </c>
      <c r="Y151">
        <v>0</v>
      </c>
      <c r="Z151" s="13">
        <f t="shared" si="24"/>
        <v>0</v>
      </c>
      <c r="AA151">
        <v>0</v>
      </c>
      <c r="AB151">
        <v>0</v>
      </c>
      <c r="AC151">
        <v>0</v>
      </c>
      <c r="AD151">
        <v>0</v>
      </c>
      <c r="AE151" s="7">
        <f t="shared" si="25"/>
        <v>0</v>
      </c>
      <c r="AF151">
        <v>0</v>
      </c>
      <c r="AG151">
        <v>0</v>
      </c>
      <c r="AH151">
        <v>0</v>
      </c>
      <c r="AI151" s="13">
        <f t="shared" si="21"/>
        <v>0</v>
      </c>
      <c r="AJ151" s="11" t="s">
        <v>51</v>
      </c>
      <c r="AK151" s="11" t="s">
        <v>51</v>
      </c>
      <c r="AL151" s="11" t="s">
        <v>51</v>
      </c>
      <c r="AM151" s="13">
        <f t="shared" si="26"/>
        <v>0</v>
      </c>
      <c r="AN151" s="18">
        <v>40</v>
      </c>
      <c r="AO151" s="18">
        <v>0</v>
      </c>
      <c r="AP151" s="18">
        <v>0</v>
      </c>
      <c r="AQ151" s="18">
        <v>0</v>
      </c>
      <c r="AR151" s="18">
        <f t="shared" si="27"/>
        <v>40</v>
      </c>
      <c r="AS151" t="s">
        <v>52</v>
      </c>
      <c r="AT151" s="9" t="s">
        <v>606</v>
      </c>
      <c r="AU151" s="30">
        <f t="shared" si="28"/>
        <v>89.97999999999999</v>
      </c>
    </row>
    <row r="152" spans="1:47" hidden="1" x14ac:dyDescent="0.25">
      <c r="A152" t="s">
        <v>46</v>
      </c>
      <c r="B152" t="s">
        <v>607</v>
      </c>
      <c r="C152" t="s">
        <v>608</v>
      </c>
      <c r="D152" t="s">
        <v>609</v>
      </c>
      <c r="E152" s="11">
        <v>19.670000000000002</v>
      </c>
      <c r="F152" s="11">
        <v>18.670000000000002</v>
      </c>
      <c r="G152" s="11">
        <v>46.14</v>
      </c>
      <c r="H152" s="11">
        <v>4.5</v>
      </c>
      <c r="I152" s="13">
        <f t="shared" si="22"/>
        <v>88.98</v>
      </c>
      <c r="J152" s="11">
        <v>0</v>
      </c>
      <c r="K152" s="11">
        <v>0</v>
      </c>
      <c r="L152" s="11">
        <v>0</v>
      </c>
      <c r="M152" s="13">
        <v>0</v>
      </c>
      <c r="N152" s="11">
        <v>0</v>
      </c>
      <c r="O152" s="11">
        <v>0</v>
      </c>
      <c r="P152" s="11">
        <v>0</v>
      </c>
      <c r="Q152" s="11">
        <v>0</v>
      </c>
      <c r="R152" s="13">
        <f t="shared" si="20"/>
        <v>0</v>
      </c>
      <c r="S152">
        <v>0</v>
      </c>
      <c r="T152">
        <v>0</v>
      </c>
      <c r="U152" s="7">
        <f t="shared" si="23"/>
        <v>0</v>
      </c>
      <c r="V152">
        <v>0</v>
      </c>
      <c r="W152">
        <v>0</v>
      </c>
      <c r="X152">
        <v>0</v>
      </c>
      <c r="Y152">
        <v>0</v>
      </c>
      <c r="Z152" s="13">
        <f t="shared" si="24"/>
        <v>0</v>
      </c>
      <c r="AA152">
        <v>0</v>
      </c>
      <c r="AB152">
        <v>0</v>
      </c>
      <c r="AC152">
        <v>0</v>
      </c>
      <c r="AD152">
        <v>0</v>
      </c>
      <c r="AE152" s="7">
        <f t="shared" si="25"/>
        <v>0</v>
      </c>
      <c r="AF152">
        <v>50</v>
      </c>
      <c r="AG152">
        <v>20</v>
      </c>
      <c r="AH152">
        <v>30</v>
      </c>
      <c r="AI152" s="13">
        <f t="shared" si="21"/>
        <v>100</v>
      </c>
      <c r="AJ152" s="11" t="s">
        <v>51</v>
      </c>
      <c r="AK152" s="11" t="s">
        <v>51</v>
      </c>
      <c r="AL152" s="11" t="s">
        <v>51</v>
      </c>
      <c r="AM152" s="13">
        <f t="shared" si="26"/>
        <v>0</v>
      </c>
      <c r="AN152" s="18">
        <v>32</v>
      </c>
      <c r="AO152" s="18">
        <v>0</v>
      </c>
      <c r="AP152" s="18">
        <v>0</v>
      </c>
      <c r="AQ152" s="18">
        <v>8</v>
      </c>
      <c r="AR152" s="18">
        <f t="shared" si="27"/>
        <v>40</v>
      </c>
      <c r="AS152" t="s">
        <v>52</v>
      </c>
      <c r="AT152" s="9" t="s">
        <v>610</v>
      </c>
      <c r="AU152" s="30">
        <f t="shared" si="28"/>
        <v>91.183999999999997</v>
      </c>
    </row>
    <row r="153" spans="1:47" hidden="1" x14ac:dyDescent="0.25">
      <c r="A153" t="s">
        <v>46</v>
      </c>
      <c r="B153" t="s">
        <v>611</v>
      </c>
      <c r="C153" t="s">
        <v>612</v>
      </c>
      <c r="D153" t="s">
        <v>613</v>
      </c>
      <c r="E153" s="11">
        <v>18.329999999999998</v>
      </c>
      <c r="F153" s="11">
        <v>17</v>
      </c>
      <c r="G153" s="11">
        <v>38.380000000000003</v>
      </c>
      <c r="H153" s="11">
        <v>6</v>
      </c>
      <c r="I153" s="13">
        <f t="shared" si="22"/>
        <v>79.710000000000008</v>
      </c>
      <c r="J153" s="11">
        <v>0</v>
      </c>
      <c r="K153" s="11">
        <v>0</v>
      </c>
      <c r="L153" s="11">
        <v>0</v>
      </c>
      <c r="M153" s="13">
        <v>0</v>
      </c>
      <c r="N153" s="11">
        <v>0</v>
      </c>
      <c r="O153" s="11">
        <v>0</v>
      </c>
      <c r="P153" s="11">
        <v>0</v>
      </c>
      <c r="Q153" s="11">
        <v>0</v>
      </c>
      <c r="R153" s="13">
        <f t="shared" si="20"/>
        <v>0</v>
      </c>
      <c r="S153">
        <v>0</v>
      </c>
      <c r="T153">
        <v>0</v>
      </c>
      <c r="U153" s="7">
        <f t="shared" si="23"/>
        <v>0</v>
      </c>
      <c r="V153">
        <v>0</v>
      </c>
      <c r="W153">
        <v>0</v>
      </c>
      <c r="X153">
        <v>0</v>
      </c>
      <c r="Y153">
        <v>0</v>
      </c>
      <c r="Z153" s="13">
        <f t="shared" si="24"/>
        <v>0</v>
      </c>
      <c r="AA153">
        <v>3.75</v>
      </c>
      <c r="AB153">
        <v>18.75</v>
      </c>
      <c r="AC153">
        <v>15</v>
      </c>
      <c r="AD153">
        <v>18.75</v>
      </c>
      <c r="AE153" s="7">
        <f t="shared" si="25"/>
        <v>56.25</v>
      </c>
      <c r="AF153">
        <v>0</v>
      </c>
      <c r="AG153">
        <v>0</v>
      </c>
      <c r="AH153">
        <v>0</v>
      </c>
      <c r="AI153" s="13">
        <f t="shared" si="21"/>
        <v>0</v>
      </c>
      <c r="AJ153" s="11" t="s">
        <v>51</v>
      </c>
      <c r="AK153" s="11" t="s">
        <v>51</v>
      </c>
      <c r="AL153" s="11" t="s">
        <v>51</v>
      </c>
      <c r="AM153" s="13">
        <f t="shared" si="26"/>
        <v>0</v>
      </c>
      <c r="AN153" s="18">
        <v>34</v>
      </c>
      <c r="AO153" s="18">
        <v>6</v>
      </c>
      <c r="AP153" s="18">
        <v>0</v>
      </c>
      <c r="AQ153" s="18">
        <v>0</v>
      </c>
      <c r="AR153" s="18">
        <f t="shared" si="27"/>
        <v>40</v>
      </c>
      <c r="AS153" t="s">
        <v>52</v>
      </c>
      <c r="AT153" s="9" t="s">
        <v>614</v>
      </c>
      <c r="AU153" s="30">
        <f t="shared" si="28"/>
        <v>76.191000000000003</v>
      </c>
    </row>
    <row r="154" spans="1:47" hidden="1" x14ac:dyDescent="0.25">
      <c r="A154" t="s">
        <v>46</v>
      </c>
      <c r="B154" t="s">
        <v>615</v>
      </c>
      <c r="C154" t="s">
        <v>616</v>
      </c>
      <c r="D154" t="s">
        <v>176</v>
      </c>
      <c r="E154" s="11">
        <v>27.61428571428571</v>
      </c>
      <c r="F154" s="11">
        <v>0</v>
      </c>
      <c r="G154" s="11">
        <v>54.828571428571429</v>
      </c>
      <c r="H154" s="11">
        <v>0</v>
      </c>
      <c r="I154" s="13">
        <f t="shared" si="22"/>
        <v>82.442857142857136</v>
      </c>
      <c r="J154" s="11">
        <v>0</v>
      </c>
      <c r="K154" s="11">
        <v>0</v>
      </c>
      <c r="L154" s="11">
        <v>0</v>
      </c>
      <c r="M154" s="13">
        <v>0</v>
      </c>
      <c r="N154" s="11">
        <v>0</v>
      </c>
      <c r="O154" s="11">
        <v>0</v>
      </c>
      <c r="P154" s="11">
        <v>0</v>
      </c>
      <c r="Q154" s="11">
        <v>0</v>
      </c>
      <c r="R154" s="13">
        <f t="shared" si="20"/>
        <v>0</v>
      </c>
      <c r="S154">
        <v>0</v>
      </c>
      <c r="T154">
        <v>0</v>
      </c>
      <c r="U154" s="7">
        <f t="shared" si="23"/>
        <v>0</v>
      </c>
      <c r="V154">
        <v>0</v>
      </c>
      <c r="W154">
        <v>0</v>
      </c>
      <c r="X154">
        <v>0</v>
      </c>
      <c r="Y154">
        <v>0</v>
      </c>
      <c r="Z154" s="13">
        <f t="shared" si="24"/>
        <v>0</v>
      </c>
      <c r="AA154">
        <v>0</v>
      </c>
      <c r="AB154">
        <v>0</v>
      </c>
      <c r="AC154">
        <v>0</v>
      </c>
      <c r="AD154">
        <v>0</v>
      </c>
      <c r="AE154" s="7">
        <f t="shared" si="25"/>
        <v>0</v>
      </c>
      <c r="AF154">
        <v>0</v>
      </c>
      <c r="AG154">
        <v>0</v>
      </c>
      <c r="AH154">
        <v>0</v>
      </c>
      <c r="AI154" s="13">
        <f t="shared" si="21"/>
        <v>0</v>
      </c>
      <c r="AJ154" s="11" t="s">
        <v>51</v>
      </c>
      <c r="AK154" s="11" t="s">
        <v>51</v>
      </c>
      <c r="AL154" s="11" t="s">
        <v>51</v>
      </c>
      <c r="AM154" s="13">
        <f t="shared" si="26"/>
        <v>0</v>
      </c>
      <c r="AN154" s="18">
        <v>3.5</v>
      </c>
      <c r="AO154" s="18">
        <v>0</v>
      </c>
      <c r="AP154" s="18">
        <v>0</v>
      </c>
      <c r="AQ154" s="18">
        <v>0</v>
      </c>
      <c r="AR154" s="18">
        <f t="shared" si="27"/>
        <v>3.5</v>
      </c>
      <c r="AS154" t="s">
        <v>52</v>
      </c>
      <c r="AT154" s="9" t="s">
        <v>617</v>
      </c>
      <c r="AU154" s="30">
        <f t="shared" si="28"/>
        <v>82.442857142857136</v>
      </c>
    </row>
    <row r="155" spans="1:47" hidden="1" x14ac:dyDescent="0.25">
      <c r="A155" t="s">
        <v>46</v>
      </c>
      <c r="B155" t="s">
        <v>618</v>
      </c>
      <c r="C155" t="s">
        <v>619</v>
      </c>
      <c r="D155" t="s">
        <v>620</v>
      </c>
      <c r="E155" s="11">
        <v>20</v>
      </c>
      <c r="F155" s="11">
        <v>20</v>
      </c>
      <c r="G155" s="11">
        <v>39.82</v>
      </c>
      <c r="H155" s="11">
        <v>3</v>
      </c>
      <c r="I155" s="13">
        <f t="shared" si="22"/>
        <v>82.82</v>
      </c>
      <c r="J155" s="11">
        <v>0</v>
      </c>
      <c r="K155" s="11">
        <v>0</v>
      </c>
      <c r="L155" s="11">
        <v>0</v>
      </c>
      <c r="M155" s="13">
        <v>0</v>
      </c>
      <c r="N155" s="11">
        <v>0</v>
      </c>
      <c r="O155" s="11">
        <v>0</v>
      </c>
      <c r="P155" s="11">
        <v>0</v>
      </c>
      <c r="Q155" s="11">
        <v>0</v>
      </c>
      <c r="R155" s="13">
        <f t="shared" si="20"/>
        <v>0</v>
      </c>
      <c r="S155">
        <v>0</v>
      </c>
      <c r="T155">
        <v>0</v>
      </c>
      <c r="U155" s="7">
        <f t="shared" si="23"/>
        <v>0</v>
      </c>
      <c r="V155">
        <v>0</v>
      </c>
      <c r="W155">
        <v>0</v>
      </c>
      <c r="X155">
        <v>0</v>
      </c>
      <c r="Y155">
        <v>0</v>
      </c>
      <c r="Z155" s="13">
        <f t="shared" si="24"/>
        <v>0</v>
      </c>
      <c r="AA155">
        <v>0</v>
      </c>
      <c r="AB155">
        <v>0</v>
      </c>
      <c r="AC155">
        <v>0</v>
      </c>
      <c r="AD155">
        <v>0</v>
      </c>
      <c r="AE155" s="7">
        <f t="shared" si="25"/>
        <v>0</v>
      </c>
      <c r="AF155">
        <v>0</v>
      </c>
      <c r="AG155">
        <v>0</v>
      </c>
      <c r="AH155">
        <v>0</v>
      </c>
      <c r="AI155" s="13">
        <f t="shared" si="21"/>
        <v>0</v>
      </c>
      <c r="AJ155" s="11" t="s">
        <v>51</v>
      </c>
      <c r="AK155" s="11" t="s">
        <v>51</v>
      </c>
      <c r="AL155" s="11" t="s">
        <v>51</v>
      </c>
      <c r="AM155" s="13">
        <f t="shared" si="26"/>
        <v>0</v>
      </c>
      <c r="AN155" s="18">
        <v>2</v>
      </c>
      <c r="AO155" s="18">
        <v>0</v>
      </c>
      <c r="AP155" s="18">
        <v>0</v>
      </c>
      <c r="AQ155" s="18">
        <v>0</v>
      </c>
      <c r="AR155" s="18">
        <f t="shared" si="27"/>
        <v>2</v>
      </c>
      <c r="AS155" t="s">
        <v>52</v>
      </c>
      <c r="AT155" s="9" t="s">
        <v>621</v>
      </c>
      <c r="AU155" s="30">
        <f t="shared" si="28"/>
        <v>82.82</v>
      </c>
    </row>
    <row r="156" spans="1:47" hidden="1" x14ac:dyDescent="0.25">
      <c r="A156" t="s">
        <v>46</v>
      </c>
      <c r="B156" t="s">
        <v>622</v>
      </c>
      <c r="C156" t="s">
        <v>623</v>
      </c>
      <c r="D156" t="s">
        <v>624</v>
      </c>
      <c r="E156" s="11">
        <v>18.670000000000002</v>
      </c>
      <c r="F156" s="11">
        <v>19</v>
      </c>
      <c r="G156" s="11">
        <v>44.21</v>
      </c>
      <c r="H156" s="11">
        <v>4</v>
      </c>
      <c r="I156" s="13">
        <f t="shared" si="22"/>
        <v>85.88</v>
      </c>
      <c r="J156" s="11">
        <v>53.05</v>
      </c>
      <c r="K156" s="11">
        <v>27.5</v>
      </c>
      <c r="L156" s="11">
        <v>4</v>
      </c>
      <c r="M156" s="13">
        <v>84.55</v>
      </c>
      <c r="N156" s="11">
        <v>0</v>
      </c>
      <c r="O156" s="11">
        <v>0</v>
      </c>
      <c r="P156" s="11">
        <v>0</v>
      </c>
      <c r="Q156" s="11">
        <v>0</v>
      </c>
      <c r="R156" s="13">
        <f t="shared" si="20"/>
        <v>0</v>
      </c>
      <c r="S156">
        <v>0</v>
      </c>
      <c r="T156">
        <v>0</v>
      </c>
      <c r="U156" s="7">
        <f t="shared" si="23"/>
        <v>0</v>
      </c>
      <c r="V156">
        <v>0</v>
      </c>
      <c r="W156">
        <v>0</v>
      </c>
      <c r="X156">
        <v>0</v>
      </c>
      <c r="Y156">
        <v>0</v>
      </c>
      <c r="Z156" s="13">
        <f t="shared" si="24"/>
        <v>0</v>
      </c>
      <c r="AA156">
        <v>0</v>
      </c>
      <c r="AB156">
        <v>0</v>
      </c>
      <c r="AC156">
        <v>0</v>
      </c>
      <c r="AD156">
        <v>0</v>
      </c>
      <c r="AE156" s="7">
        <f t="shared" si="25"/>
        <v>0</v>
      </c>
      <c r="AF156">
        <v>0</v>
      </c>
      <c r="AG156">
        <v>0</v>
      </c>
      <c r="AH156">
        <v>0</v>
      </c>
      <c r="AI156" s="13">
        <f t="shared" si="21"/>
        <v>0</v>
      </c>
      <c r="AJ156" s="11" t="s">
        <v>51</v>
      </c>
      <c r="AK156" s="11" t="s">
        <v>51</v>
      </c>
      <c r="AL156" s="11" t="s">
        <v>51</v>
      </c>
      <c r="AM156" s="13">
        <f t="shared" si="26"/>
        <v>0</v>
      </c>
      <c r="AN156" s="18">
        <v>7</v>
      </c>
      <c r="AO156" s="18">
        <v>0</v>
      </c>
      <c r="AP156" s="18">
        <v>0</v>
      </c>
      <c r="AQ156" s="18">
        <v>0</v>
      </c>
      <c r="AR156" s="18">
        <f t="shared" si="27"/>
        <v>7</v>
      </c>
      <c r="AS156" t="s">
        <v>52</v>
      </c>
      <c r="AT156" s="9" t="s">
        <v>625</v>
      </c>
      <c r="AU156" s="30">
        <f t="shared" si="28"/>
        <v>85.88</v>
      </c>
    </row>
    <row r="157" spans="1:47" hidden="1" x14ac:dyDescent="0.25">
      <c r="A157" t="s">
        <v>46</v>
      </c>
      <c r="B157" t="s">
        <v>622</v>
      </c>
      <c r="C157" t="s">
        <v>623</v>
      </c>
      <c r="D157" t="s">
        <v>624</v>
      </c>
      <c r="E157" s="11">
        <v>18.670000000000002</v>
      </c>
      <c r="F157" s="11">
        <v>19</v>
      </c>
      <c r="G157" s="11">
        <v>44.21</v>
      </c>
      <c r="H157" s="11">
        <v>4</v>
      </c>
      <c r="I157" s="13">
        <f t="shared" si="22"/>
        <v>85.88</v>
      </c>
      <c r="J157" s="11">
        <v>53.05</v>
      </c>
      <c r="K157" s="11">
        <v>27.5</v>
      </c>
      <c r="L157" s="11">
        <v>4</v>
      </c>
      <c r="M157" s="13">
        <v>84.55</v>
      </c>
      <c r="N157" s="11">
        <v>0</v>
      </c>
      <c r="O157" s="11">
        <v>0</v>
      </c>
      <c r="P157" s="11">
        <v>0</v>
      </c>
      <c r="Q157" s="11">
        <v>0</v>
      </c>
      <c r="R157" s="13">
        <f t="shared" si="20"/>
        <v>0</v>
      </c>
      <c r="S157">
        <v>0</v>
      </c>
      <c r="T157">
        <v>0</v>
      </c>
      <c r="U157" s="7">
        <f t="shared" si="23"/>
        <v>0</v>
      </c>
      <c r="V157">
        <v>0</v>
      </c>
      <c r="W157">
        <v>0</v>
      </c>
      <c r="X157">
        <v>0</v>
      </c>
      <c r="Y157">
        <v>0</v>
      </c>
      <c r="Z157" s="13">
        <f t="shared" si="24"/>
        <v>0</v>
      </c>
      <c r="AA157">
        <v>0</v>
      </c>
      <c r="AB157">
        <v>0</v>
      </c>
      <c r="AC157">
        <v>0</v>
      </c>
      <c r="AD157">
        <v>0</v>
      </c>
      <c r="AE157" s="7">
        <f t="shared" si="25"/>
        <v>0</v>
      </c>
      <c r="AF157">
        <v>0</v>
      </c>
      <c r="AG157">
        <v>0</v>
      </c>
      <c r="AH157">
        <v>0</v>
      </c>
      <c r="AI157" s="13">
        <f t="shared" si="21"/>
        <v>0</v>
      </c>
      <c r="AJ157" s="11" t="s">
        <v>51</v>
      </c>
      <c r="AK157" s="11" t="s">
        <v>51</v>
      </c>
      <c r="AL157" s="11" t="s">
        <v>51</v>
      </c>
      <c r="AM157" s="13">
        <f t="shared" si="26"/>
        <v>0</v>
      </c>
      <c r="AN157" s="18">
        <v>2.625</v>
      </c>
      <c r="AO157" s="18">
        <v>0</v>
      </c>
      <c r="AP157" s="18">
        <v>0</v>
      </c>
      <c r="AQ157" s="18">
        <v>0</v>
      </c>
      <c r="AR157" s="18">
        <f t="shared" si="27"/>
        <v>2.625</v>
      </c>
      <c r="AS157" t="s">
        <v>87</v>
      </c>
      <c r="AT157" s="9" t="s">
        <v>626</v>
      </c>
      <c r="AU157" s="30">
        <f>+((AN157*M157)+(AO157*AE157)+(AQ157*AI157)+(AP157*AM157))/AR157</f>
        <v>84.55</v>
      </c>
    </row>
    <row r="158" spans="1:47" hidden="1" x14ac:dyDescent="0.25">
      <c r="A158" t="s">
        <v>46</v>
      </c>
      <c r="B158" t="s">
        <v>627</v>
      </c>
      <c r="C158" t="s">
        <v>628</v>
      </c>
      <c r="D158" t="s">
        <v>629</v>
      </c>
      <c r="E158" s="11">
        <v>0</v>
      </c>
      <c r="F158" s="11">
        <v>0</v>
      </c>
      <c r="G158" s="11">
        <v>0</v>
      </c>
      <c r="H158" s="11">
        <v>0</v>
      </c>
      <c r="I158" s="13">
        <f t="shared" si="22"/>
        <v>0</v>
      </c>
      <c r="J158" s="11">
        <v>56.96</v>
      </c>
      <c r="K158" s="11">
        <v>30</v>
      </c>
      <c r="L158" s="11">
        <v>3</v>
      </c>
      <c r="M158" s="13">
        <v>89.960000000000008</v>
      </c>
      <c r="N158" s="11">
        <v>0</v>
      </c>
      <c r="O158" s="11">
        <v>0</v>
      </c>
      <c r="P158" s="11">
        <v>0</v>
      </c>
      <c r="Q158" s="11">
        <v>0</v>
      </c>
      <c r="R158" s="13">
        <f t="shared" si="20"/>
        <v>0</v>
      </c>
      <c r="S158">
        <v>0</v>
      </c>
      <c r="T158">
        <v>0</v>
      </c>
      <c r="U158" s="7">
        <f t="shared" si="23"/>
        <v>0</v>
      </c>
      <c r="V158">
        <v>0</v>
      </c>
      <c r="W158">
        <v>0</v>
      </c>
      <c r="X158">
        <v>0</v>
      </c>
      <c r="Y158">
        <v>0</v>
      </c>
      <c r="Z158" s="13">
        <f t="shared" si="24"/>
        <v>0</v>
      </c>
      <c r="AA158">
        <v>0</v>
      </c>
      <c r="AB158">
        <v>0</v>
      </c>
      <c r="AC158">
        <v>0</v>
      </c>
      <c r="AD158">
        <v>0</v>
      </c>
      <c r="AE158" s="7">
        <f t="shared" si="25"/>
        <v>0</v>
      </c>
      <c r="AF158">
        <v>0</v>
      </c>
      <c r="AG158">
        <v>0</v>
      </c>
      <c r="AH158">
        <v>0</v>
      </c>
      <c r="AI158" s="13">
        <f t="shared" si="21"/>
        <v>0</v>
      </c>
      <c r="AJ158" s="11" t="s">
        <v>51</v>
      </c>
      <c r="AK158" s="11" t="s">
        <v>51</v>
      </c>
      <c r="AL158" s="11" t="s">
        <v>51</v>
      </c>
      <c r="AM158" s="13">
        <f t="shared" si="26"/>
        <v>0</v>
      </c>
      <c r="AN158" s="18">
        <v>2</v>
      </c>
      <c r="AO158" s="18">
        <v>0</v>
      </c>
      <c r="AP158" s="18">
        <v>0</v>
      </c>
      <c r="AQ158" s="18">
        <v>0</v>
      </c>
      <c r="AR158" s="18">
        <f t="shared" si="27"/>
        <v>2</v>
      </c>
      <c r="AS158" t="s">
        <v>87</v>
      </c>
      <c r="AT158" s="9" t="s">
        <v>630</v>
      </c>
      <c r="AU158" s="30">
        <f>+((AN158*M158)/AR158)</f>
        <v>89.960000000000008</v>
      </c>
    </row>
    <row r="159" spans="1:47" hidden="1" x14ac:dyDescent="0.25">
      <c r="A159" t="s">
        <v>46</v>
      </c>
      <c r="B159" t="s">
        <v>631</v>
      </c>
      <c r="C159" t="s">
        <v>632</v>
      </c>
      <c r="D159" t="s">
        <v>633</v>
      </c>
      <c r="E159" s="11">
        <v>20</v>
      </c>
      <c r="F159" s="11">
        <v>20</v>
      </c>
      <c r="G159" s="11">
        <v>42.13</v>
      </c>
      <c r="H159" s="11">
        <v>5</v>
      </c>
      <c r="I159" s="13">
        <f t="shared" si="22"/>
        <v>87.13</v>
      </c>
      <c r="J159" s="11">
        <v>0</v>
      </c>
      <c r="K159" s="11">
        <v>0</v>
      </c>
      <c r="L159" s="11">
        <v>0</v>
      </c>
      <c r="M159" s="13">
        <v>0</v>
      </c>
      <c r="N159" s="11">
        <v>0</v>
      </c>
      <c r="O159" s="11">
        <v>0</v>
      </c>
      <c r="P159" s="11">
        <v>0</v>
      </c>
      <c r="Q159" s="11">
        <v>0</v>
      </c>
      <c r="R159" s="13">
        <f t="shared" si="20"/>
        <v>0</v>
      </c>
      <c r="S159">
        <v>0</v>
      </c>
      <c r="T159">
        <v>0</v>
      </c>
      <c r="U159" s="7">
        <f t="shared" si="23"/>
        <v>0</v>
      </c>
      <c r="V159">
        <v>0</v>
      </c>
      <c r="W159">
        <v>0</v>
      </c>
      <c r="X159">
        <v>0</v>
      </c>
      <c r="Y159">
        <v>0</v>
      </c>
      <c r="Z159" s="13">
        <f t="shared" si="24"/>
        <v>0</v>
      </c>
      <c r="AA159">
        <v>0</v>
      </c>
      <c r="AB159">
        <v>0</v>
      </c>
      <c r="AC159">
        <v>0</v>
      </c>
      <c r="AD159">
        <v>0</v>
      </c>
      <c r="AE159" s="7">
        <f t="shared" si="25"/>
        <v>0</v>
      </c>
      <c r="AF159">
        <v>0</v>
      </c>
      <c r="AG159">
        <v>0</v>
      </c>
      <c r="AH159">
        <v>0</v>
      </c>
      <c r="AI159" s="13">
        <f t="shared" si="21"/>
        <v>0</v>
      </c>
      <c r="AJ159" s="11" t="s">
        <v>51</v>
      </c>
      <c r="AK159" s="11" t="s">
        <v>51</v>
      </c>
      <c r="AL159" s="11" t="s">
        <v>51</v>
      </c>
      <c r="AM159" s="13">
        <f t="shared" si="26"/>
        <v>0</v>
      </c>
      <c r="AN159" s="18">
        <v>40</v>
      </c>
      <c r="AO159" s="18">
        <v>0</v>
      </c>
      <c r="AP159" s="18">
        <v>0</v>
      </c>
      <c r="AQ159" s="18">
        <v>0</v>
      </c>
      <c r="AR159" s="18">
        <f t="shared" si="27"/>
        <v>40</v>
      </c>
      <c r="AS159" t="s">
        <v>52</v>
      </c>
      <c r="AT159" s="9" t="s">
        <v>634</v>
      </c>
      <c r="AU159" s="30">
        <f t="shared" ref="AU159:AU165" si="29">+((AN159*I159)+(AO159*AE159)+(AQ159*AI159)+(AP159*AM159))/AR159</f>
        <v>87.13</v>
      </c>
    </row>
    <row r="160" spans="1:47" hidden="1" x14ac:dyDescent="0.25">
      <c r="A160" t="s">
        <v>46</v>
      </c>
      <c r="B160" t="s">
        <v>635</v>
      </c>
      <c r="C160" t="s">
        <v>636</v>
      </c>
      <c r="D160" t="s">
        <v>637</v>
      </c>
      <c r="E160" s="11">
        <v>18.5</v>
      </c>
      <c r="F160" s="11">
        <v>13.67</v>
      </c>
      <c r="G160" s="11">
        <v>37.119999999999997</v>
      </c>
      <c r="H160" s="11">
        <v>4.5</v>
      </c>
      <c r="I160" s="13">
        <f t="shared" si="22"/>
        <v>73.789999999999992</v>
      </c>
      <c r="J160" s="11">
        <v>0</v>
      </c>
      <c r="K160" s="11">
        <v>0</v>
      </c>
      <c r="L160" s="11">
        <v>0</v>
      </c>
      <c r="M160" s="13">
        <v>0</v>
      </c>
      <c r="N160" s="11">
        <v>0</v>
      </c>
      <c r="O160" s="11">
        <v>0</v>
      </c>
      <c r="P160" s="11">
        <v>0</v>
      </c>
      <c r="Q160" s="11">
        <v>0</v>
      </c>
      <c r="R160" s="13">
        <f t="shared" si="20"/>
        <v>0</v>
      </c>
      <c r="S160">
        <v>0</v>
      </c>
      <c r="T160">
        <v>0</v>
      </c>
      <c r="U160" s="7">
        <f t="shared" si="23"/>
        <v>0</v>
      </c>
      <c r="V160">
        <v>0</v>
      </c>
      <c r="W160">
        <v>0</v>
      </c>
      <c r="X160">
        <v>0</v>
      </c>
      <c r="Y160">
        <v>0</v>
      </c>
      <c r="Z160" s="13">
        <f t="shared" si="24"/>
        <v>0</v>
      </c>
      <c r="AA160">
        <v>0</v>
      </c>
      <c r="AB160">
        <v>0</v>
      </c>
      <c r="AC160">
        <v>0</v>
      </c>
      <c r="AD160">
        <v>0</v>
      </c>
      <c r="AE160" s="7">
        <f t="shared" si="25"/>
        <v>0</v>
      </c>
      <c r="AF160">
        <v>0</v>
      </c>
      <c r="AG160">
        <v>0</v>
      </c>
      <c r="AH160">
        <v>0</v>
      </c>
      <c r="AI160" s="13">
        <f t="shared" si="21"/>
        <v>0</v>
      </c>
      <c r="AJ160" s="11" t="s">
        <v>51</v>
      </c>
      <c r="AK160" s="11" t="s">
        <v>51</v>
      </c>
      <c r="AL160" s="11" t="s">
        <v>51</v>
      </c>
      <c r="AM160" s="13">
        <f t="shared" si="26"/>
        <v>0</v>
      </c>
      <c r="AN160" s="18">
        <v>40</v>
      </c>
      <c r="AO160" s="18">
        <v>0</v>
      </c>
      <c r="AP160" s="18">
        <v>0</v>
      </c>
      <c r="AQ160" s="18">
        <v>0</v>
      </c>
      <c r="AR160" s="18">
        <f t="shared" si="27"/>
        <v>40</v>
      </c>
      <c r="AS160" t="s">
        <v>52</v>
      </c>
      <c r="AT160" s="9" t="s">
        <v>638</v>
      </c>
      <c r="AU160" s="30">
        <f t="shared" si="29"/>
        <v>73.789999999999992</v>
      </c>
    </row>
    <row r="161" spans="1:47" hidden="1" x14ac:dyDescent="0.25">
      <c r="A161" t="s">
        <v>46</v>
      </c>
      <c r="B161" t="s">
        <v>639</v>
      </c>
      <c r="C161" t="s">
        <v>640</v>
      </c>
      <c r="D161" t="s">
        <v>641</v>
      </c>
      <c r="E161" s="11">
        <v>17.440000000000005</v>
      </c>
      <c r="F161" s="11">
        <v>20</v>
      </c>
      <c r="G161" s="11">
        <v>45.16</v>
      </c>
      <c r="H161" s="11">
        <v>3.5</v>
      </c>
      <c r="I161" s="13">
        <f t="shared" si="22"/>
        <v>86.1</v>
      </c>
      <c r="J161" s="11">
        <v>77.414285714285711</v>
      </c>
      <c r="K161" s="11">
        <v>0</v>
      </c>
      <c r="L161" s="11">
        <v>4.9999999999999991</v>
      </c>
      <c r="M161" s="13">
        <v>82.414285714285711</v>
      </c>
      <c r="N161" s="11">
        <v>0</v>
      </c>
      <c r="O161" s="11">
        <v>0</v>
      </c>
      <c r="P161" s="11">
        <v>0</v>
      </c>
      <c r="Q161" s="11">
        <v>0</v>
      </c>
      <c r="R161" s="13">
        <f t="shared" si="20"/>
        <v>0</v>
      </c>
      <c r="S161">
        <v>0</v>
      </c>
      <c r="T161">
        <v>0</v>
      </c>
      <c r="U161" s="7">
        <f t="shared" si="23"/>
        <v>0</v>
      </c>
      <c r="V161">
        <v>0</v>
      </c>
      <c r="W161">
        <v>0</v>
      </c>
      <c r="X161">
        <v>0</v>
      </c>
      <c r="Y161">
        <v>0</v>
      </c>
      <c r="Z161" s="13">
        <f t="shared" si="24"/>
        <v>0</v>
      </c>
      <c r="AA161">
        <v>0</v>
      </c>
      <c r="AB161">
        <v>0</v>
      </c>
      <c r="AC161">
        <v>0</v>
      </c>
      <c r="AD161">
        <v>0</v>
      </c>
      <c r="AE161" s="7">
        <f t="shared" si="25"/>
        <v>0</v>
      </c>
      <c r="AF161">
        <v>45</v>
      </c>
      <c r="AG161">
        <v>15.33</v>
      </c>
      <c r="AH161">
        <v>26.65</v>
      </c>
      <c r="AI161" s="13">
        <f t="shared" si="21"/>
        <v>86.97999999999999</v>
      </c>
      <c r="AJ161" s="11" t="s">
        <v>51</v>
      </c>
      <c r="AK161" s="11" t="s">
        <v>51</v>
      </c>
      <c r="AL161" s="11" t="s">
        <v>51</v>
      </c>
      <c r="AM161" s="13">
        <f t="shared" si="26"/>
        <v>0</v>
      </c>
      <c r="AN161" s="18">
        <v>20</v>
      </c>
      <c r="AO161" s="18">
        <v>0</v>
      </c>
      <c r="AP161" s="18">
        <v>0</v>
      </c>
      <c r="AQ161" s="18">
        <v>20</v>
      </c>
      <c r="AR161" s="18">
        <f t="shared" si="27"/>
        <v>40</v>
      </c>
      <c r="AS161" t="s">
        <v>52</v>
      </c>
      <c r="AT161" s="9" t="s">
        <v>643</v>
      </c>
      <c r="AU161" s="30">
        <f t="shared" si="29"/>
        <v>86.539999999999992</v>
      </c>
    </row>
    <row r="162" spans="1:47" hidden="1" x14ac:dyDescent="0.25">
      <c r="A162" t="s">
        <v>46</v>
      </c>
      <c r="B162" t="s">
        <v>639</v>
      </c>
      <c r="C162" t="s">
        <v>640</v>
      </c>
      <c r="D162" t="s">
        <v>641</v>
      </c>
      <c r="E162" s="11">
        <v>17.440000000000005</v>
      </c>
      <c r="F162" s="11">
        <v>20</v>
      </c>
      <c r="G162" s="11">
        <v>45.16</v>
      </c>
      <c r="H162" s="11">
        <v>3.5</v>
      </c>
      <c r="I162" s="13">
        <f t="shared" si="22"/>
        <v>86.1</v>
      </c>
      <c r="J162" s="11">
        <v>77.414285714285711</v>
      </c>
      <c r="K162" s="11">
        <v>0</v>
      </c>
      <c r="L162" s="11">
        <v>4.9999999999999991</v>
      </c>
      <c r="M162" s="13">
        <v>82.414285714285711</v>
      </c>
      <c r="N162" s="11">
        <v>0</v>
      </c>
      <c r="O162" s="11">
        <v>0</v>
      </c>
      <c r="P162" s="11">
        <v>0</v>
      </c>
      <c r="Q162" s="11">
        <v>0</v>
      </c>
      <c r="R162" s="13">
        <f t="shared" si="20"/>
        <v>0</v>
      </c>
      <c r="S162">
        <v>0</v>
      </c>
      <c r="T162">
        <v>0</v>
      </c>
      <c r="U162" s="7">
        <f t="shared" si="23"/>
        <v>0</v>
      </c>
      <c r="V162">
        <v>0</v>
      </c>
      <c r="W162">
        <v>0</v>
      </c>
      <c r="X162">
        <v>0</v>
      </c>
      <c r="Y162">
        <v>0</v>
      </c>
      <c r="Z162" s="13">
        <f t="shared" si="24"/>
        <v>0</v>
      </c>
      <c r="AA162">
        <v>0</v>
      </c>
      <c r="AB162">
        <v>0</v>
      </c>
      <c r="AC162">
        <v>0</v>
      </c>
      <c r="AD162">
        <v>0</v>
      </c>
      <c r="AE162" s="7">
        <f t="shared" si="25"/>
        <v>0</v>
      </c>
      <c r="AF162">
        <v>45</v>
      </c>
      <c r="AG162">
        <v>15.33</v>
      </c>
      <c r="AH162">
        <v>26.65</v>
      </c>
      <c r="AI162" s="13">
        <f t="shared" si="21"/>
        <v>86.97999999999999</v>
      </c>
      <c r="AJ162" s="11" t="s">
        <v>51</v>
      </c>
      <c r="AK162" s="11" t="s">
        <v>51</v>
      </c>
      <c r="AL162" s="11" t="s">
        <v>51</v>
      </c>
      <c r="AM162" s="13">
        <f t="shared" si="26"/>
        <v>0</v>
      </c>
      <c r="AN162" s="18">
        <v>2</v>
      </c>
      <c r="AO162" s="18">
        <v>0</v>
      </c>
      <c r="AP162" s="18">
        <v>0</v>
      </c>
      <c r="AQ162" s="18">
        <v>0</v>
      </c>
      <c r="AR162" s="18">
        <f t="shared" si="27"/>
        <v>2</v>
      </c>
      <c r="AS162" t="s">
        <v>87</v>
      </c>
      <c r="AT162" s="9" t="s">
        <v>642</v>
      </c>
      <c r="AU162" s="30">
        <f t="shared" si="29"/>
        <v>86.1</v>
      </c>
    </row>
    <row r="163" spans="1:47" s="6" customFormat="1" hidden="1" x14ac:dyDescent="0.25">
      <c r="A163" s="6" t="s">
        <v>46</v>
      </c>
      <c r="B163" s="6" t="s">
        <v>644</v>
      </c>
      <c r="C163" s="6" t="s">
        <v>645</v>
      </c>
      <c r="D163" s="6" t="s">
        <v>646</v>
      </c>
      <c r="E163" s="12">
        <v>24.587499999999999</v>
      </c>
      <c r="F163" s="12">
        <v>0</v>
      </c>
      <c r="G163" s="12">
        <v>45.412500000000001</v>
      </c>
      <c r="H163" s="12">
        <v>3.125</v>
      </c>
      <c r="I163" s="13">
        <f t="shared" si="22"/>
        <v>73.125</v>
      </c>
      <c r="J163" s="14">
        <v>0</v>
      </c>
      <c r="K163" s="14" t="s">
        <v>51</v>
      </c>
      <c r="L163" s="14" t="s">
        <v>51</v>
      </c>
      <c r="M163" s="13">
        <v>0</v>
      </c>
      <c r="N163" s="12" t="s">
        <v>51</v>
      </c>
      <c r="O163" s="12" t="s">
        <v>116</v>
      </c>
      <c r="P163" s="12" t="s">
        <v>51</v>
      </c>
      <c r="Q163" s="12" t="s">
        <v>51</v>
      </c>
      <c r="R163" s="13">
        <f t="shared" si="20"/>
        <v>0</v>
      </c>
      <c r="U163" s="7">
        <f t="shared" si="23"/>
        <v>0</v>
      </c>
      <c r="Z163" s="13">
        <f t="shared" si="24"/>
        <v>0</v>
      </c>
      <c r="AA163" s="6">
        <v>0</v>
      </c>
      <c r="AB163" s="6">
        <v>0</v>
      </c>
      <c r="AC163" s="6">
        <v>0</v>
      </c>
      <c r="AD163" s="6">
        <v>0</v>
      </c>
      <c r="AE163" s="7">
        <f t="shared" si="25"/>
        <v>0</v>
      </c>
      <c r="AF163" s="6">
        <v>0</v>
      </c>
      <c r="AG163" s="6">
        <v>0</v>
      </c>
      <c r="AH163" s="6">
        <v>0</v>
      </c>
      <c r="AI163" s="13">
        <f t="shared" si="21"/>
        <v>0</v>
      </c>
      <c r="AJ163" s="12" t="s">
        <v>51</v>
      </c>
      <c r="AK163" s="12" t="s">
        <v>51</v>
      </c>
      <c r="AL163" s="12" t="s">
        <v>51</v>
      </c>
      <c r="AM163" s="13">
        <f t="shared" si="26"/>
        <v>0</v>
      </c>
      <c r="AN163" s="21">
        <v>6</v>
      </c>
      <c r="AO163" s="21">
        <v>0</v>
      </c>
      <c r="AP163" s="21">
        <v>0</v>
      </c>
      <c r="AQ163" s="21">
        <v>0</v>
      </c>
      <c r="AR163" s="18">
        <f t="shared" si="27"/>
        <v>6</v>
      </c>
      <c r="AS163" s="6" t="s">
        <v>52</v>
      </c>
      <c r="AT163" s="10" t="s">
        <v>647</v>
      </c>
      <c r="AU163" s="30">
        <f t="shared" si="29"/>
        <v>73.125</v>
      </c>
    </row>
    <row r="164" spans="1:47" hidden="1" x14ac:dyDescent="0.25">
      <c r="A164" t="s">
        <v>46</v>
      </c>
      <c r="B164" t="s">
        <v>648</v>
      </c>
      <c r="C164" t="s">
        <v>649</v>
      </c>
      <c r="D164" t="s">
        <v>650</v>
      </c>
      <c r="E164" s="11">
        <v>20</v>
      </c>
      <c r="F164" s="11">
        <v>20</v>
      </c>
      <c r="G164" s="11">
        <v>43.34</v>
      </c>
      <c r="H164" s="11">
        <v>5</v>
      </c>
      <c r="I164" s="13">
        <f t="shared" si="22"/>
        <v>88.34</v>
      </c>
      <c r="J164" s="11">
        <v>0</v>
      </c>
      <c r="K164" s="11">
        <v>0</v>
      </c>
      <c r="L164" s="11">
        <v>0</v>
      </c>
      <c r="M164" s="13">
        <v>0</v>
      </c>
      <c r="N164" s="11">
        <v>0</v>
      </c>
      <c r="O164" s="11">
        <v>0</v>
      </c>
      <c r="P164" s="11">
        <v>0</v>
      </c>
      <c r="Q164" s="11">
        <v>0</v>
      </c>
      <c r="R164" s="13">
        <f t="shared" si="20"/>
        <v>0</v>
      </c>
      <c r="S164">
        <v>0</v>
      </c>
      <c r="T164">
        <v>0</v>
      </c>
      <c r="U164" s="7">
        <f t="shared" si="23"/>
        <v>0</v>
      </c>
      <c r="V164">
        <v>0</v>
      </c>
      <c r="W164">
        <v>0</v>
      </c>
      <c r="X164">
        <v>0</v>
      </c>
      <c r="Y164">
        <v>0</v>
      </c>
      <c r="Z164" s="13">
        <f t="shared" si="24"/>
        <v>0</v>
      </c>
      <c r="AA164">
        <v>0</v>
      </c>
      <c r="AB164">
        <v>0</v>
      </c>
      <c r="AC164">
        <v>0</v>
      </c>
      <c r="AD164">
        <v>0</v>
      </c>
      <c r="AE164" s="7">
        <f t="shared" si="25"/>
        <v>0</v>
      </c>
      <c r="AF164">
        <v>0</v>
      </c>
      <c r="AG164">
        <v>0</v>
      </c>
      <c r="AH164">
        <v>0</v>
      </c>
      <c r="AI164" s="13">
        <f t="shared" si="21"/>
        <v>0</v>
      </c>
      <c r="AJ164" s="11" t="s">
        <v>51</v>
      </c>
      <c r="AK164" s="11" t="s">
        <v>51</v>
      </c>
      <c r="AL164" s="11" t="s">
        <v>51</v>
      </c>
      <c r="AM164" s="13">
        <f t="shared" si="26"/>
        <v>0</v>
      </c>
      <c r="AN164" s="18">
        <v>40</v>
      </c>
      <c r="AO164" s="18">
        <v>0</v>
      </c>
      <c r="AP164" s="18">
        <v>0</v>
      </c>
      <c r="AQ164" s="18">
        <v>0</v>
      </c>
      <c r="AR164" s="18">
        <f t="shared" si="27"/>
        <v>40</v>
      </c>
      <c r="AS164" t="s">
        <v>52</v>
      </c>
      <c r="AT164" s="9" t="s">
        <v>651</v>
      </c>
      <c r="AU164" s="30">
        <f t="shared" si="29"/>
        <v>88.34</v>
      </c>
    </row>
    <row r="165" spans="1:47" hidden="1" x14ac:dyDescent="0.25">
      <c r="A165" t="s">
        <v>46</v>
      </c>
      <c r="B165" t="s">
        <v>652</v>
      </c>
      <c r="C165" t="s">
        <v>653</v>
      </c>
      <c r="D165" t="s">
        <v>654</v>
      </c>
      <c r="E165" s="11">
        <v>20</v>
      </c>
      <c r="F165" s="11">
        <v>7.33</v>
      </c>
      <c r="G165" s="11">
        <v>36.270000000000003</v>
      </c>
      <c r="H165" s="11">
        <v>2.5</v>
      </c>
      <c r="I165" s="13">
        <f t="shared" si="22"/>
        <v>66.099999999999994</v>
      </c>
      <c r="J165" s="11">
        <v>0</v>
      </c>
      <c r="K165" s="11">
        <v>0</v>
      </c>
      <c r="L165" s="11">
        <v>0</v>
      </c>
      <c r="M165" s="13">
        <v>0</v>
      </c>
      <c r="N165" s="11">
        <v>34.909999999999997</v>
      </c>
      <c r="O165" s="11">
        <v>2.5</v>
      </c>
      <c r="P165" s="11">
        <v>7.33</v>
      </c>
      <c r="Q165" s="11">
        <v>20</v>
      </c>
      <c r="R165" s="13">
        <f t="shared" si="20"/>
        <v>64.739999999999995</v>
      </c>
      <c r="S165">
        <v>0</v>
      </c>
      <c r="T165">
        <v>0</v>
      </c>
      <c r="U165" s="7">
        <f t="shared" si="23"/>
        <v>0</v>
      </c>
      <c r="V165">
        <v>0</v>
      </c>
      <c r="W165">
        <v>0</v>
      </c>
      <c r="X165">
        <v>0</v>
      </c>
      <c r="Y165">
        <v>0</v>
      </c>
      <c r="Z165" s="13">
        <f t="shared" si="24"/>
        <v>0</v>
      </c>
      <c r="AA165">
        <v>0</v>
      </c>
      <c r="AB165">
        <v>0</v>
      </c>
      <c r="AC165">
        <v>0</v>
      </c>
      <c r="AD165">
        <v>0</v>
      </c>
      <c r="AE165" s="7">
        <f t="shared" si="25"/>
        <v>0</v>
      </c>
      <c r="AF165">
        <v>0</v>
      </c>
      <c r="AG165">
        <v>0</v>
      </c>
      <c r="AH165">
        <v>0</v>
      </c>
      <c r="AI165" s="13">
        <f t="shared" si="21"/>
        <v>0</v>
      </c>
      <c r="AJ165" s="11" t="s">
        <v>51</v>
      </c>
      <c r="AK165" s="11" t="s">
        <v>51</v>
      </c>
      <c r="AL165" s="11" t="s">
        <v>51</v>
      </c>
      <c r="AM165" s="13">
        <f t="shared" si="26"/>
        <v>0</v>
      </c>
      <c r="AN165" s="18">
        <v>4</v>
      </c>
      <c r="AO165" s="18">
        <v>0</v>
      </c>
      <c r="AP165" s="18">
        <v>0</v>
      </c>
      <c r="AQ165" s="18">
        <v>0</v>
      </c>
      <c r="AR165" s="18">
        <f t="shared" si="27"/>
        <v>4</v>
      </c>
      <c r="AS165" t="s">
        <v>52</v>
      </c>
      <c r="AT165" s="9" t="s">
        <v>655</v>
      </c>
      <c r="AU165" s="30">
        <f t="shared" si="29"/>
        <v>66.099999999999994</v>
      </c>
    </row>
    <row r="166" spans="1:47" hidden="1" x14ac:dyDescent="0.25">
      <c r="A166" s="33" t="s">
        <v>46</v>
      </c>
      <c r="B166" s="32" t="s">
        <v>652</v>
      </c>
      <c r="C166" s="32" t="s">
        <v>653</v>
      </c>
      <c r="D166" s="32" t="s">
        <v>654</v>
      </c>
      <c r="E166" s="11">
        <v>20</v>
      </c>
      <c r="F166" s="11">
        <v>7.33</v>
      </c>
      <c r="G166" s="11">
        <v>37.619999999999997</v>
      </c>
      <c r="H166" s="11">
        <v>2.5</v>
      </c>
      <c r="I166" s="13">
        <f t="shared" si="22"/>
        <v>67.449999999999989</v>
      </c>
      <c r="J166" s="11">
        <v>0</v>
      </c>
      <c r="K166" s="11">
        <v>0</v>
      </c>
      <c r="L166" s="11">
        <v>0</v>
      </c>
      <c r="M166" s="13">
        <v>0</v>
      </c>
      <c r="N166" s="11">
        <v>34.909999999999997</v>
      </c>
      <c r="O166" s="11">
        <v>2.5</v>
      </c>
      <c r="P166" s="11">
        <v>7.33</v>
      </c>
      <c r="Q166" s="11">
        <v>20</v>
      </c>
      <c r="R166" s="13">
        <f t="shared" si="20"/>
        <v>64.739999999999995</v>
      </c>
      <c r="S166">
        <v>0</v>
      </c>
      <c r="T166">
        <v>0</v>
      </c>
      <c r="U166" s="7">
        <f t="shared" si="23"/>
        <v>0</v>
      </c>
      <c r="V166">
        <v>0</v>
      </c>
      <c r="W166">
        <v>0</v>
      </c>
      <c r="X166">
        <v>0</v>
      </c>
      <c r="Y166">
        <v>0</v>
      </c>
      <c r="Z166" s="13">
        <f t="shared" si="24"/>
        <v>0</v>
      </c>
      <c r="AA166">
        <v>0</v>
      </c>
      <c r="AB166">
        <v>0</v>
      </c>
      <c r="AC166">
        <v>0</v>
      </c>
      <c r="AD166">
        <v>0</v>
      </c>
      <c r="AE166" s="7">
        <f t="shared" si="25"/>
        <v>0</v>
      </c>
      <c r="AF166">
        <v>0</v>
      </c>
      <c r="AG166">
        <v>0</v>
      </c>
      <c r="AH166">
        <v>0</v>
      </c>
      <c r="AI166" s="13">
        <f t="shared" si="21"/>
        <v>0</v>
      </c>
      <c r="AJ166" s="11" t="s">
        <v>51</v>
      </c>
      <c r="AK166" s="11" t="s">
        <v>51</v>
      </c>
      <c r="AL166" s="11" t="s">
        <v>51</v>
      </c>
      <c r="AM166" s="13">
        <f t="shared" si="26"/>
        <v>0</v>
      </c>
      <c r="AN166" s="18">
        <v>2</v>
      </c>
      <c r="AO166" s="18">
        <v>0</v>
      </c>
      <c r="AP166" s="18">
        <v>0</v>
      </c>
      <c r="AQ166" s="18">
        <v>0</v>
      </c>
      <c r="AR166" s="18">
        <f t="shared" si="27"/>
        <v>2</v>
      </c>
      <c r="AS166" t="s">
        <v>117</v>
      </c>
      <c r="AT166" s="9" t="s">
        <v>656</v>
      </c>
      <c r="AU166" s="11">
        <f>+((AN166*R166)+(AQ166*AI166)+(AP166*AM166))/AR166</f>
        <v>64.739999999999995</v>
      </c>
    </row>
    <row r="167" spans="1:47" hidden="1" x14ac:dyDescent="0.25">
      <c r="A167" t="s">
        <v>46</v>
      </c>
      <c r="B167" t="s">
        <v>657</v>
      </c>
      <c r="C167" t="s">
        <v>658</v>
      </c>
      <c r="D167" t="s">
        <v>659</v>
      </c>
      <c r="E167" s="11">
        <v>25</v>
      </c>
      <c r="F167" s="11">
        <v>0</v>
      </c>
      <c r="G167" s="11">
        <v>43.137500000000003</v>
      </c>
      <c r="H167" s="11">
        <v>5.625</v>
      </c>
      <c r="I167" s="13">
        <f t="shared" si="22"/>
        <v>73.762500000000003</v>
      </c>
      <c r="J167" s="11">
        <v>0</v>
      </c>
      <c r="K167" s="11">
        <v>0</v>
      </c>
      <c r="L167" s="11">
        <v>0</v>
      </c>
      <c r="M167" s="13">
        <v>0</v>
      </c>
      <c r="N167" s="11">
        <v>0</v>
      </c>
      <c r="O167" s="11">
        <v>0</v>
      </c>
      <c r="P167" s="11">
        <v>0</v>
      </c>
      <c r="Q167" s="11">
        <v>0</v>
      </c>
      <c r="R167" s="13">
        <f t="shared" si="20"/>
        <v>0</v>
      </c>
      <c r="S167">
        <v>0</v>
      </c>
      <c r="T167">
        <v>0</v>
      </c>
      <c r="U167" s="7">
        <f t="shared" si="23"/>
        <v>0</v>
      </c>
      <c r="V167">
        <v>0</v>
      </c>
      <c r="W167">
        <v>0</v>
      </c>
      <c r="X167">
        <v>0</v>
      </c>
      <c r="Y167">
        <v>0</v>
      </c>
      <c r="Z167" s="13">
        <f t="shared" si="24"/>
        <v>0</v>
      </c>
      <c r="AA167">
        <v>0</v>
      </c>
      <c r="AB167">
        <v>0</v>
      </c>
      <c r="AC167">
        <v>0</v>
      </c>
      <c r="AD167">
        <v>0</v>
      </c>
      <c r="AE167" s="7">
        <f t="shared" si="25"/>
        <v>0</v>
      </c>
      <c r="AF167">
        <v>0</v>
      </c>
      <c r="AG167">
        <v>0</v>
      </c>
      <c r="AH167">
        <v>0</v>
      </c>
      <c r="AI167" s="13">
        <f t="shared" si="21"/>
        <v>0</v>
      </c>
      <c r="AJ167" s="11" t="s">
        <v>51</v>
      </c>
      <c r="AK167" s="11" t="s">
        <v>51</v>
      </c>
      <c r="AL167" s="11" t="s">
        <v>51</v>
      </c>
      <c r="AM167" s="13">
        <f t="shared" si="26"/>
        <v>0</v>
      </c>
      <c r="AN167" s="18">
        <v>40</v>
      </c>
      <c r="AO167" s="18">
        <v>0</v>
      </c>
      <c r="AP167" s="18">
        <v>0</v>
      </c>
      <c r="AQ167" s="18">
        <v>0</v>
      </c>
      <c r="AR167" s="18">
        <f t="shared" si="27"/>
        <v>40</v>
      </c>
      <c r="AS167" t="s">
        <v>52</v>
      </c>
      <c r="AT167" s="9" t="s">
        <v>660</v>
      </c>
      <c r="AU167" s="30">
        <f t="shared" ref="AU167:AU174" si="30">+((AN167*I167)+(AO167*AE167)+(AQ167*AI167)+(AP167*AM167))/AR167</f>
        <v>73.762500000000003</v>
      </c>
    </row>
    <row r="168" spans="1:47" hidden="1" x14ac:dyDescent="0.25">
      <c r="A168" t="s">
        <v>46</v>
      </c>
      <c r="B168" t="s">
        <v>661</v>
      </c>
      <c r="C168" t="s">
        <v>662</v>
      </c>
      <c r="D168" t="s">
        <v>663</v>
      </c>
      <c r="E168" s="11">
        <v>25</v>
      </c>
      <c r="F168" s="11" t="s">
        <v>933</v>
      </c>
      <c r="G168" s="11">
        <v>50.612499999999997</v>
      </c>
      <c r="H168" s="11">
        <v>7.5</v>
      </c>
      <c r="I168" s="13">
        <f t="shared" si="22"/>
        <v>83.112499999999997</v>
      </c>
      <c r="J168" s="11">
        <v>0</v>
      </c>
      <c r="K168" s="11">
        <v>0</v>
      </c>
      <c r="L168" s="11">
        <v>0</v>
      </c>
      <c r="M168" s="13">
        <v>0</v>
      </c>
      <c r="N168" s="11">
        <v>0</v>
      </c>
      <c r="O168" s="11">
        <v>0</v>
      </c>
      <c r="P168" s="11">
        <v>0</v>
      </c>
      <c r="Q168" s="11">
        <v>0</v>
      </c>
      <c r="R168" s="13">
        <f t="shared" si="20"/>
        <v>0</v>
      </c>
      <c r="S168">
        <v>0</v>
      </c>
      <c r="T168">
        <v>0</v>
      </c>
      <c r="U168" s="7">
        <f t="shared" si="23"/>
        <v>0</v>
      </c>
      <c r="V168">
        <v>0</v>
      </c>
      <c r="W168">
        <v>0</v>
      </c>
      <c r="X168">
        <v>0</v>
      </c>
      <c r="Y168">
        <v>0</v>
      </c>
      <c r="Z168" s="13">
        <f t="shared" si="24"/>
        <v>0</v>
      </c>
      <c r="AA168">
        <v>0</v>
      </c>
      <c r="AB168">
        <v>0</v>
      </c>
      <c r="AC168">
        <v>0</v>
      </c>
      <c r="AD168">
        <v>0</v>
      </c>
      <c r="AE168" s="7">
        <f t="shared" si="25"/>
        <v>0</v>
      </c>
      <c r="AF168">
        <v>0</v>
      </c>
      <c r="AG168">
        <v>0</v>
      </c>
      <c r="AH168">
        <v>0</v>
      </c>
      <c r="AI168" s="13">
        <f t="shared" si="21"/>
        <v>0</v>
      </c>
      <c r="AJ168" s="11" t="s">
        <v>51</v>
      </c>
      <c r="AK168" s="11" t="s">
        <v>51</v>
      </c>
      <c r="AL168" s="11" t="s">
        <v>51</v>
      </c>
      <c r="AM168" s="13">
        <f t="shared" si="26"/>
        <v>0</v>
      </c>
      <c r="AN168" s="18">
        <v>40</v>
      </c>
      <c r="AO168" s="18">
        <v>0</v>
      </c>
      <c r="AP168" s="18">
        <v>0</v>
      </c>
      <c r="AQ168" s="18">
        <v>0</v>
      </c>
      <c r="AR168" s="18">
        <f t="shared" si="27"/>
        <v>40</v>
      </c>
      <c r="AS168" t="s">
        <v>52</v>
      </c>
      <c r="AT168" s="9" t="s">
        <v>664</v>
      </c>
      <c r="AU168" s="30">
        <f t="shared" si="30"/>
        <v>83.112499999999997</v>
      </c>
    </row>
    <row r="169" spans="1:47" hidden="1" x14ac:dyDescent="0.25">
      <c r="A169" t="s">
        <v>46</v>
      </c>
      <c r="B169" t="s">
        <v>665</v>
      </c>
      <c r="C169" t="s">
        <v>666</v>
      </c>
      <c r="D169" t="s">
        <v>667</v>
      </c>
      <c r="E169" s="11">
        <v>20</v>
      </c>
      <c r="F169" s="11">
        <v>18.670000000000002</v>
      </c>
      <c r="G169" s="11">
        <v>44.51</v>
      </c>
      <c r="H169" s="11">
        <v>6</v>
      </c>
      <c r="I169" s="13">
        <f t="shared" si="22"/>
        <v>89.18</v>
      </c>
      <c r="J169" s="11">
        <v>0</v>
      </c>
      <c r="K169" s="11">
        <v>0</v>
      </c>
      <c r="L169" s="11">
        <v>0</v>
      </c>
      <c r="M169" s="13">
        <v>0</v>
      </c>
      <c r="N169" s="11">
        <v>0</v>
      </c>
      <c r="O169" s="11">
        <v>0</v>
      </c>
      <c r="P169" s="11">
        <v>0</v>
      </c>
      <c r="Q169" s="11">
        <v>0</v>
      </c>
      <c r="R169" s="13">
        <f t="shared" si="20"/>
        <v>0</v>
      </c>
      <c r="S169">
        <v>0</v>
      </c>
      <c r="T169">
        <v>0</v>
      </c>
      <c r="U169" s="7">
        <f t="shared" si="23"/>
        <v>0</v>
      </c>
      <c r="V169">
        <v>0</v>
      </c>
      <c r="W169">
        <v>0</v>
      </c>
      <c r="X169">
        <v>0</v>
      </c>
      <c r="Y169">
        <v>0</v>
      </c>
      <c r="Z169" s="13">
        <f t="shared" si="24"/>
        <v>0</v>
      </c>
      <c r="AA169">
        <v>0</v>
      </c>
      <c r="AB169">
        <v>0</v>
      </c>
      <c r="AC169">
        <v>0</v>
      </c>
      <c r="AD169">
        <v>0</v>
      </c>
      <c r="AE169" s="7">
        <f t="shared" si="25"/>
        <v>0</v>
      </c>
      <c r="AF169">
        <v>0</v>
      </c>
      <c r="AG169">
        <v>0</v>
      </c>
      <c r="AH169">
        <v>0</v>
      </c>
      <c r="AI169" s="13">
        <f t="shared" si="21"/>
        <v>0</v>
      </c>
      <c r="AJ169" s="11" t="s">
        <v>51</v>
      </c>
      <c r="AK169" s="11" t="s">
        <v>51</v>
      </c>
      <c r="AL169" s="11" t="s">
        <v>51</v>
      </c>
      <c r="AM169" s="13">
        <f t="shared" si="26"/>
        <v>0</v>
      </c>
      <c r="AN169" s="18">
        <v>40</v>
      </c>
      <c r="AO169" s="18">
        <v>0</v>
      </c>
      <c r="AP169" s="18">
        <v>0</v>
      </c>
      <c r="AQ169" s="18">
        <v>0</v>
      </c>
      <c r="AR169" s="18">
        <f t="shared" si="27"/>
        <v>40</v>
      </c>
      <c r="AS169" t="s">
        <v>52</v>
      </c>
      <c r="AT169" s="9" t="s">
        <v>668</v>
      </c>
      <c r="AU169" s="30">
        <f t="shared" si="30"/>
        <v>89.18</v>
      </c>
    </row>
    <row r="170" spans="1:47" hidden="1" x14ac:dyDescent="0.25">
      <c r="A170" t="s">
        <v>46</v>
      </c>
      <c r="B170" t="s">
        <v>669</v>
      </c>
      <c r="C170" t="s">
        <v>670</v>
      </c>
      <c r="D170" t="s">
        <v>671</v>
      </c>
      <c r="E170" s="11">
        <v>25</v>
      </c>
      <c r="F170" s="11">
        <v>0</v>
      </c>
      <c r="G170" s="11">
        <v>61.625</v>
      </c>
      <c r="H170" s="11">
        <v>3.125</v>
      </c>
      <c r="I170" s="13">
        <f t="shared" si="22"/>
        <v>89.75</v>
      </c>
      <c r="J170" s="11">
        <v>0</v>
      </c>
      <c r="K170" s="11">
        <v>0</v>
      </c>
      <c r="L170" s="11">
        <v>0</v>
      </c>
      <c r="M170" s="13">
        <v>0</v>
      </c>
      <c r="N170" s="11">
        <v>0</v>
      </c>
      <c r="O170" s="11">
        <v>0</v>
      </c>
      <c r="P170" s="11">
        <v>0</v>
      </c>
      <c r="Q170" s="11">
        <v>0</v>
      </c>
      <c r="R170" s="13">
        <f t="shared" si="20"/>
        <v>0</v>
      </c>
      <c r="S170">
        <v>0</v>
      </c>
      <c r="T170">
        <v>0</v>
      </c>
      <c r="U170" s="7">
        <f t="shared" si="23"/>
        <v>0</v>
      </c>
      <c r="V170">
        <v>0</v>
      </c>
      <c r="W170">
        <v>0</v>
      </c>
      <c r="X170">
        <v>0</v>
      </c>
      <c r="Y170">
        <v>0</v>
      </c>
      <c r="Z170" s="13">
        <f t="shared" si="24"/>
        <v>0</v>
      </c>
      <c r="AA170">
        <v>0</v>
      </c>
      <c r="AB170">
        <v>0</v>
      </c>
      <c r="AC170">
        <v>0</v>
      </c>
      <c r="AD170">
        <v>0</v>
      </c>
      <c r="AE170" s="7">
        <f t="shared" si="25"/>
        <v>0</v>
      </c>
      <c r="AF170">
        <v>0</v>
      </c>
      <c r="AG170">
        <v>0</v>
      </c>
      <c r="AH170">
        <v>0</v>
      </c>
      <c r="AI170" s="13">
        <f t="shared" si="21"/>
        <v>0</v>
      </c>
      <c r="AJ170" s="11" t="s">
        <v>51</v>
      </c>
      <c r="AK170" s="11" t="s">
        <v>51</v>
      </c>
      <c r="AL170" s="11" t="s">
        <v>51</v>
      </c>
      <c r="AM170" s="13">
        <f t="shared" si="26"/>
        <v>0</v>
      </c>
      <c r="AN170" s="18">
        <v>6</v>
      </c>
      <c r="AO170" s="18">
        <v>0</v>
      </c>
      <c r="AP170" s="18">
        <v>0</v>
      </c>
      <c r="AQ170" s="18">
        <v>0</v>
      </c>
      <c r="AR170" s="18">
        <f t="shared" si="27"/>
        <v>6</v>
      </c>
      <c r="AS170" t="s">
        <v>52</v>
      </c>
      <c r="AT170" s="9" t="s">
        <v>672</v>
      </c>
      <c r="AU170" s="30">
        <f t="shared" si="30"/>
        <v>89.75</v>
      </c>
    </row>
    <row r="171" spans="1:47" hidden="1" x14ac:dyDescent="0.25">
      <c r="A171" t="s">
        <v>46</v>
      </c>
      <c r="B171" t="s">
        <v>673</v>
      </c>
      <c r="C171" t="s">
        <v>674</v>
      </c>
      <c r="D171" t="s">
        <v>675</v>
      </c>
      <c r="E171" s="11">
        <v>20</v>
      </c>
      <c r="F171" s="11">
        <v>20</v>
      </c>
      <c r="G171" s="11">
        <v>43.2</v>
      </c>
      <c r="H171" s="11">
        <v>6</v>
      </c>
      <c r="I171" s="13">
        <f t="shared" si="22"/>
        <v>89.2</v>
      </c>
      <c r="J171" s="11">
        <v>0</v>
      </c>
      <c r="K171" s="11">
        <v>0</v>
      </c>
      <c r="L171" s="11">
        <v>0</v>
      </c>
      <c r="M171" s="13">
        <v>0</v>
      </c>
      <c r="N171" s="11">
        <v>0</v>
      </c>
      <c r="O171" s="11">
        <v>0</v>
      </c>
      <c r="P171" s="11">
        <v>0</v>
      </c>
      <c r="Q171" s="11">
        <v>0</v>
      </c>
      <c r="R171" s="13">
        <f t="shared" si="20"/>
        <v>0</v>
      </c>
      <c r="S171">
        <v>0</v>
      </c>
      <c r="T171">
        <v>0</v>
      </c>
      <c r="U171" s="7">
        <f t="shared" si="23"/>
        <v>0</v>
      </c>
      <c r="V171">
        <v>0</v>
      </c>
      <c r="W171">
        <v>0</v>
      </c>
      <c r="X171">
        <v>0</v>
      </c>
      <c r="Y171">
        <v>0</v>
      </c>
      <c r="Z171" s="13">
        <f t="shared" si="24"/>
        <v>0</v>
      </c>
      <c r="AA171">
        <v>15</v>
      </c>
      <c r="AB171">
        <v>50</v>
      </c>
      <c r="AC171">
        <v>13.88</v>
      </c>
      <c r="AD171">
        <v>20</v>
      </c>
      <c r="AE171" s="7">
        <f t="shared" si="25"/>
        <v>98.88</v>
      </c>
      <c r="AF171">
        <v>0</v>
      </c>
      <c r="AG171">
        <v>0</v>
      </c>
      <c r="AH171">
        <v>0</v>
      </c>
      <c r="AI171" s="13">
        <f t="shared" si="21"/>
        <v>0</v>
      </c>
      <c r="AJ171" s="11" t="s">
        <v>51</v>
      </c>
      <c r="AK171" s="11" t="s">
        <v>51</v>
      </c>
      <c r="AL171" s="11" t="s">
        <v>51</v>
      </c>
      <c r="AM171" s="13">
        <f t="shared" si="26"/>
        <v>0</v>
      </c>
      <c r="AN171" s="18">
        <v>29.5</v>
      </c>
      <c r="AO171" s="18">
        <v>10.5</v>
      </c>
      <c r="AP171" s="18">
        <v>0</v>
      </c>
      <c r="AQ171" s="18">
        <v>0</v>
      </c>
      <c r="AR171" s="18">
        <f t="shared" si="27"/>
        <v>40</v>
      </c>
      <c r="AS171" t="s">
        <v>52</v>
      </c>
      <c r="AT171" s="9" t="s">
        <v>676</v>
      </c>
      <c r="AU171" s="30">
        <f t="shared" si="30"/>
        <v>91.741000000000014</v>
      </c>
    </row>
    <row r="172" spans="1:47" hidden="1" x14ac:dyDescent="0.25">
      <c r="A172" t="s">
        <v>46</v>
      </c>
      <c r="B172" t="s">
        <v>677</v>
      </c>
      <c r="C172" t="s">
        <v>678</v>
      </c>
      <c r="D172" t="s">
        <v>679</v>
      </c>
      <c r="E172" s="11">
        <v>28.571428571428569</v>
      </c>
      <c r="F172" s="11">
        <v>0</v>
      </c>
      <c r="G172" s="11">
        <v>62.542857142857144</v>
      </c>
      <c r="H172" s="11">
        <v>0</v>
      </c>
      <c r="I172" s="13">
        <f t="shared" si="22"/>
        <v>91.114285714285714</v>
      </c>
      <c r="J172" s="11">
        <v>0</v>
      </c>
      <c r="K172" s="11">
        <v>0</v>
      </c>
      <c r="L172" s="11">
        <v>0</v>
      </c>
      <c r="M172" s="13">
        <v>0</v>
      </c>
      <c r="N172" s="11">
        <v>0</v>
      </c>
      <c r="O172" s="11">
        <v>0</v>
      </c>
      <c r="P172" s="11">
        <v>0</v>
      </c>
      <c r="Q172" s="11">
        <v>0</v>
      </c>
      <c r="R172" s="13">
        <f t="shared" si="20"/>
        <v>0</v>
      </c>
      <c r="S172">
        <v>0</v>
      </c>
      <c r="T172">
        <v>0</v>
      </c>
      <c r="U172" s="7">
        <f t="shared" si="23"/>
        <v>0</v>
      </c>
      <c r="V172">
        <v>0</v>
      </c>
      <c r="W172">
        <v>0</v>
      </c>
      <c r="X172">
        <v>0</v>
      </c>
      <c r="Y172">
        <v>0</v>
      </c>
      <c r="Z172" s="13">
        <f t="shared" si="24"/>
        <v>0</v>
      </c>
      <c r="AA172">
        <v>15</v>
      </c>
      <c r="AB172">
        <v>50</v>
      </c>
      <c r="AC172">
        <v>15</v>
      </c>
      <c r="AD172">
        <v>20</v>
      </c>
      <c r="AE172" s="7">
        <f t="shared" si="25"/>
        <v>100</v>
      </c>
      <c r="AF172">
        <v>0</v>
      </c>
      <c r="AG172">
        <v>0</v>
      </c>
      <c r="AH172">
        <v>0</v>
      </c>
      <c r="AI172" s="13">
        <f t="shared" si="21"/>
        <v>0</v>
      </c>
      <c r="AJ172" s="19">
        <v>28.571428571428569</v>
      </c>
      <c r="AK172" s="19">
        <v>0</v>
      </c>
      <c r="AL172" s="19">
        <v>71.428571428571431</v>
      </c>
      <c r="AM172" s="13">
        <f t="shared" si="26"/>
        <v>100</v>
      </c>
      <c r="AN172" s="18">
        <v>32</v>
      </c>
      <c r="AO172" s="18">
        <v>5</v>
      </c>
      <c r="AP172" s="18">
        <v>3</v>
      </c>
      <c r="AQ172" s="18">
        <v>0</v>
      </c>
      <c r="AR172" s="18">
        <f t="shared" si="27"/>
        <v>40</v>
      </c>
      <c r="AS172" t="s">
        <v>52</v>
      </c>
      <c r="AT172" s="9" t="s">
        <v>680</v>
      </c>
      <c r="AU172" s="30">
        <f t="shared" si="30"/>
        <v>92.891428571428577</v>
      </c>
    </row>
    <row r="173" spans="1:47" hidden="1" x14ac:dyDescent="0.25">
      <c r="A173" t="s">
        <v>46</v>
      </c>
      <c r="B173" t="s">
        <v>681</v>
      </c>
      <c r="C173" t="s">
        <v>682</v>
      </c>
      <c r="D173" t="s">
        <v>683</v>
      </c>
      <c r="E173" s="11">
        <v>18.670000000000002</v>
      </c>
      <c r="F173" s="11">
        <v>20</v>
      </c>
      <c r="G173" s="11">
        <v>50</v>
      </c>
      <c r="H173" s="11">
        <v>3</v>
      </c>
      <c r="I173" s="13">
        <f t="shared" si="22"/>
        <v>91.67</v>
      </c>
      <c r="J173" s="11">
        <v>0</v>
      </c>
      <c r="K173" s="11">
        <v>0</v>
      </c>
      <c r="L173" s="11">
        <v>0</v>
      </c>
      <c r="M173" s="13">
        <v>0</v>
      </c>
      <c r="N173" s="11">
        <v>0</v>
      </c>
      <c r="O173" s="11">
        <v>0</v>
      </c>
      <c r="P173" s="11">
        <v>0</v>
      </c>
      <c r="Q173" s="11">
        <v>0</v>
      </c>
      <c r="R173" s="13">
        <f t="shared" si="20"/>
        <v>0</v>
      </c>
      <c r="S173">
        <v>0</v>
      </c>
      <c r="T173">
        <v>0</v>
      </c>
      <c r="U173" s="7">
        <f t="shared" si="23"/>
        <v>0</v>
      </c>
      <c r="V173">
        <v>0</v>
      </c>
      <c r="W173">
        <v>0</v>
      </c>
      <c r="X173">
        <v>0</v>
      </c>
      <c r="Y173">
        <v>0</v>
      </c>
      <c r="Z173" s="13">
        <f t="shared" si="24"/>
        <v>0</v>
      </c>
      <c r="AA173">
        <v>0</v>
      </c>
      <c r="AB173">
        <v>0</v>
      </c>
      <c r="AC173">
        <v>0</v>
      </c>
      <c r="AD173">
        <v>0</v>
      </c>
      <c r="AE173" s="7">
        <f t="shared" si="25"/>
        <v>0</v>
      </c>
      <c r="AF173">
        <v>0</v>
      </c>
      <c r="AG173">
        <v>0</v>
      </c>
      <c r="AH173">
        <v>0</v>
      </c>
      <c r="AI173" s="13">
        <f t="shared" si="21"/>
        <v>0</v>
      </c>
      <c r="AJ173" s="11" t="s">
        <v>51</v>
      </c>
      <c r="AK173" s="11" t="s">
        <v>51</v>
      </c>
      <c r="AL173" s="11" t="s">
        <v>51</v>
      </c>
      <c r="AM173" s="13">
        <f t="shared" si="26"/>
        <v>0</v>
      </c>
      <c r="AN173" s="18">
        <v>6</v>
      </c>
      <c r="AO173" s="18">
        <v>0</v>
      </c>
      <c r="AP173" s="18">
        <v>0</v>
      </c>
      <c r="AQ173" s="18">
        <v>0</v>
      </c>
      <c r="AR173" s="18">
        <f t="shared" si="27"/>
        <v>6</v>
      </c>
      <c r="AS173" t="s">
        <v>52</v>
      </c>
      <c r="AT173" s="9" t="s">
        <v>684</v>
      </c>
      <c r="AU173" s="30">
        <f t="shared" si="30"/>
        <v>91.67</v>
      </c>
    </row>
    <row r="174" spans="1:47" hidden="1" x14ac:dyDescent="0.25">
      <c r="A174" t="s">
        <v>46</v>
      </c>
      <c r="B174" t="s">
        <v>685</v>
      </c>
      <c r="C174" t="s">
        <v>686</v>
      </c>
      <c r="D174" t="s">
        <v>687</v>
      </c>
      <c r="E174" s="11">
        <v>22.222222222222221</v>
      </c>
      <c r="F174" s="11">
        <v>22.222222222222221</v>
      </c>
      <c r="G174" s="11">
        <v>50.4</v>
      </c>
      <c r="H174" s="11">
        <v>0</v>
      </c>
      <c r="I174" s="13">
        <f t="shared" si="22"/>
        <v>94.844444444444434</v>
      </c>
      <c r="J174" s="11">
        <v>0</v>
      </c>
      <c r="K174" s="11">
        <v>0</v>
      </c>
      <c r="L174" s="11">
        <v>0</v>
      </c>
      <c r="M174" s="13">
        <v>0</v>
      </c>
      <c r="N174" s="11">
        <v>48.144444444444446</v>
      </c>
      <c r="O174" s="11">
        <v>0</v>
      </c>
      <c r="P174" s="11">
        <v>22.222222222222221</v>
      </c>
      <c r="Q174" s="11">
        <v>22.222222222222221</v>
      </c>
      <c r="R174" s="13">
        <f t="shared" si="20"/>
        <v>92.588888888888903</v>
      </c>
      <c r="S174">
        <v>0</v>
      </c>
      <c r="T174">
        <v>0</v>
      </c>
      <c r="U174" s="7">
        <f t="shared" si="23"/>
        <v>0</v>
      </c>
      <c r="V174">
        <v>0</v>
      </c>
      <c r="W174">
        <v>0</v>
      </c>
      <c r="X174">
        <v>0</v>
      </c>
      <c r="Y174">
        <v>0</v>
      </c>
      <c r="Z174" s="13">
        <f t="shared" si="24"/>
        <v>0</v>
      </c>
      <c r="AA174">
        <v>0</v>
      </c>
      <c r="AB174">
        <v>0</v>
      </c>
      <c r="AC174">
        <v>0</v>
      </c>
      <c r="AD174">
        <v>0</v>
      </c>
      <c r="AE174" s="7">
        <f t="shared" si="25"/>
        <v>0</v>
      </c>
      <c r="AF174">
        <v>0</v>
      </c>
      <c r="AG174">
        <v>0</v>
      </c>
      <c r="AH174">
        <v>0</v>
      </c>
      <c r="AI174" s="13">
        <f t="shared" si="21"/>
        <v>0</v>
      </c>
      <c r="AJ174" s="11" t="s">
        <v>51</v>
      </c>
      <c r="AK174" s="11" t="s">
        <v>51</v>
      </c>
      <c r="AL174" s="11" t="s">
        <v>51</v>
      </c>
      <c r="AM174" s="13">
        <f t="shared" si="26"/>
        <v>0</v>
      </c>
      <c r="AN174" s="18">
        <v>9</v>
      </c>
      <c r="AO174" s="18">
        <v>0</v>
      </c>
      <c r="AP174" s="18">
        <v>0</v>
      </c>
      <c r="AQ174" s="18">
        <v>0</v>
      </c>
      <c r="AR174" s="18">
        <f t="shared" si="27"/>
        <v>9</v>
      </c>
      <c r="AS174" t="s">
        <v>52</v>
      </c>
      <c r="AT174" s="9" t="s">
        <v>688</v>
      </c>
      <c r="AU174" s="30">
        <f t="shared" si="30"/>
        <v>94.844444444444434</v>
      </c>
    </row>
    <row r="175" spans="1:47" hidden="1" x14ac:dyDescent="0.25">
      <c r="A175" s="33" t="s">
        <v>46</v>
      </c>
      <c r="B175" s="32" t="s">
        <v>685</v>
      </c>
      <c r="C175" s="32" t="s">
        <v>686</v>
      </c>
      <c r="D175" s="32" t="s">
        <v>687</v>
      </c>
      <c r="E175" s="11">
        <v>22.222222222222221</v>
      </c>
      <c r="F175" s="11">
        <v>22.222222222222221</v>
      </c>
      <c r="G175" s="11">
        <v>50.4</v>
      </c>
      <c r="H175" s="11">
        <v>0</v>
      </c>
      <c r="I175" s="13">
        <f t="shared" si="22"/>
        <v>94.844444444444434</v>
      </c>
      <c r="J175" s="11">
        <v>0</v>
      </c>
      <c r="K175" s="11">
        <v>0</v>
      </c>
      <c r="L175" s="11">
        <v>0</v>
      </c>
      <c r="M175" s="13">
        <v>0</v>
      </c>
      <c r="N175" s="11">
        <v>48.144444444444446</v>
      </c>
      <c r="O175" s="11">
        <v>0</v>
      </c>
      <c r="P175" s="11">
        <v>22.222222222222221</v>
      </c>
      <c r="Q175" s="11">
        <v>22.222222222222221</v>
      </c>
      <c r="R175" s="13">
        <f t="shared" si="20"/>
        <v>92.588888888888903</v>
      </c>
      <c r="S175">
        <v>0</v>
      </c>
      <c r="T175">
        <v>0</v>
      </c>
      <c r="U175" s="7">
        <f t="shared" si="23"/>
        <v>0</v>
      </c>
      <c r="V175">
        <v>0</v>
      </c>
      <c r="W175">
        <v>0</v>
      </c>
      <c r="X175">
        <v>0</v>
      </c>
      <c r="Y175">
        <v>0</v>
      </c>
      <c r="Z175" s="13">
        <f t="shared" si="24"/>
        <v>0</v>
      </c>
      <c r="AA175">
        <v>0</v>
      </c>
      <c r="AB175">
        <v>0</v>
      </c>
      <c r="AC175">
        <v>0</v>
      </c>
      <c r="AD175">
        <v>0</v>
      </c>
      <c r="AE175" s="7">
        <f t="shared" si="25"/>
        <v>0</v>
      </c>
      <c r="AF175">
        <v>0</v>
      </c>
      <c r="AG175">
        <v>0</v>
      </c>
      <c r="AH175">
        <v>0</v>
      </c>
      <c r="AI175" s="13">
        <f t="shared" si="21"/>
        <v>0</v>
      </c>
      <c r="AJ175" s="11" t="s">
        <v>51</v>
      </c>
      <c r="AK175" s="11" t="s">
        <v>51</v>
      </c>
      <c r="AL175" s="11" t="s">
        <v>51</v>
      </c>
      <c r="AM175" s="13">
        <f t="shared" si="26"/>
        <v>0</v>
      </c>
      <c r="AN175" s="18">
        <v>2</v>
      </c>
      <c r="AO175" s="18">
        <v>0</v>
      </c>
      <c r="AP175" s="18">
        <v>0</v>
      </c>
      <c r="AQ175" s="18">
        <v>0</v>
      </c>
      <c r="AR175" s="18">
        <f t="shared" si="27"/>
        <v>2</v>
      </c>
      <c r="AS175" t="s">
        <v>117</v>
      </c>
      <c r="AT175" s="9" t="s">
        <v>688</v>
      </c>
      <c r="AU175" s="11">
        <f>+((AN175*R175)+(AQ175*AI175)+(AP175*AM175))/AR175</f>
        <v>92.588888888888903</v>
      </c>
    </row>
    <row r="176" spans="1:47" hidden="1" x14ac:dyDescent="0.25">
      <c r="A176" t="s">
        <v>46</v>
      </c>
      <c r="B176" t="s">
        <v>689</v>
      </c>
      <c r="C176" t="s">
        <v>690</v>
      </c>
      <c r="D176" t="s">
        <v>691</v>
      </c>
      <c r="E176" s="11">
        <v>25</v>
      </c>
      <c r="F176" s="11">
        <v>0</v>
      </c>
      <c r="G176" s="11">
        <v>52.225000000000001</v>
      </c>
      <c r="H176" s="11">
        <v>3.75</v>
      </c>
      <c r="I176" s="13">
        <f t="shared" si="22"/>
        <v>80.974999999999994</v>
      </c>
      <c r="J176" s="11">
        <v>0</v>
      </c>
      <c r="K176" s="11">
        <v>0</v>
      </c>
      <c r="L176" s="11">
        <v>0</v>
      </c>
      <c r="M176" s="13">
        <v>0</v>
      </c>
      <c r="N176" s="11">
        <v>0</v>
      </c>
      <c r="O176" s="11">
        <v>0</v>
      </c>
      <c r="P176" s="11">
        <v>0</v>
      </c>
      <c r="Q176" s="11">
        <v>0</v>
      </c>
      <c r="R176" s="13">
        <f t="shared" si="20"/>
        <v>0</v>
      </c>
      <c r="S176">
        <v>0</v>
      </c>
      <c r="T176">
        <v>0</v>
      </c>
      <c r="U176" s="7">
        <f t="shared" si="23"/>
        <v>0</v>
      </c>
      <c r="V176">
        <v>0</v>
      </c>
      <c r="W176">
        <v>0</v>
      </c>
      <c r="X176">
        <v>0</v>
      </c>
      <c r="Y176">
        <v>0</v>
      </c>
      <c r="Z176" s="13">
        <f t="shared" si="24"/>
        <v>0</v>
      </c>
      <c r="AA176">
        <v>0</v>
      </c>
      <c r="AB176">
        <v>0</v>
      </c>
      <c r="AC176">
        <v>0</v>
      </c>
      <c r="AD176">
        <v>0</v>
      </c>
      <c r="AE176" s="7">
        <f t="shared" si="25"/>
        <v>0</v>
      </c>
      <c r="AF176">
        <v>0</v>
      </c>
      <c r="AG176">
        <v>0</v>
      </c>
      <c r="AH176">
        <v>0</v>
      </c>
      <c r="AI176" s="13">
        <f t="shared" si="21"/>
        <v>0</v>
      </c>
      <c r="AJ176" s="11" t="s">
        <v>51</v>
      </c>
      <c r="AK176" s="11" t="s">
        <v>51</v>
      </c>
      <c r="AL176" s="11" t="s">
        <v>51</v>
      </c>
      <c r="AM176" s="13">
        <f t="shared" si="26"/>
        <v>0</v>
      </c>
      <c r="AN176" s="18">
        <v>11</v>
      </c>
      <c r="AO176" s="18">
        <v>0</v>
      </c>
      <c r="AP176" s="18">
        <v>0</v>
      </c>
      <c r="AQ176" s="18">
        <v>0</v>
      </c>
      <c r="AR176" s="18">
        <f t="shared" si="27"/>
        <v>11</v>
      </c>
      <c r="AS176" t="s">
        <v>52</v>
      </c>
      <c r="AT176" s="9" t="s">
        <v>692</v>
      </c>
      <c r="AU176" s="30">
        <f>+((AN176*I176)+(AO176*AE176)+(AQ176*AI176)+(AP176*AM176))/AR176</f>
        <v>80.974999999999994</v>
      </c>
    </row>
    <row r="177" spans="1:47" hidden="1" x14ac:dyDescent="0.25">
      <c r="A177" t="s">
        <v>46</v>
      </c>
      <c r="B177" t="s">
        <v>693</v>
      </c>
      <c r="C177" t="s">
        <v>694</v>
      </c>
      <c r="D177" t="s">
        <v>695</v>
      </c>
      <c r="E177" s="11">
        <v>0</v>
      </c>
      <c r="F177" s="11">
        <v>0</v>
      </c>
      <c r="G177" s="11">
        <v>0</v>
      </c>
      <c r="H177" s="11">
        <v>0</v>
      </c>
      <c r="I177" s="13">
        <f t="shared" si="22"/>
        <v>0</v>
      </c>
      <c r="J177" s="11">
        <v>0</v>
      </c>
      <c r="K177" s="11">
        <v>0</v>
      </c>
      <c r="L177" s="11">
        <v>0</v>
      </c>
      <c r="M177" s="13">
        <v>0</v>
      </c>
      <c r="N177" s="11">
        <v>0</v>
      </c>
      <c r="O177" s="11">
        <v>0</v>
      </c>
      <c r="P177" s="11">
        <v>0</v>
      </c>
      <c r="Q177" s="11">
        <v>0</v>
      </c>
      <c r="R177" s="13">
        <f t="shared" si="20"/>
        <v>0</v>
      </c>
      <c r="S177">
        <v>41.78</v>
      </c>
      <c r="T177">
        <v>24.75</v>
      </c>
      <c r="U177" s="7">
        <f t="shared" si="23"/>
        <v>66.53</v>
      </c>
      <c r="V177">
        <v>0</v>
      </c>
      <c r="W177">
        <v>0</v>
      </c>
      <c r="X177">
        <v>0</v>
      </c>
      <c r="Y177">
        <v>0</v>
      </c>
      <c r="Z177" s="13">
        <f t="shared" si="24"/>
        <v>0</v>
      </c>
      <c r="AA177">
        <v>0</v>
      </c>
      <c r="AB177">
        <v>0</v>
      </c>
      <c r="AC177">
        <v>0</v>
      </c>
      <c r="AD177">
        <v>0</v>
      </c>
      <c r="AE177" s="7">
        <f t="shared" si="25"/>
        <v>0</v>
      </c>
      <c r="AF177">
        <v>0</v>
      </c>
      <c r="AG177">
        <v>0</v>
      </c>
      <c r="AH177">
        <v>0</v>
      </c>
      <c r="AI177" s="13">
        <f t="shared" si="21"/>
        <v>0</v>
      </c>
      <c r="AJ177" s="11" t="s">
        <v>51</v>
      </c>
      <c r="AK177" s="11" t="s">
        <v>51</v>
      </c>
      <c r="AL177" s="11" t="s">
        <v>51</v>
      </c>
      <c r="AM177" s="13">
        <f t="shared" si="26"/>
        <v>0</v>
      </c>
      <c r="AN177" s="18">
        <v>4</v>
      </c>
      <c r="AO177" s="18">
        <v>0</v>
      </c>
      <c r="AP177" s="18">
        <v>0</v>
      </c>
      <c r="AQ177" s="18">
        <v>0</v>
      </c>
      <c r="AR177" s="18">
        <f t="shared" si="27"/>
        <v>4</v>
      </c>
      <c r="AS177" t="s">
        <v>52</v>
      </c>
      <c r="AT177" s="9" t="s">
        <v>696</v>
      </c>
      <c r="AU177" s="30">
        <f>+((U177*AN177)/AR177)</f>
        <v>66.53</v>
      </c>
    </row>
    <row r="178" spans="1:47" hidden="1" x14ac:dyDescent="0.25">
      <c r="A178" t="s">
        <v>46</v>
      </c>
      <c r="B178" t="s">
        <v>697</v>
      </c>
      <c r="C178" t="s">
        <v>698</v>
      </c>
      <c r="D178" t="s">
        <v>699</v>
      </c>
      <c r="E178" s="11">
        <v>0</v>
      </c>
      <c r="F178" s="11">
        <v>0</v>
      </c>
      <c r="G178" s="11">
        <v>0</v>
      </c>
      <c r="H178" s="11">
        <v>0</v>
      </c>
      <c r="I178" s="13">
        <f t="shared" si="22"/>
        <v>0</v>
      </c>
      <c r="J178" s="11">
        <v>57.86</v>
      </c>
      <c r="K178" s="11">
        <v>30</v>
      </c>
      <c r="L178" s="11">
        <v>2.5</v>
      </c>
      <c r="M178" s="13">
        <v>90.36</v>
      </c>
      <c r="N178" s="11">
        <v>0</v>
      </c>
      <c r="O178" s="11">
        <v>0</v>
      </c>
      <c r="P178" s="11">
        <v>0</v>
      </c>
      <c r="Q178" s="11">
        <v>0</v>
      </c>
      <c r="R178" s="13">
        <f t="shared" si="20"/>
        <v>0</v>
      </c>
      <c r="S178">
        <v>0</v>
      </c>
      <c r="T178">
        <v>0</v>
      </c>
      <c r="U178" s="7">
        <f t="shared" si="23"/>
        <v>0</v>
      </c>
      <c r="V178">
        <v>0</v>
      </c>
      <c r="W178">
        <v>0</v>
      </c>
      <c r="X178">
        <v>0</v>
      </c>
      <c r="Y178">
        <v>0</v>
      </c>
      <c r="Z178" s="13">
        <f t="shared" si="24"/>
        <v>0</v>
      </c>
      <c r="AA178">
        <v>0</v>
      </c>
      <c r="AB178">
        <v>0</v>
      </c>
      <c r="AC178">
        <v>0</v>
      </c>
      <c r="AD178">
        <v>0</v>
      </c>
      <c r="AE178" s="7">
        <f t="shared" si="25"/>
        <v>0</v>
      </c>
      <c r="AF178">
        <v>0</v>
      </c>
      <c r="AG178">
        <v>0</v>
      </c>
      <c r="AH178">
        <v>0</v>
      </c>
      <c r="AI178" s="13">
        <f t="shared" si="21"/>
        <v>0</v>
      </c>
      <c r="AJ178" s="11" t="s">
        <v>51</v>
      </c>
      <c r="AK178" s="11" t="s">
        <v>51</v>
      </c>
      <c r="AL178" s="11" t="s">
        <v>51</v>
      </c>
      <c r="AM178" s="13">
        <f t="shared" si="26"/>
        <v>0</v>
      </c>
      <c r="AN178" s="18">
        <v>2</v>
      </c>
      <c r="AO178" s="18">
        <v>0</v>
      </c>
      <c r="AP178" s="18">
        <v>0</v>
      </c>
      <c r="AQ178" s="18">
        <v>0</v>
      </c>
      <c r="AR178" s="18">
        <f t="shared" si="27"/>
        <v>2</v>
      </c>
      <c r="AS178" t="s">
        <v>87</v>
      </c>
      <c r="AT178" s="9" t="s">
        <v>700</v>
      </c>
      <c r="AU178" s="30">
        <f>+((AN178*M178)/AR178)</f>
        <v>90.36</v>
      </c>
    </row>
    <row r="179" spans="1:47" hidden="1" x14ac:dyDescent="0.25">
      <c r="A179" t="s">
        <v>46</v>
      </c>
      <c r="B179" t="s">
        <v>701</v>
      </c>
      <c r="C179" t="s">
        <v>702</v>
      </c>
      <c r="D179" t="s">
        <v>703</v>
      </c>
      <c r="E179" s="11">
        <v>0</v>
      </c>
      <c r="F179" s="11">
        <v>16.662500000000001</v>
      </c>
      <c r="G179" s="11">
        <v>57.55</v>
      </c>
      <c r="H179" s="11">
        <v>3.125</v>
      </c>
      <c r="I179" s="13">
        <f t="shared" si="22"/>
        <v>77.337500000000006</v>
      </c>
      <c r="J179" s="11">
        <v>0</v>
      </c>
      <c r="K179" s="11">
        <v>0</v>
      </c>
      <c r="L179" s="11">
        <v>0</v>
      </c>
      <c r="M179" s="13">
        <v>0</v>
      </c>
      <c r="N179" s="11">
        <v>0</v>
      </c>
      <c r="O179" s="11">
        <v>0</v>
      </c>
      <c r="P179" s="11">
        <v>0</v>
      </c>
      <c r="Q179" s="11">
        <v>0</v>
      </c>
      <c r="R179" s="13">
        <f t="shared" si="20"/>
        <v>0</v>
      </c>
      <c r="S179">
        <v>0</v>
      </c>
      <c r="T179">
        <v>0</v>
      </c>
      <c r="U179" s="7">
        <f t="shared" si="23"/>
        <v>0</v>
      </c>
      <c r="V179">
        <v>0</v>
      </c>
      <c r="W179">
        <v>0</v>
      </c>
      <c r="X179">
        <v>0</v>
      </c>
      <c r="Y179">
        <v>0</v>
      </c>
      <c r="Z179" s="13">
        <f t="shared" si="24"/>
        <v>0</v>
      </c>
      <c r="AA179">
        <v>15</v>
      </c>
      <c r="AB179">
        <v>50</v>
      </c>
      <c r="AC179">
        <v>0</v>
      </c>
      <c r="AD179">
        <v>0</v>
      </c>
      <c r="AE179" s="7">
        <f t="shared" si="25"/>
        <v>65</v>
      </c>
      <c r="AF179">
        <v>0</v>
      </c>
      <c r="AG179">
        <v>0</v>
      </c>
      <c r="AH179">
        <v>0</v>
      </c>
      <c r="AI179" s="13">
        <f t="shared" si="21"/>
        <v>0</v>
      </c>
      <c r="AJ179" s="11" t="s">
        <v>51</v>
      </c>
      <c r="AK179" s="11" t="s">
        <v>51</v>
      </c>
      <c r="AL179" s="11" t="s">
        <v>51</v>
      </c>
      <c r="AM179" s="13">
        <f t="shared" si="26"/>
        <v>0</v>
      </c>
      <c r="AN179" s="18">
        <v>24.5</v>
      </c>
      <c r="AO179" s="18">
        <v>15.5</v>
      </c>
      <c r="AP179" s="18">
        <v>0</v>
      </c>
      <c r="AQ179" s="18">
        <v>0</v>
      </c>
      <c r="AR179" s="18">
        <f t="shared" si="27"/>
        <v>40</v>
      </c>
      <c r="AS179" t="s">
        <v>52</v>
      </c>
      <c r="AT179" s="9" t="s">
        <v>705</v>
      </c>
      <c r="AU179" s="30">
        <f>+((AN179*I179)+(AO179*AE179)+(AQ179*AI179)+(AP179*AM179))/AR179</f>
        <v>72.556718750000002</v>
      </c>
    </row>
    <row r="180" spans="1:47" hidden="1" x14ac:dyDescent="0.25">
      <c r="A180" t="s">
        <v>46</v>
      </c>
      <c r="B180" t="s">
        <v>706</v>
      </c>
      <c r="C180" t="s">
        <v>707</v>
      </c>
      <c r="D180" t="s">
        <v>708</v>
      </c>
      <c r="E180" s="11">
        <v>20</v>
      </c>
      <c r="F180" s="11">
        <v>20</v>
      </c>
      <c r="G180" s="11">
        <v>44.4</v>
      </c>
      <c r="H180" s="11">
        <v>4</v>
      </c>
      <c r="I180" s="13">
        <f t="shared" si="22"/>
        <v>88.4</v>
      </c>
      <c r="J180" s="11">
        <v>0</v>
      </c>
      <c r="K180" s="11">
        <v>0</v>
      </c>
      <c r="L180" s="11">
        <v>0</v>
      </c>
      <c r="M180" s="13">
        <v>0</v>
      </c>
      <c r="N180" s="11">
        <v>47.13</v>
      </c>
      <c r="O180" s="11">
        <v>4</v>
      </c>
      <c r="P180" s="11">
        <v>20</v>
      </c>
      <c r="Q180" s="11">
        <v>20</v>
      </c>
      <c r="R180" s="13">
        <f t="shared" si="20"/>
        <v>91.13</v>
      </c>
      <c r="S180">
        <v>0</v>
      </c>
      <c r="T180">
        <v>0</v>
      </c>
      <c r="U180" s="7">
        <f t="shared" si="23"/>
        <v>0</v>
      </c>
      <c r="V180">
        <v>0</v>
      </c>
      <c r="W180">
        <v>0</v>
      </c>
      <c r="X180">
        <v>0</v>
      </c>
      <c r="Y180">
        <v>0</v>
      </c>
      <c r="Z180" s="13">
        <f t="shared" si="24"/>
        <v>0</v>
      </c>
      <c r="AA180">
        <v>15</v>
      </c>
      <c r="AB180">
        <v>50</v>
      </c>
      <c r="AC180">
        <v>15</v>
      </c>
      <c r="AD180">
        <v>20</v>
      </c>
      <c r="AE180" s="7">
        <f t="shared" si="25"/>
        <v>100</v>
      </c>
      <c r="AF180">
        <v>0</v>
      </c>
      <c r="AG180">
        <v>0</v>
      </c>
      <c r="AH180">
        <v>0</v>
      </c>
      <c r="AI180" s="13">
        <f t="shared" si="21"/>
        <v>0</v>
      </c>
      <c r="AJ180" s="11" t="s">
        <v>51</v>
      </c>
      <c r="AK180" s="11" t="s">
        <v>51</v>
      </c>
      <c r="AL180" s="11" t="s">
        <v>51</v>
      </c>
      <c r="AM180" s="13">
        <f t="shared" si="26"/>
        <v>0</v>
      </c>
      <c r="AN180" s="18">
        <v>23</v>
      </c>
      <c r="AO180" s="18">
        <v>15</v>
      </c>
      <c r="AP180" s="18">
        <v>0</v>
      </c>
      <c r="AQ180" s="18">
        <v>0</v>
      </c>
      <c r="AR180" s="18">
        <f t="shared" si="27"/>
        <v>38</v>
      </c>
      <c r="AS180" t="s">
        <v>52</v>
      </c>
      <c r="AT180" s="9" t="s">
        <v>710</v>
      </c>
      <c r="AU180" s="30">
        <f>+((AN180*I180)+(AO180*AE180)+(AQ180*AI180)+(AP180*AM180))/AR180</f>
        <v>92.978947368421046</v>
      </c>
    </row>
    <row r="181" spans="1:47" hidden="1" x14ac:dyDescent="0.25">
      <c r="A181" s="33" t="s">
        <v>46</v>
      </c>
      <c r="B181" s="32" t="s">
        <v>706</v>
      </c>
      <c r="C181" s="32" t="s">
        <v>707</v>
      </c>
      <c r="D181" s="32" t="s">
        <v>708</v>
      </c>
      <c r="E181" s="11">
        <v>20</v>
      </c>
      <c r="F181" s="11">
        <v>20</v>
      </c>
      <c r="G181" s="11">
        <v>44.4</v>
      </c>
      <c r="H181" s="11">
        <v>4</v>
      </c>
      <c r="I181" s="13">
        <f t="shared" si="22"/>
        <v>88.4</v>
      </c>
      <c r="J181" s="11">
        <v>0</v>
      </c>
      <c r="K181" s="11">
        <v>0</v>
      </c>
      <c r="L181" s="11">
        <v>0</v>
      </c>
      <c r="M181" s="13">
        <v>0</v>
      </c>
      <c r="N181" s="11">
        <v>47.13</v>
      </c>
      <c r="O181" s="11">
        <v>4</v>
      </c>
      <c r="P181" s="11">
        <v>20</v>
      </c>
      <c r="Q181" s="11">
        <v>20</v>
      </c>
      <c r="R181" s="13">
        <f t="shared" si="20"/>
        <v>91.13</v>
      </c>
      <c r="S181">
        <v>0</v>
      </c>
      <c r="T181">
        <v>0</v>
      </c>
      <c r="U181" s="7">
        <f t="shared" si="23"/>
        <v>0</v>
      </c>
      <c r="V181">
        <v>0</v>
      </c>
      <c r="W181">
        <v>0</v>
      </c>
      <c r="X181">
        <v>0</v>
      </c>
      <c r="Y181">
        <v>0</v>
      </c>
      <c r="Z181" s="13">
        <f t="shared" si="24"/>
        <v>0</v>
      </c>
      <c r="AA181">
        <v>15</v>
      </c>
      <c r="AB181">
        <v>50</v>
      </c>
      <c r="AC181">
        <v>15</v>
      </c>
      <c r="AD181">
        <v>20</v>
      </c>
      <c r="AE181" s="7">
        <f t="shared" si="25"/>
        <v>100</v>
      </c>
      <c r="AF181">
        <v>0</v>
      </c>
      <c r="AG181">
        <v>0</v>
      </c>
      <c r="AH181">
        <v>0</v>
      </c>
      <c r="AI181" s="13">
        <f t="shared" si="21"/>
        <v>0</v>
      </c>
      <c r="AJ181" s="11" t="s">
        <v>51</v>
      </c>
      <c r="AK181" s="11" t="s">
        <v>51</v>
      </c>
      <c r="AL181" s="11" t="s">
        <v>51</v>
      </c>
      <c r="AM181" s="13">
        <f t="shared" si="26"/>
        <v>0</v>
      </c>
      <c r="AN181" s="18">
        <v>2</v>
      </c>
      <c r="AO181" s="18">
        <v>0</v>
      </c>
      <c r="AP181" s="18">
        <v>0</v>
      </c>
      <c r="AQ181" s="18">
        <v>0</v>
      </c>
      <c r="AR181" s="18">
        <f t="shared" si="27"/>
        <v>2</v>
      </c>
      <c r="AS181" t="s">
        <v>117</v>
      </c>
      <c r="AT181" s="9" t="s">
        <v>709</v>
      </c>
      <c r="AU181" s="11">
        <f>+((AN181*R181)+(AQ181*AI181)+(AP181*AM181))/AR181</f>
        <v>91.13</v>
      </c>
    </row>
    <row r="182" spans="1:47" hidden="1" x14ac:dyDescent="0.25">
      <c r="A182" t="s">
        <v>46</v>
      </c>
      <c r="B182" t="s">
        <v>711</v>
      </c>
      <c r="C182" t="s">
        <v>712</v>
      </c>
      <c r="D182" t="s">
        <v>713</v>
      </c>
      <c r="E182" s="11">
        <v>20</v>
      </c>
      <c r="F182" s="11">
        <v>18</v>
      </c>
      <c r="G182" s="11">
        <v>42.82</v>
      </c>
      <c r="H182" s="11">
        <v>3.5</v>
      </c>
      <c r="I182" s="13">
        <f t="shared" si="22"/>
        <v>84.32</v>
      </c>
      <c r="J182" s="11">
        <v>0</v>
      </c>
      <c r="K182" s="11">
        <v>0</v>
      </c>
      <c r="L182" s="11">
        <v>0</v>
      </c>
      <c r="M182" s="13">
        <v>0</v>
      </c>
      <c r="N182" s="11">
        <v>0</v>
      </c>
      <c r="O182" s="11">
        <v>0</v>
      </c>
      <c r="P182" s="11">
        <v>0</v>
      </c>
      <c r="Q182" s="11">
        <v>0</v>
      </c>
      <c r="R182" s="13">
        <f t="shared" si="20"/>
        <v>0</v>
      </c>
      <c r="S182">
        <v>0</v>
      </c>
      <c r="T182">
        <v>0</v>
      </c>
      <c r="U182" s="7">
        <f t="shared" si="23"/>
        <v>0</v>
      </c>
      <c r="V182">
        <v>0</v>
      </c>
      <c r="W182">
        <v>0</v>
      </c>
      <c r="X182">
        <v>0</v>
      </c>
      <c r="Y182">
        <v>0</v>
      </c>
      <c r="Z182" s="13">
        <f t="shared" si="24"/>
        <v>0</v>
      </c>
      <c r="AA182">
        <v>0</v>
      </c>
      <c r="AB182">
        <v>0</v>
      </c>
      <c r="AC182">
        <v>0</v>
      </c>
      <c r="AD182">
        <v>0</v>
      </c>
      <c r="AE182" s="7">
        <f t="shared" si="25"/>
        <v>0</v>
      </c>
      <c r="AF182">
        <v>0</v>
      </c>
      <c r="AG182">
        <v>0</v>
      </c>
      <c r="AH182">
        <v>0</v>
      </c>
      <c r="AI182" s="13">
        <f t="shared" si="21"/>
        <v>0</v>
      </c>
      <c r="AJ182" s="11" t="s">
        <v>51</v>
      </c>
      <c r="AK182" s="11" t="s">
        <v>51</v>
      </c>
      <c r="AL182" s="11" t="s">
        <v>51</v>
      </c>
      <c r="AM182" s="13">
        <f t="shared" si="26"/>
        <v>0</v>
      </c>
      <c r="AN182" s="18">
        <v>40</v>
      </c>
      <c r="AO182" s="18">
        <v>0</v>
      </c>
      <c r="AP182" s="18">
        <v>0</v>
      </c>
      <c r="AQ182" s="18">
        <v>0</v>
      </c>
      <c r="AR182" s="18">
        <f t="shared" si="27"/>
        <v>40</v>
      </c>
      <c r="AS182" t="s">
        <v>52</v>
      </c>
      <c r="AT182" s="9" t="s">
        <v>714</v>
      </c>
      <c r="AU182" s="30">
        <f t="shared" ref="AU182:AU191" si="31">+((AN182*I182)+(AO182*AE182)+(AQ182*AI182)+(AP182*AM182))/AR182</f>
        <v>84.32</v>
      </c>
    </row>
    <row r="183" spans="1:47" hidden="1" x14ac:dyDescent="0.25">
      <c r="A183" t="s">
        <v>46</v>
      </c>
      <c r="B183" t="s">
        <v>715</v>
      </c>
      <c r="C183" t="s">
        <v>716</v>
      </c>
      <c r="D183" t="s">
        <v>717</v>
      </c>
      <c r="E183" s="11">
        <v>25</v>
      </c>
      <c r="F183" s="11">
        <v>0</v>
      </c>
      <c r="G183" s="11">
        <v>62.5</v>
      </c>
      <c r="H183" s="11">
        <v>6.25</v>
      </c>
      <c r="I183" s="13">
        <f t="shared" si="22"/>
        <v>93.75</v>
      </c>
      <c r="J183" s="11">
        <v>0</v>
      </c>
      <c r="K183" s="11">
        <v>0</v>
      </c>
      <c r="L183" s="11">
        <v>0</v>
      </c>
      <c r="M183" s="13">
        <v>0</v>
      </c>
      <c r="N183" s="11">
        <v>0</v>
      </c>
      <c r="O183" s="11">
        <v>0</v>
      </c>
      <c r="P183" s="11">
        <v>0</v>
      </c>
      <c r="Q183" s="11">
        <v>0</v>
      </c>
      <c r="R183" s="13">
        <f t="shared" si="20"/>
        <v>0</v>
      </c>
      <c r="S183">
        <v>0</v>
      </c>
      <c r="T183">
        <v>0</v>
      </c>
      <c r="U183" s="7">
        <f t="shared" si="23"/>
        <v>0</v>
      </c>
      <c r="V183">
        <v>0</v>
      </c>
      <c r="W183">
        <v>0</v>
      </c>
      <c r="X183">
        <v>0</v>
      </c>
      <c r="Y183">
        <v>0</v>
      </c>
      <c r="Z183" s="13">
        <f t="shared" si="24"/>
        <v>0</v>
      </c>
      <c r="AA183">
        <v>0</v>
      </c>
      <c r="AB183">
        <v>0</v>
      </c>
      <c r="AC183">
        <v>0</v>
      </c>
      <c r="AD183">
        <v>0</v>
      </c>
      <c r="AE183" s="7">
        <f t="shared" si="25"/>
        <v>0</v>
      </c>
      <c r="AF183">
        <v>0</v>
      </c>
      <c r="AG183">
        <v>0</v>
      </c>
      <c r="AH183">
        <v>0</v>
      </c>
      <c r="AI183" s="13">
        <f t="shared" si="21"/>
        <v>0</v>
      </c>
      <c r="AJ183" s="11" t="s">
        <v>51</v>
      </c>
      <c r="AK183" s="11" t="s">
        <v>51</v>
      </c>
      <c r="AL183" s="11" t="s">
        <v>51</v>
      </c>
      <c r="AM183" s="13">
        <f t="shared" si="26"/>
        <v>0</v>
      </c>
      <c r="AN183" s="18">
        <v>7</v>
      </c>
      <c r="AO183" s="18">
        <v>0</v>
      </c>
      <c r="AP183" s="18">
        <v>0</v>
      </c>
      <c r="AQ183" s="18">
        <v>0</v>
      </c>
      <c r="AR183" s="18">
        <f t="shared" si="27"/>
        <v>7</v>
      </c>
      <c r="AS183" t="s">
        <v>52</v>
      </c>
      <c r="AT183" s="9" t="s">
        <v>718</v>
      </c>
      <c r="AU183" s="30">
        <f t="shared" si="31"/>
        <v>93.75</v>
      </c>
    </row>
    <row r="184" spans="1:47" hidden="1" x14ac:dyDescent="0.25">
      <c r="A184" t="s">
        <v>46</v>
      </c>
      <c r="B184" t="s">
        <v>719</v>
      </c>
      <c r="C184" t="s">
        <v>720</v>
      </c>
      <c r="D184" t="s">
        <v>721</v>
      </c>
      <c r="E184" s="11">
        <v>23.337499999999999</v>
      </c>
      <c r="F184" s="11">
        <v>0</v>
      </c>
      <c r="G184" s="11">
        <v>58.712499999999999</v>
      </c>
      <c r="H184" s="11">
        <v>3.75</v>
      </c>
      <c r="I184" s="13">
        <f t="shared" si="22"/>
        <v>85.8</v>
      </c>
      <c r="J184" s="11">
        <v>0</v>
      </c>
      <c r="K184" s="11">
        <v>0</v>
      </c>
      <c r="L184" s="11">
        <v>0</v>
      </c>
      <c r="M184" s="13">
        <v>0</v>
      </c>
      <c r="N184" s="11">
        <v>0</v>
      </c>
      <c r="O184" s="11">
        <v>0</v>
      </c>
      <c r="P184" s="11">
        <v>0</v>
      </c>
      <c r="Q184" s="11">
        <v>0</v>
      </c>
      <c r="R184" s="13">
        <f t="shared" si="20"/>
        <v>0</v>
      </c>
      <c r="S184">
        <v>0</v>
      </c>
      <c r="T184">
        <v>0</v>
      </c>
      <c r="U184" s="7">
        <f t="shared" si="23"/>
        <v>0</v>
      </c>
      <c r="V184">
        <v>0</v>
      </c>
      <c r="W184">
        <v>0</v>
      </c>
      <c r="X184">
        <v>0</v>
      </c>
      <c r="Y184">
        <v>0</v>
      </c>
      <c r="Z184" s="13">
        <f t="shared" si="24"/>
        <v>0</v>
      </c>
      <c r="AA184">
        <v>0</v>
      </c>
      <c r="AB184">
        <v>0</v>
      </c>
      <c r="AC184">
        <v>0</v>
      </c>
      <c r="AD184">
        <v>0</v>
      </c>
      <c r="AE184" s="7">
        <f t="shared" si="25"/>
        <v>0</v>
      </c>
      <c r="AF184">
        <v>0</v>
      </c>
      <c r="AG184">
        <v>0</v>
      </c>
      <c r="AH184">
        <v>0</v>
      </c>
      <c r="AI184" s="13">
        <f t="shared" si="21"/>
        <v>0</v>
      </c>
      <c r="AJ184" s="11" t="s">
        <v>51</v>
      </c>
      <c r="AK184" s="11" t="s">
        <v>51</v>
      </c>
      <c r="AL184" s="11" t="s">
        <v>51</v>
      </c>
      <c r="AM184" s="13">
        <f t="shared" si="26"/>
        <v>0</v>
      </c>
      <c r="AN184" s="18">
        <v>8</v>
      </c>
      <c r="AO184" s="18">
        <v>0</v>
      </c>
      <c r="AP184" s="18">
        <v>0</v>
      </c>
      <c r="AQ184" s="18">
        <v>0</v>
      </c>
      <c r="AR184" s="18">
        <f t="shared" si="27"/>
        <v>8</v>
      </c>
      <c r="AS184" t="s">
        <v>52</v>
      </c>
      <c r="AT184" s="9" t="s">
        <v>722</v>
      </c>
      <c r="AU184" s="30">
        <f t="shared" si="31"/>
        <v>85.8</v>
      </c>
    </row>
    <row r="185" spans="1:47" hidden="1" x14ac:dyDescent="0.25">
      <c r="A185" t="s">
        <v>46</v>
      </c>
      <c r="B185" t="s">
        <v>723</v>
      </c>
      <c r="C185" t="s">
        <v>724</v>
      </c>
      <c r="D185" t="s">
        <v>725</v>
      </c>
      <c r="E185" s="11">
        <v>25</v>
      </c>
      <c r="F185" s="11">
        <v>0</v>
      </c>
      <c r="G185" s="11">
        <v>48.662500000000001</v>
      </c>
      <c r="H185" s="11">
        <v>3.125</v>
      </c>
      <c r="I185" s="13">
        <f t="shared" si="22"/>
        <v>76.787499999999994</v>
      </c>
      <c r="J185" s="11">
        <v>0</v>
      </c>
      <c r="K185" s="11">
        <v>0</v>
      </c>
      <c r="L185" s="11">
        <v>0</v>
      </c>
      <c r="M185" s="13">
        <v>0</v>
      </c>
      <c r="N185" s="11">
        <v>0</v>
      </c>
      <c r="O185" s="11">
        <v>0</v>
      </c>
      <c r="P185" s="11">
        <v>0</v>
      </c>
      <c r="Q185" s="11">
        <v>0</v>
      </c>
      <c r="R185" s="13">
        <f t="shared" si="20"/>
        <v>0</v>
      </c>
      <c r="S185">
        <v>0</v>
      </c>
      <c r="T185">
        <v>0</v>
      </c>
      <c r="U185" s="7">
        <f t="shared" si="23"/>
        <v>0</v>
      </c>
      <c r="V185">
        <v>0</v>
      </c>
      <c r="W185">
        <v>0</v>
      </c>
      <c r="X185">
        <v>0</v>
      </c>
      <c r="Y185">
        <v>0</v>
      </c>
      <c r="Z185" s="13">
        <f t="shared" si="24"/>
        <v>0</v>
      </c>
      <c r="AA185">
        <v>0</v>
      </c>
      <c r="AB185">
        <v>0</v>
      </c>
      <c r="AC185">
        <v>0</v>
      </c>
      <c r="AD185">
        <v>0</v>
      </c>
      <c r="AE185" s="7">
        <f t="shared" si="25"/>
        <v>0</v>
      </c>
      <c r="AF185">
        <v>0</v>
      </c>
      <c r="AG185">
        <v>0</v>
      </c>
      <c r="AH185">
        <v>0</v>
      </c>
      <c r="AI185" s="13">
        <f t="shared" si="21"/>
        <v>0</v>
      </c>
      <c r="AJ185" s="11" t="s">
        <v>51</v>
      </c>
      <c r="AK185" s="11" t="s">
        <v>51</v>
      </c>
      <c r="AL185" s="11" t="s">
        <v>51</v>
      </c>
      <c r="AM185" s="13">
        <f t="shared" si="26"/>
        <v>0</v>
      </c>
      <c r="AN185" s="18">
        <v>3</v>
      </c>
      <c r="AO185" s="18">
        <v>0</v>
      </c>
      <c r="AP185" s="18">
        <v>0</v>
      </c>
      <c r="AQ185" s="18">
        <v>0</v>
      </c>
      <c r="AR185" s="18">
        <f t="shared" si="27"/>
        <v>3</v>
      </c>
      <c r="AS185" t="s">
        <v>52</v>
      </c>
      <c r="AT185" s="9" t="s">
        <v>726</v>
      </c>
      <c r="AU185" s="30">
        <f t="shared" si="31"/>
        <v>76.787499999999994</v>
      </c>
    </row>
    <row r="186" spans="1:47" hidden="1" x14ac:dyDescent="0.25">
      <c r="A186" t="s">
        <v>46</v>
      </c>
      <c r="B186" t="s">
        <v>727</v>
      </c>
      <c r="C186" t="s">
        <v>728</v>
      </c>
      <c r="D186" t="s">
        <v>729</v>
      </c>
      <c r="E186" s="11">
        <v>20</v>
      </c>
      <c r="F186" s="11">
        <v>20</v>
      </c>
      <c r="G186" s="11">
        <v>43.69</v>
      </c>
      <c r="H186" s="11">
        <v>2.5</v>
      </c>
      <c r="I186" s="13">
        <f t="shared" si="22"/>
        <v>86.19</v>
      </c>
      <c r="J186" s="11">
        <v>0</v>
      </c>
      <c r="K186" s="11">
        <v>0</v>
      </c>
      <c r="L186" s="11">
        <v>0</v>
      </c>
      <c r="M186" s="13">
        <v>0</v>
      </c>
      <c r="N186" s="11">
        <v>0</v>
      </c>
      <c r="O186" s="11">
        <v>0</v>
      </c>
      <c r="P186" s="11">
        <v>0</v>
      </c>
      <c r="Q186" s="11">
        <v>0</v>
      </c>
      <c r="R186" s="13">
        <f t="shared" si="20"/>
        <v>0</v>
      </c>
      <c r="S186">
        <v>0</v>
      </c>
      <c r="T186">
        <v>0</v>
      </c>
      <c r="U186" s="7">
        <f t="shared" si="23"/>
        <v>0</v>
      </c>
      <c r="V186">
        <v>0</v>
      </c>
      <c r="W186">
        <v>0</v>
      </c>
      <c r="X186">
        <v>0</v>
      </c>
      <c r="Y186">
        <v>0</v>
      </c>
      <c r="Z186" s="13">
        <f t="shared" si="24"/>
        <v>0</v>
      </c>
      <c r="AA186">
        <v>0</v>
      </c>
      <c r="AB186">
        <v>0</v>
      </c>
      <c r="AC186">
        <v>0</v>
      </c>
      <c r="AD186">
        <v>0</v>
      </c>
      <c r="AE186" s="7">
        <f t="shared" si="25"/>
        <v>0</v>
      </c>
      <c r="AF186">
        <v>0</v>
      </c>
      <c r="AG186">
        <v>0</v>
      </c>
      <c r="AH186">
        <v>0</v>
      </c>
      <c r="AI186" s="13">
        <f t="shared" si="21"/>
        <v>0</v>
      </c>
      <c r="AJ186" s="11" t="s">
        <v>51</v>
      </c>
      <c r="AK186" s="11" t="s">
        <v>51</v>
      </c>
      <c r="AL186" s="11" t="s">
        <v>51</v>
      </c>
      <c r="AM186" s="13">
        <f t="shared" si="26"/>
        <v>0</v>
      </c>
      <c r="AN186" s="18">
        <v>6</v>
      </c>
      <c r="AO186" s="18">
        <v>0</v>
      </c>
      <c r="AP186" s="18">
        <v>0</v>
      </c>
      <c r="AQ186" s="18">
        <v>0</v>
      </c>
      <c r="AR186" s="18">
        <f t="shared" si="27"/>
        <v>6</v>
      </c>
      <c r="AS186" t="s">
        <v>52</v>
      </c>
      <c r="AT186" s="9" t="s">
        <v>730</v>
      </c>
      <c r="AU186" s="30">
        <f t="shared" si="31"/>
        <v>86.19</v>
      </c>
    </row>
    <row r="187" spans="1:47" hidden="1" x14ac:dyDescent="0.25">
      <c r="A187" t="s">
        <v>46</v>
      </c>
      <c r="B187" t="s">
        <v>731</v>
      </c>
      <c r="C187" t="s">
        <v>732</v>
      </c>
      <c r="D187" t="s">
        <v>733</v>
      </c>
      <c r="E187" s="11">
        <v>25</v>
      </c>
      <c r="F187" s="11">
        <v>0</v>
      </c>
      <c r="G187" s="11">
        <v>56.612499999999997</v>
      </c>
      <c r="H187" s="11">
        <v>3.125</v>
      </c>
      <c r="I187" s="13">
        <f t="shared" si="22"/>
        <v>84.737499999999997</v>
      </c>
      <c r="J187" s="11">
        <v>0</v>
      </c>
      <c r="K187" s="11">
        <v>0</v>
      </c>
      <c r="L187" s="11">
        <v>0</v>
      </c>
      <c r="M187" s="13">
        <v>0</v>
      </c>
      <c r="N187" s="11">
        <v>0</v>
      </c>
      <c r="O187" s="11">
        <v>0</v>
      </c>
      <c r="P187" s="11">
        <v>0</v>
      </c>
      <c r="Q187" s="11">
        <v>0</v>
      </c>
      <c r="R187" s="13">
        <f t="shared" si="20"/>
        <v>0</v>
      </c>
      <c r="S187">
        <v>0</v>
      </c>
      <c r="T187">
        <v>0</v>
      </c>
      <c r="U187" s="7">
        <f t="shared" si="23"/>
        <v>0</v>
      </c>
      <c r="V187">
        <v>0</v>
      </c>
      <c r="W187">
        <v>0</v>
      </c>
      <c r="X187">
        <v>0</v>
      </c>
      <c r="Y187">
        <v>0</v>
      </c>
      <c r="Z187" s="13">
        <f t="shared" si="24"/>
        <v>0</v>
      </c>
      <c r="AA187">
        <v>0</v>
      </c>
      <c r="AB187">
        <v>0</v>
      </c>
      <c r="AC187">
        <v>0</v>
      </c>
      <c r="AD187">
        <v>0</v>
      </c>
      <c r="AE187" s="7">
        <f t="shared" si="25"/>
        <v>0</v>
      </c>
      <c r="AF187">
        <v>0</v>
      </c>
      <c r="AG187">
        <v>0</v>
      </c>
      <c r="AH187">
        <v>0</v>
      </c>
      <c r="AI187" s="13">
        <f t="shared" si="21"/>
        <v>0</v>
      </c>
      <c r="AJ187" s="11" t="s">
        <v>51</v>
      </c>
      <c r="AK187" s="11" t="s">
        <v>51</v>
      </c>
      <c r="AL187" s="11" t="s">
        <v>51</v>
      </c>
      <c r="AM187" s="13">
        <f t="shared" si="26"/>
        <v>0</v>
      </c>
      <c r="AN187" s="18">
        <v>7</v>
      </c>
      <c r="AO187" s="18">
        <v>0</v>
      </c>
      <c r="AP187" s="18">
        <v>0</v>
      </c>
      <c r="AQ187" s="18">
        <v>0</v>
      </c>
      <c r="AR187" s="18">
        <f t="shared" si="27"/>
        <v>7</v>
      </c>
      <c r="AS187" t="s">
        <v>52</v>
      </c>
      <c r="AT187" s="9" t="s">
        <v>734</v>
      </c>
      <c r="AU187" s="30">
        <f t="shared" si="31"/>
        <v>84.737499999999997</v>
      </c>
    </row>
    <row r="188" spans="1:47" s="6" customFormat="1" hidden="1" x14ac:dyDescent="0.25">
      <c r="A188" s="6" t="s">
        <v>46</v>
      </c>
      <c r="B188" s="6" t="s">
        <v>735</v>
      </c>
      <c r="C188" s="6" t="s">
        <v>736</v>
      </c>
      <c r="D188" s="6" t="s">
        <v>737</v>
      </c>
      <c r="E188" s="12"/>
      <c r="F188" s="12">
        <v>66.666666666666657</v>
      </c>
      <c r="G188" s="12"/>
      <c r="H188" s="12">
        <v>1.35</v>
      </c>
      <c r="I188" s="13">
        <f t="shared" si="22"/>
        <v>68.016666666666652</v>
      </c>
      <c r="J188" s="14"/>
      <c r="K188" s="14"/>
      <c r="L188" s="14"/>
      <c r="M188" s="13">
        <v>0</v>
      </c>
      <c r="N188" s="12"/>
      <c r="O188" s="12"/>
      <c r="P188" s="12"/>
      <c r="Q188" s="12"/>
      <c r="R188" s="13">
        <f t="shared" si="20"/>
        <v>0</v>
      </c>
      <c r="U188" s="7">
        <f t="shared" si="23"/>
        <v>0</v>
      </c>
      <c r="Z188" s="13">
        <f t="shared" si="24"/>
        <v>0</v>
      </c>
      <c r="AA188" s="6">
        <v>0</v>
      </c>
      <c r="AB188" s="6">
        <v>0</v>
      </c>
      <c r="AC188" s="6">
        <v>0</v>
      </c>
      <c r="AD188" s="6">
        <v>0</v>
      </c>
      <c r="AE188" s="7">
        <f t="shared" si="25"/>
        <v>0</v>
      </c>
      <c r="AF188" s="6">
        <v>0</v>
      </c>
      <c r="AG188" s="6">
        <v>0</v>
      </c>
      <c r="AH188" s="6">
        <v>0</v>
      </c>
      <c r="AI188" s="13">
        <f t="shared" si="21"/>
        <v>0</v>
      </c>
      <c r="AJ188" s="12" t="s">
        <v>51</v>
      </c>
      <c r="AK188" s="12" t="s">
        <v>51</v>
      </c>
      <c r="AL188" s="12" t="s">
        <v>51</v>
      </c>
      <c r="AM188" s="13">
        <f t="shared" si="26"/>
        <v>0</v>
      </c>
      <c r="AN188" s="21">
        <v>6</v>
      </c>
      <c r="AO188" s="21">
        <v>0</v>
      </c>
      <c r="AP188" s="21">
        <v>0</v>
      </c>
      <c r="AQ188" s="21">
        <v>0</v>
      </c>
      <c r="AR188" s="18">
        <f t="shared" si="27"/>
        <v>6</v>
      </c>
      <c r="AS188" s="6" t="s">
        <v>52</v>
      </c>
      <c r="AT188" s="10" t="s">
        <v>704</v>
      </c>
      <c r="AU188" s="30">
        <f t="shared" si="31"/>
        <v>68.016666666666652</v>
      </c>
    </row>
    <row r="189" spans="1:47" hidden="1" x14ac:dyDescent="0.25">
      <c r="A189" t="s">
        <v>46</v>
      </c>
      <c r="B189" t="s">
        <v>738</v>
      </c>
      <c r="C189" t="s">
        <v>739</v>
      </c>
      <c r="D189" t="s">
        <v>740</v>
      </c>
      <c r="E189" s="11">
        <v>0</v>
      </c>
      <c r="F189" s="11">
        <v>18.100000000000001</v>
      </c>
      <c r="G189" s="11">
        <v>42.214285714285715</v>
      </c>
      <c r="H189" s="11">
        <v>0</v>
      </c>
      <c r="I189" s="13">
        <f t="shared" si="22"/>
        <v>60.314285714285717</v>
      </c>
      <c r="J189" s="11">
        <v>0</v>
      </c>
      <c r="K189" s="11">
        <v>0</v>
      </c>
      <c r="L189" s="11">
        <v>0</v>
      </c>
      <c r="M189" s="13">
        <v>0</v>
      </c>
      <c r="N189" s="11">
        <v>0</v>
      </c>
      <c r="O189" s="11">
        <v>0</v>
      </c>
      <c r="P189" s="11">
        <v>0</v>
      </c>
      <c r="Q189" s="11">
        <v>0</v>
      </c>
      <c r="R189" s="13">
        <f t="shared" si="20"/>
        <v>0</v>
      </c>
      <c r="S189">
        <v>0</v>
      </c>
      <c r="T189">
        <v>0</v>
      </c>
      <c r="U189" s="7">
        <f t="shared" si="23"/>
        <v>0</v>
      </c>
      <c r="V189">
        <v>0</v>
      </c>
      <c r="W189">
        <v>0</v>
      </c>
      <c r="X189">
        <v>0</v>
      </c>
      <c r="Y189">
        <v>0</v>
      </c>
      <c r="Z189" s="13">
        <f t="shared" si="24"/>
        <v>0</v>
      </c>
      <c r="AA189">
        <v>0</v>
      </c>
      <c r="AB189">
        <v>0</v>
      </c>
      <c r="AC189">
        <v>0</v>
      </c>
      <c r="AD189">
        <v>0</v>
      </c>
      <c r="AE189" s="7">
        <f t="shared" si="25"/>
        <v>0</v>
      </c>
      <c r="AF189">
        <v>0</v>
      </c>
      <c r="AG189">
        <v>0</v>
      </c>
      <c r="AH189">
        <v>0</v>
      </c>
      <c r="AI189" s="13">
        <f t="shared" si="21"/>
        <v>0</v>
      </c>
      <c r="AJ189" s="11" t="s">
        <v>51</v>
      </c>
      <c r="AK189" s="11" t="s">
        <v>51</v>
      </c>
      <c r="AL189" s="11" t="s">
        <v>51</v>
      </c>
      <c r="AM189" s="13">
        <f t="shared" si="26"/>
        <v>0</v>
      </c>
      <c r="AN189" s="18">
        <v>4</v>
      </c>
      <c r="AO189" s="18">
        <v>0</v>
      </c>
      <c r="AP189" s="18">
        <v>0</v>
      </c>
      <c r="AQ189" s="18">
        <v>0</v>
      </c>
      <c r="AR189" s="18">
        <f t="shared" si="27"/>
        <v>4</v>
      </c>
      <c r="AS189" t="s">
        <v>52</v>
      </c>
      <c r="AT189" s="9" t="s">
        <v>741</v>
      </c>
      <c r="AU189" s="30">
        <f t="shared" si="31"/>
        <v>60.314285714285717</v>
      </c>
    </row>
    <row r="190" spans="1:47" hidden="1" x14ac:dyDescent="0.25">
      <c r="A190" t="s">
        <v>46</v>
      </c>
      <c r="B190" t="s">
        <v>742</v>
      </c>
      <c r="C190" t="s">
        <v>743</v>
      </c>
      <c r="D190" t="s">
        <v>744</v>
      </c>
      <c r="E190" s="11">
        <v>0</v>
      </c>
      <c r="F190" s="11">
        <v>25</v>
      </c>
      <c r="G190" s="11">
        <v>59.512500000000003</v>
      </c>
      <c r="H190" s="11">
        <v>3.125</v>
      </c>
      <c r="I190" s="13">
        <f t="shared" si="22"/>
        <v>87.637500000000003</v>
      </c>
      <c r="J190" s="11">
        <v>0</v>
      </c>
      <c r="K190" s="11">
        <v>0</v>
      </c>
      <c r="L190" s="11">
        <v>0</v>
      </c>
      <c r="M190" s="13">
        <v>0</v>
      </c>
      <c r="N190" s="11">
        <v>0</v>
      </c>
      <c r="O190" s="11">
        <v>0</v>
      </c>
      <c r="P190" s="11">
        <v>0</v>
      </c>
      <c r="Q190" s="11">
        <v>0</v>
      </c>
      <c r="R190" s="13">
        <f t="shared" si="20"/>
        <v>0</v>
      </c>
      <c r="S190">
        <v>0</v>
      </c>
      <c r="T190">
        <v>0</v>
      </c>
      <c r="U190" s="7">
        <f t="shared" si="23"/>
        <v>0</v>
      </c>
      <c r="V190">
        <v>0</v>
      </c>
      <c r="W190">
        <v>0</v>
      </c>
      <c r="X190">
        <v>0</v>
      </c>
      <c r="Y190">
        <v>0</v>
      </c>
      <c r="Z190" s="13">
        <f t="shared" si="24"/>
        <v>0</v>
      </c>
      <c r="AA190">
        <v>0</v>
      </c>
      <c r="AB190">
        <v>0</v>
      </c>
      <c r="AC190">
        <v>0</v>
      </c>
      <c r="AD190">
        <v>0</v>
      </c>
      <c r="AE190" s="7">
        <f t="shared" si="25"/>
        <v>0</v>
      </c>
      <c r="AF190">
        <v>0</v>
      </c>
      <c r="AG190">
        <v>0</v>
      </c>
      <c r="AH190">
        <v>0</v>
      </c>
      <c r="AI190" s="13">
        <f t="shared" si="21"/>
        <v>0</v>
      </c>
      <c r="AJ190" s="11" t="s">
        <v>51</v>
      </c>
      <c r="AK190" s="11" t="s">
        <v>51</v>
      </c>
      <c r="AL190" s="11" t="s">
        <v>51</v>
      </c>
      <c r="AM190" s="13">
        <f t="shared" si="26"/>
        <v>0</v>
      </c>
      <c r="AN190" s="18">
        <v>40</v>
      </c>
      <c r="AO190" s="18">
        <v>0</v>
      </c>
      <c r="AP190" s="18">
        <v>0</v>
      </c>
      <c r="AQ190" s="18">
        <v>0</v>
      </c>
      <c r="AR190" s="18">
        <f t="shared" si="27"/>
        <v>40</v>
      </c>
      <c r="AS190" t="s">
        <v>52</v>
      </c>
      <c r="AT190" s="9" t="s">
        <v>745</v>
      </c>
      <c r="AU190" s="30">
        <f t="shared" si="31"/>
        <v>87.637500000000003</v>
      </c>
    </row>
    <row r="191" spans="1:47" hidden="1" x14ac:dyDescent="0.25">
      <c r="A191" t="s">
        <v>46</v>
      </c>
      <c r="B191" t="s">
        <v>746</v>
      </c>
      <c r="C191" t="s">
        <v>747</v>
      </c>
      <c r="D191" t="s">
        <v>748</v>
      </c>
      <c r="E191" s="11">
        <v>20</v>
      </c>
      <c r="F191" s="11">
        <v>20</v>
      </c>
      <c r="G191" s="11">
        <v>45.19</v>
      </c>
      <c r="H191" s="11">
        <v>9</v>
      </c>
      <c r="I191" s="13">
        <f t="shared" si="22"/>
        <v>94.19</v>
      </c>
      <c r="J191" s="11">
        <v>0</v>
      </c>
      <c r="K191" s="11">
        <v>0</v>
      </c>
      <c r="L191" s="11">
        <v>0</v>
      </c>
      <c r="M191" s="13">
        <v>0</v>
      </c>
      <c r="N191" s="11">
        <v>0</v>
      </c>
      <c r="O191" s="11">
        <v>0</v>
      </c>
      <c r="P191" s="11">
        <v>0</v>
      </c>
      <c r="Q191" s="11">
        <v>0</v>
      </c>
      <c r="R191" s="13">
        <f t="shared" si="20"/>
        <v>0</v>
      </c>
      <c r="S191">
        <v>0</v>
      </c>
      <c r="T191">
        <v>0</v>
      </c>
      <c r="U191" s="7">
        <f t="shared" si="23"/>
        <v>0</v>
      </c>
      <c r="V191">
        <v>0</v>
      </c>
      <c r="W191">
        <v>0</v>
      </c>
      <c r="X191">
        <v>0</v>
      </c>
      <c r="Y191">
        <v>0</v>
      </c>
      <c r="Z191" s="13">
        <f t="shared" si="24"/>
        <v>0</v>
      </c>
      <c r="AA191">
        <v>15</v>
      </c>
      <c r="AB191">
        <v>50</v>
      </c>
      <c r="AC191">
        <v>10.5</v>
      </c>
      <c r="AD191">
        <v>20</v>
      </c>
      <c r="AE191" s="7">
        <f t="shared" si="25"/>
        <v>95.5</v>
      </c>
      <c r="AF191">
        <v>0</v>
      </c>
      <c r="AG191">
        <v>0</v>
      </c>
      <c r="AH191">
        <v>0</v>
      </c>
      <c r="AI191" s="13">
        <f t="shared" si="21"/>
        <v>0</v>
      </c>
      <c r="AJ191" s="11" t="s">
        <v>51</v>
      </c>
      <c r="AK191" s="11" t="s">
        <v>51</v>
      </c>
      <c r="AL191" s="11" t="s">
        <v>51</v>
      </c>
      <c r="AM191" s="13">
        <f t="shared" si="26"/>
        <v>0</v>
      </c>
      <c r="AN191" s="18">
        <v>27.5</v>
      </c>
      <c r="AO191" s="18">
        <v>12.5</v>
      </c>
      <c r="AP191" s="18">
        <v>0</v>
      </c>
      <c r="AQ191" s="18">
        <v>0</v>
      </c>
      <c r="AR191" s="18">
        <f t="shared" si="27"/>
        <v>40</v>
      </c>
      <c r="AS191" t="s">
        <v>52</v>
      </c>
      <c r="AT191" s="9" t="s">
        <v>749</v>
      </c>
      <c r="AU191" s="30">
        <f t="shared" si="31"/>
        <v>94.599374999999995</v>
      </c>
    </row>
    <row r="192" spans="1:47" s="6" customFormat="1" hidden="1" x14ac:dyDescent="0.25">
      <c r="A192" s="6" t="s">
        <v>46</v>
      </c>
      <c r="B192" s="6" t="s">
        <v>750</v>
      </c>
      <c r="C192" s="6" t="s">
        <v>751</v>
      </c>
      <c r="D192" s="6" t="s">
        <v>752</v>
      </c>
      <c r="E192" s="12">
        <v>0</v>
      </c>
      <c r="F192" s="12">
        <v>0</v>
      </c>
      <c r="G192" s="12">
        <v>0</v>
      </c>
      <c r="H192" s="12">
        <v>0</v>
      </c>
      <c r="I192" s="13">
        <f t="shared" si="22"/>
        <v>0</v>
      </c>
      <c r="J192" s="14">
        <v>57.942</v>
      </c>
      <c r="K192" s="14">
        <v>30</v>
      </c>
      <c r="L192" s="14">
        <v>8.5</v>
      </c>
      <c r="M192" s="13">
        <v>96.442000000000007</v>
      </c>
      <c r="N192" s="12">
        <v>0</v>
      </c>
      <c r="O192" s="12">
        <v>0</v>
      </c>
      <c r="P192" s="12">
        <v>0</v>
      </c>
      <c r="Q192" s="12">
        <v>0</v>
      </c>
      <c r="R192" s="13">
        <f t="shared" si="20"/>
        <v>0</v>
      </c>
      <c r="S192" s="6">
        <v>0</v>
      </c>
      <c r="T192" s="6">
        <v>0</v>
      </c>
      <c r="U192" s="7">
        <f t="shared" si="23"/>
        <v>0</v>
      </c>
      <c r="V192" s="6">
        <v>0</v>
      </c>
      <c r="W192" s="6">
        <v>0</v>
      </c>
      <c r="X192" s="6">
        <v>0</v>
      </c>
      <c r="Y192" s="6">
        <v>0</v>
      </c>
      <c r="Z192" s="13">
        <f t="shared" si="24"/>
        <v>0</v>
      </c>
      <c r="AA192" s="6">
        <v>0</v>
      </c>
      <c r="AB192" s="6">
        <v>0</v>
      </c>
      <c r="AC192" s="6">
        <v>0</v>
      </c>
      <c r="AD192" s="6">
        <v>0</v>
      </c>
      <c r="AE192" s="7">
        <f t="shared" si="25"/>
        <v>0</v>
      </c>
      <c r="AF192" s="6">
        <v>0</v>
      </c>
      <c r="AG192" s="6">
        <v>0</v>
      </c>
      <c r="AH192" s="6">
        <v>0</v>
      </c>
      <c r="AI192" s="13">
        <f t="shared" si="21"/>
        <v>0</v>
      </c>
      <c r="AJ192" s="12" t="s">
        <v>51</v>
      </c>
      <c r="AK192" s="12" t="s">
        <v>51</v>
      </c>
      <c r="AL192" s="12" t="s">
        <v>51</v>
      </c>
      <c r="AM192" s="13">
        <f t="shared" si="26"/>
        <v>0</v>
      </c>
      <c r="AN192" s="21">
        <v>2.125</v>
      </c>
      <c r="AO192" s="21">
        <v>0</v>
      </c>
      <c r="AP192" s="21">
        <v>0</v>
      </c>
      <c r="AQ192" s="21">
        <v>0</v>
      </c>
      <c r="AR192" s="18">
        <f t="shared" si="27"/>
        <v>2.125</v>
      </c>
      <c r="AS192" s="6" t="s">
        <v>87</v>
      </c>
      <c r="AT192" s="10" t="s">
        <v>343</v>
      </c>
      <c r="AU192" s="30">
        <f>+((AN192*M192)/AR192)</f>
        <v>96.442000000000007</v>
      </c>
    </row>
    <row r="193" spans="1:47" hidden="1" x14ac:dyDescent="0.25">
      <c r="A193" t="s">
        <v>46</v>
      </c>
      <c r="B193" t="s">
        <v>753</v>
      </c>
      <c r="C193" t="s">
        <v>754</v>
      </c>
      <c r="D193" t="s">
        <v>755</v>
      </c>
      <c r="E193" s="11">
        <v>20</v>
      </c>
      <c r="F193" s="11">
        <v>16.670000000000002</v>
      </c>
      <c r="G193" s="11">
        <v>43.72</v>
      </c>
      <c r="H193" s="11">
        <v>3.5</v>
      </c>
      <c r="I193" s="13">
        <f t="shared" si="22"/>
        <v>83.89</v>
      </c>
      <c r="J193" s="11">
        <v>0</v>
      </c>
      <c r="K193" s="11">
        <v>0</v>
      </c>
      <c r="L193" s="11">
        <v>0</v>
      </c>
      <c r="M193" s="13">
        <v>0</v>
      </c>
      <c r="N193" s="11">
        <v>0</v>
      </c>
      <c r="O193" s="11">
        <v>0</v>
      </c>
      <c r="P193" s="11">
        <v>0</v>
      </c>
      <c r="Q193" s="11">
        <v>0</v>
      </c>
      <c r="R193" s="13">
        <f t="shared" si="20"/>
        <v>0</v>
      </c>
      <c r="S193">
        <v>0</v>
      </c>
      <c r="T193">
        <v>0</v>
      </c>
      <c r="U193" s="7">
        <f t="shared" si="23"/>
        <v>0</v>
      </c>
      <c r="V193">
        <v>0</v>
      </c>
      <c r="W193">
        <v>0</v>
      </c>
      <c r="X193">
        <v>0</v>
      </c>
      <c r="Y193">
        <v>0</v>
      </c>
      <c r="Z193" s="13">
        <f t="shared" si="24"/>
        <v>0</v>
      </c>
      <c r="AA193">
        <v>0</v>
      </c>
      <c r="AB193">
        <v>0</v>
      </c>
      <c r="AC193">
        <v>0</v>
      </c>
      <c r="AD193">
        <v>0</v>
      </c>
      <c r="AE193" s="7">
        <f t="shared" si="25"/>
        <v>0</v>
      </c>
      <c r="AF193">
        <v>0</v>
      </c>
      <c r="AG193">
        <v>0</v>
      </c>
      <c r="AH193">
        <v>0</v>
      </c>
      <c r="AI193" s="13">
        <f t="shared" si="21"/>
        <v>0</v>
      </c>
      <c r="AJ193" s="11" t="s">
        <v>51</v>
      </c>
      <c r="AK193" s="11" t="s">
        <v>51</v>
      </c>
      <c r="AL193" s="11" t="s">
        <v>51</v>
      </c>
      <c r="AM193" s="13">
        <f t="shared" si="26"/>
        <v>0</v>
      </c>
      <c r="AN193" s="18">
        <v>40</v>
      </c>
      <c r="AO193" s="18">
        <v>0</v>
      </c>
      <c r="AP193" s="18">
        <v>0</v>
      </c>
      <c r="AQ193" s="18">
        <v>0</v>
      </c>
      <c r="AR193" s="18">
        <f t="shared" si="27"/>
        <v>40</v>
      </c>
      <c r="AS193" t="s">
        <v>52</v>
      </c>
      <c r="AT193" s="9" t="s">
        <v>756</v>
      </c>
      <c r="AU193" s="30">
        <f>+((AN193*I193)+(AO193*AE193)+(AQ193*AI193)+(AP193*AM193))/AR193</f>
        <v>83.89</v>
      </c>
    </row>
    <row r="194" spans="1:47" hidden="1" x14ac:dyDescent="0.25">
      <c r="A194" t="s">
        <v>46</v>
      </c>
      <c r="B194" t="s">
        <v>757</v>
      </c>
      <c r="C194" t="s">
        <v>758</v>
      </c>
      <c r="D194" t="s">
        <v>759</v>
      </c>
      <c r="E194" s="11">
        <v>18</v>
      </c>
      <c r="F194" s="11">
        <v>20</v>
      </c>
      <c r="G194" s="11">
        <v>45</v>
      </c>
      <c r="H194" s="11">
        <v>4.5</v>
      </c>
      <c r="I194" s="13">
        <f t="shared" si="22"/>
        <v>87.5</v>
      </c>
      <c r="J194" s="11">
        <v>0</v>
      </c>
      <c r="K194" s="11">
        <v>0</v>
      </c>
      <c r="L194" s="11">
        <v>0</v>
      </c>
      <c r="M194" s="13">
        <v>0</v>
      </c>
      <c r="N194" s="11">
        <v>0</v>
      </c>
      <c r="O194" s="11">
        <v>0</v>
      </c>
      <c r="P194" s="11">
        <v>0</v>
      </c>
      <c r="Q194" s="11">
        <v>0</v>
      </c>
      <c r="R194" s="13">
        <f t="shared" si="20"/>
        <v>0</v>
      </c>
      <c r="S194">
        <v>0</v>
      </c>
      <c r="T194">
        <v>0</v>
      </c>
      <c r="U194" s="7">
        <f t="shared" si="23"/>
        <v>0</v>
      </c>
      <c r="V194">
        <v>0</v>
      </c>
      <c r="W194">
        <v>0</v>
      </c>
      <c r="X194">
        <v>0</v>
      </c>
      <c r="Y194">
        <v>0</v>
      </c>
      <c r="Z194" s="13">
        <f t="shared" si="24"/>
        <v>0</v>
      </c>
      <c r="AA194">
        <v>0</v>
      </c>
      <c r="AB194">
        <v>0</v>
      </c>
      <c r="AC194">
        <v>0</v>
      </c>
      <c r="AD194">
        <v>0</v>
      </c>
      <c r="AE194" s="7">
        <f t="shared" si="25"/>
        <v>0</v>
      </c>
      <c r="AF194">
        <v>0</v>
      </c>
      <c r="AG194">
        <v>0</v>
      </c>
      <c r="AH194">
        <v>0</v>
      </c>
      <c r="AI194" s="13">
        <f t="shared" si="21"/>
        <v>0</v>
      </c>
      <c r="AJ194" s="11" t="s">
        <v>51</v>
      </c>
      <c r="AK194" s="11" t="s">
        <v>51</v>
      </c>
      <c r="AL194" s="11" t="s">
        <v>51</v>
      </c>
      <c r="AM194" s="13">
        <f t="shared" si="26"/>
        <v>0</v>
      </c>
      <c r="AN194" s="18">
        <v>40</v>
      </c>
      <c r="AO194" s="18">
        <v>0</v>
      </c>
      <c r="AP194" s="18">
        <v>0</v>
      </c>
      <c r="AQ194" s="18">
        <v>0</v>
      </c>
      <c r="AR194" s="18">
        <f t="shared" si="27"/>
        <v>40</v>
      </c>
      <c r="AS194" t="s">
        <v>52</v>
      </c>
      <c r="AT194" s="9" t="s">
        <v>760</v>
      </c>
      <c r="AU194" s="30">
        <f>+((AN194*I194)+(AO194*AE194)+(AQ194*AI194)+(AP194*AM194))/AR194</f>
        <v>87.5</v>
      </c>
    </row>
    <row r="195" spans="1:47" s="6" customFormat="1" hidden="1" x14ac:dyDescent="0.25">
      <c r="A195" s="6" t="s">
        <v>46</v>
      </c>
      <c r="B195" s="6" t="s">
        <v>761</v>
      </c>
      <c r="C195" s="6" t="s">
        <v>762</v>
      </c>
      <c r="D195" s="6" t="s">
        <v>763</v>
      </c>
      <c r="E195" s="12">
        <v>20</v>
      </c>
      <c r="F195" s="12">
        <v>20</v>
      </c>
      <c r="G195" s="12">
        <v>39.42</v>
      </c>
      <c r="H195" s="12">
        <v>3</v>
      </c>
      <c r="I195" s="13">
        <f t="shared" si="22"/>
        <v>82.42</v>
      </c>
      <c r="J195" s="14">
        <v>0</v>
      </c>
      <c r="K195" s="14">
        <v>0</v>
      </c>
      <c r="L195" s="14">
        <v>0</v>
      </c>
      <c r="M195" s="13">
        <v>0</v>
      </c>
      <c r="N195" s="12">
        <v>0</v>
      </c>
      <c r="O195" s="12">
        <v>0</v>
      </c>
      <c r="P195" s="12">
        <v>0</v>
      </c>
      <c r="Q195" s="12">
        <v>0</v>
      </c>
      <c r="R195" s="13">
        <f t="shared" si="20"/>
        <v>0</v>
      </c>
      <c r="S195" s="6">
        <v>0</v>
      </c>
      <c r="T195" s="6">
        <v>0</v>
      </c>
      <c r="U195" s="7">
        <f t="shared" si="23"/>
        <v>0</v>
      </c>
      <c r="V195" s="6">
        <v>0</v>
      </c>
      <c r="W195" s="6">
        <v>0</v>
      </c>
      <c r="X195" s="6">
        <v>0</v>
      </c>
      <c r="Y195" s="6">
        <v>0</v>
      </c>
      <c r="Z195" s="13">
        <f t="shared" si="24"/>
        <v>0</v>
      </c>
      <c r="AA195" s="6">
        <v>0</v>
      </c>
      <c r="AB195" s="6">
        <v>50</v>
      </c>
      <c r="AC195" s="6">
        <v>15</v>
      </c>
      <c r="AD195" s="6">
        <v>13.75</v>
      </c>
      <c r="AE195" s="7">
        <f t="shared" si="25"/>
        <v>78.75</v>
      </c>
      <c r="AF195" s="6">
        <v>0</v>
      </c>
      <c r="AG195" s="6">
        <v>0</v>
      </c>
      <c r="AH195" s="6">
        <v>0</v>
      </c>
      <c r="AI195" s="13">
        <f t="shared" si="21"/>
        <v>0</v>
      </c>
      <c r="AJ195" s="12" t="s">
        <v>51</v>
      </c>
      <c r="AK195" s="12" t="s">
        <v>51</v>
      </c>
      <c r="AL195" s="12" t="s">
        <v>51</v>
      </c>
      <c r="AM195" s="13">
        <f t="shared" si="26"/>
        <v>0</v>
      </c>
      <c r="AN195" s="21">
        <v>35</v>
      </c>
      <c r="AO195" s="21">
        <v>5</v>
      </c>
      <c r="AP195" s="21">
        <v>0</v>
      </c>
      <c r="AQ195" s="21">
        <v>0</v>
      </c>
      <c r="AR195" s="18">
        <f t="shared" si="27"/>
        <v>40</v>
      </c>
      <c r="AS195" s="6" t="s">
        <v>52</v>
      </c>
      <c r="AT195" s="10" t="s">
        <v>764</v>
      </c>
      <c r="AU195" s="30">
        <f>+((AN195*I195)+(AO195*AE195)+(AQ195*AI195)+(AP195*AM195))/AR195</f>
        <v>81.961250000000007</v>
      </c>
    </row>
    <row r="196" spans="1:47" hidden="1" x14ac:dyDescent="0.25">
      <c r="A196" t="s">
        <v>46</v>
      </c>
      <c r="B196" s="32" t="s">
        <v>765</v>
      </c>
      <c r="C196" s="32" t="s">
        <v>766</v>
      </c>
      <c r="D196" s="32" t="s">
        <v>767</v>
      </c>
      <c r="E196" s="11">
        <v>0</v>
      </c>
      <c r="F196" s="11">
        <v>0</v>
      </c>
      <c r="G196" s="11">
        <v>0</v>
      </c>
      <c r="H196" s="11">
        <v>0</v>
      </c>
      <c r="I196" s="13">
        <f t="shared" si="22"/>
        <v>0</v>
      </c>
      <c r="J196" s="11">
        <v>0</v>
      </c>
      <c r="K196" s="11">
        <v>0</v>
      </c>
      <c r="L196" s="11">
        <v>0</v>
      </c>
      <c r="M196" s="13">
        <v>0</v>
      </c>
      <c r="N196" s="11">
        <v>40.777777777777786</v>
      </c>
      <c r="O196" s="11">
        <v>2.7777777777777777</v>
      </c>
      <c r="P196" s="11">
        <v>0</v>
      </c>
      <c r="Q196" s="11">
        <v>22.222222222222221</v>
      </c>
      <c r="R196" s="13">
        <f t="shared" si="20"/>
        <v>65.777777777777786</v>
      </c>
      <c r="S196">
        <v>0</v>
      </c>
      <c r="T196">
        <v>0</v>
      </c>
      <c r="U196" s="7">
        <f t="shared" si="23"/>
        <v>0</v>
      </c>
      <c r="V196">
        <v>0</v>
      </c>
      <c r="W196">
        <v>0</v>
      </c>
      <c r="X196">
        <v>0</v>
      </c>
      <c r="Y196">
        <v>0</v>
      </c>
      <c r="Z196" s="13">
        <f t="shared" si="24"/>
        <v>0</v>
      </c>
      <c r="AA196">
        <v>0</v>
      </c>
      <c r="AB196">
        <v>0</v>
      </c>
      <c r="AC196">
        <v>0</v>
      </c>
      <c r="AD196">
        <v>0</v>
      </c>
      <c r="AE196" s="7">
        <f t="shared" si="25"/>
        <v>0</v>
      </c>
      <c r="AF196">
        <v>0</v>
      </c>
      <c r="AG196">
        <v>0</v>
      </c>
      <c r="AH196">
        <v>0</v>
      </c>
      <c r="AI196" s="13">
        <f t="shared" si="21"/>
        <v>0</v>
      </c>
      <c r="AJ196" s="11" t="s">
        <v>51</v>
      </c>
      <c r="AK196" s="11" t="s">
        <v>51</v>
      </c>
      <c r="AL196" s="11" t="s">
        <v>51</v>
      </c>
      <c r="AM196" s="13">
        <f t="shared" si="26"/>
        <v>0</v>
      </c>
      <c r="AN196" s="18">
        <v>3</v>
      </c>
      <c r="AO196" s="18">
        <v>0</v>
      </c>
      <c r="AP196" s="18">
        <v>0</v>
      </c>
      <c r="AQ196" s="18">
        <v>0</v>
      </c>
      <c r="AR196" s="18">
        <f t="shared" si="27"/>
        <v>3</v>
      </c>
      <c r="AS196" t="s">
        <v>117</v>
      </c>
      <c r="AT196" s="9" t="s">
        <v>768</v>
      </c>
      <c r="AU196" s="11">
        <f>+((AN196*R196)+(AQ196*AI196)+(AP196*AM196))/AR196</f>
        <v>65.777777777777786</v>
      </c>
    </row>
    <row r="197" spans="1:47" hidden="1" x14ac:dyDescent="0.25">
      <c r="A197" t="s">
        <v>46</v>
      </c>
      <c r="B197" t="s">
        <v>769</v>
      </c>
      <c r="C197" t="s">
        <v>770</v>
      </c>
      <c r="D197" t="s">
        <v>771</v>
      </c>
      <c r="E197" s="11">
        <v>20</v>
      </c>
      <c r="F197" s="11">
        <v>20</v>
      </c>
      <c r="G197" s="11">
        <v>35.51</v>
      </c>
      <c r="H197" s="11">
        <v>4.5</v>
      </c>
      <c r="I197" s="13">
        <f t="shared" si="22"/>
        <v>80.009999999999991</v>
      </c>
      <c r="J197" s="11">
        <v>0</v>
      </c>
      <c r="K197" s="11">
        <v>0</v>
      </c>
      <c r="L197" s="11">
        <v>0</v>
      </c>
      <c r="M197" s="13">
        <v>0</v>
      </c>
      <c r="N197" s="11">
        <v>0</v>
      </c>
      <c r="O197" s="11">
        <v>0</v>
      </c>
      <c r="P197" s="11">
        <v>0</v>
      </c>
      <c r="Q197" s="11">
        <v>0</v>
      </c>
      <c r="R197" s="13">
        <f t="shared" ref="R197:R239" si="32">+SUM(N197:Q197)</f>
        <v>0</v>
      </c>
      <c r="S197">
        <v>0</v>
      </c>
      <c r="T197">
        <v>0</v>
      </c>
      <c r="U197" s="7">
        <f t="shared" si="23"/>
        <v>0</v>
      </c>
      <c r="V197">
        <v>0</v>
      </c>
      <c r="W197">
        <v>0</v>
      </c>
      <c r="X197">
        <v>0</v>
      </c>
      <c r="Y197">
        <v>0</v>
      </c>
      <c r="Z197" s="13">
        <f t="shared" si="24"/>
        <v>0</v>
      </c>
      <c r="AA197">
        <v>0</v>
      </c>
      <c r="AB197">
        <v>0</v>
      </c>
      <c r="AC197">
        <v>0</v>
      </c>
      <c r="AD197">
        <v>0</v>
      </c>
      <c r="AE197" s="7">
        <f t="shared" si="25"/>
        <v>0</v>
      </c>
      <c r="AF197">
        <v>0</v>
      </c>
      <c r="AG197">
        <v>0</v>
      </c>
      <c r="AH197">
        <v>0</v>
      </c>
      <c r="AI197" s="13">
        <f t="shared" ref="AI197:AI239" si="33">+SUM(AF197:AH197)</f>
        <v>0</v>
      </c>
      <c r="AJ197" s="11" t="s">
        <v>51</v>
      </c>
      <c r="AK197" s="11" t="s">
        <v>51</v>
      </c>
      <c r="AL197" s="11" t="s">
        <v>51</v>
      </c>
      <c r="AM197" s="13">
        <f t="shared" si="26"/>
        <v>0</v>
      </c>
      <c r="AN197" s="18">
        <v>40</v>
      </c>
      <c r="AO197" s="18">
        <v>0</v>
      </c>
      <c r="AP197" s="18">
        <v>0</v>
      </c>
      <c r="AQ197" s="18">
        <v>0</v>
      </c>
      <c r="AR197" s="18">
        <f t="shared" si="27"/>
        <v>40</v>
      </c>
      <c r="AS197" t="s">
        <v>52</v>
      </c>
      <c r="AT197" s="9" t="s">
        <v>772</v>
      </c>
      <c r="AU197" s="30">
        <f>+((AN197*I197)+(AO197*AE197)+(AQ197*AI197)+(AP197*AM197))/AR197</f>
        <v>80.009999999999991</v>
      </c>
    </row>
    <row r="198" spans="1:47" hidden="1" x14ac:dyDescent="0.25">
      <c r="A198" t="s">
        <v>46</v>
      </c>
      <c r="B198" t="s">
        <v>773</v>
      </c>
      <c r="C198" t="s">
        <v>774</v>
      </c>
      <c r="D198" t="s">
        <v>775</v>
      </c>
      <c r="E198" s="11">
        <v>20</v>
      </c>
      <c r="F198" s="11">
        <v>20</v>
      </c>
      <c r="G198" s="11">
        <v>38.020000000000003</v>
      </c>
      <c r="H198" s="11">
        <v>4.5</v>
      </c>
      <c r="I198" s="13">
        <f t="shared" ref="I198:I239" si="34">+SUM(E198:H198)</f>
        <v>82.52000000000001</v>
      </c>
      <c r="J198" s="11">
        <v>0</v>
      </c>
      <c r="K198" s="11">
        <v>0</v>
      </c>
      <c r="L198" s="11">
        <v>0</v>
      </c>
      <c r="M198" s="13">
        <v>0</v>
      </c>
      <c r="N198" s="11">
        <v>0</v>
      </c>
      <c r="O198" s="11">
        <v>0</v>
      </c>
      <c r="P198" s="11">
        <v>0</v>
      </c>
      <c r="Q198" s="11">
        <v>0</v>
      </c>
      <c r="R198" s="13">
        <f t="shared" si="32"/>
        <v>0</v>
      </c>
      <c r="S198">
        <v>0</v>
      </c>
      <c r="T198">
        <v>0</v>
      </c>
      <c r="U198" s="7">
        <f t="shared" ref="U198:U239" si="35">+SUM(S198:T198)</f>
        <v>0</v>
      </c>
      <c r="V198">
        <v>0</v>
      </c>
      <c r="W198">
        <v>0</v>
      </c>
      <c r="X198">
        <v>0</v>
      </c>
      <c r="Y198">
        <v>0</v>
      </c>
      <c r="Z198" s="13">
        <f t="shared" ref="Z198:Z239" si="36">+SUM(V198:Y198)</f>
        <v>0</v>
      </c>
      <c r="AA198">
        <v>0</v>
      </c>
      <c r="AB198">
        <v>0</v>
      </c>
      <c r="AC198">
        <v>0</v>
      </c>
      <c r="AD198">
        <v>0</v>
      </c>
      <c r="AE198" s="7">
        <f t="shared" ref="AE198:AE239" si="37">+SUM(AA198:AD198)</f>
        <v>0</v>
      </c>
      <c r="AF198">
        <v>0</v>
      </c>
      <c r="AG198">
        <v>0</v>
      </c>
      <c r="AH198">
        <v>0</v>
      </c>
      <c r="AI198" s="13">
        <f t="shared" si="33"/>
        <v>0</v>
      </c>
      <c r="AJ198" s="11" t="s">
        <v>51</v>
      </c>
      <c r="AK198" s="11" t="s">
        <v>51</v>
      </c>
      <c r="AL198" s="11" t="s">
        <v>51</v>
      </c>
      <c r="AM198" s="13">
        <f t="shared" ref="AM198:AM239" si="38">+SUM(AJ198:AL198)</f>
        <v>0</v>
      </c>
      <c r="AN198" s="18">
        <v>40</v>
      </c>
      <c r="AO198" s="18">
        <v>0</v>
      </c>
      <c r="AP198" s="18">
        <v>0</v>
      </c>
      <c r="AQ198" s="18">
        <v>0</v>
      </c>
      <c r="AR198" s="18">
        <f t="shared" ref="AR198:AR239" si="39">+SUM(AN198:AQ198)</f>
        <v>40</v>
      </c>
      <c r="AS198" t="s">
        <v>52</v>
      </c>
      <c r="AT198" s="9" t="s">
        <v>776</v>
      </c>
      <c r="AU198" s="30">
        <f>+((AN198*I198)+(AO198*AE198)+(AQ198*AI198)+(AP198*AM198))/AR198</f>
        <v>82.52000000000001</v>
      </c>
    </row>
    <row r="199" spans="1:47" hidden="1" x14ac:dyDescent="0.25">
      <c r="A199" t="s">
        <v>46</v>
      </c>
      <c r="B199" t="s">
        <v>777</v>
      </c>
      <c r="C199" t="s">
        <v>778</v>
      </c>
      <c r="D199" t="s">
        <v>779</v>
      </c>
      <c r="E199" s="11">
        <v>20</v>
      </c>
      <c r="F199" s="11">
        <v>18.670000000000002</v>
      </c>
      <c r="G199" s="11">
        <v>41.77</v>
      </c>
      <c r="H199" s="11">
        <v>6.5</v>
      </c>
      <c r="I199" s="13">
        <f t="shared" si="34"/>
        <v>86.94</v>
      </c>
      <c r="J199" s="11">
        <v>0</v>
      </c>
      <c r="K199" s="11">
        <v>0</v>
      </c>
      <c r="L199" s="11">
        <v>0</v>
      </c>
      <c r="M199" s="13">
        <v>0</v>
      </c>
      <c r="N199" s="11">
        <v>0</v>
      </c>
      <c r="O199" s="11">
        <v>0</v>
      </c>
      <c r="P199" s="11">
        <v>0</v>
      </c>
      <c r="Q199" s="11">
        <v>0</v>
      </c>
      <c r="R199" s="13">
        <f t="shared" si="32"/>
        <v>0</v>
      </c>
      <c r="S199">
        <v>0</v>
      </c>
      <c r="T199">
        <v>0</v>
      </c>
      <c r="U199" s="7">
        <f t="shared" si="35"/>
        <v>0</v>
      </c>
      <c r="V199">
        <v>0</v>
      </c>
      <c r="W199">
        <v>0</v>
      </c>
      <c r="X199">
        <v>0</v>
      </c>
      <c r="Y199">
        <v>0</v>
      </c>
      <c r="Z199" s="13">
        <f t="shared" si="36"/>
        <v>0</v>
      </c>
      <c r="AA199">
        <v>7.5</v>
      </c>
      <c r="AB199">
        <v>21.25</v>
      </c>
      <c r="AC199">
        <v>8.25</v>
      </c>
      <c r="AD199">
        <v>18.75</v>
      </c>
      <c r="AE199" s="7">
        <f t="shared" si="37"/>
        <v>55.75</v>
      </c>
      <c r="AF199">
        <v>0</v>
      </c>
      <c r="AG199">
        <v>0</v>
      </c>
      <c r="AH199">
        <v>0</v>
      </c>
      <c r="AI199" s="13">
        <f t="shared" si="33"/>
        <v>0</v>
      </c>
      <c r="AJ199" s="11" t="s">
        <v>51</v>
      </c>
      <c r="AK199" s="11" t="s">
        <v>51</v>
      </c>
      <c r="AL199" s="11" t="s">
        <v>51</v>
      </c>
      <c r="AM199" s="13">
        <f t="shared" si="38"/>
        <v>0</v>
      </c>
      <c r="AN199" s="18">
        <v>35</v>
      </c>
      <c r="AO199" s="18">
        <v>5</v>
      </c>
      <c r="AP199" s="18">
        <v>0</v>
      </c>
      <c r="AQ199" s="18">
        <v>0</v>
      </c>
      <c r="AR199" s="18">
        <f t="shared" si="39"/>
        <v>40</v>
      </c>
      <c r="AS199" t="s">
        <v>52</v>
      </c>
      <c r="AT199" s="9" t="s">
        <v>780</v>
      </c>
      <c r="AU199" s="30">
        <f>+((AN199*I199)+(AO199*AE199)+(AQ199*AI199)+(AP199*AM199))/AR199</f>
        <v>83.041250000000005</v>
      </c>
    </row>
    <row r="200" spans="1:47" hidden="1" x14ac:dyDescent="0.25">
      <c r="A200" t="s">
        <v>46</v>
      </c>
      <c r="B200" t="s">
        <v>781</v>
      </c>
      <c r="C200" t="s">
        <v>782</v>
      </c>
      <c r="D200" t="s">
        <v>783</v>
      </c>
      <c r="E200" s="11">
        <v>0</v>
      </c>
      <c r="F200" s="11">
        <v>0</v>
      </c>
      <c r="G200" s="11">
        <v>0</v>
      </c>
      <c r="H200" s="11">
        <v>0</v>
      </c>
      <c r="I200" s="13">
        <f t="shared" si="34"/>
        <v>0</v>
      </c>
      <c r="J200" s="11">
        <v>0</v>
      </c>
      <c r="K200" s="11">
        <v>0</v>
      </c>
      <c r="L200" s="11">
        <v>0</v>
      </c>
      <c r="M200" s="13">
        <v>0</v>
      </c>
      <c r="N200" s="11">
        <v>0</v>
      </c>
      <c r="O200" s="11">
        <v>0</v>
      </c>
      <c r="P200" s="11">
        <v>0</v>
      </c>
      <c r="Q200" s="11">
        <v>0</v>
      </c>
      <c r="R200" s="13">
        <f t="shared" si="32"/>
        <v>0</v>
      </c>
      <c r="S200">
        <v>0</v>
      </c>
      <c r="T200">
        <v>0</v>
      </c>
      <c r="U200" s="7">
        <f t="shared" si="35"/>
        <v>0</v>
      </c>
      <c r="V200">
        <v>3.5</v>
      </c>
      <c r="W200">
        <v>20</v>
      </c>
      <c r="X200">
        <v>42.38</v>
      </c>
      <c r="Y200">
        <v>20</v>
      </c>
      <c r="Z200" s="13">
        <f t="shared" si="36"/>
        <v>85.88</v>
      </c>
      <c r="AA200">
        <v>15</v>
      </c>
      <c r="AB200">
        <v>50</v>
      </c>
      <c r="AC200">
        <v>15</v>
      </c>
      <c r="AD200">
        <v>17.5</v>
      </c>
      <c r="AE200" s="7">
        <f t="shared" si="37"/>
        <v>97.5</v>
      </c>
      <c r="AF200">
        <v>0</v>
      </c>
      <c r="AG200">
        <v>0</v>
      </c>
      <c r="AH200">
        <v>0</v>
      </c>
      <c r="AI200" s="13">
        <f t="shared" si="33"/>
        <v>0</v>
      </c>
      <c r="AJ200" s="11" t="s">
        <v>51</v>
      </c>
      <c r="AK200" s="11" t="s">
        <v>51</v>
      </c>
      <c r="AL200" s="11" t="s">
        <v>51</v>
      </c>
      <c r="AM200" s="13">
        <f t="shared" si="38"/>
        <v>0</v>
      </c>
      <c r="AN200" s="18">
        <v>26.25</v>
      </c>
      <c r="AO200" s="18">
        <v>13.75</v>
      </c>
      <c r="AP200" s="18">
        <v>0</v>
      </c>
      <c r="AQ200" s="18">
        <v>0</v>
      </c>
      <c r="AR200" s="18">
        <f t="shared" si="39"/>
        <v>40</v>
      </c>
      <c r="AS200" t="s">
        <v>52</v>
      </c>
      <c r="AT200" s="9" t="s">
        <v>784</v>
      </c>
      <c r="AU200" s="31">
        <f>+((AN200*I200)+(AO200*AE200)+(AQ200*AI200)+(AP200*AM200))/AR200</f>
        <v>33.515625</v>
      </c>
    </row>
    <row r="201" spans="1:47" hidden="1" x14ac:dyDescent="0.25">
      <c r="A201" t="s">
        <v>46</v>
      </c>
      <c r="B201" s="32" t="s">
        <v>785</v>
      </c>
      <c r="C201" s="32" t="s">
        <v>786</v>
      </c>
      <c r="D201" s="32" t="s">
        <v>787</v>
      </c>
      <c r="E201" s="11">
        <v>0</v>
      </c>
      <c r="F201" s="11">
        <v>0</v>
      </c>
      <c r="G201" s="11">
        <v>0</v>
      </c>
      <c r="H201" s="11">
        <v>0</v>
      </c>
      <c r="I201" s="13">
        <f t="shared" si="34"/>
        <v>0</v>
      </c>
      <c r="J201" s="11">
        <v>0</v>
      </c>
      <c r="K201" s="11">
        <v>0</v>
      </c>
      <c r="L201" s="11">
        <v>0</v>
      </c>
      <c r="M201" s="13">
        <v>0</v>
      </c>
      <c r="N201" s="11">
        <v>57.475000000000001</v>
      </c>
      <c r="O201" s="11">
        <v>3.75</v>
      </c>
      <c r="P201" s="11">
        <v>0</v>
      </c>
      <c r="Q201" s="11">
        <v>23.337499999999999</v>
      </c>
      <c r="R201" s="13">
        <f t="shared" si="32"/>
        <v>84.5625</v>
      </c>
      <c r="S201">
        <v>0</v>
      </c>
      <c r="T201">
        <v>0</v>
      </c>
      <c r="U201" s="7">
        <f t="shared" si="35"/>
        <v>0</v>
      </c>
      <c r="V201">
        <v>0</v>
      </c>
      <c r="W201">
        <v>0</v>
      </c>
      <c r="X201">
        <v>0</v>
      </c>
      <c r="Y201">
        <v>0</v>
      </c>
      <c r="Z201" s="13">
        <f t="shared" si="36"/>
        <v>0</v>
      </c>
      <c r="AA201">
        <v>0</v>
      </c>
      <c r="AB201">
        <v>0</v>
      </c>
      <c r="AC201">
        <v>0</v>
      </c>
      <c r="AD201">
        <v>0</v>
      </c>
      <c r="AE201" s="7">
        <f t="shared" si="37"/>
        <v>0</v>
      </c>
      <c r="AF201">
        <v>0</v>
      </c>
      <c r="AG201">
        <v>0</v>
      </c>
      <c r="AH201">
        <v>0</v>
      </c>
      <c r="AI201" s="13">
        <f t="shared" si="33"/>
        <v>0</v>
      </c>
      <c r="AJ201" s="11" t="s">
        <v>51</v>
      </c>
      <c r="AK201" s="11" t="s">
        <v>51</v>
      </c>
      <c r="AL201" s="11" t="s">
        <v>51</v>
      </c>
      <c r="AM201" s="13">
        <f t="shared" si="38"/>
        <v>0</v>
      </c>
      <c r="AN201" s="18">
        <v>10</v>
      </c>
      <c r="AO201" s="18">
        <v>0</v>
      </c>
      <c r="AP201" s="18">
        <v>0</v>
      </c>
      <c r="AQ201" s="18">
        <v>0</v>
      </c>
      <c r="AR201" s="18">
        <f t="shared" si="39"/>
        <v>10</v>
      </c>
      <c r="AS201" t="s">
        <v>117</v>
      </c>
      <c r="AT201" s="9" t="s">
        <v>788</v>
      </c>
      <c r="AU201" s="11">
        <f>+((AN201*R201)+(AQ201*AI201)+(AP201*AM201))/AR201</f>
        <v>84.5625</v>
      </c>
    </row>
    <row r="202" spans="1:47" hidden="1" x14ac:dyDescent="0.25">
      <c r="A202" t="s">
        <v>46</v>
      </c>
      <c r="B202" t="s">
        <v>789</v>
      </c>
      <c r="C202" t="s">
        <v>790</v>
      </c>
      <c r="D202" t="s">
        <v>791</v>
      </c>
      <c r="E202" s="11">
        <v>25</v>
      </c>
      <c r="F202" s="11">
        <v>0</v>
      </c>
      <c r="G202" s="11">
        <v>54.6875</v>
      </c>
      <c r="H202" s="11">
        <v>7.5</v>
      </c>
      <c r="I202" s="13">
        <f t="shared" si="34"/>
        <v>87.1875</v>
      </c>
      <c r="J202" s="11">
        <v>0</v>
      </c>
      <c r="K202" s="11">
        <v>0</v>
      </c>
      <c r="L202" s="11">
        <v>0</v>
      </c>
      <c r="M202" s="13">
        <v>0</v>
      </c>
      <c r="N202" s="11">
        <v>0</v>
      </c>
      <c r="O202" s="11">
        <v>0</v>
      </c>
      <c r="P202" s="11">
        <v>0</v>
      </c>
      <c r="Q202" s="11">
        <v>0</v>
      </c>
      <c r="R202" s="13">
        <f t="shared" si="32"/>
        <v>0</v>
      </c>
      <c r="S202">
        <v>0</v>
      </c>
      <c r="T202">
        <v>0</v>
      </c>
      <c r="U202" s="7">
        <f t="shared" si="35"/>
        <v>0</v>
      </c>
      <c r="V202">
        <v>0</v>
      </c>
      <c r="W202">
        <v>0</v>
      </c>
      <c r="X202">
        <v>0</v>
      </c>
      <c r="Y202">
        <v>0</v>
      </c>
      <c r="Z202" s="13">
        <f t="shared" si="36"/>
        <v>0</v>
      </c>
      <c r="AA202">
        <v>15</v>
      </c>
      <c r="AB202">
        <v>50</v>
      </c>
      <c r="AC202">
        <v>13.12</v>
      </c>
      <c r="AD202">
        <v>0</v>
      </c>
      <c r="AE202" s="7">
        <f t="shared" si="37"/>
        <v>78.12</v>
      </c>
      <c r="AF202">
        <v>0</v>
      </c>
      <c r="AG202">
        <v>0</v>
      </c>
      <c r="AH202">
        <v>0</v>
      </c>
      <c r="AI202" s="13">
        <f t="shared" si="33"/>
        <v>0</v>
      </c>
      <c r="AJ202" s="11" t="s">
        <v>51</v>
      </c>
      <c r="AK202" s="11" t="s">
        <v>51</v>
      </c>
      <c r="AL202" s="11" t="s">
        <v>51</v>
      </c>
      <c r="AM202" s="13">
        <f t="shared" si="38"/>
        <v>0</v>
      </c>
      <c r="AN202" s="18">
        <v>25</v>
      </c>
      <c r="AO202" s="18">
        <v>15</v>
      </c>
      <c r="AP202" s="18">
        <v>0</v>
      </c>
      <c r="AQ202" s="18">
        <v>0</v>
      </c>
      <c r="AR202" s="18">
        <f t="shared" si="39"/>
        <v>40</v>
      </c>
      <c r="AS202" t="s">
        <v>52</v>
      </c>
      <c r="AT202" s="9" t="s">
        <v>792</v>
      </c>
      <c r="AU202" s="30">
        <f>+((AN202*I202)+(AO202*AE202)+(AQ202*AI202)+(AP202*AM202))/AR202</f>
        <v>83.787187500000002</v>
      </c>
    </row>
    <row r="203" spans="1:47" hidden="1" x14ac:dyDescent="0.25">
      <c r="A203" t="s">
        <v>46</v>
      </c>
      <c r="B203" t="s">
        <v>793</v>
      </c>
      <c r="C203" t="s">
        <v>794</v>
      </c>
      <c r="D203" t="s">
        <v>629</v>
      </c>
      <c r="E203" s="11">
        <v>20</v>
      </c>
      <c r="F203" s="11">
        <v>18.670000000000002</v>
      </c>
      <c r="G203" s="11">
        <v>46.35</v>
      </c>
      <c r="H203" s="11">
        <v>3.5</v>
      </c>
      <c r="I203" s="13">
        <f t="shared" si="34"/>
        <v>88.52000000000001</v>
      </c>
      <c r="J203" s="11">
        <v>0</v>
      </c>
      <c r="K203" s="11">
        <v>0</v>
      </c>
      <c r="L203" s="11">
        <v>0</v>
      </c>
      <c r="M203" s="13">
        <v>0</v>
      </c>
      <c r="N203" s="11">
        <v>0</v>
      </c>
      <c r="O203" s="11">
        <v>0</v>
      </c>
      <c r="P203" s="11">
        <v>0</v>
      </c>
      <c r="Q203" s="11">
        <v>0</v>
      </c>
      <c r="R203" s="13">
        <f t="shared" si="32"/>
        <v>0</v>
      </c>
      <c r="S203">
        <v>0</v>
      </c>
      <c r="T203">
        <v>0</v>
      </c>
      <c r="U203" s="7">
        <f t="shared" si="35"/>
        <v>0</v>
      </c>
      <c r="V203">
        <v>0</v>
      </c>
      <c r="W203">
        <v>0</v>
      </c>
      <c r="X203">
        <v>0</v>
      </c>
      <c r="Y203">
        <v>0</v>
      </c>
      <c r="Z203" s="13">
        <f t="shared" si="36"/>
        <v>0</v>
      </c>
      <c r="AA203">
        <v>15</v>
      </c>
      <c r="AB203">
        <v>50</v>
      </c>
      <c r="AC203">
        <v>15</v>
      </c>
      <c r="AD203">
        <v>20</v>
      </c>
      <c r="AE203" s="7">
        <f t="shared" si="37"/>
        <v>100</v>
      </c>
      <c r="AF203">
        <v>0</v>
      </c>
      <c r="AG203">
        <v>0</v>
      </c>
      <c r="AH203">
        <v>0</v>
      </c>
      <c r="AI203" s="13">
        <f t="shared" si="33"/>
        <v>0</v>
      </c>
      <c r="AJ203" s="11" t="s">
        <v>51</v>
      </c>
      <c r="AK203" s="11" t="s">
        <v>51</v>
      </c>
      <c r="AL203" s="11" t="s">
        <v>51</v>
      </c>
      <c r="AM203" s="13">
        <f t="shared" si="38"/>
        <v>0</v>
      </c>
      <c r="AN203" s="18">
        <v>25</v>
      </c>
      <c r="AO203" s="18">
        <v>15</v>
      </c>
      <c r="AP203" s="18">
        <v>0</v>
      </c>
      <c r="AQ203" s="18">
        <v>0</v>
      </c>
      <c r="AR203" s="18">
        <f t="shared" si="39"/>
        <v>40</v>
      </c>
      <c r="AS203" t="s">
        <v>52</v>
      </c>
      <c r="AT203" s="9" t="s">
        <v>795</v>
      </c>
      <c r="AU203" s="30">
        <f>+((AN203*I203)+(AO203*AE203)+(AQ203*AI203)+(AP203*AM203))/AR203</f>
        <v>92.825000000000017</v>
      </c>
    </row>
    <row r="204" spans="1:47" hidden="1" x14ac:dyDescent="0.25">
      <c r="A204" t="s">
        <v>46</v>
      </c>
      <c r="B204" t="s">
        <v>796</v>
      </c>
      <c r="C204" t="s">
        <v>797</v>
      </c>
      <c r="D204" t="s">
        <v>798</v>
      </c>
      <c r="E204" s="11">
        <v>24.024999999999999</v>
      </c>
      <c r="F204" s="11">
        <v>0</v>
      </c>
      <c r="G204" s="11">
        <v>55.674999999999997</v>
      </c>
      <c r="H204" s="11">
        <v>10</v>
      </c>
      <c r="I204" s="13">
        <f t="shared" si="34"/>
        <v>89.699999999999989</v>
      </c>
      <c r="J204" s="11">
        <v>0</v>
      </c>
      <c r="K204" s="11">
        <v>0</v>
      </c>
      <c r="L204" s="11">
        <v>0</v>
      </c>
      <c r="M204" s="13">
        <v>0</v>
      </c>
      <c r="N204" s="11">
        <v>0</v>
      </c>
      <c r="O204" s="11">
        <v>0</v>
      </c>
      <c r="P204" s="11">
        <v>0</v>
      </c>
      <c r="Q204" s="11">
        <v>0</v>
      </c>
      <c r="R204" s="13">
        <f t="shared" si="32"/>
        <v>0</v>
      </c>
      <c r="S204">
        <v>0</v>
      </c>
      <c r="T204">
        <v>0</v>
      </c>
      <c r="U204" s="7">
        <f t="shared" si="35"/>
        <v>0</v>
      </c>
      <c r="V204">
        <v>0</v>
      </c>
      <c r="W204">
        <v>0</v>
      </c>
      <c r="X204">
        <v>0</v>
      </c>
      <c r="Y204">
        <v>0</v>
      </c>
      <c r="Z204" s="13">
        <f t="shared" si="36"/>
        <v>0</v>
      </c>
      <c r="AA204">
        <v>0</v>
      </c>
      <c r="AB204">
        <v>0</v>
      </c>
      <c r="AC204">
        <v>0</v>
      </c>
      <c r="AD204">
        <v>0</v>
      </c>
      <c r="AE204" s="7">
        <f t="shared" si="37"/>
        <v>0</v>
      </c>
      <c r="AF204">
        <v>0</v>
      </c>
      <c r="AG204">
        <v>0</v>
      </c>
      <c r="AH204">
        <v>0</v>
      </c>
      <c r="AI204" s="13">
        <f t="shared" si="33"/>
        <v>0</v>
      </c>
      <c r="AJ204" s="11" t="s">
        <v>51</v>
      </c>
      <c r="AK204" s="11" t="s">
        <v>51</v>
      </c>
      <c r="AL204" s="11" t="s">
        <v>51</v>
      </c>
      <c r="AM204" s="13">
        <f t="shared" si="38"/>
        <v>0</v>
      </c>
      <c r="AN204" s="18">
        <v>8</v>
      </c>
      <c r="AO204" s="18">
        <v>0</v>
      </c>
      <c r="AP204" s="18">
        <v>0</v>
      </c>
      <c r="AQ204" s="18">
        <v>0</v>
      </c>
      <c r="AR204" s="18">
        <f t="shared" si="39"/>
        <v>8</v>
      </c>
      <c r="AS204" t="s">
        <v>52</v>
      </c>
      <c r="AT204" s="9" t="s">
        <v>799</v>
      </c>
      <c r="AU204" s="30">
        <f>+((AN204*I204)+(AO204*AE204)+(AQ204*AI204)+(AP204*AM204))/AR204</f>
        <v>89.699999999999989</v>
      </c>
    </row>
    <row r="205" spans="1:47" hidden="1" x14ac:dyDescent="0.25">
      <c r="A205" t="s">
        <v>46</v>
      </c>
      <c r="B205" t="s">
        <v>800</v>
      </c>
      <c r="C205" t="s">
        <v>801</v>
      </c>
      <c r="D205" t="s">
        <v>802</v>
      </c>
      <c r="E205" s="11">
        <v>20</v>
      </c>
      <c r="F205" s="11">
        <v>20</v>
      </c>
      <c r="G205" s="11">
        <v>40.409999999999997</v>
      </c>
      <c r="H205" s="11">
        <v>7</v>
      </c>
      <c r="I205" s="13">
        <f t="shared" si="34"/>
        <v>87.41</v>
      </c>
      <c r="J205" s="11">
        <v>0</v>
      </c>
      <c r="K205" s="11">
        <v>0</v>
      </c>
      <c r="L205" s="11">
        <v>0</v>
      </c>
      <c r="M205" s="13">
        <v>0</v>
      </c>
      <c r="N205" s="11">
        <v>47.45</v>
      </c>
      <c r="O205" s="11">
        <v>7</v>
      </c>
      <c r="P205" s="11">
        <v>20</v>
      </c>
      <c r="Q205" s="11">
        <v>20</v>
      </c>
      <c r="R205" s="13">
        <f t="shared" si="32"/>
        <v>94.45</v>
      </c>
      <c r="S205">
        <v>0</v>
      </c>
      <c r="T205">
        <v>0</v>
      </c>
      <c r="U205" s="7">
        <f t="shared" si="35"/>
        <v>0</v>
      </c>
      <c r="V205">
        <v>0</v>
      </c>
      <c r="W205">
        <v>0</v>
      </c>
      <c r="X205">
        <v>0</v>
      </c>
      <c r="Y205">
        <v>0</v>
      </c>
      <c r="Z205" s="13">
        <f t="shared" si="36"/>
        <v>0</v>
      </c>
      <c r="AA205">
        <v>15</v>
      </c>
      <c r="AB205">
        <v>12.5</v>
      </c>
      <c r="AC205">
        <v>15</v>
      </c>
      <c r="AD205">
        <v>20</v>
      </c>
      <c r="AE205" s="7">
        <f t="shared" si="37"/>
        <v>62.5</v>
      </c>
      <c r="AF205">
        <v>0</v>
      </c>
      <c r="AG205">
        <v>0</v>
      </c>
      <c r="AH205">
        <v>0</v>
      </c>
      <c r="AI205" s="13">
        <f t="shared" si="33"/>
        <v>0</v>
      </c>
      <c r="AJ205" s="11" t="s">
        <v>51</v>
      </c>
      <c r="AK205" s="11" t="s">
        <v>51</v>
      </c>
      <c r="AL205" s="11" t="s">
        <v>51</v>
      </c>
      <c r="AM205" s="13">
        <f t="shared" si="38"/>
        <v>0</v>
      </c>
      <c r="AN205" s="18">
        <v>33</v>
      </c>
      <c r="AO205" s="18">
        <v>5</v>
      </c>
      <c r="AP205" s="18">
        <v>0</v>
      </c>
      <c r="AQ205" s="18">
        <v>0</v>
      </c>
      <c r="AR205" s="18">
        <f t="shared" si="39"/>
        <v>38</v>
      </c>
      <c r="AS205" t="s">
        <v>52</v>
      </c>
      <c r="AT205" s="9" t="s">
        <v>804</v>
      </c>
      <c r="AU205" s="30">
        <f>+((AN205*I205)+(AO205*AE205)+(AQ205*AI205)+(AP205*AM205))/AR205</f>
        <v>84.132368421052618</v>
      </c>
    </row>
    <row r="206" spans="1:47" hidden="1" x14ac:dyDescent="0.25">
      <c r="A206" s="33" t="s">
        <v>46</v>
      </c>
      <c r="B206" s="32" t="s">
        <v>800</v>
      </c>
      <c r="C206" s="32" t="s">
        <v>801</v>
      </c>
      <c r="D206" s="32" t="s">
        <v>802</v>
      </c>
      <c r="E206" s="11">
        <v>20</v>
      </c>
      <c r="F206" s="11">
        <v>20</v>
      </c>
      <c r="G206" s="11">
        <v>40.409999999999997</v>
      </c>
      <c r="H206" s="11">
        <v>7</v>
      </c>
      <c r="I206" s="13">
        <f t="shared" si="34"/>
        <v>87.41</v>
      </c>
      <c r="J206" s="11">
        <v>0</v>
      </c>
      <c r="K206" s="11">
        <v>0</v>
      </c>
      <c r="L206" s="11">
        <v>0</v>
      </c>
      <c r="M206" s="13">
        <v>0</v>
      </c>
      <c r="N206" s="11">
        <v>47.45</v>
      </c>
      <c r="O206" s="11">
        <v>7</v>
      </c>
      <c r="P206" s="11">
        <v>20</v>
      </c>
      <c r="Q206" s="11">
        <v>20</v>
      </c>
      <c r="R206" s="13">
        <f t="shared" si="32"/>
        <v>94.45</v>
      </c>
      <c r="S206">
        <v>0</v>
      </c>
      <c r="T206">
        <v>0</v>
      </c>
      <c r="U206" s="7">
        <f t="shared" si="35"/>
        <v>0</v>
      </c>
      <c r="V206">
        <v>0</v>
      </c>
      <c r="W206">
        <v>0</v>
      </c>
      <c r="X206">
        <v>0</v>
      </c>
      <c r="Y206">
        <v>0</v>
      </c>
      <c r="Z206" s="13">
        <f t="shared" si="36"/>
        <v>0</v>
      </c>
      <c r="AA206">
        <v>15</v>
      </c>
      <c r="AB206">
        <v>12.5</v>
      </c>
      <c r="AC206">
        <v>15</v>
      </c>
      <c r="AD206">
        <v>20</v>
      </c>
      <c r="AE206" s="7">
        <f t="shared" si="37"/>
        <v>62.5</v>
      </c>
      <c r="AF206">
        <v>0</v>
      </c>
      <c r="AG206">
        <v>0</v>
      </c>
      <c r="AH206">
        <v>0</v>
      </c>
      <c r="AI206" s="13">
        <f t="shared" si="33"/>
        <v>0</v>
      </c>
      <c r="AJ206" s="11" t="s">
        <v>51</v>
      </c>
      <c r="AK206" s="11" t="s">
        <v>51</v>
      </c>
      <c r="AL206" s="11" t="s">
        <v>51</v>
      </c>
      <c r="AM206" s="13">
        <f t="shared" si="38"/>
        <v>0</v>
      </c>
      <c r="AN206" s="18">
        <v>2</v>
      </c>
      <c r="AO206" s="18">
        <v>0</v>
      </c>
      <c r="AP206" s="18">
        <v>0</v>
      </c>
      <c r="AQ206" s="18">
        <v>0</v>
      </c>
      <c r="AR206" s="18">
        <f t="shared" si="39"/>
        <v>2</v>
      </c>
      <c r="AS206" t="s">
        <v>117</v>
      </c>
      <c r="AT206" s="24" t="s">
        <v>803</v>
      </c>
      <c r="AU206" s="11">
        <f>+((AN206*R206)+(AQ206*AI206)+(AP206*AM206))/AR206</f>
        <v>94.45</v>
      </c>
    </row>
    <row r="207" spans="1:47" hidden="1" x14ac:dyDescent="0.25">
      <c r="A207" t="s">
        <v>46</v>
      </c>
      <c r="B207" t="s">
        <v>805</v>
      </c>
      <c r="C207" t="s">
        <v>806</v>
      </c>
      <c r="D207" t="s">
        <v>807</v>
      </c>
      <c r="E207" s="11">
        <v>19.899999999999999</v>
      </c>
      <c r="F207" s="11">
        <v>20</v>
      </c>
      <c r="G207" s="11">
        <v>42.19</v>
      </c>
      <c r="H207" s="11">
        <v>4.75</v>
      </c>
      <c r="I207" s="13">
        <f t="shared" si="34"/>
        <v>86.84</v>
      </c>
      <c r="J207" s="11">
        <v>72.328571428571436</v>
      </c>
      <c r="K207" s="11">
        <v>0</v>
      </c>
      <c r="L207" s="11">
        <v>6.7857142857142856</v>
      </c>
      <c r="M207" s="13">
        <v>79.114285714285728</v>
      </c>
      <c r="N207" s="11">
        <v>0</v>
      </c>
      <c r="O207" s="11">
        <v>0</v>
      </c>
      <c r="P207" s="11">
        <v>0</v>
      </c>
      <c r="Q207" s="11">
        <v>0</v>
      </c>
      <c r="R207" s="13">
        <f t="shared" si="32"/>
        <v>0</v>
      </c>
      <c r="S207">
        <v>0</v>
      </c>
      <c r="T207">
        <v>0</v>
      </c>
      <c r="U207" s="7">
        <f t="shared" si="35"/>
        <v>0</v>
      </c>
      <c r="V207">
        <v>0</v>
      </c>
      <c r="W207">
        <v>0</v>
      </c>
      <c r="X207">
        <v>0</v>
      </c>
      <c r="Y207">
        <v>0</v>
      </c>
      <c r="Z207" s="13">
        <f t="shared" si="36"/>
        <v>0</v>
      </c>
      <c r="AA207">
        <v>0</v>
      </c>
      <c r="AB207">
        <v>0</v>
      </c>
      <c r="AC207">
        <v>0</v>
      </c>
      <c r="AD207">
        <v>0</v>
      </c>
      <c r="AE207" s="7">
        <f t="shared" si="37"/>
        <v>0</v>
      </c>
      <c r="AF207">
        <v>0</v>
      </c>
      <c r="AG207">
        <v>0</v>
      </c>
      <c r="AH207">
        <v>0</v>
      </c>
      <c r="AI207" s="13">
        <f t="shared" si="33"/>
        <v>0</v>
      </c>
      <c r="AJ207" s="11" t="s">
        <v>50</v>
      </c>
      <c r="AK207" s="11" t="s">
        <v>299</v>
      </c>
      <c r="AL207" s="11">
        <v>41.26</v>
      </c>
      <c r="AM207" s="13">
        <f t="shared" si="38"/>
        <v>41.26</v>
      </c>
      <c r="AN207" s="18">
        <v>38</v>
      </c>
      <c r="AO207" s="18">
        <v>0</v>
      </c>
      <c r="AP207" s="18">
        <v>2</v>
      </c>
      <c r="AQ207" s="18">
        <v>0</v>
      </c>
      <c r="AR207" s="18">
        <f t="shared" si="39"/>
        <v>40</v>
      </c>
      <c r="AS207" t="s">
        <v>52</v>
      </c>
      <c r="AT207" s="9" t="s">
        <v>809</v>
      </c>
      <c r="AU207" s="30">
        <f>+((AN207*I207)+(AO207*AE207)+(AQ207*AI207)+(AP207*AM207))/AR207</f>
        <v>84.561000000000007</v>
      </c>
    </row>
    <row r="208" spans="1:47" hidden="1" x14ac:dyDescent="0.25">
      <c r="A208" t="s">
        <v>46</v>
      </c>
      <c r="B208" t="s">
        <v>805</v>
      </c>
      <c r="C208" t="s">
        <v>806</v>
      </c>
      <c r="D208" t="s">
        <v>807</v>
      </c>
      <c r="E208" s="11">
        <v>19.899999999999999</v>
      </c>
      <c r="F208" s="11">
        <v>20</v>
      </c>
      <c r="G208" s="11">
        <v>42.19</v>
      </c>
      <c r="H208" s="11">
        <v>4.75</v>
      </c>
      <c r="I208" s="13">
        <f t="shared" si="34"/>
        <v>86.84</v>
      </c>
      <c r="J208" s="11">
        <v>72.328571428571436</v>
      </c>
      <c r="K208" s="11">
        <v>0</v>
      </c>
      <c r="L208" s="11">
        <v>6.7857142857142856</v>
      </c>
      <c r="M208" s="13">
        <v>79.114285714285728</v>
      </c>
      <c r="N208" s="11">
        <v>0</v>
      </c>
      <c r="O208" s="11">
        <v>0</v>
      </c>
      <c r="P208" s="11">
        <v>0</v>
      </c>
      <c r="Q208" s="11">
        <v>0</v>
      </c>
      <c r="R208" s="13">
        <f t="shared" si="32"/>
        <v>0</v>
      </c>
      <c r="S208">
        <v>0</v>
      </c>
      <c r="T208">
        <v>0</v>
      </c>
      <c r="U208" s="7">
        <f t="shared" si="35"/>
        <v>0</v>
      </c>
      <c r="V208">
        <v>0</v>
      </c>
      <c r="W208">
        <v>0</v>
      </c>
      <c r="X208">
        <v>0</v>
      </c>
      <c r="Y208">
        <v>0</v>
      </c>
      <c r="Z208" s="13">
        <f t="shared" si="36"/>
        <v>0</v>
      </c>
      <c r="AA208">
        <v>0</v>
      </c>
      <c r="AB208">
        <v>0</v>
      </c>
      <c r="AC208">
        <v>0</v>
      </c>
      <c r="AD208">
        <v>0</v>
      </c>
      <c r="AE208" s="7">
        <f t="shared" si="37"/>
        <v>0</v>
      </c>
      <c r="AF208">
        <v>0</v>
      </c>
      <c r="AG208">
        <v>0</v>
      </c>
      <c r="AH208">
        <v>0</v>
      </c>
      <c r="AI208" s="13">
        <f t="shared" si="33"/>
        <v>0</v>
      </c>
      <c r="AJ208" s="11" t="s">
        <v>50</v>
      </c>
      <c r="AK208" s="11" t="s">
        <v>299</v>
      </c>
      <c r="AL208" s="11">
        <v>41.26</v>
      </c>
      <c r="AM208" s="13">
        <f t="shared" si="38"/>
        <v>41.26</v>
      </c>
      <c r="AN208" s="18">
        <v>2</v>
      </c>
      <c r="AO208" s="18">
        <v>0</v>
      </c>
      <c r="AP208" s="18">
        <v>0</v>
      </c>
      <c r="AQ208" s="18">
        <v>0</v>
      </c>
      <c r="AR208" s="18">
        <f t="shared" si="39"/>
        <v>2</v>
      </c>
      <c r="AS208" t="s">
        <v>87</v>
      </c>
      <c r="AT208" s="9" t="s">
        <v>808</v>
      </c>
      <c r="AU208" s="30">
        <f>+((AN208*I208)+(AO208*AE208)+(AQ208*AI208)+(AP208*AM208))/AR208</f>
        <v>86.84</v>
      </c>
    </row>
    <row r="209" spans="1:47" hidden="1" x14ac:dyDescent="0.25">
      <c r="A209" t="s">
        <v>46</v>
      </c>
      <c r="B209" t="s">
        <v>810</v>
      </c>
      <c r="C209" t="s">
        <v>811</v>
      </c>
      <c r="D209" t="s">
        <v>812</v>
      </c>
      <c r="E209" s="11">
        <v>20</v>
      </c>
      <c r="F209" s="11">
        <v>20</v>
      </c>
      <c r="G209" s="11">
        <v>46.8</v>
      </c>
      <c r="H209" s="11">
        <v>3</v>
      </c>
      <c r="I209" s="13">
        <f t="shared" si="34"/>
        <v>89.8</v>
      </c>
      <c r="J209" s="11">
        <v>0</v>
      </c>
      <c r="K209" s="11">
        <v>0</v>
      </c>
      <c r="L209" s="11">
        <v>0</v>
      </c>
      <c r="M209" s="13">
        <v>0</v>
      </c>
      <c r="N209" s="11">
        <v>0</v>
      </c>
      <c r="O209" s="11">
        <v>0</v>
      </c>
      <c r="P209" s="11">
        <v>0</v>
      </c>
      <c r="Q209" s="11">
        <v>0</v>
      </c>
      <c r="R209" s="13">
        <f t="shared" si="32"/>
        <v>0</v>
      </c>
      <c r="S209">
        <v>0</v>
      </c>
      <c r="T209">
        <v>0</v>
      </c>
      <c r="U209" s="7">
        <f t="shared" si="35"/>
        <v>0</v>
      </c>
      <c r="V209">
        <v>0</v>
      </c>
      <c r="W209">
        <v>0</v>
      </c>
      <c r="X209">
        <v>0</v>
      </c>
      <c r="Y209">
        <v>0</v>
      </c>
      <c r="Z209" s="13">
        <f t="shared" si="36"/>
        <v>0</v>
      </c>
      <c r="AA209">
        <v>15</v>
      </c>
      <c r="AB209">
        <v>50</v>
      </c>
      <c r="AC209">
        <v>15</v>
      </c>
      <c r="AD209">
        <v>20</v>
      </c>
      <c r="AE209" s="7">
        <f t="shared" si="37"/>
        <v>100</v>
      </c>
      <c r="AF209">
        <v>0</v>
      </c>
      <c r="AG209">
        <v>0</v>
      </c>
      <c r="AH209">
        <v>0</v>
      </c>
      <c r="AI209" s="13">
        <f t="shared" si="33"/>
        <v>0</v>
      </c>
      <c r="AJ209" s="11" t="s">
        <v>51</v>
      </c>
      <c r="AK209" s="11" t="s">
        <v>51</v>
      </c>
      <c r="AL209" s="11" t="s">
        <v>51</v>
      </c>
      <c r="AM209" s="13">
        <f t="shared" si="38"/>
        <v>0</v>
      </c>
      <c r="AN209" s="18">
        <v>25</v>
      </c>
      <c r="AO209" s="18">
        <v>15</v>
      </c>
      <c r="AP209" s="18">
        <v>0</v>
      </c>
      <c r="AQ209" s="18">
        <v>0</v>
      </c>
      <c r="AR209" s="18">
        <f t="shared" si="39"/>
        <v>40</v>
      </c>
      <c r="AS209" t="s">
        <v>52</v>
      </c>
      <c r="AT209" s="9" t="s">
        <v>813</v>
      </c>
      <c r="AU209" s="30">
        <f>+((AN209*I209)+(AO209*AE209)+(AQ209*AI209)+(AP209*AM209))/AR209</f>
        <v>93.625</v>
      </c>
    </row>
    <row r="210" spans="1:47" hidden="1" x14ac:dyDescent="0.25">
      <c r="A210" t="s">
        <v>46</v>
      </c>
      <c r="B210" t="s">
        <v>814</v>
      </c>
      <c r="C210" t="s">
        <v>815</v>
      </c>
      <c r="D210" t="s">
        <v>816</v>
      </c>
      <c r="E210" s="11">
        <v>25</v>
      </c>
      <c r="F210" s="11">
        <v>0</v>
      </c>
      <c r="G210" s="11">
        <v>52.512500000000003</v>
      </c>
      <c r="H210" s="11">
        <v>3.125</v>
      </c>
      <c r="I210" s="13">
        <f t="shared" si="34"/>
        <v>80.637500000000003</v>
      </c>
      <c r="J210" s="11">
        <v>0</v>
      </c>
      <c r="K210" s="11">
        <v>0</v>
      </c>
      <c r="L210" s="11">
        <v>0</v>
      </c>
      <c r="M210" s="13">
        <v>0</v>
      </c>
      <c r="N210" s="11">
        <v>0</v>
      </c>
      <c r="O210" s="11">
        <v>0</v>
      </c>
      <c r="P210" s="11">
        <v>0</v>
      </c>
      <c r="Q210" s="11">
        <v>0</v>
      </c>
      <c r="R210" s="13">
        <f t="shared" si="32"/>
        <v>0</v>
      </c>
      <c r="S210">
        <v>0</v>
      </c>
      <c r="T210">
        <v>0</v>
      </c>
      <c r="U210" s="7">
        <f t="shared" si="35"/>
        <v>0</v>
      </c>
      <c r="V210">
        <v>0</v>
      </c>
      <c r="W210">
        <v>0</v>
      </c>
      <c r="X210">
        <v>0</v>
      </c>
      <c r="Y210">
        <v>0</v>
      </c>
      <c r="Z210" s="13">
        <f t="shared" si="36"/>
        <v>0</v>
      </c>
      <c r="AA210">
        <v>0</v>
      </c>
      <c r="AB210">
        <v>0</v>
      </c>
      <c r="AC210">
        <v>0</v>
      </c>
      <c r="AD210">
        <v>0</v>
      </c>
      <c r="AE210" s="7">
        <f t="shared" si="37"/>
        <v>0</v>
      </c>
      <c r="AF210">
        <v>0</v>
      </c>
      <c r="AG210">
        <v>0</v>
      </c>
      <c r="AH210">
        <v>0</v>
      </c>
      <c r="AI210" s="13">
        <f t="shared" si="33"/>
        <v>0</v>
      </c>
      <c r="AJ210" s="11" t="s">
        <v>51</v>
      </c>
      <c r="AK210" s="11" t="s">
        <v>51</v>
      </c>
      <c r="AL210" s="11" t="s">
        <v>51</v>
      </c>
      <c r="AM210" s="13">
        <f t="shared" si="38"/>
        <v>0</v>
      </c>
      <c r="AN210" s="18">
        <v>10</v>
      </c>
      <c r="AO210" s="18">
        <v>0</v>
      </c>
      <c r="AP210" s="18">
        <v>0</v>
      </c>
      <c r="AQ210" s="18">
        <v>0</v>
      </c>
      <c r="AR210" s="18">
        <f t="shared" si="39"/>
        <v>10</v>
      </c>
      <c r="AS210" t="s">
        <v>52</v>
      </c>
      <c r="AT210" s="9" t="s">
        <v>817</v>
      </c>
      <c r="AU210" s="30">
        <f>+((AN210*I210)+(AO210*AE210)+(AQ210*AI210)+(AP210*AM210))/AR210</f>
        <v>80.637500000000003</v>
      </c>
    </row>
    <row r="211" spans="1:47" hidden="1" x14ac:dyDescent="0.25">
      <c r="A211" t="s">
        <v>46</v>
      </c>
      <c r="B211" t="s">
        <v>818</v>
      </c>
      <c r="C211" t="s">
        <v>819</v>
      </c>
      <c r="D211" t="s">
        <v>820</v>
      </c>
      <c r="E211" s="11">
        <v>0</v>
      </c>
      <c r="F211" s="11">
        <v>0</v>
      </c>
      <c r="G211" s="11">
        <v>74.7</v>
      </c>
      <c r="H211" s="11">
        <v>4.1666666666666661</v>
      </c>
      <c r="I211" s="13">
        <f t="shared" si="34"/>
        <v>78.866666666666674</v>
      </c>
      <c r="J211" s="11">
        <v>0</v>
      </c>
      <c r="K211" s="11">
        <v>0</v>
      </c>
      <c r="L211" s="11">
        <v>0</v>
      </c>
      <c r="M211" s="13">
        <v>0</v>
      </c>
      <c r="N211" s="11">
        <v>0</v>
      </c>
      <c r="O211" s="11">
        <v>0</v>
      </c>
      <c r="P211" s="11">
        <v>0</v>
      </c>
      <c r="Q211" s="11">
        <v>0</v>
      </c>
      <c r="R211" s="13">
        <f t="shared" si="32"/>
        <v>0</v>
      </c>
      <c r="S211">
        <v>0</v>
      </c>
      <c r="T211">
        <v>0</v>
      </c>
      <c r="U211" s="7">
        <f t="shared" si="35"/>
        <v>0</v>
      </c>
      <c r="V211">
        <v>0</v>
      </c>
      <c r="W211">
        <v>0</v>
      </c>
      <c r="X211">
        <v>0</v>
      </c>
      <c r="Y211">
        <v>0</v>
      </c>
      <c r="Z211" s="13">
        <f t="shared" si="36"/>
        <v>0</v>
      </c>
      <c r="AA211">
        <v>0</v>
      </c>
      <c r="AB211">
        <v>0</v>
      </c>
      <c r="AC211">
        <v>0</v>
      </c>
      <c r="AD211">
        <v>0</v>
      </c>
      <c r="AE211" s="7">
        <f t="shared" si="37"/>
        <v>0</v>
      </c>
      <c r="AF211">
        <v>0</v>
      </c>
      <c r="AG211">
        <v>0</v>
      </c>
      <c r="AH211">
        <v>0</v>
      </c>
      <c r="AI211" s="13">
        <f t="shared" si="33"/>
        <v>0</v>
      </c>
      <c r="AJ211" s="11" t="s">
        <v>51</v>
      </c>
      <c r="AK211" s="11" t="s">
        <v>51</v>
      </c>
      <c r="AL211" s="11" t="s">
        <v>51</v>
      </c>
      <c r="AM211" s="13">
        <f t="shared" si="38"/>
        <v>0</v>
      </c>
      <c r="AN211" s="18">
        <v>2</v>
      </c>
      <c r="AO211" s="18">
        <v>0</v>
      </c>
      <c r="AP211" s="18">
        <v>0</v>
      </c>
      <c r="AQ211" s="18">
        <v>0</v>
      </c>
      <c r="AR211" s="18">
        <f t="shared" si="39"/>
        <v>2</v>
      </c>
      <c r="AS211" t="s">
        <v>52</v>
      </c>
      <c r="AT211" s="9" t="s">
        <v>412</v>
      </c>
      <c r="AU211" s="30">
        <f>+((AN211*I211)+(AO211*AE211)+(AQ211*AI211)+(AP211*AM211))/AR211</f>
        <v>78.866666666666674</v>
      </c>
    </row>
    <row r="212" spans="1:47" hidden="1" x14ac:dyDescent="0.25">
      <c r="A212" t="s">
        <v>46</v>
      </c>
      <c r="B212" s="32" t="s">
        <v>821</v>
      </c>
      <c r="C212" s="32" t="s">
        <v>822</v>
      </c>
      <c r="D212" s="32" t="s">
        <v>823</v>
      </c>
      <c r="E212" s="11">
        <v>0</v>
      </c>
      <c r="F212" s="11">
        <v>0</v>
      </c>
      <c r="G212" s="11">
        <v>0</v>
      </c>
      <c r="H212" s="11">
        <v>0</v>
      </c>
      <c r="I212" s="13">
        <f t="shared" si="34"/>
        <v>0</v>
      </c>
      <c r="J212" s="11">
        <v>0</v>
      </c>
      <c r="K212" s="11">
        <v>0</v>
      </c>
      <c r="L212" s="11">
        <v>0</v>
      </c>
      <c r="M212" s="13">
        <v>0</v>
      </c>
      <c r="N212" s="11">
        <v>57.925000000000004</v>
      </c>
      <c r="O212" s="11">
        <v>3.125</v>
      </c>
      <c r="P212" s="11">
        <v>0</v>
      </c>
      <c r="Q212" s="11">
        <v>24.024999999999999</v>
      </c>
      <c r="R212" s="13">
        <f t="shared" si="32"/>
        <v>85.075000000000003</v>
      </c>
      <c r="S212">
        <v>0</v>
      </c>
      <c r="T212">
        <v>0</v>
      </c>
      <c r="U212" s="7">
        <f t="shared" si="35"/>
        <v>0</v>
      </c>
      <c r="V212">
        <v>0</v>
      </c>
      <c r="W212">
        <v>0</v>
      </c>
      <c r="X212">
        <v>0</v>
      </c>
      <c r="Y212">
        <v>0</v>
      </c>
      <c r="Z212" s="13">
        <f t="shared" si="36"/>
        <v>0</v>
      </c>
      <c r="AA212">
        <v>0</v>
      </c>
      <c r="AB212">
        <v>0</v>
      </c>
      <c r="AC212">
        <v>0</v>
      </c>
      <c r="AD212">
        <v>0</v>
      </c>
      <c r="AE212" s="7">
        <f t="shared" si="37"/>
        <v>0</v>
      </c>
      <c r="AF212">
        <v>0</v>
      </c>
      <c r="AG212">
        <v>0</v>
      </c>
      <c r="AH212">
        <v>0</v>
      </c>
      <c r="AI212" s="13">
        <f t="shared" si="33"/>
        <v>0</v>
      </c>
      <c r="AJ212" s="11" t="s">
        <v>51</v>
      </c>
      <c r="AK212" s="11" t="s">
        <v>51</v>
      </c>
      <c r="AL212" s="11" t="s">
        <v>51</v>
      </c>
      <c r="AM212" s="13">
        <f t="shared" si="38"/>
        <v>0</v>
      </c>
      <c r="AN212" s="18">
        <v>7</v>
      </c>
      <c r="AO212" s="18">
        <v>0</v>
      </c>
      <c r="AP212" s="18">
        <v>0</v>
      </c>
      <c r="AQ212" s="18">
        <v>0</v>
      </c>
      <c r="AR212" s="18">
        <f t="shared" si="39"/>
        <v>7</v>
      </c>
      <c r="AS212" t="s">
        <v>117</v>
      </c>
      <c r="AT212" s="9" t="s">
        <v>824</v>
      </c>
      <c r="AU212" s="11">
        <f>+((AN212*R212)+(AQ212*AI212)+(AP212*AM212))/AR212</f>
        <v>85.075000000000003</v>
      </c>
    </row>
    <row r="213" spans="1:47" hidden="1" x14ac:dyDescent="0.25">
      <c r="A213" t="s">
        <v>46</v>
      </c>
      <c r="B213" s="32" t="s">
        <v>825</v>
      </c>
      <c r="C213" s="32" t="s">
        <v>826</v>
      </c>
      <c r="D213" s="32" t="s">
        <v>827</v>
      </c>
      <c r="E213" s="11">
        <v>0</v>
      </c>
      <c r="F213" s="11">
        <v>0</v>
      </c>
      <c r="G213" s="11">
        <v>0</v>
      </c>
      <c r="H213" s="11">
        <v>0</v>
      </c>
      <c r="I213" s="13">
        <f t="shared" si="34"/>
        <v>0</v>
      </c>
      <c r="J213" s="11">
        <v>0</v>
      </c>
      <c r="K213" s="11">
        <v>0</v>
      </c>
      <c r="L213" s="11">
        <v>0</v>
      </c>
      <c r="M213" s="13">
        <v>0</v>
      </c>
      <c r="N213" s="11">
        <v>59.95</v>
      </c>
      <c r="O213" s="11">
        <v>5.625</v>
      </c>
      <c r="P213" s="11">
        <v>0</v>
      </c>
      <c r="Q213" s="11">
        <v>23.75</v>
      </c>
      <c r="R213" s="13">
        <f t="shared" si="32"/>
        <v>89.325000000000003</v>
      </c>
      <c r="S213">
        <v>0</v>
      </c>
      <c r="T213">
        <v>0</v>
      </c>
      <c r="U213" s="7">
        <f t="shared" si="35"/>
        <v>0</v>
      </c>
      <c r="V213">
        <v>0</v>
      </c>
      <c r="W213">
        <v>0</v>
      </c>
      <c r="X213">
        <v>0</v>
      </c>
      <c r="Y213">
        <v>0</v>
      </c>
      <c r="Z213" s="13">
        <f t="shared" si="36"/>
        <v>0</v>
      </c>
      <c r="AA213">
        <v>0</v>
      </c>
      <c r="AB213">
        <v>0</v>
      </c>
      <c r="AC213">
        <v>0</v>
      </c>
      <c r="AD213">
        <v>0</v>
      </c>
      <c r="AE213" s="7">
        <f t="shared" si="37"/>
        <v>0</v>
      </c>
      <c r="AF213">
        <v>0</v>
      </c>
      <c r="AG213">
        <v>0</v>
      </c>
      <c r="AH213">
        <v>0</v>
      </c>
      <c r="AI213" s="13">
        <f t="shared" si="33"/>
        <v>0</v>
      </c>
      <c r="AJ213" s="11" t="s">
        <v>51</v>
      </c>
      <c r="AK213" s="11" t="s">
        <v>51</v>
      </c>
      <c r="AL213" s="11" t="s">
        <v>51</v>
      </c>
      <c r="AM213" s="13">
        <f t="shared" si="38"/>
        <v>0</v>
      </c>
      <c r="AN213" s="18">
        <v>4</v>
      </c>
      <c r="AO213" s="18">
        <v>0</v>
      </c>
      <c r="AP213" s="18">
        <v>0</v>
      </c>
      <c r="AQ213" s="18">
        <v>0</v>
      </c>
      <c r="AR213" s="18">
        <f t="shared" si="39"/>
        <v>4</v>
      </c>
      <c r="AS213" t="s">
        <v>117</v>
      </c>
      <c r="AT213" s="9" t="s">
        <v>828</v>
      </c>
      <c r="AU213" s="11">
        <f>+((AN213*R213)+(AQ213*AI213)+(AP213*AM213))/AR213</f>
        <v>89.325000000000003</v>
      </c>
    </row>
    <row r="214" spans="1:47" hidden="1" x14ac:dyDescent="0.25">
      <c r="A214" t="s">
        <v>46</v>
      </c>
      <c r="B214" t="s">
        <v>829</v>
      </c>
      <c r="C214" t="s">
        <v>830</v>
      </c>
      <c r="D214" t="s">
        <v>831</v>
      </c>
      <c r="E214" s="11">
        <v>24.162500000000001</v>
      </c>
      <c r="F214" s="11">
        <v>0</v>
      </c>
      <c r="G214" s="11">
        <v>59.174999999999997</v>
      </c>
      <c r="H214" s="11">
        <v>5.625</v>
      </c>
      <c r="I214" s="13">
        <f t="shared" si="34"/>
        <v>88.962500000000006</v>
      </c>
      <c r="J214" s="11">
        <v>0</v>
      </c>
      <c r="K214" s="11">
        <v>0</v>
      </c>
      <c r="L214" s="11">
        <v>0</v>
      </c>
      <c r="M214" s="13">
        <v>0</v>
      </c>
      <c r="N214" s="11">
        <v>0</v>
      </c>
      <c r="O214" s="11">
        <v>0</v>
      </c>
      <c r="P214" s="11">
        <v>0</v>
      </c>
      <c r="Q214" s="11">
        <v>0</v>
      </c>
      <c r="R214" s="13">
        <f t="shared" si="32"/>
        <v>0</v>
      </c>
      <c r="S214">
        <v>0</v>
      </c>
      <c r="T214">
        <v>0</v>
      </c>
      <c r="U214" s="7">
        <f t="shared" si="35"/>
        <v>0</v>
      </c>
      <c r="V214">
        <v>0</v>
      </c>
      <c r="W214">
        <v>0</v>
      </c>
      <c r="X214">
        <v>0</v>
      </c>
      <c r="Y214">
        <v>0</v>
      </c>
      <c r="Z214" s="13">
        <f t="shared" si="36"/>
        <v>0</v>
      </c>
      <c r="AA214">
        <v>0</v>
      </c>
      <c r="AB214">
        <v>0</v>
      </c>
      <c r="AC214">
        <v>0</v>
      </c>
      <c r="AD214">
        <v>0</v>
      </c>
      <c r="AE214" s="7">
        <f t="shared" si="37"/>
        <v>0</v>
      </c>
      <c r="AF214">
        <v>0</v>
      </c>
      <c r="AG214">
        <v>0</v>
      </c>
      <c r="AH214">
        <v>0</v>
      </c>
      <c r="AI214" s="13">
        <f t="shared" si="33"/>
        <v>0</v>
      </c>
      <c r="AJ214" s="11" t="s">
        <v>51</v>
      </c>
      <c r="AK214" s="11" t="s">
        <v>51</v>
      </c>
      <c r="AL214" s="11" t="s">
        <v>51</v>
      </c>
      <c r="AM214" s="13">
        <f t="shared" si="38"/>
        <v>0</v>
      </c>
      <c r="AN214" s="18">
        <v>7</v>
      </c>
      <c r="AO214" s="18">
        <v>0</v>
      </c>
      <c r="AP214" s="18">
        <v>0</v>
      </c>
      <c r="AQ214" s="18">
        <v>0</v>
      </c>
      <c r="AR214" s="18">
        <f t="shared" si="39"/>
        <v>7</v>
      </c>
      <c r="AS214" t="s">
        <v>52</v>
      </c>
      <c r="AT214" s="9" t="s">
        <v>832</v>
      </c>
      <c r="AU214" s="30">
        <f>+((AN214*I214)+(AO214*AE214)+(AQ214*AI214)+(AP214*AM214))/AR214</f>
        <v>88.962500000000006</v>
      </c>
    </row>
    <row r="215" spans="1:47" hidden="1" x14ac:dyDescent="0.25">
      <c r="A215" t="s">
        <v>46</v>
      </c>
      <c r="B215" t="s">
        <v>833</v>
      </c>
      <c r="C215" t="s">
        <v>834</v>
      </c>
      <c r="D215" t="s">
        <v>835</v>
      </c>
      <c r="E215" s="11">
        <v>25</v>
      </c>
      <c r="F215" s="11">
        <v>0</v>
      </c>
      <c r="G215" s="11">
        <v>52.7</v>
      </c>
      <c r="H215" s="11">
        <v>6.25</v>
      </c>
      <c r="I215" s="13">
        <f t="shared" si="34"/>
        <v>83.95</v>
      </c>
      <c r="J215" s="11">
        <v>0</v>
      </c>
      <c r="K215" s="11">
        <v>0</v>
      </c>
      <c r="L215" s="11">
        <v>0</v>
      </c>
      <c r="M215" s="13">
        <v>0</v>
      </c>
      <c r="N215" s="11">
        <v>0</v>
      </c>
      <c r="O215" s="11">
        <v>0</v>
      </c>
      <c r="P215" s="11">
        <v>0</v>
      </c>
      <c r="Q215" s="11">
        <v>0</v>
      </c>
      <c r="R215" s="13">
        <f t="shared" si="32"/>
        <v>0</v>
      </c>
      <c r="S215">
        <v>0</v>
      </c>
      <c r="T215">
        <v>0</v>
      </c>
      <c r="U215" s="7">
        <f t="shared" si="35"/>
        <v>0</v>
      </c>
      <c r="V215">
        <v>0</v>
      </c>
      <c r="W215">
        <v>0</v>
      </c>
      <c r="X215">
        <v>0</v>
      </c>
      <c r="Y215">
        <v>0</v>
      </c>
      <c r="Z215" s="13">
        <f t="shared" si="36"/>
        <v>0</v>
      </c>
      <c r="AA215">
        <v>0</v>
      </c>
      <c r="AB215">
        <v>0</v>
      </c>
      <c r="AC215">
        <v>0</v>
      </c>
      <c r="AD215">
        <v>0</v>
      </c>
      <c r="AE215" s="7">
        <f t="shared" si="37"/>
        <v>0</v>
      </c>
      <c r="AF215">
        <v>0</v>
      </c>
      <c r="AG215">
        <v>0</v>
      </c>
      <c r="AH215">
        <v>0</v>
      </c>
      <c r="AI215" s="13">
        <f t="shared" si="33"/>
        <v>0</v>
      </c>
      <c r="AJ215" s="11" t="s">
        <v>50</v>
      </c>
      <c r="AK215" s="11" t="s">
        <v>267</v>
      </c>
      <c r="AL215" s="11">
        <v>29.8</v>
      </c>
      <c r="AM215" s="13">
        <f t="shared" si="38"/>
        <v>29.8</v>
      </c>
      <c r="AN215" s="18">
        <v>36</v>
      </c>
      <c r="AO215" s="18">
        <v>0</v>
      </c>
      <c r="AP215" s="18">
        <v>4</v>
      </c>
      <c r="AQ215" s="18">
        <v>0</v>
      </c>
      <c r="AR215" s="18">
        <f t="shared" si="39"/>
        <v>40</v>
      </c>
      <c r="AS215" t="s">
        <v>52</v>
      </c>
      <c r="AT215" s="9" t="s">
        <v>836</v>
      </c>
      <c r="AU215" s="30">
        <f>+((AN215*I215)+(AO215*AE215)+(AQ215*AI215)+(AP215*AM215))/AR215</f>
        <v>78.534999999999997</v>
      </c>
    </row>
    <row r="216" spans="1:47" hidden="1" x14ac:dyDescent="0.25">
      <c r="A216" t="s">
        <v>46</v>
      </c>
      <c r="B216" t="s">
        <v>837</v>
      </c>
      <c r="C216" t="s">
        <v>838</v>
      </c>
      <c r="D216" t="s">
        <v>839</v>
      </c>
      <c r="E216" s="11">
        <v>0</v>
      </c>
      <c r="F216" s="11">
        <v>0</v>
      </c>
      <c r="G216" s="11">
        <v>0</v>
      </c>
      <c r="H216" s="11">
        <v>0</v>
      </c>
      <c r="I216" s="13">
        <f t="shared" si="34"/>
        <v>0</v>
      </c>
      <c r="J216" s="11">
        <v>70.871428571428567</v>
      </c>
      <c r="K216" s="11">
        <v>0</v>
      </c>
      <c r="L216" s="11">
        <v>3.5714285714285712</v>
      </c>
      <c r="M216" s="13">
        <v>74.442857142857136</v>
      </c>
      <c r="N216" s="11">
        <v>0</v>
      </c>
      <c r="O216" s="11">
        <v>0</v>
      </c>
      <c r="P216" s="11">
        <v>0</v>
      </c>
      <c r="Q216" s="11">
        <v>0</v>
      </c>
      <c r="R216" s="13">
        <f t="shared" si="32"/>
        <v>0</v>
      </c>
      <c r="S216">
        <v>0</v>
      </c>
      <c r="T216">
        <v>0</v>
      </c>
      <c r="U216" s="7">
        <f t="shared" si="35"/>
        <v>0</v>
      </c>
      <c r="V216">
        <v>0</v>
      </c>
      <c r="W216">
        <v>0</v>
      </c>
      <c r="X216">
        <v>0</v>
      </c>
      <c r="Y216">
        <v>0</v>
      </c>
      <c r="Z216" s="13">
        <f t="shared" si="36"/>
        <v>0</v>
      </c>
      <c r="AA216">
        <v>0</v>
      </c>
      <c r="AB216">
        <v>0</v>
      </c>
      <c r="AC216">
        <v>0</v>
      </c>
      <c r="AD216">
        <v>0</v>
      </c>
      <c r="AE216" s="7">
        <f t="shared" si="37"/>
        <v>0</v>
      </c>
      <c r="AF216">
        <v>0</v>
      </c>
      <c r="AG216">
        <v>0</v>
      </c>
      <c r="AH216">
        <v>0</v>
      </c>
      <c r="AI216" s="13">
        <f t="shared" si="33"/>
        <v>0</v>
      </c>
      <c r="AJ216" s="11" t="s">
        <v>51</v>
      </c>
      <c r="AK216" s="11" t="s">
        <v>51</v>
      </c>
      <c r="AL216" s="11" t="s">
        <v>51</v>
      </c>
      <c r="AM216" s="13">
        <f t="shared" si="38"/>
        <v>0</v>
      </c>
      <c r="AN216" s="18">
        <v>2.125</v>
      </c>
      <c r="AO216" s="18">
        <v>0</v>
      </c>
      <c r="AP216" s="18">
        <v>0</v>
      </c>
      <c r="AQ216" s="18">
        <v>0</v>
      </c>
      <c r="AR216" s="18">
        <f t="shared" si="39"/>
        <v>2.125</v>
      </c>
      <c r="AS216" t="s">
        <v>87</v>
      </c>
      <c r="AT216" s="9" t="s">
        <v>840</v>
      </c>
      <c r="AU216" s="30">
        <f>+((AN216*M216)/AR216)</f>
        <v>74.442857142857136</v>
      </c>
    </row>
    <row r="217" spans="1:47" hidden="1" x14ac:dyDescent="0.25">
      <c r="A217" t="s">
        <v>46</v>
      </c>
      <c r="B217" t="s">
        <v>841</v>
      </c>
      <c r="C217" t="s">
        <v>842</v>
      </c>
      <c r="D217" t="s">
        <v>843</v>
      </c>
      <c r="E217" s="11">
        <v>24.024999999999999</v>
      </c>
      <c r="F217" s="11">
        <v>0</v>
      </c>
      <c r="G217" s="11">
        <v>57.3125</v>
      </c>
      <c r="H217" s="11">
        <v>8.75</v>
      </c>
      <c r="I217" s="13">
        <f t="shared" si="34"/>
        <v>90.087500000000006</v>
      </c>
      <c r="J217" s="11">
        <v>0</v>
      </c>
      <c r="K217" s="11">
        <v>0</v>
      </c>
      <c r="L217" s="11">
        <v>0</v>
      </c>
      <c r="M217" s="13">
        <v>0</v>
      </c>
      <c r="N217" s="11">
        <v>0</v>
      </c>
      <c r="O217" s="11">
        <v>0</v>
      </c>
      <c r="P217" s="11">
        <v>0</v>
      </c>
      <c r="Q217" s="11">
        <v>0</v>
      </c>
      <c r="R217" s="13">
        <f t="shared" si="32"/>
        <v>0</v>
      </c>
      <c r="S217">
        <v>0</v>
      </c>
      <c r="T217">
        <v>0</v>
      </c>
      <c r="U217" s="7">
        <f t="shared" si="35"/>
        <v>0</v>
      </c>
      <c r="V217">
        <v>0</v>
      </c>
      <c r="W217">
        <v>0</v>
      </c>
      <c r="X217">
        <v>0</v>
      </c>
      <c r="Y217">
        <v>0</v>
      </c>
      <c r="Z217" s="13">
        <f t="shared" si="36"/>
        <v>0</v>
      </c>
      <c r="AA217">
        <v>0</v>
      </c>
      <c r="AB217">
        <v>0</v>
      </c>
      <c r="AC217">
        <v>0</v>
      </c>
      <c r="AD217">
        <v>0</v>
      </c>
      <c r="AE217" s="7">
        <f t="shared" si="37"/>
        <v>0</v>
      </c>
      <c r="AF217">
        <v>0</v>
      </c>
      <c r="AG217">
        <v>0</v>
      </c>
      <c r="AH217">
        <v>0</v>
      </c>
      <c r="AI217" s="13">
        <f t="shared" si="33"/>
        <v>0</v>
      </c>
      <c r="AJ217" s="11" t="s">
        <v>51</v>
      </c>
      <c r="AK217" s="11" t="s">
        <v>51</v>
      </c>
      <c r="AL217" s="11" t="s">
        <v>51</v>
      </c>
      <c r="AM217" s="13">
        <f t="shared" si="38"/>
        <v>0</v>
      </c>
      <c r="AN217" s="18">
        <v>9</v>
      </c>
      <c r="AO217" s="18">
        <v>0</v>
      </c>
      <c r="AP217" s="18">
        <v>0</v>
      </c>
      <c r="AQ217" s="18">
        <v>0</v>
      </c>
      <c r="AR217" s="18">
        <f t="shared" si="39"/>
        <v>9</v>
      </c>
      <c r="AS217" t="s">
        <v>52</v>
      </c>
      <c r="AT217" s="9" t="s">
        <v>844</v>
      </c>
      <c r="AU217" s="30">
        <f>+((AN217*I217)+(AO217*AE217)+(AQ217*AI217)+(AP217*AM217))/AR217</f>
        <v>90.087500000000006</v>
      </c>
    </row>
    <row r="218" spans="1:47" hidden="1" x14ac:dyDescent="0.25">
      <c r="A218" t="s">
        <v>46</v>
      </c>
      <c r="B218" t="s">
        <v>845</v>
      </c>
      <c r="C218" t="s">
        <v>846</v>
      </c>
      <c r="D218" t="s">
        <v>847</v>
      </c>
      <c r="E218" s="11">
        <v>0</v>
      </c>
      <c r="F218" s="11">
        <v>0</v>
      </c>
      <c r="G218" s="11">
        <v>0</v>
      </c>
      <c r="H218" s="11">
        <v>0</v>
      </c>
      <c r="I218" s="13">
        <f t="shared" si="34"/>
        <v>0</v>
      </c>
      <c r="J218" s="11">
        <v>0</v>
      </c>
      <c r="K218" s="11">
        <v>0</v>
      </c>
      <c r="L218" s="11">
        <v>0</v>
      </c>
      <c r="M218" s="13">
        <v>0</v>
      </c>
      <c r="N218" s="11">
        <v>0</v>
      </c>
      <c r="O218" s="11">
        <v>0</v>
      </c>
      <c r="P218" s="11">
        <v>0</v>
      </c>
      <c r="Q218" s="11">
        <v>0</v>
      </c>
      <c r="R218" s="13">
        <f t="shared" si="32"/>
        <v>0</v>
      </c>
      <c r="S218">
        <v>0</v>
      </c>
      <c r="T218">
        <v>0</v>
      </c>
      <c r="U218" s="7">
        <f t="shared" si="35"/>
        <v>0</v>
      </c>
      <c r="V218">
        <v>2.5</v>
      </c>
      <c r="W218">
        <v>19.670000000000002</v>
      </c>
      <c r="X218">
        <v>40.229999999999997</v>
      </c>
      <c r="Y218">
        <v>17.329999999999998</v>
      </c>
      <c r="Z218" s="13">
        <f t="shared" si="36"/>
        <v>79.72999999999999</v>
      </c>
      <c r="AA218">
        <v>0</v>
      </c>
      <c r="AB218">
        <v>0</v>
      </c>
      <c r="AC218">
        <v>0</v>
      </c>
      <c r="AD218">
        <v>0</v>
      </c>
      <c r="AE218" s="7">
        <f t="shared" si="37"/>
        <v>0</v>
      </c>
      <c r="AF218">
        <v>0</v>
      </c>
      <c r="AG218">
        <v>0</v>
      </c>
      <c r="AH218">
        <v>0</v>
      </c>
      <c r="AI218" s="13">
        <f t="shared" si="33"/>
        <v>0</v>
      </c>
      <c r="AJ218" s="11" t="s">
        <v>51</v>
      </c>
      <c r="AK218" s="11" t="s">
        <v>51</v>
      </c>
      <c r="AL218" s="11" t="s">
        <v>51</v>
      </c>
      <c r="AM218" s="13">
        <f t="shared" si="38"/>
        <v>0</v>
      </c>
      <c r="AN218" s="18">
        <v>4</v>
      </c>
      <c r="AO218" s="18">
        <v>0</v>
      </c>
      <c r="AP218" s="18">
        <v>0</v>
      </c>
      <c r="AQ218" s="18">
        <v>0</v>
      </c>
      <c r="AR218" s="18">
        <f t="shared" si="39"/>
        <v>4</v>
      </c>
      <c r="AS218" t="s">
        <v>52</v>
      </c>
      <c r="AT218" s="9" t="s">
        <v>848</v>
      </c>
      <c r="AU218" s="30">
        <f>+((Z218*AN218)/AR218)</f>
        <v>79.72999999999999</v>
      </c>
    </row>
    <row r="219" spans="1:47" hidden="1" x14ac:dyDescent="0.25">
      <c r="A219" t="s">
        <v>46</v>
      </c>
      <c r="B219" t="s">
        <v>849</v>
      </c>
      <c r="C219" t="s">
        <v>850</v>
      </c>
      <c r="D219" t="s">
        <v>851</v>
      </c>
      <c r="E219" s="11">
        <v>20</v>
      </c>
      <c r="F219" s="11">
        <v>19.329999999999998</v>
      </c>
      <c r="G219" s="11">
        <v>47.2</v>
      </c>
      <c r="H219" s="11">
        <v>5.5</v>
      </c>
      <c r="I219" s="13">
        <f t="shared" si="34"/>
        <v>92.03</v>
      </c>
      <c r="J219" s="11">
        <v>0</v>
      </c>
      <c r="K219" s="11">
        <v>0</v>
      </c>
      <c r="L219" s="11">
        <v>0</v>
      </c>
      <c r="M219" s="13">
        <v>0</v>
      </c>
      <c r="N219" s="11">
        <v>0</v>
      </c>
      <c r="O219" s="11">
        <v>0</v>
      </c>
      <c r="P219" s="11">
        <v>0</v>
      </c>
      <c r="Q219" s="11">
        <v>0</v>
      </c>
      <c r="R219" s="13">
        <f t="shared" si="32"/>
        <v>0</v>
      </c>
      <c r="S219">
        <v>0</v>
      </c>
      <c r="T219">
        <v>0</v>
      </c>
      <c r="U219" s="7">
        <f t="shared" si="35"/>
        <v>0</v>
      </c>
      <c r="V219">
        <v>0</v>
      </c>
      <c r="W219">
        <v>0</v>
      </c>
      <c r="X219">
        <v>0</v>
      </c>
      <c r="Y219">
        <v>0</v>
      </c>
      <c r="Z219" s="13">
        <f t="shared" si="36"/>
        <v>0</v>
      </c>
      <c r="AA219">
        <v>0</v>
      </c>
      <c r="AB219">
        <v>0</v>
      </c>
      <c r="AC219">
        <v>0</v>
      </c>
      <c r="AD219">
        <v>0</v>
      </c>
      <c r="AE219" s="7">
        <f t="shared" si="37"/>
        <v>0</v>
      </c>
      <c r="AF219">
        <v>0</v>
      </c>
      <c r="AG219">
        <v>0</v>
      </c>
      <c r="AH219">
        <v>0</v>
      </c>
      <c r="AI219" s="13">
        <f t="shared" si="33"/>
        <v>0</v>
      </c>
      <c r="AJ219" s="11" t="s">
        <v>51</v>
      </c>
      <c r="AK219" s="11" t="s">
        <v>51</v>
      </c>
      <c r="AL219" s="11" t="s">
        <v>51</v>
      </c>
      <c r="AM219" s="13">
        <f t="shared" si="38"/>
        <v>0</v>
      </c>
      <c r="AN219" s="18">
        <v>9</v>
      </c>
      <c r="AO219" s="18">
        <v>0</v>
      </c>
      <c r="AP219" s="18">
        <v>0</v>
      </c>
      <c r="AQ219" s="18">
        <v>0</v>
      </c>
      <c r="AR219" s="18">
        <f t="shared" si="39"/>
        <v>9</v>
      </c>
      <c r="AS219" t="s">
        <v>52</v>
      </c>
      <c r="AT219" s="9" t="s">
        <v>852</v>
      </c>
      <c r="AU219" s="30">
        <f>+((AN219*I219)+(AO219*AE219)+(AQ219*AI219)+(AP219*AM219))/AR219</f>
        <v>92.03</v>
      </c>
    </row>
    <row r="220" spans="1:47" hidden="1" x14ac:dyDescent="0.25">
      <c r="A220" t="s">
        <v>46</v>
      </c>
      <c r="B220" t="s">
        <v>853</v>
      </c>
      <c r="C220" t="s">
        <v>854</v>
      </c>
      <c r="D220" t="s">
        <v>855</v>
      </c>
      <c r="E220" s="11">
        <v>0</v>
      </c>
      <c r="F220" s="11">
        <v>25</v>
      </c>
      <c r="G220" s="11">
        <v>52.175000000000004</v>
      </c>
      <c r="H220" s="11">
        <v>3.125</v>
      </c>
      <c r="I220" s="13">
        <f t="shared" si="34"/>
        <v>80.300000000000011</v>
      </c>
      <c r="J220" s="11">
        <v>0</v>
      </c>
      <c r="K220" s="11">
        <v>0</v>
      </c>
      <c r="L220" s="11">
        <v>0</v>
      </c>
      <c r="M220" s="13">
        <v>0</v>
      </c>
      <c r="N220" s="11">
        <v>55.5625</v>
      </c>
      <c r="O220" s="11">
        <v>3.125</v>
      </c>
      <c r="P220" s="11">
        <v>25</v>
      </c>
      <c r="Q220" s="11">
        <v>0</v>
      </c>
      <c r="R220" s="13">
        <f t="shared" si="32"/>
        <v>83.6875</v>
      </c>
      <c r="S220">
        <v>0</v>
      </c>
      <c r="T220">
        <v>0</v>
      </c>
      <c r="U220" s="7">
        <f t="shared" si="35"/>
        <v>0</v>
      </c>
      <c r="V220">
        <v>0</v>
      </c>
      <c r="W220">
        <v>0</v>
      </c>
      <c r="X220">
        <v>0</v>
      </c>
      <c r="Y220">
        <v>0</v>
      </c>
      <c r="Z220" s="13">
        <f t="shared" si="36"/>
        <v>0</v>
      </c>
      <c r="AA220">
        <v>15</v>
      </c>
      <c r="AB220">
        <v>21.25</v>
      </c>
      <c r="AC220">
        <v>13.12</v>
      </c>
      <c r="AD220">
        <v>18.75</v>
      </c>
      <c r="AE220" s="7">
        <f t="shared" si="37"/>
        <v>68.12</v>
      </c>
      <c r="AF220">
        <v>0</v>
      </c>
      <c r="AG220">
        <v>0</v>
      </c>
      <c r="AH220">
        <v>0</v>
      </c>
      <c r="AI220" s="13">
        <f t="shared" si="33"/>
        <v>0</v>
      </c>
      <c r="AJ220" s="11" t="s">
        <v>51</v>
      </c>
      <c r="AK220" s="11" t="s">
        <v>51</v>
      </c>
      <c r="AL220" s="11" t="s">
        <v>51</v>
      </c>
      <c r="AM220" s="13">
        <f t="shared" si="38"/>
        <v>0</v>
      </c>
      <c r="AN220" s="18">
        <v>32</v>
      </c>
      <c r="AO220" s="18">
        <v>5</v>
      </c>
      <c r="AP220" s="18">
        <v>0</v>
      </c>
      <c r="AQ220" s="18">
        <v>0</v>
      </c>
      <c r="AR220" s="18">
        <f t="shared" si="39"/>
        <v>37</v>
      </c>
      <c r="AS220" t="s">
        <v>52</v>
      </c>
      <c r="AT220" s="9" t="s">
        <v>856</v>
      </c>
      <c r="AU220" s="30">
        <f>+((AN220*I220)+(AO220*AE220)+(AQ220*AI220)+(AP220*AM220))/AR220</f>
        <v>78.654054054054058</v>
      </c>
    </row>
    <row r="221" spans="1:47" hidden="1" x14ac:dyDescent="0.25">
      <c r="A221" s="33" t="s">
        <v>46</v>
      </c>
      <c r="B221" s="32" t="s">
        <v>853</v>
      </c>
      <c r="C221" s="32" t="s">
        <v>854</v>
      </c>
      <c r="D221" s="32" t="s">
        <v>855</v>
      </c>
      <c r="E221" s="11">
        <v>0</v>
      </c>
      <c r="F221" s="11">
        <v>25</v>
      </c>
      <c r="G221" s="11">
        <v>52.175000000000004</v>
      </c>
      <c r="H221" s="11">
        <v>3.125</v>
      </c>
      <c r="I221" s="13">
        <f t="shared" si="34"/>
        <v>80.300000000000011</v>
      </c>
      <c r="J221" s="11">
        <v>0</v>
      </c>
      <c r="K221" s="11">
        <v>0</v>
      </c>
      <c r="L221" s="11">
        <v>0</v>
      </c>
      <c r="M221" s="13">
        <v>0</v>
      </c>
      <c r="N221" s="11">
        <v>55.5625</v>
      </c>
      <c r="O221" s="11">
        <v>3.125</v>
      </c>
      <c r="P221" s="11">
        <v>25</v>
      </c>
      <c r="Q221" s="11">
        <v>0</v>
      </c>
      <c r="R221" s="13">
        <f t="shared" si="32"/>
        <v>83.6875</v>
      </c>
      <c r="S221">
        <v>0</v>
      </c>
      <c r="T221">
        <v>0</v>
      </c>
      <c r="U221" s="7">
        <f t="shared" si="35"/>
        <v>0</v>
      </c>
      <c r="V221">
        <v>0</v>
      </c>
      <c r="W221">
        <v>0</v>
      </c>
      <c r="X221">
        <v>0</v>
      </c>
      <c r="Y221">
        <v>0</v>
      </c>
      <c r="Z221" s="13">
        <f t="shared" si="36"/>
        <v>0</v>
      </c>
      <c r="AA221">
        <v>15</v>
      </c>
      <c r="AB221">
        <v>21.25</v>
      </c>
      <c r="AC221">
        <v>13.12</v>
      </c>
      <c r="AD221">
        <v>18.75</v>
      </c>
      <c r="AE221" s="7">
        <f t="shared" si="37"/>
        <v>68.12</v>
      </c>
      <c r="AF221">
        <v>0</v>
      </c>
      <c r="AG221">
        <v>0</v>
      </c>
      <c r="AH221">
        <v>0</v>
      </c>
      <c r="AI221" s="13">
        <f t="shared" si="33"/>
        <v>0</v>
      </c>
      <c r="AJ221" s="11" t="s">
        <v>51</v>
      </c>
      <c r="AK221" s="11" t="s">
        <v>51</v>
      </c>
      <c r="AL221" s="11" t="s">
        <v>51</v>
      </c>
      <c r="AM221" s="13">
        <f t="shared" si="38"/>
        <v>0</v>
      </c>
      <c r="AN221" s="18">
        <v>3</v>
      </c>
      <c r="AO221" s="18">
        <v>0</v>
      </c>
      <c r="AP221" s="18">
        <v>0</v>
      </c>
      <c r="AQ221" s="18">
        <v>0</v>
      </c>
      <c r="AR221" s="18">
        <f t="shared" si="39"/>
        <v>3</v>
      </c>
      <c r="AS221" t="s">
        <v>117</v>
      </c>
      <c r="AT221" s="9" t="s">
        <v>692</v>
      </c>
      <c r="AU221" s="11">
        <f>+((AN221*R221)+(AQ221*AI221)+(AP221*AM221))/AR221</f>
        <v>83.6875</v>
      </c>
    </row>
    <row r="222" spans="1:47" hidden="1" x14ac:dyDescent="0.25">
      <c r="A222" t="s">
        <v>46</v>
      </c>
      <c r="B222" t="s">
        <v>857</v>
      </c>
      <c r="C222" t="s">
        <v>858</v>
      </c>
      <c r="D222" t="s">
        <v>859</v>
      </c>
      <c r="E222" s="11">
        <v>18.670000000000002</v>
      </c>
      <c r="F222" s="11">
        <v>18</v>
      </c>
      <c r="G222" s="11">
        <v>45.08</v>
      </c>
      <c r="H222" s="11">
        <v>4.5</v>
      </c>
      <c r="I222" s="13">
        <f t="shared" si="34"/>
        <v>86.25</v>
      </c>
      <c r="J222" s="11">
        <v>0</v>
      </c>
      <c r="K222" s="11">
        <v>0</v>
      </c>
      <c r="L222" s="11">
        <v>0</v>
      </c>
      <c r="M222" s="13">
        <v>0</v>
      </c>
      <c r="N222" s="11">
        <v>0</v>
      </c>
      <c r="O222" s="11">
        <v>0</v>
      </c>
      <c r="P222" s="11">
        <v>0</v>
      </c>
      <c r="Q222" s="11">
        <v>0</v>
      </c>
      <c r="R222" s="13">
        <f t="shared" si="32"/>
        <v>0</v>
      </c>
      <c r="S222">
        <v>0</v>
      </c>
      <c r="T222">
        <v>0</v>
      </c>
      <c r="U222" s="7">
        <f t="shared" si="35"/>
        <v>0</v>
      </c>
      <c r="V222">
        <v>0</v>
      </c>
      <c r="W222">
        <v>0</v>
      </c>
      <c r="X222">
        <v>0</v>
      </c>
      <c r="Y222">
        <v>0</v>
      </c>
      <c r="Z222" s="13">
        <f t="shared" si="36"/>
        <v>0</v>
      </c>
      <c r="AA222">
        <v>3.75</v>
      </c>
      <c r="AB222">
        <v>21.25</v>
      </c>
      <c r="AC222">
        <v>13.5</v>
      </c>
      <c r="AD222">
        <v>8.75</v>
      </c>
      <c r="AE222" s="7">
        <f t="shared" si="37"/>
        <v>47.25</v>
      </c>
      <c r="AF222">
        <v>0</v>
      </c>
      <c r="AG222">
        <v>0</v>
      </c>
      <c r="AH222">
        <v>0</v>
      </c>
      <c r="AI222" s="13">
        <f t="shared" si="33"/>
        <v>0</v>
      </c>
      <c r="AJ222" s="11" t="s">
        <v>51</v>
      </c>
      <c r="AK222" s="11" t="s">
        <v>51</v>
      </c>
      <c r="AL222" s="11" t="s">
        <v>51</v>
      </c>
      <c r="AM222" s="13">
        <f t="shared" si="38"/>
        <v>0</v>
      </c>
      <c r="AN222" s="18">
        <v>35</v>
      </c>
      <c r="AO222" s="18">
        <v>5</v>
      </c>
      <c r="AP222" s="18">
        <v>0</v>
      </c>
      <c r="AQ222" s="18">
        <v>0</v>
      </c>
      <c r="AR222" s="18">
        <f t="shared" si="39"/>
        <v>40</v>
      </c>
      <c r="AS222" t="s">
        <v>52</v>
      </c>
      <c r="AT222" s="9" t="s">
        <v>860</v>
      </c>
      <c r="AU222" s="30">
        <f>+((AN222*I222)+(AO222*AE222)+(AQ222*AI222)+(AP222*AM222))/AR222</f>
        <v>81.375</v>
      </c>
    </row>
    <row r="223" spans="1:47" hidden="1" x14ac:dyDescent="0.25">
      <c r="A223" t="s">
        <v>46</v>
      </c>
      <c r="B223" t="s">
        <v>861</v>
      </c>
      <c r="C223" t="s">
        <v>862</v>
      </c>
      <c r="D223" t="s">
        <v>863</v>
      </c>
      <c r="E223" s="11">
        <v>20</v>
      </c>
      <c r="F223" s="11">
        <v>20</v>
      </c>
      <c r="G223" s="11">
        <v>47.88</v>
      </c>
      <c r="H223" s="11">
        <v>5</v>
      </c>
      <c r="I223" s="13">
        <f t="shared" si="34"/>
        <v>92.88</v>
      </c>
      <c r="J223" s="11">
        <v>0</v>
      </c>
      <c r="K223" s="11">
        <v>0</v>
      </c>
      <c r="L223" s="11">
        <v>0</v>
      </c>
      <c r="M223" s="13">
        <v>0</v>
      </c>
      <c r="N223" s="11">
        <v>0</v>
      </c>
      <c r="O223" s="11">
        <v>0</v>
      </c>
      <c r="P223" s="11">
        <v>0</v>
      </c>
      <c r="Q223" s="11">
        <v>0</v>
      </c>
      <c r="R223" s="13">
        <f t="shared" si="32"/>
        <v>0</v>
      </c>
      <c r="S223">
        <v>0</v>
      </c>
      <c r="T223">
        <v>0</v>
      </c>
      <c r="U223" s="7">
        <f t="shared" si="35"/>
        <v>0</v>
      </c>
      <c r="V223">
        <v>0</v>
      </c>
      <c r="W223">
        <v>0</v>
      </c>
      <c r="X223">
        <v>0</v>
      </c>
      <c r="Y223">
        <v>0</v>
      </c>
      <c r="Z223" s="13">
        <f t="shared" si="36"/>
        <v>0</v>
      </c>
      <c r="AA223">
        <v>0</v>
      </c>
      <c r="AB223">
        <v>0</v>
      </c>
      <c r="AC223">
        <v>0</v>
      </c>
      <c r="AD223">
        <v>0</v>
      </c>
      <c r="AE223" s="7">
        <f t="shared" si="37"/>
        <v>0</v>
      </c>
      <c r="AF223">
        <v>50</v>
      </c>
      <c r="AG223">
        <v>20</v>
      </c>
      <c r="AH223">
        <v>24.56</v>
      </c>
      <c r="AI223" s="13">
        <f t="shared" si="33"/>
        <v>94.56</v>
      </c>
      <c r="AJ223" s="11" t="s">
        <v>51</v>
      </c>
      <c r="AK223" s="11" t="s">
        <v>51</v>
      </c>
      <c r="AL223" s="11" t="s">
        <v>51</v>
      </c>
      <c r="AM223" s="13">
        <f t="shared" si="38"/>
        <v>0</v>
      </c>
      <c r="AN223" s="18">
        <v>32</v>
      </c>
      <c r="AO223" s="18">
        <v>0</v>
      </c>
      <c r="AP223" s="18">
        <v>0</v>
      </c>
      <c r="AQ223" s="18">
        <v>8</v>
      </c>
      <c r="AR223" s="18">
        <f t="shared" si="39"/>
        <v>40</v>
      </c>
      <c r="AS223" t="s">
        <v>52</v>
      </c>
      <c r="AT223" s="9" t="s">
        <v>864</v>
      </c>
      <c r="AU223" s="30">
        <f>+((AN223*I223)+(AO223*AE223)+(AQ223*AI223)+(AP223*AM223))/AR223</f>
        <v>93.215999999999994</v>
      </c>
    </row>
    <row r="224" spans="1:47" hidden="1" x14ac:dyDescent="0.25">
      <c r="A224" t="s">
        <v>46</v>
      </c>
      <c r="B224" t="s">
        <v>861</v>
      </c>
      <c r="C224" t="s">
        <v>862</v>
      </c>
      <c r="D224" t="s">
        <v>863</v>
      </c>
      <c r="E224" s="11">
        <v>20</v>
      </c>
      <c r="F224" s="11">
        <v>20</v>
      </c>
      <c r="G224" s="11">
        <v>47.88</v>
      </c>
      <c r="H224" s="11">
        <v>5</v>
      </c>
      <c r="I224" s="13">
        <f t="shared" si="34"/>
        <v>92.88</v>
      </c>
      <c r="J224" s="11">
        <v>0</v>
      </c>
      <c r="K224" s="11">
        <v>0</v>
      </c>
      <c r="L224" s="11">
        <v>0</v>
      </c>
      <c r="M224" s="13">
        <v>0</v>
      </c>
      <c r="N224" s="11">
        <v>0</v>
      </c>
      <c r="O224" s="11">
        <v>0</v>
      </c>
      <c r="P224" s="11">
        <v>0</v>
      </c>
      <c r="Q224" s="11">
        <v>0</v>
      </c>
      <c r="R224" s="13">
        <f t="shared" si="32"/>
        <v>0</v>
      </c>
      <c r="S224">
        <v>0</v>
      </c>
      <c r="T224">
        <v>0</v>
      </c>
      <c r="U224" s="7">
        <f t="shared" si="35"/>
        <v>0</v>
      </c>
      <c r="V224">
        <v>0</v>
      </c>
      <c r="W224">
        <v>0</v>
      </c>
      <c r="X224">
        <v>0</v>
      </c>
      <c r="Y224">
        <v>0</v>
      </c>
      <c r="Z224" s="13">
        <f t="shared" si="36"/>
        <v>0</v>
      </c>
      <c r="AA224">
        <v>0</v>
      </c>
      <c r="AB224">
        <v>0</v>
      </c>
      <c r="AC224">
        <v>0</v>
      </c>
      <c r="AD224">
        <v>0</v>
      </c>
      <c r="AE224" s="7">
        <f t="shared" si="37"/>
        <v>0</v>
      </c>
      <c r="AF224">
        <v>50</v>
      </c>
      <c r="AG224">
        <v>20</v>
      </c>
      <c r="AH224">
        <v>24.56</v>
      </c>
      <c r="AI224" s="13">
        <f t="shared" si="33"/>
        <v>94.56</v>
      </c>
      <c r="AJ224" s="11" t="s">
        <v>51</v>
      </c>
      <c r="AK224" s="11" t="s">
        <v>51</v>
      </c>
      <c r="AL224" s="11" t="s">
        <v>51</v>
      </c>
      <c r="AM224" s="13">
        <f t="shared" si="38"/>
        <v>0</v>
      </c>
      <c r="AN224" s="18">
        <v>32</v>
      </c>
      <c r="AO224" s="18">
        <v>0</v>
      </c>
      <c r="AP224" s="18">
        <v>0</v>
      </c>
      <c r="AQ224" s="18">
        <v>8</v>
      </c>
      <c r="AR224" s="18">
        <f t="shared" si="39"/>
        <v>40</v>
      </c>
      <c r="AS224" t="s">
        <v>52</v>
      </c>
      <c r="AT224" s="9" t="s">
        <v>864</v>
      </c>
      <c r="AU224" s="30">
        <f>+((AN224*I224)+(AO224*AE224)+(AQ224*AI224)+(AP224*AM224))/AR224</f>
        <v>93.215999999999994</v>
      </c>
    </row>
    <row r="225" spans="1:47" hidden="1" x14ac:dyDescent="0.25">
      <c r="A225" t="s">
        <v>46</v>
      </c>
      <c r="B225" t="s">
        <v>865</v>
      </c>
      <c r="C225" t="s">
        <v>866</v>
      </c>
      <c r="D225" t="s">
        <v>867</v>
      </c>
      <c r="E225" s="11">
        <v>22.087499999999999</v>
      </c>
      <c r="F225" s="11">
        <v>0</v>
      </c>
      <c r="G225" s="11">
        <v>59.3125</v>
      </c>
      <c r="H225" s="11">
        <v>7.5</v>
      </c>
      <c r="I225" s="13">
        <f t="shared" si="34"/>
        <v>88.9</v>
      </c>
      <c r="J225" s="11">
        <v>0</v>
      </c>
      <c r="K225" s="11">
        <v>0</v>
      </c>
      <c r="L225" s="11">
        <v>0</v>
      </c>
      <c r="M225" s="13">
        <v>0</v>
      </c>
      <c r="N225" s="11">
        <v>0</v>
      </c>
      <c r="O225" s="11">
        <v>0</v>
      </c>
      <c r="P225" s="11">
        <v>0</v>
      </c>
      <c r="Q225" s="11">
        <v>0</v>
      </c>
      <c r="R225" s="13">
        <f t="shared" si="32"/>
        <v>0</v>
      </c>
      <c r="S225">
        <v>0</v>
      </c>
      <c r="T225">
        <v>0</v>
      </c>
      <c r="U225" s="7">
        <f t="shared" si="35"/>
        <v>0</v>
      </c>
      <c r="V225">
        <v>0</v>
      </c>
      <c r="W225">
        <v>0</v>
      </c>
      <c r="X225">
        <v>0</v>
      </c>
      <c r="Y225">
        <v>0</v>
      </c>
      <c r="Z225" s="13">
        <f t="shared" si="36"/>
        <v>0</v>
      </c>
      <c r="AA225">
        <v>0</v>
      </c>
      <c r="AB225">
        <v>50</v>
      </c>
      <c r="AC225">
        <v>15</v>
      </c>
      <c r="AD225">
        <v>20</v>
      </c>
      <c r="AE225" s="7">
        <f t="shared" si="37"/>
        <v>85</v>
      </c>
      <c r="AF225">
        <v>41.66</v>
      </c>
      <c r="AG225">
        <v>18</v>
      </c>
      <c r="AH225">
        <v>26.04</v>
      </c>
      <c r="AI225" s="13">
        <f t="shared" si="33"/>
        <v>85.699999999999989</v>
      </c>
      <c r="AJ225" s="11" t="s">
        <v>51</v>
      </c>
      <c r="AK225" s="11" t="s">
        <v>51</v>
      </c>
      <c r="AL225" s="11" t="s">
        <v>51</v>
      </c>
      <c r="AM225" s="13">
        <f t="shared" si="38"/>
        <v>0</v>
      </c>
      <c r="AN225" s="18">
        <v>27</v>
      </c>
      <c r="AO225" s="18">
        <v>5</v>
      </c>
      <c r="AP225" s="18">
        <v>0</v>
      </c>
      <c r="AQ225" s="18">
        <v>8</v>
      </c>
      <c r="AR225" s="18">
        <f t="shared" si="39"/>
        <v>40</v>
      </c>
      <c r="AS225" t="s">
        <v>52</v>
      </c>
      <c r="AT225" s="9" t="s">
        <v>868</v>
      </c>
      <c r="AU225" s="30">
        <f>+((AN225*I225)+(AO225*AE225)+(AQ225*AI225)+(AP225*AM225))/AR225</f>
        <v>87.772500000000008</v>
      </c>
    </row>
    <row r="226" spans="1:47" hidden="1" x14ac:dyDescent="0.25">
      <c r="A226" t="s">
        <v>46</v>
      </c>
      <c r="B226" t="s">
        <v>869</v>
      </c>
      <c r="C226" t="s">
        <v>870</v>
      </c>
      <c r="D226" t="s">
        <v>871</v>
      </c>
      <c r="E226" s="11">
        <v>0</v>
      </c>
      <c r="F226" s="11">
        <v>0</v>
      </c>
      <c r="G226" s="11">
        <v>0</v>
      </c>
      <c r="H226" s="11">
        <v>0</v>
      </c>
      <c r="I226" s="13">
        <f t="shared" si="34"/>
        <v>0</v>
      </c>
      <c r="J226" s="11">
        <v>0</v>
      </c>
      <c r="K226" s="11">
        <v>0</v>
      </c>
      <c r="L226" s="11">
        <v>0</v>
      </c>
      <c r="M226" s="13">
        <v>0</v>
      </c>
      <c r="N226" s="11">
        <v>0</v>
      </c>
      <c r="O226" s="11">
        <v>0</v>
      </c>
      <c r="P226" s="11">
        <v>0</v>
      </c>
      <c r="Q226" s="11">
        <v>0</v>
      </c>
      <c r="R226" s="13">
        <f t="shared" si="32"/>
        <v>0</v>
      </c>
      <c r="S226">
        <v>48.73</v>
      </c>
      <c r="T226">
        <v>30</v>
      </c>
      <c r="U226" s="7">
        <f t="shared" si="35"/>
        <v>78.72999999999999</v>
      </c>
      <c r="V226">
        <v>4</v>
      </c>
      <c r="W226">
        <v>19.670000000000002</v>
      </c>
      <c r="X226">
        <v>37.159999999999997</v>
      </c>
      <c r="Y226">
        <v>20</v>
      </c>
      <c r="Z226" s="13">
        <f t="shared" si="36"/>
        <v>80.83</v>
      </c>
      <c r="AA226">
        <v>0</v>
      </c>
      <c r="AB226">
        <v>0</v>
      </c>
      <c r="AC226">
        <v>0</v>
      </c>
      <c r="AD226">
        <v>0</v>
      </c>
      <c r="AE226" s="7">
        <f t="shared" si="37"/>
        <v>0</v>
      </c>
      <c r="AF226">
        <v>0</v>
      </c>
      <c r="AG226">
        <v>0</v>
      </c>
      <c r="AH226">
        <v>0</v>
      </c>
      <c r="AI226" s="13">
        <f t="shared" si="33"/>
        <v>0</v>
      </c>
      <c r="AJ226" s="11" t="s">
        <v>51</v>
      </c>
      <c r="AK226" s="11" t="s">
        <v>51</v>
      </c>
      <c r="AL226" s="11" t="s">
        <v>51</v>
      </c>
      <c r="AM226" s="13">
        <f t="shared" si="38"/>
        <v>0</v>
      </c>
      <c r="AN226" s="18">
        <v>8</v>
      </c>
      <c r="AO226" s="18">
        <v>0</v>
      </c>
      <c r="AP226" s="18">
        <v>0</v>
      </c>
      <c r="AQ226" s="18">
        <v>0</v>
      </c>
      <c r="AR226" s="18">
        <f t="shared" si="39"/>
        <v>8</v>
      </c>
      <c r="AS226" t="s">
        <v>52</v>
      </c>
      <c r="AT226" s="9" t="s">
        <v>872</v>
      </c>
      <c r="AU226" s="30">
        <f>+((Z226*AN226)/AR226)</f>
        <v>80.83</v>
      </c>
    </row>
    <row r="227" spans="1:47" hidden="1" x14ac:dyDescent="0.25">
      <c r="A227" t="s">
        <v>46</v>
      </c>
      <c r="B227" t="s">
        <v>873</v>
      </c>
      <c r="C227" t="s">
        <v>874</v>
      </c>
      <c r="D227" t="s">
        <v>875</v>
      </c>
      <c r="E227" s="11">
        <v>20</v>
      </c>
      <c r="F227" s="11">
        <v>20</v>
      </c>
      <c r="G227" s="11">
        <v>44.52</v>
      </c>
      <c r="H227" s="11">
        <v>4.5</v>
      </c>
      <c r="I227" s="13">
        <f t="shared" si="34"/>
        <v>89.02000000000001</v>
      </c>
      <c r="J227" s="11">
        <v>0</v>
      </c>
      <c r="K227" s="11">
        <v>0</v>
      </c>
      <c r="L227" s="11">
        <v>0</v>
      </c>
      <c r="M227" s="13">
        <v>0</v>
      </c>
      <c r="N227" s="11">
        <v>0</v>
      </c>
      <c r="O227" s="11">
        <v>0</v>
      </c>
      <c r="P227" s="11">
        <v>0</v>
      </c>
      <c r="Q227" s="11">
        <v>0</v>
      </c>
      <c r="R227" s="13">
        <f t="shared" si="32"/>
        <v>0</v>
      </c>
      <c r="S227">
        <v>0</v>
      </c>
      <c r="T227">
        <v>0</v>
      </c>
      <c r="U227" s="7">
        <f t="shared" si="35"/>
        <v>0</v>
      </c>
      <c r="V227">
        <v>0</v>
      </c>
      <c r="W227">
        <v>0</v>
      </c>
      <c r="X227">
        <v>0</v>
      </c>
      <c r="Y227">
        <v>0</v>
      </c>
      <c r="Z227" s="13">
        <f t="shared" si="36"/>
        <v>0</v>
      </c>
      <c r="AA227">
        <v>15</v>
      </c>
      <c r="AB227">
        <v>50</v>
      </c>
      <c r="AC227">
        <v>15</v>
      </c>
      <c r="AD227">
        <v>13.75</v>
      </c>
      <c r="AE227" s="7">
        <f t="shared" si="37"/>
        <v>93.75</v>
      </c>
      <c r="AF227">
        <v>0</v>
      </c>
      <c r="AG227">
        <v>0</v>
      </c>
      <c r="AH227">
        <v>0</v>
      </c>
      <c r="AI227" s="13">
        <f t="shared" si="33"/>
        <v>0</v>
      </c>
      <c r="AJ227" s="11" t="s">
        <v>51</v>
      </c>
      <c r="AK227" s="11" t="s">
        <v>51</v>
      </c>
      <c r="AL227" s="11" t="s">
        <v>51</v>
      </c>
      <c r="AM227" s="13">
        <f t="shared" si="38"/>
        <v>0</v>
      </c>
      <c r="AN227" s="18">
        <v>15</v>
      </c>
      <c r="AO227" s="18">
        <v>5</v>
      </c>
      <c r="AP227" s="18">
        <v>0</v>
      </c>
      <c r="AQ227" s="18">
        <v>0</v>
      </c>
      <c r="AR227" s="18">
        <f t="shared" si="39"/>
        <v>20</v>
      </c>
      <c r="AS227" t="s">
        <v>52</v>
      </c>
      <c r="AT227" s="9" t="s">
        <v>876</v>
      </c>
      <c r="AU227" s="30">
        <f>+((AN227*I227)+(AO227*AE227)+(AQ227*AI227)+(AP227*AM227))/AR227</f>
        <v>90.202500000000015</v>
      </c>
    </row>
    <row r="228" spans="1:47" hidden="1" x14ac:dyDescent="0.25">
      <c r="A228" t="s">
        <v>46</v>
      </c>
      <c r="B228" t="s">
        <v>877</v>
      </c>
      <c r="C228" t="s">
        <v>878</v>
      </c>
      <c r="D228" t="s">
        <v>879</v>
      </c>
      <c r="E228" s="11">
        <v>0</v>
      </c>
      <c r="F228" s="11">
        <v>21.25</v>
      </c>
      <c r="G228" s="11">
        <v>48.274999999999999</v>
      </c>
      <c r="H228" s="11">
        <v>3.75</v>
      </c>
      <c r="I228" s="13">
        <f t="shared" si="34"/>
        <v>73.275000000000006</v>
      </c>
      <c r="J228" s="11">
        <v>0</v>
      </c>
      <c r="K228" s="11">
        <v>0</v>
      </c>
      <c r="L228" s="11">
        <v>0</v>
      </c>
      <c r="M228" s="13">
        <v>0</v>
      </c>
      <c r="N228" s="11">
        <v>0</v>
      </c>
      <c r="O228" s="11">
        <v>0</v>
      </c>
      <c r="P228" s="11">
        <v>0</v>
      </c>
      <c r="Q228" s="11">
        <v>0</v>
      </c>
      <c r="R228" s="13">
        <f t="shared" si="32"/>
        <v>0</v>
      </c>
      <c r="S228">
        <v>0</v>
      </c>
      <c r="T228">
        <v>0</v>
      </c>
      <c r="U228" s="7">
        <f t="shared" si="35"/>
        <v>0</v>
      </c>
      <c r="V228">
        <v>0</v>
      </c>
      <c r="W228">
        <v>0</v>
      </c>
      <c r="X228">
        <v>0</v>
      </c>
      <c r="Y228">
        <v>0</v>
      </c>
      <c r="Z228" s="13">
        <f t="shared" si="36"/>
        <v>0</v>
      </c>
      <c r="AA228">
        <v>0</v>
      </c>
      <c r="AB228">
        <v>0</v>
      </c>
      <c r="AC228">
        <v>0</v>
      </c>
      <c r="AD228">
        <v>0</v>
      </c>
      <c r="AE228" s="7">
        <f t="shared" si="37"/>
        <v>0</v>
      </c>
      <c r="AF228">
        <v>0</v>
      </c>
      <c r="AG228">
        <v>0</v>
      </c>
      <c r="AH228">
        <v>0</v>
      </c>
      <c r="AI228" s="13">
        <f t="shared" si="33"/>
        <v>0</v>
      </c>
      <c r="AJ228" s="11" t="s">
        <v>51</v>
      </c>
      <c r="AK228" s="11" t="s">
        <v>51</v>
      </c>
      <c r="AL228" s="11" t="s">
        <v>51</v>
      </c>
      <c r="AM228" s="13">
        <f t="shared" si="38"/>
        <v>0</v>
      </c>
      <c r="AN228" s="18">
        <v>10</v>
      </c>
      <c r="AO228" s="18">
        <v>0</v>
      </c>
      <c r="AP228" s="18">
        <v>0</v>
      </c>
      <c r="AQ228" s="18">
        <v>0</v>
      </c>
      <c r="AR228" s="18">
        <f t="shared" si="39"/>
        <v>10</v>
      </c>
      <c r="AS228" t="s">
        <v>52</v>
      </c>
      <c r="AT228" s="9" t="s">
        <v>880</v>
      </c>
      <c r="AU228" s="30">
        <f>+((AN228*I228)+(AO228*AE228)+(AQ228*AI228)+(AP228*AM228))/AR228</f>
        <v>73.275000000000006</v>
      </c>
    </row>
    <row r="229" spans="1:47" hidden="1" x14ac:dyDescent="0.25">
      <c r="A229" t="s">
        <v>46</v>
      </c>
      <c r="B229" t="s">
        <v>881</v>
      </c>
      <c r="C229" t="s">
        <v>878</v>
      </c>
      <c r="D229" t="s">
        <v>882</v>
      </c>
      <c r="E229" s="11">
        <v>24.285714285714285</v>
      </c>
      <c r="F229" s="11">
        <v>0</v>
      </c>
      <c r="G229" s="11">
        <v>62.5</v>
      </c>
      <c r="H229" s="11">
        <v>0</v>
      </c>
      <c r="I229" s="13">
        <f t="shared" si="34"/>
        <v>86.785714285714278</v>
      </c>
      <c r="J229" s="11">
        <v>0</v>
      </c>
      <c r="K229" s="11">
        <v>0</v>
      </c>
      <c r="L229" s="11">
        <v>0</v>
      </c>
      <c r="M229" s="13">
        <v>0</v>
      </c>
      <c r="N229" s="11">
        <v>0</v>
      </c>
      <c r="O229" s="11">
        <v>0</v>
      </c>
      <c r="P229" s="11">
        <v>0</v>
      </c>
      <c r="Q229" s="11">
        <v>0</v>
      </c>
      <c r="R229" s="13">
        <f t="shared" si="32"/>
        <v>0</v>
      </c>
      <c r="S229">
        <v>0</v>
      </c>
      <c r="T229">
        <v>0</v>
      </c>
      <c r="U229" s="7">
        <f t="shared" si="35"/>
        <v>0</v>
      </c>
      <c r="V229">
        <v>0</v>
      </c>
      <c r="W229">
        <v>0</v>
      </c>
      <c r="X229">
        <v>0</v>
      </c>
      <c r="Y229">
        <v>0</v>
      </c>
      <c r="Z229" s="13">
        <f t="shared" si="36"/>
        <v>0</v>
      </c>
      <c r="AA229">
        <v>0</v>
      </c>
      <c r="AB229">
        <v>0</v>
      </c>
      <c r="AC229">
        <v>0</v>
      </c>
      <c r="AD229">
        <v>0</v>
      </c>
      <c r="AE229" s="7">
        <f t="shared" si="37"/>
        <v>0</v>
      </c>
      <c r="AF229">
        <v>0</v>
      </c>
      <c r="AG229">
        <v>0</v>
      </c>
      <c r="AH229">
        <v>0</v>
      </c>
      <c r="AI229" s="13">
        <f t="shared" si="33"/>
        <v>0</v>
      </c>
      <c r="AJ229" s="11" t="s">
        <v>51</v>
      </c>
      <c r="AK229" s="11" t="s">
        <v>51</v>
      </c>
      <c r="AL229" s="11" t="s">
        <v>51</v>
      </c>
      <c r="AM229" s="13">
        <f t="shared" si="38"/>
        <v>0</v>
      </c>
      <c r="AN229" s="18">
        <v>7</v>
      </c>
      <c r="AO229" s="18">
        <v>0</v>
      </c>
      <c r="AP229" s="18">
        <v>0</v>
      </c>
      <c r="AQ229" s="18">
        <v>0</v>
      </c>
      <c r="AR229" s="18">
        <f t="shared" si="39"/>
        <v>7</v>
      </c>
      <c r="AS229" t="s">
        <v>52</v>
      </c>
      <c r="AT229" s="9" t="s">
        <v>883</v>
      </c>
      <c r="AU229" s="30">
        <f>+((AN229*I229)+(AO229*AE229)+(AQ229*AI229)+(AP229*AM229))/AR229</f>
        <v>86.785714285714292</v>
      </c>
    </row>
    <row r="230" spans="1:47" hidden="1" x14ac:dyDescent="0.25">
      <c r="A230" t="s">
        <v>46</v>
      </c>
      <c r="B230" t="s">
        <v>884</v>
      </c>
      <c r="C230" t="s">
        <v>878</v>
      </c>
      <c r="D230" t="s">
        <v>885</v>
      </c>
      <c r="E230" s="11">
        <v>0</v>
      </c>
      <c r="F230" s="11">
        <v>0</v>
      </c>
      <c r="G230" s="11">
        <v>0</v>
      </c>
      <c r="H230" s="11">
        <v>0</v>
      </c>
      <c r="I230" s="13">
        <f t="shared" si="34"/>
        <v>0</v>
      </c>
      <c r="J230" s="11">
        <v>46.98</v>
      </c>
      <c r="K230" s="11">
        <v>29.5</v>
      </c>
      <c r="L230" s="11">
        <v>4.5</v>
      </c>
      <c r="M230" s="13">
        <v>80.97999999999999</v>
      </c>
      <c r="N230" s="11">
        <v>0</v>
      </c>
      <c r="O230" s="11">
        <v>0</v>
      </c>
      <c r="P230" s="11">
        <v>0</v>
      </c>
      <c r="Q230" s="11">
        <v>0</v>
      </c>
      <c r="R230" s="13">
        <f t="shared" si="32"/>
        <v>0</v>
      </c>
      <c r="S230">
        <v>0</v>
      </c>
      <c r="T230">
        <v>0</v>
      </c>
      <c r="U230" s="7">
        <f t="shared" si="35"/>
        <v>0</v>
      </c>
      <c r="V230">
        <v>0</v>
      </c>
      <c r="W230">
        <v>0</v>
      </c>
      <c r="X230">
        <v>0</v>
      </c>
      <c r="Y230">
        <v>0</v>
      </c>
      <c r="Z230" s="13">
        <f t="shared" si="36"/>
        <v>0</v>
      </c>
      <c r="AA230">
        <v>0</v>
      </c>
      <c r="AB230">
        <v>0</v>
      </c>
      <c r="AC230">
        <v>0</v>
      </c>
      <c r="AD230">
        <v>0</v>
      </c>
      <c r="AE230" s="7">
        <f t="shared" si="37"/>
        <v>0</v>
      </c>
      <c r="AF230">
        <v>0</v>
      </c>
      <c r="AG230">
        <v>0</v>
      </c>
      <c r="AH230">
        <v>0</v>
      </c>
      <c r="AI230" s="13">
        <f t="shared" si="33"/>
        <v>0</v>
      </c>
      <c r="AJ230" s="11" t="s">
        <v>51</v>
      </c>
      <c r="AK230" s="11" t="s">
        <v>51</v>
      </c>
      <c r="AL230" s="11" t="s">
        <v>51</v>
      </c>
      <c r="AM230" s="13">
        <f t="shared" si="38"/>
        <v>0</v>
      </c>
      <c r="AN230" s="18">
        <v>2</v>
      </c>
      <c r="AO230" s="18">
        <v>0</v>
      </c>
      <c r="AP230" s="18">
        <v>0</v>
      </c>
      <c r="AQ230" s="18">
        <v>0</v>
      </c>
      <c r="AR230" s="18">
        <f t="shared" si="39"/>
        <v>2</v>
      </c>
      <c r="AS230" t="s">
        <v>87</v>
      </c>
      <c r="AT230" s="9" t="s">
        <v>886</v>
      </c>
      <c r="AU230" s="30">
        <f>+((AN230*M230)/AR230)</f>
        <v>80.97999999999999</v>
      </c>
    </row>
    <row r="231" spans="1:47" hidden="1" x14ac:dyDescent="0.25">
      <c r="A231" t="s">
        <v>46</v>
      </c>
      <c r="B231" t="s">
        <v>887</v>
      </c>
      <c r="C231" t="s">
        <v>888</v>
      </c>
      <c r="D231" t="s">
        <v>889</v>
      </c>
      <c r="E231" s="11">
        <v>20</v>
      </c>
      <c r="F231" s="11">
        <v>20</v>
      </c>
      <c r="G231" s="11">
        <v>42.41</v>
      </c>
      <c r="H231" s="11">
        <v>4.5</v>
      </c>
      <c r="I231" s="13">
        <f t="shared" si="34"/>
        <v>86.91</v>
      </c>
      <c r="J231" s="11">
        <v>0</v>
      </c>
      <c r="K231" s="11">
        <v>0</v>
      </c>
      <c r="L231" s="11">
        <v>0</v>
      </c>
      <c r="M231" s="13">
        <v>0</v>
      </c>
      <c r="N231" s="11">
        <v>0</v>
      </c>
      <c r="O231" s="11">
        <v>0</v>
      </c>
      <c r="P231" s="11">
        <v>0</v>
      </c>
      <c r="Q231" s="11">
        <v>0</v>
      </c>
      <c r="R231" s="13">
        <f t="shared" si="32"/>
        <v>0</v>
      </c>
      <c r="S231">
        <v>0</v>
      </c>
      <c r="T231">
        <v>0</v>
      </c>
      <c r="U231" s="7">
        <f t="shared" si="35"/>
        <v>0</v>
      </c>
      <c r="V231">
        <v>0</v>
      </c>
      <c r="W231">
        <v>0</v>
      </c>
      <c r="X231">
        <v>0</v>
      </c>
      <c r="Y231">
        <v>0</v>
      </c>
      <c r="Z231" s="13">
        <f t="shared" si="36"/>
        <v>0</v>
      </c>
      <c r="AA231">
        <v>7.5</v>
      </c>
      <c r="AB231">
        <v>20</v>
      </c>
      <c r="AC231">
        <v>15</v>
      </c>
      <c r="AD231">
        <v>20</v>
      </c>
      <c r="AE231" s="7">
        <f t="shared" si="37"/>
        <v>62.5</v>
      </c>
      <c r="AF231">
        <v>0</v>
      </c>
      <c r="AG231">
        <v>0</v>
      </c>
      <c r="AH231">
        <v>0</v>
      </c>
      <c r="AI231" s="13">
        <f t="shared" si="33"/>
        <v>0</v>
      </c>
      <c r="AJ231" s="11" t="s">
        <v>51</v>
      </c>
      <c r="AK231" s="11" t="s">
        <v>51</v>
      </c>
      <c r="AL231" s="11" t="s">
        <v>51</v>
      </c>
      <c r="AM231" s="13">
        <f t="shared" si="38"/>
        <v>0</v>
      </c>
      <c r="AN231" s="18">
        <v>33.75</v>
      </c>
      <c r="AO231" s="18">
        <v>6.25</v>
      </c>
      <c r="AP231" s="18">
        <v>0</v>
      </c>
      <c r="AQ231" s="18">
        <v>0</v>
      </c>
      <c r="AR231" s="18">
        <f t="shared" si="39"/>
        <v>40</v>
      </c>
      <c r="AS231" t="s">
        <v>52</v>
      </c>
      <c r="AT231" s="9" t="s">
        <v>890</v>
      </c>
      <c r="AU231" s="30">
        <f>+((AN231*I231)+(AO231*AE231)+(AQ231*AI231)+(AP231*AM231))/AR231</f>
        <v>83.095937500000005</v>
      </c>
    </row>
    <row r="232" spans="1:47" s="6" customFormat="1" hidden="1" x14ac:dyDescent="0.25">
      <c r="A232" s="6" t="s">
        <v>46</v>
      </c>
      <c r="B232" s="6" t="s">
        <v>891</v>
      </c>
      <c r="C232" s="6" t="s">
        <v>892</v>
      </c>
      <c r="D232" s="6" t="s">
        <v>893</v>
      </c>
      <c r="E232" s="12"/>
      <c r="F232" s="12"/>
      <c r="G232" s="12"/>
      <c r="H232" s="12"/>
      <c r="I232" s="13">
        <f t="shared" si="34"/>
        <v>0</v>
      </c>
      <c r="J232" s="14">
        <v>79.611428571428561</v>
      </c>
      <c r="K232" s="14"/>
      <c r="L232" s="14">
        <v>3.5714285714285712</v>
      </c>
      <c r="M232" s="13">
        <v>83.182857142857131</v>
      </c>
      <c r="N232" s="12"/>
      <c r="O232" s="12"/>
      <c r="P232" s="12"/>
      <c r="Q232" s="12"/>
      <c r="R232" s="13">
        <f t="shared" si="32"/>
        <v>0</v>
      </c>
      <c r="U232" s="7">
        <f t="shared" si="35"/>
        <v>0</v>
      </c>
      <c r="Z232" s="13">
        <f t="shared" si="36"/>
        <v>0</v>
      </c>
      <c r="AA232" s="6">
        <v>0</v>
      </c>
      <c r="AB232" s="6">
        <v>0</v>
      </c>
      <c r="AC232" s="6">
        <v>0</v>
      </c>
      <c r="AD232" s="6">
        <v>0</v>
      </c>
      <c r="AE232" s="7">
        <f t="shared" si="37"/>
        <v>0</v>
      </c>
      <c r="AF232" s="6">
        <v>0</v>
      </c>
      <c r="AG232" s="6">
        <v>0</v>
      </c>
      <c r="AH232" s="6">
        <v>0</v>
      </c>
      <c r="AI232" s="13">
        <f t="shared" si="33"/>
        <v>0</v>
      </c>
      <c r="AJ232" s="12" t="s">
        <v>51</v>
      </c>
      <c r="AK232" s="12" t="s">
        <v>51</v>
      </c>
      <c r="AL232" s="12" t="s">
        <v>51</v>
      </c>
      <c r="AM232" s="13">
        <f t="shared" si="38"/>
        <v>0</v>
      </c>
      <c r="AN232" s="21">
        <v>1.69</v>
      </c>
      <c r="AO232" s="21">
        <v>0</v>
      </c>
      <c r="AP232" s="21">
        <v>0</v>
      </c>
      <c r="AQ232" s="21">
        <v>0</v>
      </c>
      <c r="AR232" s="18">
        <f t="shared" si="39"/>
        <v>1.69</v>
      </c>
      <c r="AS232" s="6" t="s">
        <v>87</v>
      </c>
      <c r="AT232" s="10" t="s">
        <v>894</v>
      </c>
      <c r="AU232" s="30">
        <f>+((AN232*M232)/AR232)</f>
        <v>83.182857142857131</v>
      </c>
    </row>
    <row r="233" spans="1:47" hidden="1" x14ac:dyDescent="0.25">
      <c r="A233" t="s">
        <v>46</v>
      </c>
      <c r="B233" t="s">
        <v>895</v>
      </c>
      <c r="C233" t="s">
        <v>896</v>
      </c>
      <c r="D233" t="s">
        <v>897</v>
      </c>
      <c r="E233" s="11">
        <v>20</v>
      </c>
      <c r="F233" s="11">
        <v>16.670000000000002</v>
      </c>
      <c r="G233" s="11">
        <v>39.92</v>
      </c>
      <c r="H233" s="11">
        <v>2.5</v>
      </c>
      <c r="I233" s="13">
        <f t="shared" si="34"/>
        <v>79.09</v>
      </c>
      <c r="J233" s="11">
        <v>0</v>
      </c>
      <c r="K233" s="11">
        <v>0</v>
      </c>
      <c r="L233" s="11">
        <v>0</v>
      </c>
      <c r="M233" s="13">
        <v>0</v>
      </c>
      <c r="N233" s="11">
        <v>0</v>
      </c>
      <c r="O233" s="11">
        <v>0</v>
      </c>
      <c r="P233" s="11">
        <v>0</v>
      </c>
      <c r="Q233" s="11">
        <v>0</v>
      </c>
      <c r="R233" s="13">
        <f t="shared" si="32"/>
        <v>0</v>
      </c>
      <c r="S233">
        <v>0</v>
      </c>
      <c r="T233">
        <v>0</v>
      </c>
      <c r="U233" s="7">
        <f t="shared" si="35"/>
        <v>0</v>
      </c>
      <c r="V233">
        <v>0</v>
      </c>
      <c r="W233">
        <v>0</v>
      </c>
      <c r="X233">
        <v>0</v>
      </c>
      <c r="Y233">
        <v>0</v>
      </c>
      <c r="Z233" s="13">
        <f t="shared" si="36"/>
        <v>0</v>
      </c>
      <c r="AA233">
        <v>0</v>
      </c>
      <c r="AB233">
        <v>0</v>
      </c>
      <c r="AC233">
        <v>0</v>
      </c>
      <c r="AD233">
        <v>0</v>
      </c>
      <c r="AE233" s="7">
        <f t="shared" si="37"/>
        <v>0</v>
      </c>
      <c r="AF233">
        <v>0</v>
      </c>
      <c r="AG233">
        <v>0</v>
      </c>
      <c r="AH233">
        <v>0</v>
      </c>
      <c r="AI233" s="13">
        <f t="shared" si="33"/>
        <v>0</v>
      </c>
      <c r="AJ233" s="11" t="s">
        <v>51</v>
      </c>
      <c r="AK233" s="11" t="s">
        <v>51</v>
      </c>
      <c r="AL233" s="11" t="s">
        <v>51</v>
      </c>
      <c r="AM233" s="13">
        <f t="shared" si="38"/>
        <v>0</v>
      </c>
      <c r="AN233" s="18">
        <v>4</v>
      </c>
      <c r="AO233" s="18">
        <v>0</v>
      </c>
      <c r="AP233" s="18">
        <v>0</v>
      </c>
      <c r="AQ233" s="18">
        <v>0</v>
      </c>
      <c r="AR233" s="18">
        <f t="shared" si="39"/>
        <v>4</v>
      </c>
      <c r="AS233" t="s">
        <v>52</v>
      </c>
      <c r="AT233" s="9" t="s">
        <v>898</v>
      </c>
      <c r="AU233" s="30">
        <f t="shared" ref="AU233:AU239" si="40">+((AN233*I233)+(AO233*AE233)+(AQ233*AI233)+(AP233*AM233))/AR233</f>
        <v>79.09</v>
      </c>
    </row>
    <row r="234" spans="1:47" s="6" customFormat="1" hidden="1" x14ac:dyDescent="0.25">
      <c r="A234" s="6" t="s">
        <v>46</v>
      </c>
      <c r="B234" s="6" t="s">
        <v>899</v>
      </c>
      <c r="C234" s="6" t="s">
        <v>900</v>
      </c>
      <c r="D234" s="6" t="s">
        <v>901</v>
      </c>
      <c r="E234" s="12">
        <v>25</v>
      </c>
      <c r="F234" s="12">
        <v>0</v>
      </c>
      <c r="G234" s="12">
        <v>49.387500000000003</v>
      </c>
      <c r="H234" s="12">
        <v>5</v>
      </c>
      <c r="I234" s="13">
        <f t="shared" si="34"/>
        <v>79.387500000000003</v>
      </c>
      <c r="J234" s="14">
        <v>0</v>
      </c>
      <c r="K234" s="14">
        <v>0</v>
      </c>
      <c r="L234" s="14">
        <v>0</v>
      </c>
      <c r="M234" s="13">
        <v>0</v>
      </c>
      <c r="N234" s="12">
        <v>0</v>
      </c>
      <c r="O234" s="12">
        <v>0</v>
      </c>
      <c r="P234" s="12">
        <v>0</v>
      </c>
      <c r="Q234" s="12">
        <v>0</v>
      </c>
      <c r="R234" s="13">
        <f t="shared" si="32"/>
        <v>0</v>
      </c>
      <c r="S234" s="6">
        <v>0</v>
      </c>
      <c r="T234" s="6">
        <v>0</v>
      </c>
      <c r="U234" s="7">
        <f t="shared" si="35"/>
        <v>0</v>
      </c>
      <c r="V234" s="6">
        <v>0</v>
      </c>
      <c r="W234" s="6">
        <v>0</v>
      </c>
      <c r="X234" s="6">
        <v>0</v>
      </c>
      <c r="Y234" s="6">
        <v>0</v>
      </c>
      <c r="Z234" s="13">
        <f t="shared" si="36"/>
        <v>0</v>
      </c>
      <c r="AA234" s="6">
        <v>0</v>
      </c>
      <c r="AB234" s="6">
        <v>0</v>
      </c>
      <c r="AC234" s="6">
        <v>0</v>
      </c>
      <c r="AD234" s="6">
        <v>0</v>
      </c>
      <c r="AE234" s="7">
        <f t="shared" si="37"/>
        <v>0</v>
      </c>
      <c r="AF234" s="6">
        <v>0</v>
      </c>
      <c r="AG234" s="6">
        <v>0</v>
      </c>
      <c r="AH234" s="6">
        <v>0</v>
      </c>
      <c r="AI234" s="13">
        <f t="shared" si="33"/>
        <v>0</v>
      </c>
      <c r="AJ234" s="12" t="s">
        <v>51</v>
      </c>
      <c r="AK234" s="12" t="s">
        <v>51</v>
      </c>
      <c r="AL234" s="12" t="s">
        <v>51</v>
      </c>
      <c r="AM234" s="13">
        <f t="shared" si="38"/>
        <v>0</v>
      </c>
      <c r="AN234" s="21">
        <v>20</v>
      </c>
      <c r="AO234" s="21">
        <v>0</v>
      </c>
      <c r="AP234" s="21">
        <v>0</v>
      </c>
      <c r="AQ234" s="21">
        <v>0</v>
      </c>
      <c r="AR234" s="18">
        <f t="shared" si="39"/>
        <v>20</v>
      </c>
      <c r="AS234" s="6" t="s">
        <v>52</v>
      </c>
      <c r="AT234" s="10" t="s">
        <v>902</v>
      </c>
      <c r="AU234" s="30">
        <f t="shared" si="40"/>
        <v>79.387500000000003</v>
      </c>
    </row>
    <row r="235" spans="1:47" hidden="1" x14ac:dyDescent="0.25">
      <c r="A235" t="s">
        <v>46</v>
      </c>
      <c r="B235" t="s">
        <v>903</v>
      </c>
      <c r="C235" t="s">
        <v>904</v>
      </c>
      <c r="D235" t="s">
        <v>905</v>
      </c>
      <c r="E235" s="11">
        <v>0</v>
      </c>
      <c r="F235" s="11">
        <v>0</v>
      </c>
      <c r="G235" s="11">
        <v>83.066666666666677</v>
      </c>
      <c r="H235" s="11">
        <v>4.1666666666666661</v>
      </c>
      <c r="I235" s="13">
        <f t="shared" si="34"/>
        <v>87.233333333333348</v>
      </c>
      <c r="J235" s="11">
        <v>0</v>
      </c>
      <c r="K235" s="11">
        <v>0</v>
      </c>
      <c r="L235" s="11">
        <v>0</v>
      </c>
      <c r="M235" s="13">
        <v>0</v>
      </c>
      <c r="N235" s="11">
        <v>0</v>
      </c>
      <c r="O235" s="11">
        <v>0</v>
      </c>
      <c r="P235" s="11">
        <v>0</v>
      </c>
      <c r="Q235" s="11">
        <v>0</v>
      </c>
      <c r="R235" s="13">
        <f t="shared" si="32"/>
        <v>0</v>
      </c>
      <c r="S235">
        <v>0</v>
      </c>
      <c r="T235">
        <v>0</v>
      </c>
      <c r="U235" s="7">
        <f t="shared" si="35"/>
        <v>0</v>
      </c>
      <c r="V235">
        <v>0</v>
      </c>
      <c r="W235">
        <v>0</v>
      </c>
      <c r="X235">
        <v>0</v>
      </c>
      <c r="Y235">
        <v>0</v>
      </c>
      <c r="Z235" s="13">
        <f t="shared" si="36"/>
        <v>0</v>
      </c>
      <c r="AA235">
        <v>0</v>
      </c>
      <c r="AB235">
        <v>0</v>
      </c>
      <c r="AC235">
        <v>0</v>
      </c>
      <c r="AD235">
        <v>0</v>
      </c>
      <c r="AE235" s="7">
        <f t="shared" si="37"/>
        <v>0</v>
      </c>
      <c r="AF235">
        <v>0</v>
      </c>
      <c r="AG235">
        <v>0</v>
      </c>
      <c r="AH235">
        <v>0</v>
      </c>
      <c r="AI235" s="13">
        <f t="shared" si="33"/>
        <v>0</v>
      </c>
      <c r="AJ235" s="11" t="s">
        <v>51</v>
      </c>
      <c r="AK235" s="11" t="s">
        <v>51</v>
      </c>
      <c r="AL235" s="11" t="s">
        <v>51</v>
      </c>
      <c r="AM235" s="13">
        <f t="shared" si="38"/>
        <v>0</v>
      </c>
      <c r="AN235" s="18">
        <v>20</v>
      </c>
      <c r="AO235" s="18">
        <v>0</v>
      </c>
      <c r="AP235" s="18">
        <v>0</v>
      </c>
      <c r="AQ235" s="18">
        <v>0</v>
      </c>
      <c r="AR235" s="18">
        <f t="shared" si="39"/>
        <v>20</v>
      </c>
      <c r="AS235" t="s">
        <v>52</v>
      </c>
      <c r="AT235" s="9" t="s">
        <v>906</v>
      </c>
      <c r="AU235" s="30">
        <f t="shared" si="40"/>
        <v>87.233333333333348</v>
      </c>
    </row>
    <row r="236" spans="1:47" hidden="1" x14ac:dyDescent="0.25">
      <c r="A236" t="s">
        <v>46</v>
      </c>
      <c r="B236" t="s">
        <v>907</v>
      </c>
      <c r="C236" t="s">
        <v>908</v>
      </c>
      <c r="D236" t="s">
        <v>909</v>
      </c>
      <c r="E236" s="11">
        <v>19.670000000000002</v>
      </c>
      <c r="F236" s="11">
        <v>20</v>
      </c>
      <c r="G236" s="11">
        <v>44.1</v>
      </c>
      <c r="H236" s="11">
        <v>2.5</v>
      </c>
      <c r="I236" s="13">
        <f t="shared" si="34"/>
        <v>86.27000000000001</v>
      </c>
      <c r="J236" s="11">
        <v>0</v>
      </c>
      <c r="K236" s="11">
        <v>0</v>
      </c>
      <c r="L236" s="11">
        <v>0</v>
      </c>
      <c r="M236" s="13">
        <v>0</v>
      </c>
      <c r="N236" s="11">
        <v>0</v>
      </c>
      <c r="O236" s="11">
        <v>0</v>
      </c>
      <c r="P236" s="11">
        <v>0</v>
      </c>
      <c r="Q236" s="11">
        <v>0</v>
      </c>
      <c r="R236" s="13">
        <f t="shared" si="32"/>
        <v>0</v>
      </c>
      <c r="S236">
        <v>0</v>
      </c>
      <c r="T236">
        <v>0</v>
      </c>
      <c r="U236" s="7">
        <f t="shared" si="35"/>
        <v>0</v>
      </c>
      <c r="V236">
        <v>0</v>
      </c>
      <c r="W236">
        <v>0</v>
      </c>
      <c r="X236">
        <v>0</v>
      </c>
      <c r="Y236">
        <v>0</v>
      </c>
      <c r="Z236" s="13">
        <f t="shared" si="36"/>
        <v>0</v>
      </c>
      <c r="AA236">
        <v>0</v>
      </c>
      <c r="AB236">
        <v>0</v>
      </c>
      <c r="AC236">
        <v>0</v>
      </c>
      <c r="AD236">
        <v>0</v>
      </c>
      <c r="AE236" s="7">
        <f t="shared" si="37"/>
        <v>0</v>
      </c>
      <c r="AF236">
        <v>0</v>
      </c>
      <c r="AG236">
        <v>0</v>
      </c>
      <c r="AH236">
        <v>0</v>
      </c>
      <c r="AI236" s="13">
        <f t="shared" si="33"/>
        <v>0</v>
      </c>
      <c r="AJ236" s="11" t="s">
        <v>51</v>
      </c>
      <c r="AK236" s="11" t="s">
        <v>51</v>
      </c>
      <c r="AL236" s="11" t="s">
        <v>51</v>
      </c>
      <c r="AM236" s="13">
        <f t="shared" si="38"/>
        <v>0</v>
      </c>
      <c r="AN236" s="18">
        <v>40</v>
      </c>
      <c r="AO236" s="18">
        <v>0</v>
      </c>
      <c r="AP236" s="18">
        <v>0</v>
      </c>
      <c r="AQ236" s="18">
        <v>0</v>
      </c>
      <c r="AR236" s="18">
        <f t="shared" si="39"/>
        <v>40</v>
      </c>
      <c r="AS236" t="s">
        <v>52</v>
      </c>
      <c r="AT236" s="9" t="s">
        <v>910</v>
      </c>
      <c r="AU236" s="30">
        <f t="shared" si="40"/>
        <v>86.27000000000001</v>
      </c>
    </row>
    <row r="237" spans="1:47" hidden="1" x14ac:dyDescent="0.25">
      <c r="A237" t="s">
        <v>46</v>
      </c>
      <c r="B237" t="s">
        <v>911</v>
      </c>
      <c r="C237" t="s">
        <v>912</v>
      </c>
      <c r="D237" t="s">
        <v>913</v>
      </c>
      <c r="E237" s="11">
        <v>15.67</v>
      </c>
      <c r="F237" s="11">
        <v>18.670000000000002</v>
      </c>
      <c r="G237" s="11">
        <v>39.44</v>
      </c>
      <c r="H237" s="11">
        <v>4.5</v>
      </c>
      <c r="I237" s="13">
        <f t="shared" si="34"/>
        <v>78.28</v>
      </c>
      <c r="J237" s="11">
        <v>0</v>
      </c>
      <c r="K237" s="11">
        <v>0</v>
      </c>
      <c r="L237" s="11">
        <v>0</v>
      </c>
      <c r="M237" s="13">
        <v>0</v>
      </c>
      <c r="N237" s="11">
        <v>0</v>
      </c>
      <c r="O237" s="11">
        <v>0</v>
      </c>
      <c r="P237" s="11">
        <v>0</v>
      </c>
      <c r="Q237" s="11">
        <v>0</v>
      </c>
      <c r="R237" s="13">
        <f t="shared" si="32"/>
        <v>0</v>
      </c>
      <c r="S237">
        <v>0</v>
      </c>
      <c r="T237">
        <v>0</v>
      </c>
      <c r="U237" s="7">
        <f t="shared" si="35"/>
        <v>0</v>
      </c>
      <c r="V237">
        <v>0</v>
      </c>
      <c r="W237">
        <v>0</v>
      </c>
      <c r="X237">
        <v>0</v>
      </c>
      <c r="Y237">
        <v>0</v>
      </c>
      <c r="Z237" s="13">
        <f t="shared" si="36"/>
        <v>0</v>
      </c>
      <c r="AA237">
        <v>0</v>
      </c>
      <c r="AB237">
        <v>0</v>
      </c>
      <c r="AC237">
        <v>0</v>
      </c>
      <c r="AD237">
        <v>0</v>
      </c>
      <c r="AE237" s="7">
        <f t="shared" si="37"/>
        <v>0</v>
      </c>
      <c r="AF237">
        <v>0</v>
      </c>
      <c r="AG237">
        <v>0</v>
      </c>
      <c r="AH237">
        <v>0</v>
      </c>
      <c r="AI237" s="13">
        <f t="shared" si="33"/>
        <v>0</v>
      </c>
      <c r="AJ237" s="11" t="s">
        <v>51</v>
      </c>
      <c r="AK237" s="11" t="s">
        <v>51</v>
      </c>
      <c r="AL237" s="11" t="s">
        <v>51</v>
      </c>
      <c r="AM237" s="13">
        <f t="shared" si="38"/>
        <v>0</v>
      </c>
      <c r="AN237" s="18">
        <v>10.5</v>
      </c>
      <c r="AO237" s="18">
        <v>0</v>
      </c>
      <c r="AP237" s="18">
        <v>0</v>
      </c>
      <c r="AQ237" s="18">
        <v>0</v>
      </c>
      <c r="AR237" s="18">
        <f t="shared" si="39"/>
        <v>10.5</v>
      </c>
      <c r="AS237" t="s">
        <v>52</v>
      </c>
      <c r="AT237" s="9" t="s">
        <v>914</v>
      </c>
      <c r="AU237" s="30">
        <f t="shared" si="40"/>
        <v>78.28</v>
      </c>
    </row>
    <row r="238" spans="1:47" hidden="1" x14ac:dyDescent="0.25">
      <c r="A238" t="s">
        <v>46</v>
      </c>
      <c r="B238" t="s">
        <v>915</v>
      </c>
      <c r="C238" t="s">
        <v>916</v>
      </c>
      <c r="D238" t="s">
        <v>917</v>
      </c>
      <c r="E238" s="11">
        <v>17.170000000000002</v>
      </c>
      <c r="F238" s="11">
        <v>18.670000000000002</v>
      </c>
      <c r="G238" s="11">
        <v>44.91</v>
      </c>
      <c r="H238" s="11">
        <v>3</v>
      </c>
      <c r="I238" s="13">
        <f t="shared" si="34"/>
        <v>83.75</v>
      </c>
      <c r="J238" s="11">
        <v>0</v>
      </c>
      <c r="K238" s="11">
        <v>0</v>
      </c>
      <c r="L238" s="11">
        <v>0</v>
      </c>
      <c r="M238" s="13">
        <v>0</v>
      </c>
      <c r="N238" s="11">
        <v>0</v>
      </c>
      <c r="O238" s="11">
        <v>0</v>
      </c>
      <c r="P238" s="11">
        <v>0</v>
      </c>
      <c r="Q238" s="11">
        <v>0</v>
      </c>
      <c r="R238" s="13">
        <f t="shared" si="32"/>
        <v>0</v>
      </c>
      <c r="S238">
        <v>0</v>
      </c>
      <c r="T238">
        <v>0</v>
      </c>
      <c r="U238" s="7">
        <f t="shared" si="35"/>
        <v>0</v>
      </c>
      <c r="V238">
        <v>0</v>
      </c>
      <c r="W238">
        <v>0</v>
      </c>
      <c r="X238">
        <v>0</v>
      </c>
      <c r="Y238">
        <v>0</v>
      </c>
      <c r="Z238" s="13">
        <f t="shared" si="36"/>
        <v>0</v>
      </c>
      <c r="AA238">
        <v>3.75</v>
      </c>
      <c r="AB238">
        <v>12.5</v>
      </c>
      <c r="AC238">
        <v>15</v>
      </c>
      <c r="AD238">
        <v>17.5</v>
      </c>
      <c r="AE238" s="7">
        <f t="shared" si="37"/>
        <v>48.75</v>
      </c>
      <c r="AF238">
        <v>0</v>
      </c>
      <c r="AG238">
        <v>0</v>
      </c>
      <c r="AH238">
        <v>0</v>
      </c>
      <c r="AI238" s="13">
        <f t="shared" si="33"/>
        <v>0</v>
      </c>
      <c r="AJ238" s="11" t="s">
        <v>51</v>
      </c>
      <c r="AK238" s="11" t="s">
        <v>51</v>
      </c>
      <c r="AL238" s="11" t="s">
        <v>51</v>
      </c>
      <c r="AM238" s="13">
        <f t="shared" si="38"/>
        <v>0</v>
      </c>
      <c r="AN238" s="18">
        <v>35</v>
      </c>
      <c r="AO238" s="18">
        <v>5</v>
      </c>
      <c r="AP238" s="18">
        <v>0</v>
      </c>
      <c r="AQ238" s="18">
        <v>0</v>
      </c>
      <c r="AR238" s="18">
        <f t="shared" si="39"/>
        <v>40</v>
      </c>
      <c r="AS238" t="s">
        <v>52</v>
      </c>
      <c r="AT238" s="9" t="s">
        <v>918</v>
      </c>
      <c r="AU238" s="30">
        <f t="shared" si="40"/>
        <v>79.375</v>
      </c>
    </row>
    <row r="239" spans="1:47" hidden="1" x14ac:dyDescent="0.25">
      <c r="A239" t="s">
        <v>46</v>
      </c>
      <c r="B239" t="s">
        <v>919</v>
      </c>
      <c r="C239" t="s">
        <v>920</v>
      </c>
      <c r="D239" t="s">
        <v>921</v>
      </c>
      <c r="E239" s="11">
        <v>20</v>
      </c>
      <c r="F239" s="11">
        <v>20</v>
      </c>
      <c r="G239" s="11">
        <v>43.62</v>
      </c>
      <c r="H239" s="11">
        <v>7</v>
      </c>
      <c r="I239" s="13">
        <f t="shared" si="34"/>
        <v>90.62</v>
      </c>
      <c r="J239" s="11">
        <v>0</v>
      </c>
      <c r="K239" s="11">
        <v>0</v>
      </c>
      <c r="L239" s="11">
        <v>0</v>
      </c>
      <c r="M239" s="13">
        <v>0</v>
      </c>
      <c r="N239" s="11">
        <v>0</v>
      </c>
      <c r="O239" s="11">
        <v>0</v>
      </c>
      <c r="P239" s="11">
        <v>0</v>
      </c>
      <c r="Q239" s="11">
        <v>0</v>
      </c>
      <c r="R239" s="13">
        <f t="shared" si="32"/>
        <v>0</v>
      </c>
      <c r="S239">
        <v>0</v>
      </c>
      <c r="T239">
        <v>0</v>
      </c>
      <c r="U239" s="7">
        <f t="shared" si="35"/>
        <v>0</v>
      </c>
      <c r="V239">
        <v>0</v>
      </c>
      <c r="W239">
        <v>0</v>
      </c>
      <c r="X239">
        <v>0</v>
      </c>
      <c r="Y239">
        <v>0</v>
      </c>
      <c r="Z239" s="13">
        <f t="shared" si="36"/>
        <v>0</v>
      </c>
      <c r="AA239">
        <v>15</v>
      </c>
      <c r="AB239">
        <v>50</v>
      </c>
      <c r="AC239">
        <v>15</v>
      </c>
      <c r="AD239">
        <v>20</v>
      </c>
      <c r="AE239" s="7">
        <f t="shared" si="37"/>
        <v>100</v>
      </c>
      <c r="AF239">
        <v>0</v>
      </c>
      <c r="AG239">
        <v>0</v>
      </c>
      <c r="AH239">
        <v>0</v>
      </c>
      <c r="AI239" s="13">
        <f t="shared" si="33"/>
        <v>0</v>
      </c>
      <c r="AJ239" s="11" t="s">
        <v>51</v>
      </c>
      <c r="AK239" s="11" t="s">
        <v>51</v>
      </c>
      <c r="AL239" s="11" t="s">
        <v>51</v>
      </c>
      <c r="AM239" s="13">
        <f t="shared" si="38"/>
        <v>0</v>
      </c>
      <c r="AN239" s="18">
        <v>29.75</v>
      </c>
      <c r="AO239" s="18">
        <v>10.25</v>
      </c>
      <c r="AP239" s="18">
        <v>0</v>
      </c>
      <c r="AQ239" s="18">
        <v>0</v>
      </c>
      <c r="AR239" s="18">
        <f t="shared" si="39"/>
        <v>40</v>
      </c>
      <c r="AS239" t="s">
        <v>52</v>
      </c>
      <c r="AT239" s="9" t="s">
        <v>922</v>
      </c>
      <c r="AU239" s="30">
        <f t="shared" si="40"/>
        <v>93.02362500000001</v>
      </c>
    </row>
    <row r="249" spans="9:9" x14ac:dyDescent="0.25">
      <c r="I249" s="11"/>
    </row>
    <row r="253" spans="9:9" x14ac:dyDescent="0.25">
      <c r="I253" s="13"/>
    </row>
    <row r="254" spans="9:9" x14ac:dyDescent="0.25">
      <c r="I254" s="7"/>
    </row>
  </sheetData>
  <autoFilter ref="A4:AU239" xr:uid="{C6AC45B6-E6AB-4853-8E20-FE107892AE13}">
    <filterColumn colId="2">
      <filters>
        <filter val="PAZMIÑO ORDOÑEZ"/>
      </filters>
    </filterColumn>
  </autoFilter>
  <mergeCells count="9">
    <mergeCell ref="AF3:AI3"/>
    <mergeCell ref="AJ3:AM3"/>
    <mergeCell ref="AN3:AR3"/>
    <mergeCell ref="E3:I3"/>
    <mergeCell ref="J3:M3"/>
    <mergeCell ref="N3:R3"/>
    <mergeCell ref="S3:U3"/>
    <mergeCell ref="V3:Z3"/>
    <mergeCell ref="AA3:AE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8A925-57A0-4699-BE8D-0B4499E32AA4}">
  <sheetPr filterMode="1"/>
  <dimension ref="A1:AU252"/>
  <sheetViews>
    <sheetView zoomScale="70" zoomScaleNormal="70" workbookViewId="0">
      <selection activeCell="A72" sqref="A72:XFD72"/>
    </sheetView>
  </sheetViews>
  <sheetFormatPr baseColWidth="10" defaultRowHeight="15.75" x14ac:dyDescent="0.25"/>
  <cols>
    <col min="1" max="1" width="16.875" customWidth="1"/>
    <col min="3" max="3" width="22" customWidth="1"/>
    <col min="4" max="4" width="19.75" customWidth="1"/>
    <col min="10" max="10" width="9" customWidth="1"/>
    <col min="27" max="35" width="11" customWidth="1"/>
    <col min="36" max="38" width="11" style="11" customWidth="1"/>
    <col min="39" max="39" width="11" customWidth="1"/>
    <col min="47" max="47" width="11" style="11"/>
  </cols>
  <sheetData>
    <row r="1" spans="1:47" x14ac:dyDescent="0.25">
      <c r="V1">
        <v>10</v>
      </c>
      <c r="W1">
        <v>20</v>
      </c>
      <c r="X1">
        <v>50</v>
      </c>
      <c r="Y1">
        <v>20</v>
      </c>
    </row>
    <row r="3" spans="1:47" x14ac:dyDescent="0.25">
      <c r="E3" s="60" t="s">
        <v>52</v>
      </c>
      <c r="F3" s="61"/>
      <c r="G3" s="61"/>
      <c r="H3" s="61"/>
      <c r="I3" s="62"/>
      <c r="J3" s="60" t="s">
        <v>923</v>
      </c>
      <c r="K3" s="61"/>
      <c r="L3" s="61"/>
      <c r="M3" s="62"/>
      <c r="N3" s="60" t="s">
        <v>924</v>
      </c>
      <c r="O3" s="61"/>
      <c r="P3" s="61"/>
      <c r="Q3" s="61"/>
      <c r="R3" s="62"/>
      <c r="S3" s="60" t="s">
        <v>925</v>
      </c>
      <c r="T3" s="61"/>
      <c r="U3" s="62"/>
      <c r="V3" s="60" t="s">
        <v>926</v>
      </c>
      <c r="W3" s="61"/>
      <c r="X3" s="61"/>
      <c r="Y3" s="61"/>
      <c r="Z3" s="62"/>
      <c r="AA3" s="60" t="s">
        <v>927</v>
      </c>
      <c r="AB3" s="61"/>
      <c r="AC3" s="61"/>
      <c r="AD3" s="61"/>
      <c r="AE3" s="62"/>
      <c r="AF3" s="60" t="s">
        <v>928</v>
      </c>
      <c r="AG3" s="61"/>
      <c r="AH3" s="61"/>
      <c r="AI3" s="62"/>
      <c r="AJ3" s="60" t="s">
        <v>929</v>
      </c>
      <c r="AK3" s="61"/>
      <c r="AL3" s="61"/>
      <c r="AM3" s="62"/>
      <c r="AN3" s="60" t="s">
        <v>930</v>
      </c>
      <c r="AO3" s="61"/>
      <c r="AP3" s="61"/>
      <c r="AQ3" s="61"/>
      <c r="AR3" s="62"/>
      <c r="AT3" s="1"/>
    </row>
    <row r="4" spans="1:47" s="2" customFormat="1" ht="31.5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4" t="s">
        <v>8</v>
      </c>
      <c r="J4" s="3" t="s">
        <v>9</v>
      </c>
      <c r="K4" s="3" t="s">
        <v>10</v>
      </c>
      <c r="L4" s="3" t="s">
        <v>11</v>
      </c>
      <c r="M4" s="4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5" t="s">
        <v>17</v>
      </c>
      <c r="S4" s="2" t="s">
        <v>18</v>
      </c>
      <c r="T4" s="2" t="s">
        <v>19</v>
      </c>
      <c r="U4" s="5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5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5" t="s">
        <v>30</v>
      </c>
      <c r="AF4" s="2" t="s">
        <v>31</v>
      </c>
      <c r="AG4" s="2" t="s">
        <v>32</v>
      </c>
      <c r="AH4" s="2" t="s">
        <v>33</v>
      </c>
      <c r="AI4" s="5" t="s">
        <v>34</v>
      </c>
      <c r="AJ4" s="20" t="s">
        <v>35</v>
      </c>
      <c r="AK4" s="20" t="s">
        <v>36</v>
      </c>
      <c r="AL4" s="20" t="s">
        <v>37</v>
      </c>
      <c r="AM4" s="5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8" t="s">
        <v>45</v>
      </c>
      <c r="AU4" s="20" t="s">
        <v>934</v>
      </c>
    </row>
    <row r="5" spans="1:47" hidden="1" x14ac:dyDescent="0.25">
      <c r="A5" t="s">
        <v>46</v>
      </c>
      <c r="B5" t="s">
        <v>47</v>
      </c>
      <c r="C5" t="s">
        <v>48</v>
      </c>
      <c r="D5" t="s">
        <v>49</v>
      </c>
      <c r="E5" s="11">
        <v>19.670000000000002</v>
      </c>
      <c r="F5" s="11">
        <v>20</v>
      </c>
      <c r="G5" s="11">
        <v>48.16</v>
      </c>
      <c r="H5" s="11">
        <v>9</v>
      </c>
      <c r="I5" s="13">
        <f>+SUM(E5:H5)</f>
        <v>96.83</v>
      </c>
      <c r="J5" s="11">
        <v>0</v>
      </c>
      <c r="K5" s="11">
        <v>0</v>
      </c>
      <c r="L5" s="11">
        <v>0</v>
      </c>
      <c r="M5" s="13">
        <f>+SUM(J5:L5)</f>
        <v>0</v>
      </c>
      <c r="N5" s="11">
        <v>0</v>
      </c>
      <c r="O5" s="11">
        <v>0</v>
      </c>
      <c r="P5" s="11">
        <v>0</v>
      </c>
      <c r="Q5" s="11">
        <v>0</v>
      </c>
      <c r="R5" s="13">
        <f>+SUM(N5:Q5)</f>
        <v>0</v>
      </c>
      <c r="S5">
        <v>0</v>
      </c>
      <c r="T5">
        <v>0</v>
      </c>
      <c r="U5" s="7">
        <f>+SUM(S5:T5)</f>
        <v>0</v>
      </c>
      <c r="V5">
        <v>0</v>
      </c>
      <c r="W5">
        <v>0</v>
      </c>
      <c r="X5">
        <v>0</v>
      </c>
      <c r="Y5">
        <v>0</v>
      </c>
      <c r="Z5" s="13">
        <f>+SUM(V5:Y5)</f>
        <v>0</v>
      </c>
      <c r="AA5">
        <v>3.75</v>
      </c>
      <c r="AB5">
        <v>12.5</v>
      </c>
      <c r="AC5">
        <v>9</v>
      </c>
      <c r="AD5">
        <v>20</v>
      </c>
      <c r="AE5" s="7">
        <f>+SUM(AA5:AD5)</f>
        <v>45.25</v>
      </c>
      <c r="AF5">
        <v>0</v>
      </c>
      <c r="AG5">
        <v>0</v>
      </c>
      <c r="AH5">
        <v>0</v>
      </c>
      <c r="AI5" s="13">
        <f>+SUM(AF5:AH5)</f>
        <v>0</v>
      </c>
      <c r="AJ5" s="11" t="s">
        <v>51</v>
      </c>
      <c r="AK5" s="11" t="s">
        <v>51</v>
      </c>
      <c r="AL5" s="11" t="s">
        <v>51</v>
      </c>
      <c r="AM5" s="13">
        <f>+SUM(AJ5:AL5)</f>
        <v>0</v>
      </c>
      <c r="AN5" s="18">
        <v>30.5</v>
      </c>
      <c r="AO5" s="18">
        <v>9.5</v>
      </c>
      <c r="AP5" s="23">
        <v>0</v>
      </c>
      <c r="AQ5" s="23">
        <v>0</v>
      </c>
      <c r="AR5" s="18">
        <f>+SUM(AN5:AQ5)</f>
        <v>40</v>
      </c>
      <c r="AS5" t="s">
        <v>52</v>
      </c>
      <c r="AT5" s="9" t="s">
        <v>53</v>
      </c>
      <c r="AU5" s="30">
        <f t="shared" ref="AU5:AU11" si="0">+((AN5*I5)+(AO5*AE5)+(AQ5*AI5)+(AP5*AM5))/AR5</f>
        <v>84.579750000000004</v>
      </c>
    </row>
    <row r="6" spans="1:47" hidden="1" x14ac:dyDescent="0.25">
      <c r="A6" t="s">
        <v>46</v>
      </c>
      <c r="B6" t="s">
        <v>54</v>
      </c>
      <c r="C6" t="s">
        <v>55</v>
      </c>
      <c r="D6" t="s">
        <v>56</v>
      </c>
      <c r="E6" s="11">
        <v>20</v>
      </c>
      <c r="F6" s="11">
        <v>20</v>
      </c>
      <c r="G6" s="11">
        <v>42.66</v>
      </c>
      <c r="H6" s="11">
        <v>5.5</v>
      </c>
      <c r="I6" s="13">
        <f t="shared" ref="I6:I69" si="1">+SUM(E6:H6)</f>
        <v>88.16</v>
      </c>
      <c r="J6" s="11">
        <v>0</v>
      </c>
      <c r="K6" s="11">
        <v>0</v>
      </c>
      <c r="L6" s="11">
        <v>0</v>
      </c>
      <c r="M6" s="13">
        <f t="shared" ref="M6:M69" si="2">+SUM(J6:L6)</f>
        <v>0</v>
      </c>
      <c r="N6" s="11">
        <v>0</v>
      </c>
      <c r="O6" s="11">
        <v>0</v>
      </c>
      <c r="P6" s="11">
        <v>0</v>
      </c>
      <c r="Q6" s="11">
        <v>0</v>
      </c>
      <c r="R6" s="13">
        <f t="shared" ref="R6:R69" si="3">+SUM(N6:Q6)</f>
        <v>0</v>
      </c>
      <c r="S6">
        <v>0</v>
      </c>
      <c r="T6">
        <v>0</v>
      </c>
      <c r="U6" s="7">
        <f t="shared" ref="U6:U69" si="4">+SUM(S6:T6)</f>
        <v>0</v>
      </c>
      <c r="V6">
        <v>0</v>
      </c>
      <c r="W6">
        <v>0</v>
      </c>
      <c r="X6">
        <v>0</v>
      </c>
      <c r="Y6">
        <v>0</v>
      </c>
      <c r="Z6" s="13">
        <f t="shared" ref="Z6:Z69" si="5">+SUM(V6:Y6)</f>
        <v>0</v>
      </c>
      <c r="AA6">
        <v>0</v>
      </c>
      <c r="AB6">
        <v>0</v>
      </c>
      <c r="AC6">
        <v>0</v>
      </c>
      <c r="AD6">
        <v>0</v>
      </c>
      <c r="AE6" s="7">
        <f t="shared" ref="AE6:AE69" si="6">+SUM(AA6:AD6)</f>
        <v>0</v>
      </c>
      <c r="AF6">
        <v>0</v>
      </c>
      <c r="AG6">
        <v>0</v>
      </c>
      <c r="AH6">
        <v>0</v>
      </c>
      <c r="AI6" s="13">
        <f t="shared" ref="AI6:AI69" si="7">+SUM(AF6:AH6)</f>
        <v>0</v>
      </c>
      <c r="AJ6" s="11" t="s">
        <v>51</v>
      </c>
      <c r="AK6" s="11" t="s">
        <v>51</v>
      </c>
      <c r="AL6" s="11" t="s">
        <v>51</v>
      </c>
      <c r="AM6" s="13">
        <f t="shared" ref="AM6:AM69" si="8">+SUM(AJ6:AL6)</f>
        <v>0</v>
      </c>
      <c r="AN6" s="18">
        <v>40</v>
      </c>
      <c r="AO6" s="18">
        <v>0</v>
      </c>
      <c r="AP6" s="18">
        <v>0</v>
      </c>
      <c r="AQ6" s="18">
        <v>0</v>
      </c>
      <c r="AR6" s="18">
        <f t="shared" ref="AR6:AR69" si="9">+SUM(AN6:AQ6)</f>
        <v>40</v>
      </c>
      <c r="AS6" t="s">
        <v>52</v>
      </c>
      <c r="AT6" s="9" t="s">
        <v>57</v>
      </c>
      <c r="AU6" s="30">
        <f t="shared" si="0"/>
        <v>88.16</v>
      </c>
    </row>
    <row r="7" spans="1:47" hidden="1" x14ac:dyDescent="0.25">
      <c r="A7" t="s">
        <v>46</v>
      </c>
      <c r="B7" t="s">
        <v>58</v>
      </c>
      <c r="C7" t="s">
        <v>59</v>
      </c>
      <c r="D7" t="s">
        <v>60</v>
      </c>
      <c r="E7" s="11">
        <v>20</v>
      </c>
      <c r="F7" s="11">
        <v>20</v>
      </c>
      <c r="G7" s="11">
        <v>45.28</v>
      </c>
      <c r="H7" s="11">
        <v>4</v>
      </c>
      <c r="I7" s="13">
        <f t="shared" si="1"/>
        <v>89.28</v>
      </c>
      <c r="J7" s="11">
        <v>0</v>
      </c>
      <c r="K7" s="11">
        <v>0</v>
      </c>
      <c r="L7" s="11">
        <v>0</v>
      </c>
      <c r="M7" s="13">
        <f t="shared" si="2"/>
        <v>0</v>
      </c>
      <c r="N7" s="11">
        <v>0</v>
      </c>
      <c r="O7" s="11">
        <v>0</v>
      </c>
      <c r="P7" s="11">
        <v>0</v>
      </c>
      <c r="Q7" s="11">
        <v>0</v>
      </c>
      <c r="R7" s="13">
        <f t="shared" si="3"/>
        <v>0</v>
      </c>
      <c r="S7">
        <v>0</v>
      </c>
      <c r="T7">
        <v>0</v>
      </c>
      <c r="U7" s="7">
        <f t="shared" si="4"/>
        <v>0</v>
      </c>
      <c r="V7">
        <v>0</v>
      </c>
      <c r="W7">
        <v>0</v>
      </c>
      <c r="X7">
        <v>0</v>
      </c>
      <c r="Y7">
        <v>0</v>
      </c>
      <c r="Z7" s="13">
        <f t="shared" si="5"/>
        <v>0</v>
      </c>
      <c r="AA7">
        <v>0</v>
      </c>
      <c r="AB7">
        <v>0</v>
      </c>
      <c r="AC7">
        <v>0</v>
      </c>
      <c r="AD7">
        <v>0</v>
      </c>
      <c r="AE7" s="7">
        <f t="shared" si="6"/>
        <v>0</v>
      </c>
      <c r="AF7">
        <v>50</v>
      </c>
      <c r="AG7">
        <v>20</v>
      </c>
      <c r="AH7">
        <v>26</v>
      </c>
      <c r="AI7" s="13">
        <f t="shared" si="7"/>
        <v>96</v>
      </c>
      <c r="AJ7" s="11" t="s">
        <v>51</v>
      </c>
      <c r="AK7" s="11" t="s">
        <v>51</v>
      </c>
      <c r="AL7" s="11" t="s">
        <v>51</v>
      </c>
      <c r="AM7" s="13">
        <f t="shared" si="8"/>
        <v>0</v>
      </c>
      <c r="AN7" s="18">
        <v>28</v>
      </c>
      <c r="AO7" s="18">
        <v>0</v>
      </c>
      <c r="AP7" s="18">
        <v>0</v>
      </c>
      <c r="AQ7" s="18">
        <v>12</v>
      </c>
      <c r="AR7" s="18">
        <f t="shared" si="9"/>
        <v>40</v>
      </c>
      <c r="AS7" t="s">
        <v>52</v>
      </c>
      <c r="AT7" s="9" t="s">
        <v>62</v>
      </c>
      <c r="AU7" s="30">
        <f t="shared" si="0"/>
        <v>91.296000000000006</v>
      </c>
    </row>
    <row r="8" spans="1:47" hidden="1" x14ac:dyDescent="0.25">
      <c r="A8" t="s">
        <v>46</v>
      </c>
      <c r="B8" t="s">
        <v>63</v>
      </c>
      <c r="C8" t="s">
        <v>64</v>
      </c>
      <c r="D8" t="s">
        <v>65</v>
      </c>
      <c r="E8" s="11">
        <v>17.670000000000002</v>
      </c>
      <c r="F8" s="11">
        <v>20</v>
      </c>
      <c r="G8" s="11">
        <v>41.38</v>
      </c>
      <c r="H8" s="11">
        <v>2.5</v>
      </c>
      <c r="I8" s="13">
        <f t="shared" si="1"/>
        <v>81.550000000000011</v>
      </c>
      <c r="J8" s="11">
        <v>0</v>
      </c>
      <c r="K8" s="11">
        <v>0</v>
      </c>
      <c r="L8" s="11">
        <v>0</v>
      </c>
      <c r="M8" s="13">
        <f t="shared" si="2"/>
        <v>0</v>
      </c>
      <c r="N8" s="11">
        <v>0</v>
      </c>
      <c r="O8" s="11">
        <v>0</v>
      </c>
      <c r="P8" s="11">
        <v>0</v>
      </c>
      <c r="Q8" s="11">
        <v>0</v>
      </c>
      <c r="R8" s="13">
        <f t="shared" si="3"/>
        <v>0</v>
      </c>
      <c r="S8">
        <v>0</v>
      </c>
      <c r="T8">
        <v>0</v>
      </c>
      <c r="U8" s="7">
        <f t="shared" si="4"/>
        <v>0</v>
      </c>
      <c r="V8">
        <v>0</v>
      </c>
      <c r="W8">
        <v>0</v>
      </c>
      <c r="X8">
        <v>0</v>
      </c>
      <c r="Y8">
        <v>0</v>
      </c>
      <c r="Z8" s="13">
        <f t="shared" si="5"/>
        <v>0</v>
      </c>
      <c r="AA8">
        <v>0</v>
      </c>
      <c r="AB8">
        <v>0</v>
      </c>
      <c r="AC8">
        <v>0</v>
      </c>
      <c r="AD8">
        <v>0</v>
      </c>
      <c r="AE8" s="7">
        <f t="shared" si="6"/>
        <v>0</v>
      </c>
      <c r="AF8">
        <v>0</v>
      </c>
      <c r="AG8">
        <v>0</v>
      </c>
      <c r="AH8">
        <v>0</v>
      </c>
      <c r="AI8" s="13">
        <f t="shared" si="7"/>
        <v>0</v>
      </c>
      <c r="AJ8" s="11" t="s">
        <v>51</v>
      </c>
      <c r="AK8" s="11" t="s">
        <v>51</v>
      </c>
      <c r="AL8" s="11" t="s">
        <v>51</v>
      </c>
      <c r="AM8" s="13">
        <f t="shared" si="8"/>
        <v>0</v>
      </c>
      <c r="AN8" s="18">
        <v>40</v>
      </c>
      <c r="AO8" s="18">
        <v>0</v>
      </c>
      <c r="AP8" s="18">
        <v>0</v>
      </c>
      <c r="AQ8" s="18">
        <v>0</v>
      </c>
      <c r="AR8" s="18">
        <f t="shared" si="9"/>
        <v>40</v>
      </c>
      <c r="AS8" t="s">
        <v>52</v>
      </c>
      <c r="AT8" s="9" t="s">
        <v>67</v>
      </c>
      <c r="AU8" s="30">
        <f t="shared" si="0"/>
        <v>81.550000000000011</v>
      </c>
    </row>
    <row r="9" spans="1:47" hidden="1" x14ac:dyDescent="0.25">
      <c r="A9" t="s">
        <v>46</v>
      </c>
      <c r="B9" t="s">
        <v>68</v>
      </c>
      <c r="C9" t="s">
        <v>69</v>
      </c>
      <c r="D9" t="s">
        <v>70</v>
      </c>
      <c r="E9" s="11">
        <v>20</v>
      </c>
      <c r="F9" s="11">
        <v>19</v>
      </c>
      <c r="G9" s="11">
        <v>44.95</v>
      </c>
      <c r="H9" s="11">
        <v>5</v>
      </c>
      <c r="I9" s="13">
        <f t="shared" si="1"/>
        <v>88.95</v>
      </c>
      <c r="J9" s="11">
        <v>0</v>
      </c>
      <c r="K9" s="11">
        <v>0</v>
      </c>
      <c r="L9" s="11">
        <v>0</v>
      </c>
      <c r="M9" s="13">
        <f t="shared" si="2"/>
        <v>0</v>
      </c>
      <c r="N9" s="11">
        <v>0</v>
      </c>
      <c r="O9" s="11">
        <v>0</v>
      </c>
      <c r="P9" s="11">
        <v>0</v>
      </c>
      <c r="Q9" s="11">
        <v>0</v>
      </c>
      <c r="R9" s="13">
        <f t="shared" si="3"/>
        <v>0</v>
      </c>
      <c r="S9">
        <v>0</v>
      </c>
      <c r="T9">
        <v>0</v>
      </c>
      <c r="U9" s="7">
        <f t="shared" si="4"/>
        <v>0</v>
      </c>
      <c r="V9">
        <v>0</v>
      </c>
      <c r="W9">
        <v>0</v>
      </c>
      <c r="X9">
        <v>0</v>
      </c>
      <c r="Y9">
        <v>0</v>
      </c>
      <c r="Z9" s="13">
        <f t="shared" si="5"/>
        <v>0</v>
      </c>
      <c r="AA9">
        <v>0</v>
      </c>
      <c r="AB9">
        <v>0</v>
      </c>
      <c r="AC9">
        <v>0</v>
      </c>
      <c r="AD9">
        <v>0</v>
      </c>
      <c r="AE9" s="7">
        <f t="shared" si="6"/>
        <v>0</v>
      </c>
      <c r="AF9">
        <v>50</v>
      </c>
      <c r="AG9">
        <v>20</v>
      </c>
      <c r="AH9">
        <v>29</v>
      </c>
      <c r="AI9" s="13">
        <f t="shared" si="7"/>
        <v>99</v>
      </c>
      <c r="AJ9" s="11" t="s">
        <v>51</v>
      </c>
      <c r="AK9" s="11" t="s">
        <v>51</v>
      </c>
      <c r="AL9" s="11" t="s">
        <v>51</v>
      </c>
      <c r="AM9" s="13">
        <f t="shared" si="8"/>
        <v>0</v>
      </c>
      <c r="AN9" s="18">
        <v>32</v>
      </c>
      <c r="AO9" s="18">
        <v>0</v>
      </c>
      <c r="AP9" s="18">
        <v>0</v>
      </c>
      <c r="AQ9" s="18">
        <v>8</v>
      </c>
      <c r="AR9" s="18">
        <f t="shared" si="9"/>
        <v>40</v>
      </c>
      <c r="AS9" t="s">
        <v>52</v>
      </c>
      <c r="AT9" s="9" t="s">
        <v>73</v>
      </c>
      <c r="AU9" s="30">
        <f t="shared" si="0"/>
        <v>90.960000000000008</v>
      </c>
    </row>
    <row r="10" spans="1:47" hidden="1" x14ac:dyDescent="0.25">
      <c r="A10" t="s">
        <v>46</v>
      </c>
      <c r="B10" t="s">
        <v>74</v>
      </c>
      <c r="C10" t="s">
        <v>75</v>
      </c>
      <c r="D10" t="s">
        <v>76</v>
      </c>
      <c r="E10" s="11">
        <v>20</v>
      </c>
      <c r="F10" s="11">
        <v>18.329999999999998</v>
      </c>
      <c r="G10" s="11">
        <v>46.05</v>
      </c>
      <c r="H10" s="11">
        <v>5.5</v>
      </c>
      <c r="I10" s="13">
        <f t="shared" si="1"/>
        <v>89.88</v>
      </c>
      <c r="J10" s="11">
        <v>0</v>
      </c>
      <c r="K10" s="11">
        <v>0</v>
      </c>
      <c r="L10" s="11">
        <v>0</v>
      </c>
      <c r="M10" s="13">
        <f t="shared" si="2"/>
        <v>0</v>
      </c>
      <c r="N10" s="11">
        <v>0</v>
      </c>
      <c r="O10" s="11">
        <v>0</v>
      </c>
      <c r="P10" s="11">
        <v>0</v>
      </c>
      <c r="Q10" s="11">
        <v>0</v>
      </c>
      <c r="R10" s="13">
        <f t="shared" si="3"/>
        <v>0</v>
      </c>
      <c r="S10">
        <v>0</v>
      </c>
      <c r="T10">
        <v>0</v>
      </c>
      <c r="U10" s="7">
        <f t="shared" si="4"/>
        <v>0</v>
      </c>
      <c r="V10">
        <v>0</v>
      </c>
      <c r="W10">
        <v>0</v>
      </c>
      <c r="X10">
        <v>0</v>
      </c>
      <c r="Y10">
        <v>0</v>
      </c>
      <c r="Z10" s="13">
        <f t="shared" si="5"/>
        <v>0</v>
      </c>
      <c r="AA10">
        <v>0</v>
      </c>
      <c r="AB10">
        <v>0</v>
      </c>
      <c r="AC10">
        <v>0</v>
      </c>
      <c r="AD10">
        <v>0</v>
      </c>
      <c r="AE10" s="7">
        <f t="shared" si="6"/>
        <v>0</v>
      </c>
      <c r="AF10">
        <v>0</v>
      </c>
      <c r="AG10">
        <v>0</v>
      </c>
      <c r="AH10">
        <v>0</v>
      </c>
      <c r="AI10" s="13">
        <f t="shared" si="7"/>
        <v>0</v>
      </c>
      <c r="AJ10" s="11" t="s">
        <v>51</v>
      </c>
      <c r="AK10" s="11" t="s">
        <v>51</v>
      </c>
      <c r="AL10" s="11" t="s">
        <v>51</v>
      </c>
      <c r="AM10" s="13">
        <f t="shared" si="8"/>
        <v>0</v>
      </c>
      <c r="AN10" s="18">
        <v>2</v>
      </c>
      <c r="AO10" s="18">
        <v>0</v>
      </c>
      <c r="AP10" s="18">
        <v>0</v>
      </c>
      <c r="AQ10" s="18">
        <v>0</v>
      </c>
      <c r="AR10" s="18">
        <f t="shared" si="9"/>
        <v>2</v>
      </c>
      <c r="AS10" t="s">
        <v>52</v>
      </c>
      <c r="AT10" s="9" t="s">
        <v>77</v>
      </c>
      <c r="AU10" s="30">
        <f t="shared" si="0"/>
        <v>89.88</v>
      </c>
    </row>
    <row r="11" spans="1:47" hidden="1" x14ac:dyDescent="0.25">
      <c r="A11" t="s">
        <v>46</v>
      </c>
      <c r="B11" t="s">
        <v>78</v>
      </c>
      <c r="C11" t="s">
        <v>79</v>
      </c>
      <c r="D11" t="s">
        <v>80</v>
      </c>
      <c r="E11" s="11">
        <v>20</v>
      </c>
      <c r="F11" s="11">
        <v>19.329999999999998</v>
      </c>
      <c r="G11" s="11">
        <v>47.25</v>
      </c>
      <c r="H11" s="11">
        <v>2.5</v>
      </c>
      <c r="I11" s="13">
        <f t="shared" si="1"/>
        <v>89.08</v>
      </c>
      <c r="J11" s="11">
        <v>0</v>
      </c>
      <c r="K11" s="11">
        <v>0</v>
      </c>
      <c r="L11" s="11">
        <v>0</v>
      </c>
      <c r="M11" s="13">
        <f t="shared" si="2"/>
        <v>0</v>
      </c>
      <c r="N11" s="11">
        <v>0</v>
      </c>
      <c r="O11" s="11">
        <v>0</v>
      </c>
      <c r="P11" s="11">
        <v>0</v>
      </c>
      <c r="Q11" s="11">
        <v>0</v>
      </c>
      <c r="R11" s="13">
        <f t="shared" si="3"/>
        <v>0</v>
      </c>
      <c r="S11">
        <v>0</v>
      </c>
      <c r="T11">
        <v>0</v>
      </c>
      <c r="U11" s="7">
        <f t="shared" si="4"/>
        <v>0</v>
      </c>
      <c r="V11">
        <v>0</v>
      </c>
      <c r="W11">
        <v>0</v>
      </c>
      <c r="X11">
        <v>0</v>
      </c>
      <c r="Y11">
        <v>0</v>
      </c>
      <c r="Z11" s="13">
        <f t="shared" si="5"/>
        <v>0</v>
      </c>
      <c r="AA11">
        <v>0</v>
      </c>
      <c r="AB11">
        <v>0</v>
      </c>
      <c r="AC11">
        <v>0</v>
      </c>
      <c r="AD11">
        <v>0</v>
      </c>
      <c r="AE11" s="7">
        <f t="shared" si="6"/>
        <v>0</v>
      </c>
      <c r="AF11">
        <v>0</v>
      </c>
      <c r="AG11">
        <v>0</v>
      </c>
      <c r="AH11">
        <v>0</v>
      </c>
      <c r="AI11" s="13">
        <f t="shared" si="7"/>
        <v>0</v>
      </c>
      <c r="AJ11" s="11" t="s">
        <v>51</v>
      </c>
      <c r="AK11" s="11" t="s">
        <v>51</v>
      </c>
      <c r="AL11" s="11" t="s">
        <v>51</v>
      </c>
      <c r="AM11" s="13">
        <f t="shared" si="8"/>
        <v>0</v>
      </c>
      <c r="AN11" s="18">
        <v>3</v>
      </c>
      <c r="AO11" s="18">
        <v>0</v>
      </c>
      <c r="AP11" s="18">
        <v>0</v>
      </c>
      <c r="AQ11" s="18">
        <v>0</v>
      </c>
      <c r="AR11" s="18">
        <f t="shared" si="9"/>
        <v>3</v>
      </c>
      <c r="AS11" t="s">
        <v>52</v>
      </c>
      <c r="AT11" s="9" t="s">
        <v>81</v>
      </c>
      <c r="AU11" s="30">
        <f t="shared" si="0"/>
        <v>89.08</v>
      </c>
    </row>
    <row r="12" spans="1:47" hidden="1" x14ac:dyDescent="0.25">
      <c r="A12" t="s">
        <v>46</v>
      </c>
      <c r="B12" t="s">
        <v>82</v>
      </c>
      <c r="C12" t="s">
        <v>83</v>
      </c>
      <c r="D12" t="s">
        <v>84</v>
      </c>
      <c r="E12" s="11">
        <v>0</v>
      </c>
      <c r="F12" s="11">
        <v>0</v>
      </c>
      <c r="G12" s="11">
        <v>0</v>
      </c>
      <c r="H12" s="11">
        <v>0</v>
      </c>
      <c r="I12" s="13">
        <f t="shared" si="1"/>
        <v>0</v>
      </c>
      <c r="J12" s="11">
        <v>56.08</v>
      </c>
      <c r="K12" s="11">
        <v>29</v>
      </c>
      <c r="L12" s="11">
        <v>2.5</v>
      </c>
      <c r="M12" s="13">
        <f t="shared" si="2"/>
        <v>87.58</v>
      </c>
      <c r="N12" s="11">
        <v>0</v>
      </c>
      <c r="O12" s="11">
        <v>0</v>
      </c>
      <c r="P12" s="11">
        <v>0</v>
      </c>
      <c r="Q12" s="11">
        <v>0</v>
      </c>
      <c r="R12" s="13">
        <f t="shared" si="3"/>
        <v>0</v>
      </c>
      <c r="S12">
        <v>0</v>
      </c>
      <c r="T12">
        <v>0</v>
      </c>
      <c r="U12" s="7">
        <f t="shared" si="4"/>
        <v>0</v>
      </c>
      <c r="V12">
        <v>0</v>
      </c>
      <c r="W12">
        <v>0</v>
      </c>
      <c r="X12">
        <v>0</v>
      </c>
      <c r="Y12">
        <v>0</v>
      </c>
      <c r="Z12" s="13">
        <f t="shared" si="5"/>
        <v>0</v>
      </c>
      <c r="AA12">
        <v>0</v>
      </c>
      <c r="AB12">
        <v>0</v>
      </c>
      <c r="AC12">
        <v>0</v>
      </c>
      <c r="AD12">
        <v>0</v>
      </c>
      <c r="AE12" s="7">
        <f t="shared" si="6"/>
        <v>0</v>
      </c>
      <c r="AF12">
        <v>0</v>
      </c>
      <c r="AG12">
        <v>0</v>
      </c>
      <c r="AH12">
        <v>0</v>
      </c>
      <c r="AI12" s="13">
        <f t="shared" si="7"/>
        <v>0</v>
      </c>
      <c r="AJ12" s="11" t="s">
        <v>51</v>
      </c>
      <c r="AK12" s="11" t="s">
        <v>51</v>
      </c>
      <c r="AL12" s="11" t="s">
        <v>51</v>
      </c>
      <c r="AM12" s="13">
        <f t="shared" si="8"/>
        <v>0</v>
      </c>
      <c r="AN12" s="18">
        <v>1.69</v>
      </c>
      <c r="AO12" s="18">
        <v>0</v>
      </c>
      <c r="AP12" s="18">
        <v>0</v>
      </c>
      <c r="AQ12" s="18">
        <v>0</v>
      </c>
      <c r="AR12" s="18">
        <f t="shared" si="9"/>
        <v>1.69</v>
      </c>
      <c r="AS12" t="s">
        <v>87</v>
      </c>
      <c r="AT12" s="9" t="s">
        <v>86</v>
      </c>
      <c r="AU12" s="30">
        <f>+((AN12*M12)/AR12)</f>
        <v>87.58</v>
      </c>
    </row>
    <row r="13" spans="1:47" hidden="1" x14ac:dyDescent="0.25">
      <c r="A13" t="s">
        <v>46</v>
      </c>
      <c r="B13" t="s">
        <v>88</v>
      </c>
      <c r="C13" t="s">
        <v>89</v>
      </c>
      <c r="D13" t="s">
        <v>90</v>
      </c>
      <c r="E13" s="11">
        <v>20</v>
      </c>
      <c r="F13" s="11">
        <v>18.329999999999998</v>
      </c>
      <c r="G13" s="11">
        <v>45.72</v>
      </c>
      <c r="H13" s="11">
        <v>3.5</v>
      </c>
      <c r="I13" s="13">
        <f t="shared" si="1"/>
        <v>87.55</v>
      </c>
      <c r="J13" s="11">
        <v>0</v>
      </c>
      <c r="K13" s="11">
        <v>0</v>
      </c>
      <c r="L13" s="11">
        <v>0</v>
      </c>
      <c r="M13" s="13">
        <f t="shared" si="2"/>
        <v>0</v>
      </c>
      <c r="N13" s="11">
        <v>0</v>
      </c>
      <c r="O13" s="11">
        <v>0</v>
      </c>
      <c r="P13" s="11">
        <v>0</v>
      </c>
      <c r="Q13" s="11">
        <v>0</v>
      </c>
      <c r="R13" s="13">
        <f t="shared" si="3"/>
        <v>0</v>
      </c>
      <c r="S13">
        <v>0</v>
      </c>
      <c r="T13">
        <v>0</v>
      </c>
      <c r="U13" s="7">
        <f t="shared" si="4"/>
        <v>0</v>
      </c>
      <c r="V13">
        <v>0</v>
      </c>
      <c r="W13">
        <v>0</v>
      </c>
      <c r="X13">
        <v>0</v>
      </c>
      <c r="Y13">
        <v>0</v>
      </c>
      <c r="Z13" s="13">
        <f t="shared" si="5"/>
        <v>0</v>
      </c>
      <c r="AA13">
        <v>0</v>
      </c>
      <c r="AB13">
        <v>0</v>
      </c>
      <c r="AC13">
        <v>0</v>
      </c>
      <c r="AD13">
        <v>0</v>
      </c>
      <c r="AE13" s="7">
        <f t="shared" si="6"/>
        <v>0</v>
      </c>
      <c r="AF13">
        <v>0</v>
      </c>
      <c r="AG13">
        <v>0</v>
      </c>
      <c r="AH13">
        <v>0</v>
      </c>
      <c r="AI13" s="13">
        <f t="shared" si="7"/>
        <v>0</v>
      </c>
      <c r="AJ13" s="11" t="s">
        <v>51</v>
      </c>
      <c r="AK13" s="11" t="s">
        <v>51</v>
      </c>
      <c r="AL13" s="11" t="s">
        <v>51</v>
      </c>
      <c r="AM13" s="13">
        <f t="shared" si="8"/>
        <v>0</v>
      </c>
      <c r="AN13" s="18">
        <v>20</v>
      </c>
      <c r="AO13" s="18">
        <v>0</v>
      </c>
      <c r="AP13" s="18">
        <v>0</v>
      </c>
      <c r="AQ13" s="18">
        <v>0</v>
      </c>
      <c r="AR13" s="18">
        <f t="shared" si="9"/>
        <v>20</v>
      </c>
      <c r="AS13" t="s">
        <v>52</v>
      </c>
      <c r="AT13" s="9" t="s">
        <v>91</v>
      </c>
      <c r="AU13" s="30">
        <f>+((AN13*I13)+(AO13*AE13)+(AQ13*AI13)+(AP13*AM13))/AR13</f>
        <v>87.55</v>
      </c>
    </row>
    <row r="14" spans="1:47" hidden="1" x14ac:dyDescent="0.25">
      <c r="A14" t="s">
        <v>46</v>
      </c>
      <c r="B14" t="s">
        <v>92</v>
      </c>
      <c r="C14" t="s">
        <v>93</v>
      </c>
      <c r="D14" t="s">
        <v>94</v>
      </c>
      <c r="E14" s="11">
        <v>0</v>
      </c>
      <c r="F14" s="11">
        <v>0</v>
      </c>
      <c r="G14" s="11">
        <v>0</v>
      </c>
      <c r="H14" s="11">
        <v>0</v>
      </c>
      <c r="I14" s="13">
        <f t="shared" si="1"/>
        <v>0</v>
      </c>
      <c r="J14" s="11">
        <v>56.65</v>
      </c>
      <c r="K14" s="11">
        <v>28.5</v>
      </c>
      <c r="L14" s="11">
        <v>2.5</v>
      </c>
      <c r="M14" s="13">
        <f t="shared" si="2"/>
        <v>87.65</v>
      </c>
      <c r="N14" s="11">
        <v>0</v>
      </c>
      <c r="O14" s="11">
        <v>0</v>
      </c>
      <c r="P14" s="11">
        <v>0</v>
      </c>
      <c r="Q14" s="11">
        <v>0</v>
      </c>
      <c r="R14" s="13">
        <f t="shared" si="3"/>
        <v>0</v>
      </c>
      <c r="S14">
        <v>0</v>
      </c>
      <c r="T14">
        <v>0</v>
      </c>
      <c r="U14" s="7">
        <f t="shared" si="4"/>
        <v>0</v>
      </c>
      <c r="V14">
        <v>0</v>
      </c>
      <c r="W14">
        <v>0</v>
      </c>
      <c r="X14">
        <v>0</v>
      </c>
      <c r="Y14">
        <v>0</v>
      </c>
      <c r="Z14" s="13">
        <f t="shared" si="5"/>
        <v>0</v>
      </c>
      <c r="AA14">
        <v>0</v>
      </c>
      <c r="AB14">
        <v>0</v>
      </c>
      <c r="AC14">
        <v>0</v>
      </c>
      <c r="AD14">
        <v>0</v>
      </c>
      <c r="AE14" s="7">
        <f t="shared" si="6"/>
        <v>0</v>
      </c>
      <c r="AF14">
        <v>0</v>
      </c>
      <c r="AG14">
        <v>0</v>
      </c>
      <c r="AH14">
        <v>0</v>
      </c>
      <c r="AI14" s="13">
        <f t="shared" si="7"/>
        <v>0</v>
      </c>
      <c r="AJ14" s="11" t="s">
        <v>51</v>
      </c>
      <c r="AK14" s="11" t="s">
        <v>51</v>
      </c>
      <c r="AL14" s="11" t="s">
        <v>51</v>
      </c>
      <c r="AM14" s="13">
        <f t="shared" si="8"/>
        <v>0</v>
      </c>
      <c r="AN14" s="18">
        <v>1.1299999999999999</v>
      </c>
      <c r="AO14" s="18">
        <v>0</v>
      </c>
      <c r="AP14" s="18">
        <v>0</v>
      </c>
      <c r="AQ14" s="18">
        <v>0</v>
      </c>
      <c r="AR14" s="18">
        <f t="shared" si="9"/>
        <v>1.1299999999999999</v>
      </c>
      <c r="AS14" t="s">
        <v>87</v>
      </c>
      <c r="AT14" s="9" t="s">
        <v>95</v>
      </c>
      <c r="AU14" s="30">
        <f>+((AN14*M14)/AR14)</f>
        <v>87.65</v>
      </c>
    </row>
    <row r="15" spans="1:47" hidden="1" x14ac:dyDescent="0.25">
      <c r="A15" t="s">
        <v>46</v>
      </c>
      <c r="B15" t="s">
        <v>96</v>
      </c>
      <c r="C15" t="s">
        <v>97</v>
      </c>
      <c r="D15" t="s">
        <v>98</v>
      </c>
      <c r="E15" s="11">
        <v>17.47</v>
      </c>
      <c r="F15" s="11">
        <v>20</v>
      </c>
      <c r="G15" s="11">
        <v>42.71</v>
      </c>
      <c r="H15" s="11">
        <v>4</v>
      </c>
      <c r="I15" s="13">
        <f t="shared" si="1"/>
        <v>84.18</v>
      </c>
      <c r="J15" s="11">
        <v>0</v>
      </c>
      <c r="K15" s="11">
        <v>0</v>
      </c>
      <c r="L15" s="11">
        <v>0</v>
      </c>
      <c r="M15" s="13">
        <f t="shared" si="2"/>
        <v>0</v>
      </c>
      <c r="N15" s="11">
        <v>0</v>
      </c>
      <c r="O15" s="11">
        <v>0</v>
      </c>
      <c r="P15" s="11">
        <v>0</v>
      </c>
      <c r="Q15" s="11">
        <v>0</v>
      </c>
      <c r="R15" s="13">
        <f t="shared" si="3"/>
        <v>0</v>
      </c>
      <c r="S15">
        <v>0</v>
      </c>
      <c r="T15">
        <v>0</v>
      </c>
      <c r="U15" s="7">
        <f t="shared" si="4"/>
        <v>0</v>
      </c>
      <c r="V15">
        <v>0</v>
      </c>
      <c r="W15">
        <v>0</v>
      </c>
      <c r="X15">
        <v>0</v>
      </c>
      <c r="Y15">
        <v>0</v>
      </c>
      <c r="Z15" s="13">
        <f t="shared" si="5"/>
        <v>0</v>
      </c>
      <c r="AA15">
        <v>0</v>
      </c>
      <c r="AB15">
        <v>0</v>
      </c>
      <c r="AC15">
        <v>0</v>
      </c>
      <c r="AD15">
        <v>0</v>
      </c>
      <c r="AE15" s="7">
        <f t="shared" si="6"/>
        <v>0</v>
      </c>
      <c r="AF15">
        <v>0</v>
      </c>
      <c r="AG15">
        <v>0</v>
      </c>
      <c r="AH15">
        <v>0</v>
      </c>
      <c r="AI15" s="13">
        <f t="shared" si="7"/>
        <v>0</v>
      </c>
      <c r="AJ15" s="11" t="s">
        <v>51</v>
      </c>
      <c r="AK15" s="11" t="s">
        <v>51</v>
      </c>
      <c r="AL15" s="11" t="s">
        <v>51</v>
      </c>
      <c r="AM15" s="13">
        <f t="shared" si="8"/>
        <v>0</v>
      </c>
      <c r="AN15" s="18">
        <v>40</v>
      </c>
      <c r="AO15" s="18">
        <v>0</v>
      </c>
      <c r="AP15" s="18">
        <v>0</v>
      </c>
      <c r="AQ15" s="18">
        <v>0</v>
      </c>
      <c r="AR15" s="18">
        <f t="shared" si="9"/>
        <v>40</v>
      </c>
      <c r="AS15" t="s">
        <v>52</v>
      </c>
      <c r="AT15" s="9" t="s">
        <v>99</v>
      </c>
      <c r="AU15" s="30">
        <f>+((AN15*I15)+(AO15*AE15)+(AQ15*AI15)+(AP15*AM15))/AR15</f>
        <v>84.18</v>
      </c>
    </row>
    <row r="16" spans="1:47" hidden="1" x14ac:dyDescent="0.25">
      <c r="A16" t="s">
        <v>46</v>
      </c>
      <c r="B16" t="s">
        <v>100</v>
      </c>
      <c r="C16" t="s">
        <v>101</v>
      </c>
      <c r="D16" t="s">
        <v>102</v>
      </c>
      <c r="E16" s="11">
        <v>20</v>
      </c>
      <c r="F16" s="11">
        <v>20</v>
      </c>
      <c r="G16" s="11">
        <v>45.8</v>
      </c>
      <c r="H16" s="11">
        <v>5.5</v>
      </c>
      <c r="I16" s="13">
        <f t="shared" si="1"/>
        <v>91.3</v>
      </c>
      <c r="J16" s="11">
        <v>0</v>
      </c>
      <c r="K16" s="11">
        <v>0</v>
      </c>
      <c r="L16" s="11">
        <v>0</v>
      </c>
      <c r="M16" s="13">
        <f t="shared" si="2"/>
        <v>0</v>
      </c>
      <c r="N16" s="11">
        <v>0</v>
      </c>
      <c r="O16" s="11">
        <v>0</v>
      </c>
      <c r="P16" s="11">
        <v>0</v>
      </c>
      <c r="Q16" s="11">
        <v>0</v>
      </c>
      <c r="R16" s="13">
        <f t="shared" si="3"/>
        <v>0</v>
      </c>
      <c r="S16">
        <v>0</v>
      </c>
      <c r="T16">
        <v>0</v>
      </c>
      <c r="U16" s="7">
        <f t="shared" si="4"/>
        <v>0</v>
      </c>
      <c r="V16">
        <v>0</v>
      </c>
      <c r="W16">
        <v>0</v>
      </c>
      <c r="X16">
        <v>0</v>
      </c>
      <c r="Y16">
        <v>0</v>
      </c>
      <c r="Z16" s="13">
        <f t="shared" si="5"/>
        <v>0</v>
      </c>
      <c r="AA16">
        <v>0</v>
      </c>
      <c r="AB16">
        <v>0</v>
      </c>
      <c r="AC16">
        <v>0</v>
      </c>
      <c r="AD16">
        <v>0</v>
      </c>
      <c r="AE16" s="7">
        <f t="shared" si="6"/>
        <v>0</v>
      </c>
      <c r="AF16">
        <v>45</v>
      </c>
      <c r="AG16">
        <v>20</v>
      </c>
      <c r="AH16">
        <v>28.25</v>
      </c>
      <c r="AI16" s="13">
        <f t="shared" si="7"/>
        <v>93.25</v>
      </c>
      <c r="AJ16" s="11" t="s">
        <v>51</v>
      </c>
      <c r="AK16" s="11" t="s">
        <v>51</v>
      </c>
      <c r="AL16" s="11" t="s">
        <v>51</v>
      </c>
      <c r="AM16" s="13">
        <f t="shared" si="8"/>
        <v>0</v>
      </c>
      <c r="AN16" s="18">
        <v>32</v>
      </c>
      <c r="AO16" s="18">
        <v>0</v>
      </c>
      <c r="AP16" s="18">
        <v>0</v>
      </c>
      <c r="AQ16" s="18">
        <v>8</v>
      </c>
      <c r="AR16" s="18">
        <f t="shared" si="9"/>
        <v>40</v>
      </c>
      <c r="AS16" t="s">
        <v>52</v>
      </c>
      <c r="AT16" s="9" t="s">
        <v>103</v>
      </c>
      <c r="AU16" s="30">
        <f>+((AN16*I16)+(AO16*AE16)+(AQ16*AI16)+(AP16*AM16))/AR16</f>
        <v>91.69</v>
      </c>
    </row>
    <row r="17" spans="1:47" hidden="1" x14ac:dyDescent="0.25">
      <c r="A17" t="s">
        <v>46</v>
      </c>
      <c r="B17" t="s">
        <v>104</v>
      </c>
      <c r="C17" t="s">
        <v>105</v>
      </c>
      <c r="D17" t="s">
        <v>106</v>
      </c>
      <c r="E17" s="11">
        <v>20</v>
      </c>
      <c r="F17" s="11">
        <v>20</v>
      </c>
      <c r="G17" s="11">
        <v>46.28</v>
      </c>
      <c r="H17" s="11">
        <v>5.5</v>
      </c>
      <c r="I17" s="13">
        <f t="shared" si="1"/>
        <v>91.78</v>
      </c>
      <c r="J17" s="11">
        <v>0</v>
      </c>
      <c r="K17" s="11">
        <v>0</v>
      </c>
      <c r="L17" s="11">
        <v>0</v>
      </c>
      <c r="M17" s="13">
        <f t="shared" si="2"/>
        <v>0</v>
      </c>
      <c r="N17" s="11">
        <v>0</v>
      </c>
      <c r="O17" s="11">
        <v>0</v>
      </c>
      <c r="P17" s="11">
        <v>0</v>
      </c>
      <c r="Q17" s="11">
        <v>0</v>
      </c>
      <c r="R17" s="13">
        <f t="shared" si="3"/>
        <v>0</v>
      </c>
      <c r="S17">
        <v>0</v>
      </c>
      <c r="T17">
        <v>0</v>
      </c>
      <c r="U17" s="7">
        <f t="shared" si="4"/>
        <v>0</v>
      </c>
      <c r="V17">
        <v>0</v>
      </c>
      <c r="W17">
        <v>0</v>
      </c>
      <c r="X17">
        <v>0</v>
      </c>
      <c r="Y17">
        <v>0</v>
      </c>
      <c r="Z17" s="13">
        <f t="shared" si="5"/>
        <v>0</v>
      </c>
      <c r="AA17">
        <v>0</v>
      </c>
      <c r="AB17">
        <v>0</v>
      </c>
      <c r="AC17">
        <v>0</v>
      </c>
      <c r="AD17">
        <v>0</v>
      </c>
      <c r="AE17" s="7">
        <f t="shared" si="6"/>
        <v>0</v>
      </c>
      <c r="AF17">
        <v>0</v>
      </c>
      <c r="AG17">
        <v>0</v>
      </c>
      <c r="AH17">
        <v>0</v>
      </c>
      <c r="AI17" s="13">
        <f t="shared" si="7"/>
        <v>0</v>
      </c>
      <c r="AJ17" s="11" t="s">
        <v>51</v>
      </c>
      <c r="AK17" s="11" t="s">
        <v>51</v>
      </c>
      <c r="AL17" s="11" t="s">
        <v>51</v>
      </c>
      <c r="AM17" s="13">
        <f t="shared" si="8"/>
        <v>0</v>
      </c>
      <c r="AN17" s="18">
        <v>20</v>
      </c>
      <c r="AO17" s="18">
        <v>0</v>
      </c>
      <c r="AP17" s="18">
        <v>0</v>
      </c>
      <c r="AQ17" s="18">
        <v>0</v>
      </c>
      <c r="AR17" s="18">
        <f t="shared" si="9"/>
        <v>20</v>
      </c>
      <c r="AS17" t="s">
        <v>52</v>
      </c>
      <c r="AT17" s="9" t="s">
        <v>107</v>
      </c>
      <c r="AU17" s="30">
        <f>+((AN17*I17)+(AO17*AE17)+(AQ17*AI17)+(AP17*AM17))/AR17</f>
        <v>91.78</v>
      </c>
    </row>
    <row r="18" spans="1:47" hidden="1" x14ac:dyDescent="0.25">
      <c r="A18" t="s">
        <v>46</v>
      </c>
      <c r="B18" t="s">
        <v>108</v>
      </c>
      <c r="C18" t="s">
        <v>109</v>
      </c>
      <c r="D18" t="s">
        <v>110</v>
      </c>
      <c r="E18" s="11">
        <v>18.329999999999998</v>
      </c>
      <c r="F18" s="11">
        <v>13.330000000000002</v>
      </c>
      <c r="G18" s="11">
        <v>50</v>
      </c>
      <c r="H18" s="11">
        <v>6.5</v>
      </c>
      <c r="I18" s="13">
        <f t="shared" si="1"/>
        <v>88.16</v>
      </c>
      <c r="J18" s="11">
        <v>0</v>
      </c>
      <c r="K18" s="11">
        <v>0</v>
      </c>
      <c r="L18" s="11">
        <v>0</v>
      </c>
      <c r="M18" s="13">
        <f t="shared" si="2"/>
        <v>0</v>
      </c>
      <c r="N18" s="11">
        <v>0</v>
      </c>
      <c r="O18" s="11">
        <v>0</v>
      </c>
      <c r="P18" s="11">
        <v>0</v>
      </c>
      <c r="Q18" s="11">
        <v>0</v>
      </c>
      <c r="R18" s="13">
        <f t="shared" si="3"/>
        <v>0</v>
      </c>
      <c r="S18">
        <v>0</v>
      </c>
      <c r="T18">
        <v>0</v>
      </c>
      <c r="U18" s="7">
        <f t="shared" si="4"/>
        <v>0</v>
      </c>
      <c r="V18">
        <v>0</v>
      </c>
      <c r="W18">
        <v>0</v>
      </c>
      <c r="X18">
        <v>0</v>
      </c>
      <c r="Y18">
        <v>0</v>
      </c>
      <c r="Z18" s="13">
        <f t="shared" si="5"/>
        <v>0</v>
      </c>
      <c r="AA18">
        <v>0</v>
      </c>
      <c r="AB18">
        <v>0</v>
      </c>
      <c r="AC18">
        <v>0</v>
      </c>
      <c r="AD18">
        <v>0</v>
      </c>
      <c r="AE18" s="7">
        <f t="shared" si="6"/>
        <v>0</v>
      </c>
      <c r="AF18">
        <v>0</v>
      </c>
      <c r="AG18">
        <v>0</v>
      </c>
      <c r="AH18">
        <v>0</v>
      </c>
      <c r="AI18" s="13">
        <f t="shared" si="7"/>
        <v>0</v>
      </c>
      <c r="AJ18" s="11" t="s">
        <v>51</v>
      </c>
      <c r="AK18" s="11" t="s">
        <v>51</v>
      </c>
      <c r="AL18" s="11" t="s">
        <v>51</v>
      </c>
      <c r="AM18" s="13">
        <f t="shared" si="8"/>
        <v>0</v>
      </c>
      <c r="AN18" s="18">
        <v>3</v>
      </c>
      <c r="AO18" s="18">
        <v>0</v>
      </c>
      <c r="AP18" s="18">
        <v>0</v>
      </c>
      <c r="AQ18" s="18">
        <v>0</v>
      </c>
      <c r="AR18" s="18">
        <f t="shared" si="9"/>
        <v>3</v>
      </c>
      <c r="AS18" t="s">
        <v>52</v>
      </c>
      <c r="AT18" s="9" t="s">
        <v>111</v>
      </c>
      <c r="AU18" s="30">
        <f>+((AN18*I18)+(AO18*AE18)+(AQ18*AI18)+(AP18*AM18))/AR18</f>
        <v>88.160000000000011</v>
      </c>
    </row>
    <row r="19" spans="1:47" hidden="1" x14ac:dyDescent="0.25">
      <c r="A19" t="s">
        <v>46</v>
      </c>
      <c r="B19" s="32" t="s">
        <v>112</v>
      </c>
      <c r="C19" s="32" t="s">
        <v>113</v>
      </c>
      <c r="D19" s="32" t="s">
        <v>114</v>
      </c>
      <c r="E19" s="11">
        <v>0</v>
      </c>
      <c r="F19" s="11">
        <v>0</v>
      </c>
      <c r="G19" s="11">
        <v>0</v>
      </c>
      <c r="H19" s="11">
        <v>0</v>
      </c>
      <c r="I19" s="13">
        <f t="shared" si="1"/>
        <v>0</v>
      </c>
      <c r="J19" s="11">
        <v>0</v>
      </c>
      <c r="K19" s="11">
        <v>0</v>
      </c>
      <c r="L19" s="11">
        <v>0</v>
      </c>
      <c r="M19" s="13">
        <f t="shared" si="2"/>
        <v>0</v>
      </c>
      <c r="N19" s="11">
        <v>59.462499999999999</v>
      </c>
      <c r="O19" s="11">
        <v>3.125</v>
      </c>
      <c r="P19" s="11">
        <v>10.4125</v>
      </c>
      <c r="Q19" s="11">
        <v>0</v>
      </c>
      <c r="R19" s="13">
        <f t="shared" si="3"/>
        <v>73</v>
      </c>
      <c r="S19">
        <v>0</v>
      </c>
      <c r="T19">
        <v>0</v>
      </c>
      <c r="U19" s="7">
        <f t="shared" si="4"/>
        <v>0</v>
      </c>
      <c r="V19">
        <v>0</v>
      </c>
      <c r="W19">
        <v>0</v>
      </c>
      <c r="X19">
        <v>0</v>
      </c>
      <c r="Y19">
        <v>0</v>
      </c>
      <c r="Z19" s="13">
        <f t="shared" si="5"/>
        <v>0</v>
      </c>
      <c r="AA19">
        <v>0</v>
      </c>
      <c r="AB19">
        <v>0</v>
      </c>
      <c r="AC19">
        <v>0</v>
      </c>
      <c r="AD19">
        <v>0</v>
      </c>
      <c r="AE19" s="7">
        <f t="shared" si="6"/>
        <v>0</v>
      </c>
      <c r="AF19">
        <v>0</v>
      </c>
      <c r="AG19">
        <v>0</v>
      </c>
      <c r="AH19">
        <v>0</v>
      </c>
      <c r="AI19" s="13">
        <f t="shared" si="7"/>
        <v>0</v>
      </c>
      <c r="AJ19" s="11" t="s">
        <v>51</v>
      </c>
      <c r="AK19" s="11" t="s">
        <v>51</v>
      </c>
      <c r="AL19" s="11" t="s">
        <v>51</v>
      </c>
      <c r="AM19" s="13">
        <f t="shared" si="8"/>
        <v>0</v>
      </c>
      <c r="AN19" s="18">
        <v>6</v>
      </c>
      <c r="AO19" s="18">
        <v>0</v>
      </c>
      <c r="AP19" s="18">
        <v>0</v>
      </c>
      <c r="AQ19" s="18">
        <v>0</v>
      </c>
      <c r="AR19" s="18">
        <f t="shared" si="9"/>
        <v>6</v>
      </c>
      <c r="AS19" t="s">
        <v>117</v>
      </c>
      <c r="AT19" s="9" t="s">
        <v>115</v>
      </c>
      <c r="AU19" s="11">
        <f>+((AN19*R19)+(AQ19*AI19)+(AP19*AM19))/AR19</f>
        <v>73</v>
      </c>
    </row>
    <row r="20" spans="1:47" hidden="1" x14ac:dyDescent="0.25">
      <c r="A20" t="s">
        <v>46</v>
      </c>
      <c r="B20" s="32" t="s">
        <v>118</v>
      </c>
      <c r="C20" s="32" t="s">
        <v>119</v>
      </c>
      <c r="D20" s="32" t="s">
        <v>120</v>
      </c>
      <c r="E20" s="11">
        <v>0</v>
      </c>
      <c r="F20" s="11">
        <v>0</v>
      </c>
      <c r="G20" s="11">
        <v>0</v>
      </c>
      <c r="H20" s="11">
        <v>0</v>
      </c>
      <c r="I20" s="13">
        <f t="shared" si="1"/>
        <v>0</v>
      </c>
      <c r="J20" s="11">
        <v>0</v>
      </c>
      <c r="K20" s="11">
        <v>0</v>
      </c>
      <c r="L20" s="11">
        <v>0</v>
      </c>
      <c r="M20" s="13">
        <f t="shared" si="2"/>
        <v>0</v>
      </c>
      <c r="N20" s="11">
        <v>56.15</v>
      </c>
      <c r="O20" s="11">
        <v>6.25</v>
      </c>
      <c r="P20" s="11">
        <v>0</v>
      </c>
      <c r="Q20" s="11">
        <v>25</v>
      </c>
      <c r="R20" s="13">
        <f t="shared" si="3"/>
        <v>87.4</v>
      </c>
      <c r="S20">
        <v>0</v>
      </c>
      <c r="T20">
        <v>0</v>
      </c>
      <c r="U20" s="7">
        <f t="shared" si="4"/>
        <v>0</v>
      </c>
      <c r="V20">
        <v>0</v>
      </c>
      <c r="W20">
        <v>0</v>
      </c>
      <c r="X20">
        <v>0</v>
      </c>
      <c r="Y20">
        <v>0</v>
      </c>
      <c r="Z20" s="13">
        <f t="shared" si="5"/>
        <v>0</v>
      </c>
      <c r="AA20">
        <v>0</v>
      </c>
      <c r="AB20">
        <v>0</v>
      </c>
      <c r="AC20">
        <v>0</v>
      </c>
      <c r="AD20">
        <v>0</v>
      </c>
      <c r="AE20" s="7">
        <f t="shared" si="6"/>
        <v>0</v>
      </c>
      <c r="AF20">
        <v>0</v>
      </c>
      <c r="AG20">
        <v>0</v>
      </c>
      <c r="AH20">
        <v>0</v>
      </c>
      <c r="AI20" s="13">
        <f t="shared" si="7"/>
        <v>0</v>
      </c>
      <c r="AJ20" s="11" t="s">
        <v>51</v>
      </c>
      <c r="AK20" s="11" t="s">
        <v>51</v>
      </c>
      <c r="AL20" s="11" t="s">
        <v>51</v>
      </c>
      <c r="AM20" s="13">
        <f t="shared" si="8"/>
        <v>0</v>
      </c>
      <c r="AN20" s="18">
        <v>40</v>
      </c>
      <c r="AO20" s="18">
        <v>0</v>
      </c>
      <c r="AP20" s="18">
        <v>0</v>
      </c>
      <c r="AQ20" s="18">
        <v>0</v>
      </c>
      <c r="AR20" s="18">
        <f t="shared" si="9"/>
        <v>40</v>
      </c>
      <c r="AS20" t="s">
        <v>117</v>
      </c>
      <c r="AT20" s="9" t="s">
        <v>121</v>
      </c>
      <c r="AU20" s="11">
        <f>+((AN20*R20)+(AQ20*AI20)+(AP20*AM20))/AR20</f>
        <v>87.4</v>
      </c>
    </row>
    <row r="21" spans="1:47" hidden="1" x14ac:dyDescent="0.25">
      <c r="A21" t="s">
        <v>46</v>
      </c>
      <c r="B21" s="32" t="s">
        <v>122</v>
      </c>
      <c r="C21" s="32" t="s">
        <v>123</v>
      </c>
      <c r="D21" s="32" t="s">
        <v>124</v>
      </c>
      <c r="E21" s="11">
        <v>0</v>
      </c>
      <c r="F21" s="11">
        <v>0</v>
      </c>
      <c r="G21" s="11">
        <v>0</v>
      </c>
      <c r="H21" s="11">
        <v>0</v>
      </c>
      <c r="I21" s="13">
        <f t="shared" si="1"/>
        <v>0</v>
      </c>
      <c r="J21" s="11">
        <v>0</v>
      </c>
      <c r="K21" s="11">
        <v>0</v>
      </c>
      <c r="L21" s="11">
        <v>0</v>
      </c>
      <c r="M21" s="13">
        <f t="shared" si="2"/>
        <v>0</v>
      </c>
      <c r="N21" s="11">
        <v>48.012500000000003</v>
      </c>
      <c r="O21" s="11">
        <v>5</v>
      </c>
      <c r="P21" s="11">
        <v>0</v>
      </c>
      <c r="Q21" s="11">
        <v>23.75</v>
      </c>
      <c r="R21" s="13">
        <f t="shared" si="3"/>
        <v>76.762500000000003</v>
      </c>
      <c r="S21">
        <v>0</v>
      </c>
      <c r="T21">
        <v>0</v>
      </c>
      <c r="U21" s="7">
        <f t="shared" si="4"/>
        <v>0</v>
      </c>
      <c r="V21">
        <v>0</v>
      </c>
      <c r="W21">
        <v>0</v>
      </c>
      <c r="X21">
        <v>0</v>
      </c>
      <c r="Y21">
        <v>0</v>
      </c>
      <c r="Z21" s="13">
        <f t="shared" si="5"/>
        <v>0</v>
      </c>
      <c r="AA21">
        <v>0</v>
      </c>
      <c r="AB21">
        <v>0</v>
      </c>
      <c r="AC21">
        <v>0</v>
      </c>
      <c r="AD21">
        <v>0</v>
      </c>
      <c r="AE21" s="7">
        <f t="shared" si="6"/>
        <v>0</v>
      </c>
      <c r="AF21">
        <v>0</v>
      </c>
      <c r="AG21">
        <v>0</v>
      </c>
      <c r="AH21">
        <v>0</v>
      </c>
      <c r="AI21" s="13">
        <f t="shared" si="7"/>
        <v>0</v>
      </c>
      <c r="AJ21" s="11" t="s">
        <v>51</v>
      </c>
      <c r="AK21" s="11" t="s">
        <v>51</v>
      </c>
      <c r="AL21" s="11" t="s">
        <v>51</v>
      </c>
      <c r="AM21" s="13">
        <f t="shared" si="8"/>
        <v>0</v>
      </c>
      <c r="AN21" s="18">
        <v>8</v>
      </c>
      <c r="AO21" s="18">
        <v>0</v>
      </c>
      <c r="AP21" s="18">
        <v>0</v>
      </c>
      <c r="AQ21" s="18">
        <v>0</v>
      </c>
      <c r="AR21" s="18">
        <f t="shared" si="9"/>
        <v>8</v>
      </c>
      <c r="AS21" t="s">
        <v>117</v>
      </c>
      <c r="AT21" s="9" t="s">
        <v>125</v>
      </c>
      <c r="AU21" s="11">
        <f>+((AN21*R21)+(AQ21*AI21)+(AP21*AM21))/AR21</f>
        <v>76.762500000000003</v>
      </c>
    </row>
    <row r="22" spans="1:47" s="25" customFormat="1" hidden="1" x14ac:dyDescent="0.25">
      <c r="A22" s="25" t="s">
        <v>46</v>
      </c>
      <c r="B22" s="25" t="s">
        <v>126</v>
      </c>
      <c r="C22" s="25" t="s">
        <v>127</v>
      </c>
      <c r="D22" s="25" t="s">
        <v>128</v>
      </c>
      <c r="E22" s="26">
        <v>18.07</v>
      </c>
      <c r="F22" s="26">
        <v>20</v>
      </c>
      <c r="G22" s="26">
        <v>44.59</v>
      </c>
      <c r="H22" s="26">
        <v>2.5</v>
      </c>
      <c r="I22" s="13">
        <f t="shared" si="1"/>
        <v>85.16</v>
      </c>
      <c r="J22" s="26">
        <v>0</v>
      </c>
      <c r="K22" s="26">
        <v>0</v>
      </c>
      <c r="L22" s="26">
        <v>0</v>
      </c>
      <c r="M22" s="13">
        <f t="shared" si="2"/>
        <v>0</v>
      </c>
      <c r="N22" s="26">
        <v>0</v>
      </c>
      <c r="O22" s="26">
        <v>0</v>
      </c>
      <c r="P22" s="26">
        <v>0</v>
      </c>
      <c r="Q22" s="26">
        <v>0</v>
      </c>
      <c r="R22" s="13">
        <f t="shared" si="3"/>
        <v>0</v>
      </c>
      <c r="S22" s="25">
        <v>0</v>
      </c>
      <c r="T22" s="25">
        <v>0</v>
      </c>
      <c r="U22" s="7">
        <f t="shared" si="4"/>
        <v>0</v>
      </c>
      <c r="V22" s="25">
        <v>0</v>
      </c>
      <c r="W22" s="25">
        <v>0</v>
      </c>
      <c r="X22" s="25">
        <v>0</v>
      </c>
      <c r="Y22" s="25">
        <v>0</v>
      </c>
      <c r="Z22" s="13">
        <f t="shared" si="5"/>
        <v>0</v>
      </c>
      <c r="AA22" s="26">
        <v>17.647058823529413</v>
      </c>
      <c r="AB22" s="26">
        <v>58.82352941176471</v>
      </c>
      <c r="AC22" s="26">
        <v>0</v>
      </c>
      <c r="AD22" s="26">
        <v>22.058823529411761</v>
      </c>
      <c r="AE22" s="7">
        <f t="shared" si="6"/>
        <v>98.529411764705884</v>
      </c>
      <c r="AF22" s="25">
        <v>35</v>
      </c>
      <c r="AG22" s="25">
        <v>20</v>
      </c>
      <c r="AH22" s="25">
        <v>25.14</v>
      </c>
      <c r="AI22" s="13">
        <f t="shared" si="7"/>
        <v>80.14</v>
      </c>
      <c r="AJ22" s="26">
        <v>0</v>
      </c>
      <c r="AK22" s="26" t="s">
        <v>51</v>
      </c>
      <c r="AL22" s="26" t="s">
        <v>51</v>
      </c>
      <c r="AM22" s="13">
        <f t="shared" si="8"/>
        <v>0</v>
      </c>
      <c r="AN22" s="23">
        <v>26.25</v>
      </c>
      <c r="AO22" s="23">
        <v>5</v>
      </c>
      <c r="AP22" s="23">
        <v>0</v>
      </c>
      <c r="AQ22" s="23">
        <v>6.75</v>
      </c>
      <c r="AR22" s="18">
        <f t="shared" si="9"/>
        <v>38</v>
      </c>
      <c r="AS22" s="25" t="s">
        <v>52</v>
      </c>
      <c r="AT22" s="29" t="s">
        <v>129</v>
      </c>
      <c r="AU22" s="30">
        <f>+((AN22*I22)+(AO22*AE22)+(AQ22*AI22)+(AP22*AM22))/AR22</f>
        <v>86.02742260061919</v>
      </c>
    </row>
    <row r="23" spans="1:47" hidden="1" x14ac:dyDescent="0.25">
      <c r="A23" t="s">
        <v>46</v>
      </c>
      <c r="B23" t="s">
        <v>130</v>
      </c>
      <c r="C23" t="s">
        <v>131</v>
      </c>
      <c r="D23" t="s">
        <v>132</v>
      </c>
      <c r="E23" s="11">
        <v>19.670000000000002</v>
      </c>
      <c r="F23" s="11">
        <v>20</v>
      </c>
      <c r="G23" s="11">
        <v>47.38</v>
      </c>
      <c r="H23" s="11">
        <v>4.5</v>
      </c>
      <c r="I23" s="13">
        <f t="shared" si="1"/>
        <v>91.550000000000011</v>
      </c>
      <c r="J23" s="11">
        <v>0</v>
      </c>
      <c r="K23" s="11">
        <v>0</v>
      </c>
      <c r="L23" s="11">
        <v>0</v>
      </c>
      <c r="M23" s="13">
        <f t="shared" si="2"/>
        <v>0</v>
      </c>
      <c r="N23" s="11">
        <v>0</v>
      </c>
      <c r="O23" s="11">
        <v>0</v>
      </c>
      <c r="P23" s="11">
        <v>0</v>
      </c>
      <c r="Q23" s="11">
        <v>0</v>
      </c>
      <c r="R23" s="13">
        <f t="shared" si="3"/>
        <v>0</v>
      </c>
      <c r="S23">
        <v>0</v>
      </c>
      <c r="T23">
        <v>0</v>
      </c>
      <c r="U23" s="7">
        <f t="shared" si="4"/>
        <v>0</v>
      </c>
      <c r="V23">
        <v>0</v>
      </c>
      <c r="W23">
        <v>0</v>
      </c>
      <c r="X23">
        <v>0</v>
      </c>
      <c r="Y23">
        <v>0</v>
      </c>
      <c r="Z23" s="13">
        <f t="shared" si="5"/>
        <v>0</v>
      </c>
      <c r="AA23">
        <v>0</v>
      </c>
      <c r="AB23">
        <v>0</v>
      </c>
      <c r="AC23">
        <v>0</v>
      </c>
      <c r="AD23">
        <v>0</v>
      </c>
      <c r="AE23" s="7">
        <f t="shared" si="6"/>
        <v>0</v>
      </c>
      <c r="AF23">
        <v>0</v>
      </c>
      <c r="AG23">
        <v>0</v>
      </c>
      <c r="AH23">
        <v>0</v>
      </c>
      <c r="AI23" s="13">
        <f t="shared" si="7"/>
        <v>0</v>
      </c>
      <c r="AJ23" s="11" t="s">
        <v>51</v>
      </c>
      <c r="AK23" s="11" t="s">
        <v>51</v>
      </c>
      <c r="AL23" s="11" t="s">
        <v>51</v>
      </c>
      <c r="AM23" s="13">
        <f t="shared" si="8"/>
        <v>0</v>
      </c>
      <c r="AN23" s="18">
        <v>40</v>
      </c>
      <c r="AO23" s="18">
        <v>0</v>
      </c>
      <c r="AP23" s="18">
        <v>0</v>
      </c>
      <c r="AQ23" s="18">
        <v>0</v>
      </c>
      <c r="AR23" s="18">
        <f t="shared" si="9"/>
        <v>40</v>
      </c>
      <c r="AS23" t="s">
        <v>52</v>
      </c>
      <c r="AT23" s="9" t="s">
        <v>133</v>
      </c>
      <c r="AU23" s="30">
        <f>+((AN23*I23)+(AO23*AE23)+(AQ23*AI23)+(AP23*AM23))/AR23</f>
        <v>91.550000000000011</v>
      </c>
    </row>
    <row r="24" spans="1:47" hidden="1" x14ac:dyDescent="0.25">
      <c r="A24" t="s">
        <v>46</v>
      </c>
      <c r="B24" t="s">
        <v>134</v>
      </c>
      <c r="C24" t="s">
        <v>135</v>
      </c>
      <c r="D24" t="s">
        <v>136</v>
      </c>
      <c r="E24" s="11">
        <v>20</v>
      </c>
      <c r="F24" s="11">
        <v>20</v>
      </c>
      <c r="G24" s="11">
        <v>44.73</v>
      </c>
      <c r="H24" s="11">
        <v>5.5</v>
      </c>
      <c r="I24" s="13">
        <f t="shared" si="1"/>
        <v>90.22999999999999</v>
      </c>
      <c r="J24" s="11">
        <v>0</v>
      </c>
      <c r="K24" s="11">
        <v>0</v>
      </c>
      <c r="L24" s="11">
        <v>0</v>
      </c>
      <c r="M24" s="13">
        <f t="shared" si="2"/>
        <v>0</v>
      </c>
      <c r="N24" s="11">
        <v>0</v>
      </c>
      <c r="O24" s="11">
        <v>0</v>
      </c>
      <c r="P24" s="11">
        <v>0</v>
      </c>
      <c r="Q24" s="11">
        <v>0</v>
      </c>
      <c r="R24" s="13">
        <f t="shared" si="3"/>
        <v>0</v>
      </c>
      <c r="S24">
        <v>0</v>
      </c>
      <c r="T24">
        <v>0</v>
      </c>
      <c r="U24" s="7">
        <f t="shared" si="4"/>
        <v>0</v>
      </c>
      <c r="V24">
        <v>0</v>
      </c>
      <c r="W24">
        <v>0</v>
      </c>
      <c r="X24">
        <v>0</v>
      </c>
      <c r="Y24">
        <v>0</v>
      </c>
      <c r="Z24" s="13">
        <f t="shared" si="5"/>
        <v>0</v>
      </c>
      <c r="AA24">
        <v>15</v>
      </c>
      <c r="AB24">
        <v>50</v>
      </c>
      <c r="AC24">
        <v>15</v>
      </c>
      <c r="AD24">
        <v>20</v>
      </c>
      <c r="AE24" s="7">
        <f t="shared" si="6"/>
        <v>100</v>
      </c>
      <c r="AF24">
        <v>0</v>
      </c>
      <c r="AG24">
        <v>0</v>
      </c>
      <c r="AH24">
        <v>0</v>
      </c>
      <c r="AI24" s="13">
        <f t="shared" si="7"/>
        <v>0</v>
      </c>
      <c r="AJ24" s="11" t="s">
        <v>51</v>
      </c>
      <c r="AK24" s="11" t="s">
        <v>51</v>
      </c>
      <c r="AL24" s="11" t="s">
        <v>51</v>
      </c>
      <c r="AM24" s="13">
        <f t="shared" si="8"/>
        <v>0</v>
      </c>
      <c r="AN24" s="18">
        <v>35</v>
      </c>
      <c r="AO24" s="18">
        <v>5</v>
      </c>
      <c r="AP24" s="18">
        <v>0</v>
      </c>
      <c r="AQ24" s="18">
        <v>0</v>
      </c>
      <c r="AR24" s="18">
        <f t="shared" si="9"/>
        <v>40</v>
      </c>
      <c r="AS24" t="s">
        <v>52</v>
      </c>
      <c r="AT24" s="9" t="s">
        <v>137</v>
      </c>
      <c r="AU24" s="30">
        <f>+((AN24*I24)+(AO24*AE24)+(AQ24*AI24)+(AP24*AM24))/AR24</f>
        <v>91.451249999999987</v>
      </c>
    </row>
    <row r="25" spans="1:47" hidden="1" x14ac:dyDescent="0.25">
      <c r="A25" t="s">
        <v>46</v>
      </c>
      <c r="B25" t="s">
        <v>138</v>
      </c>
      <c r="C25" t="s">
        <v>139</v>
      </c>
      <c r="D25" t="s">
        <v>140</v>
      </c>
      <c r="E25" s="11">
        <v>0</v>
      </c>
      <c r="F25" s="11">
        <v>22.912500000000001</v>
      </c>
      <c r="G25" s="11">
        <v>55.962499999999999</v>
      </c>
      <c r="H25" s="11">
        <v>5</v>
      </c>
      <c r="I25" s="13">
        <f t="shared" si="1"/>
        <v>83.875</v>
      </c>
      <c r="J25" s="11">
        <v>0</v>
      </c>
      <c r="K25" s="11">
        <v>0</v>
      </c>
      <c r="L25" s="11">
        <v>0</v>
      </c>
      <c r="M25" s="13">
        <f t="shared" si="2"/>
        <v>0</v>
      </c>
      <c r="N25" s="11">
        <v>0</v>
      </c>
      <c r="O25" s="11">
        <v>0</v>
      </c>
      <c r="P25" s="11">
        <v>0</v>
      </c>
      <c r="Q25" s="11">
        <v>0</v>
      </c>
      <c r="R25" s="13">
        <f t="shared" si="3"/>
        <v>0</v>
      </c>
      <c r="S25">
        <v>0</v>
      </c>
      <c r="T25">
        <v>0</v>
      </c>
      <c r="U25" s="7">
        <f t="shared" si="4"/>
        <v>0</v>
      </c>
      <c r="V25">
        <v>0</v>
      </c>
      <c r="W25">
        <v>0</v>
      </c>
      <c r="X25">
        <v>0</v>
      </c>
      <c r="Y25">
        <v>0</v>
      </c>
      <c r="Z25" s="13">
        <f t="shared" si="5"/>
        <v>0</v>
      </c>
      <c r="AA25">
        <v>0</v>
      </c>
      <c r="AB25">
        <v>0</v>
      </c>
      <c r="AC25">
        <v>0</v>
      </c>
      <c r="AD25">
        <v>0</v>
      </c>
      <c r="AE25" s="7">
        <f t="shared" si="6"/>
        <v>0</v>
      </c>
      <c r="AF25">
        <v>0</v>
      </c>
      <c r="AG25">
        <v>0</v>
      </c>
      <c r="AH25">
        <v>0</v>
      </c>
      <c r="AI25" s="13">
        <f t="shared" si="7"/>
        <v>0</v>
      </c>
      <c r="AJ25" s="11" t="s">
        <v>51</v>
      </c>
      <c r="AK25" s="11" t="s">
        <v>51</v>
      </c>
      <c r="AL25" s="11" t="s">
        <v>51</v>
      </c>
      <c r="AM25" s="13">
        <f t="shared" si="8"/>
        <v>0</v>
      </c>
      <c r="AN25" s="18">
        <v>10</v>
      </c>
      <c r="AO25" s="18">
        <v>0</v>
      </c>
      <c r="AP25" s="18">
        <v>0</v>
      </c>
      <c r="AQ25" s="18">
        <v>0</v>
      </c>
      <c r="AR25" s="18">
        <f t="shared" si="9"/>
        <v>10</v>
      </c>
      <c r="AS25" t="s">
        <v>52</v>
      </c>
      <c r="AT25" s="9" t="s">
        <v>141</v>
      </c>
      <c r="AU25" s="30">
        <f>+((AN25*I25)+(AO25*AE25)+(AQ25*AI25)+(AP25*AM25))/AR25</f>
        <v>83.875</v>
      </c>
    </row>
    <row r="26" spans="1:47" hidden="1" x14ac:dyDescent="0.25">
      <c r="A26" t="s">
        <v>46</v>
      </c>
      <c r="B26" t="s">
        <v>142</v>
      </c>
      <c r="C26" t="s">
        <v>143</v>
      </c>
      <c r="D26" t="s">
        <v>144</v>
      </c>
      <c r="E26" s="11">
        <v>20</v>
      </c>
      <c r="F26" s="11">
        <v>13.330000000000002</v>
      </c>
      <c r="G26" s="11">
        <v>47.3</v>
      </c>
      <c r="H26" s="11">
        <v>3</v>
      </c>
      <c r="I26" s="13">
        <f t="shared" si="1"/>
        <v>83.63</v>
      </c>
      <c r="J26" s="11">
        <v>0</v>
      </c>
      <c r="K26" s="11">
        <v>0</v>
      </c>
      <c r="L26" s="11">
        <v>0</v>
      </c>
      <c r="M26" s="13">
        <f t="shared" si="2"/>
        <v>0</v>
      </c>
      <c r="N26" s="11">
        <v>0</v>
      </c>
      <c r="O26" s="11">
        <v>0</v>
      </c>
      <c r="P26" s="11">
        <v>0</v>
      </c>
      <c r="Q26" s="11">
        <v>0</v>
      </c>
      <c r="R26" s="13">
        <f t="shared" si="3"/>
        <v>0</v>
      </c>
      <c r="S26">
        <v>0</v>
      </c>
      <c r="T26">
        <v>0</v>
      </c>
      <c r="U26" s="7">
        <f t="shared" si="4"/>
        <v>0</v>
      </c>
      <c r="V26">
        <v>0</v>
      </c>
      <c r="W26">
        <v>0</v>
      </c>
      <c r="X26">
        <v>0</v>
      </c>
      <c r="Y26">
        <v>0</v>
      </c>
      <c r="Z26" s="13">
        <f t="shared" si="5"/>
        <v>0</v>
      </c>
      <c r="AA26">
        <v>0</v>
      </c>
      <c r="AB26">
        <v>0</v>
      </c>
      <c r="AC26">
        <v>0</v>
      </c>
      <c r="AD26">
        <v>0</v>
      </c>
      <c r="AE26" s="7">
        <f t="shared" si="6"/>
        <v>0</v>
      </c>
      <c r="AF26">
        <v>0</v>
      </c>
      <c r="AG26">
        <v>0</v>
      </c>
      <c r="AH26">
        <v>0</v>
      </c>
      <c r="AI26" s="13">
        <f t="shared" si="7"/>
        <v>0</v>
      </c>
      <c r="AJ26" s="11" t="s">
        <v>51</v>
      </c>
      <c r="AK26" s="11" t="s">
        <v>51</v>
      </c>
      <c r="AL26" s="11" t="s">
        <v>51</v>
      </c>
      <c r="AM26" s="13">
        <f t="shared" si="8"/>
        <v>0</v>
      </c>
      <c r="AN26" s="18">
        <v>40</v>
      </c>
      <c r="AO26" s="18">
        <v>0</v>
      </c>
      <c r="AP26" s="18">
        <v>0</v>
      </c>
      <c r="AQ26" s="18">
        <v>0</v>
      </c>
      <c r="AR26" s="18">
        <f t="shared" si="9"/>
        <v>40</v>
      </c>
      <c r="AS26" t="s">
        <v>52</v>
      </c>
      <c r="AT26" s="9" t="s">
        <v>145</v>
      </c>
      <c r="AU26" s="30">
        <f>+((AN26*I26)+(AO26*AE26)+(AQ26*AI26)+(AP26*AM26))/AR26</f>
        <v>83.63</v>
      </c>
    </row>
    <row r="27" spans="1:47" hidden="1" x14ac:dyDescent="0.25">
      <c r="A27" t="s">
        <v>46</v>
      </c>
      <c r="B27" t="s">
        <v>146</v>
      </c>
      <c r="C27" t="s">
        <v>147</v>
      </c>
      <c r="D27" t="s">
        <v>148</v>
      </c>
      <c r="E27" s="11">
        <v>0</v>
      </c>
      <c r="F27" s="11">
        <v>0</v>
      </c>
      <c r="G27" s="11">
        <v>0</v>
      </c>
      <c r="H27" s="11">
        <v>0</v>
      </c>
      <c r="I27" s="13">
        <f t="shared" si="1"/>
        <v>0</v>
      </c>
      <c r="J27" s="11">
        <v>54.92</v>
      </c>
      <c r="K27" s="11">
        <v>29</v>
      </c>
      <c r="L27" s="11">
        <v>7</v>
      </c>
      <c r="M27" s="13">
        <f t="shared" si="2"/>
        <v>90.92</v>
      </c>
      <c r="N27" s="11">
        <v>0</v>
      </c>
      <c r="O27" s="11">
        <v>0</v>
      </c>
      <c r="P27" s="11">
        <v>0</v>
      </c>
      <c r="Q27" s="11">
        <v>0</v>
      </c>
      <c r="R27" s="13">
        <f t="shared" si="3"/>
        <v>0</v>
      </c>
      <c r="S27">
        <v>0</v>
      </c>
      <c r="T27">
        <v>0</v>
      </c>
      <c r="U27" s="7">
        <f t="shared" si="4"/>
        <v>0</v>
      </c>
      <c r="V27">
        <v>0</v>
      </c>
      <c r="W27">
        <v>0</v>
      </c>
      <c r="X27">
        <v>0</v>
      </c>
      <c r="Y27">
        <v>0</v>
      </c>
      <c r="Z27" s="13">
        <f t="shared" si="5"/>
        <v>0</v>
      </c>
      <c r="AA27">
        <v>0</v>
      </c>
      <c r="AB27">
        <v>0</v>
      </c>
      <c r="AC27">
        <v>0</v>
      </c>
      <c r="AD27">
        <v>0</v>
      </c>
      <c r="AE27" s="7">
        <f t="shared" si="6"/>
        <v>0</v>
      </c>
      <c r="AF27">
        <v>0</v>
      </c>
      <c r="AG27">
        <v>0</v>
      </c>
      <c r="AH27">
        <v>0</v>
      </c>
      <c r="AI27" s="13">
        <f t="shared" si="7"/>
        <v>0</v>
      </c>
      <c r="AJ27" s="11" t="s">
        <v>51</v>
      </c>
      <c r="AK27" s="11" t="s">
        <v>51</v>
      </c>
      <c r="AL27" s="11" t="s">
        <v>51</v>
      </c>
      <c r="AM27" s="13">
        <f t="shared" si="8"/>
        <v>0</v>
      </c>
      <c r="AN27" s="18">
        <v>1.1299999999999999</v>
      </c>
      <c r="AO27" s="18">
        <v>0</v>
      </c>
      <c r="AP27" s="18">
        <v>0</v>
      </c>
      <c r="AQ27" s="18">
        <v>0</v>
      </c>
      <c r="AR27" s="18">
        <f t="shared" si="9"/>
        <v>1.1299999999999999</v>
      </c>
      <c r="AS27" t="s">
        <v>87</v>
      </c>
      <c r="AT27" s="9" t="s">
        <v>149</v>
      </c>
      <c r="AU27" s="30">
        <f>+((AN27*M27)/AR27)</f>
        <v>90.92</v>
      </c>
    </row>
    <row r="28" spans="1:47" hidden="1" x14ac:dyDescent="0.25">
      <c r="A28" t="s">
        <v>46</v>
      </c>
      <c r="B28" s="32" t="s">
        <v>150</v>
      </c>
      <c r="C28" s="32" t="s">
        <v>151</v>
      </c>
      <c r="D28" s="32" t="s">
        <v>152</v>
      </c>
      <c r="E28" s="11">
        <v>0</v>
      </c>
      <c r="F28" s="11">
        <v>0</v>
      </c>
      <c r="G28" s="11">
        <v>0</v>
      </c>
      <c r="H28" s="11">
        <v>0</v>
      </c>
      <c r="I28" s="13">
        <f t="shared" si="1"/>
        <v>0</v>
      </c>
      <c r="J28" s="11">
        <v>0</v>
      </c>
      <c r="K28" s="11">
        <v>0</v>
      </c>
      <c r="L28" s="11">
        <v>0</v>
      </c>
      <c r="M28" s="13">
        <f t="shared" si="2"/>
        <v>0</v>
      </c>
      <c r="N28" s="11">
        <v>57.737499999999997</v>
      </c>
      <c r="O28" s="11">
        <v>3.125</v>
      </c>
      <c r="P28" s="11">
        <v>25</v>
      </c>
      <c r="Q28" s="11">
        <v>0</v>
      </c>
      <c r="R28" s="13">
        <f t="shared" si="3"/>
        <v>85.862499999999997</v>
      </c>
      <c r="S28">
        <v>0</v>
      </c>
      <c r="T28">
        <v>0</v>
      </c>
      <c r="U28" s="7">
        <f t="shared" si="4"/>
        <v>0</v>
      </c>
      <c r="V28">
        <v>0</v>
      </c>
      <c r="W28">
        <v>0</v>
      </c>
      <c r="X28">
        <v>0</v>
      </c>
      <c r="Y28">
        <v>0</v>
      </c>
      <c r="Z28" s="13">
        <f t="shared" si="5"/>
        <v>0</v>
      </c>
      <c r="AA28">
        <v>0</v>
      </c>
      <c r="AB28">
        <v>0</v>
      </c>
      <c r="AC28">
        <v>0</v>
      </c>
      <c r="AD28">
        <v>0</v>
      </c>
      <c r="AE28" s="7">
        <f t="shared" si="6"/>
        <v>0</v>
      </c>
      <c r="AF28">
        <v>0</v>
      </c>
      <c r="AG28">
        <v>0</v>
      </c>
      <c r="AH28">
        <v>0</v>
      </c>
      <c r="AI28" s="13">
        <f t="shared" si="7"/>
        <v>0</v>
      </c>
      <c r="AJ28" s="11" t="s">
        <v>51</v>
      </c>
      <c r="AK28" s="11" t="s">
        <v>51</v>
      </c>
      <c r="AL28" s="11" t="s">
        <v>51</v>
      </c>
      <c r="AM28" s="13">
        <f t="shared" si="8"/>
        <v>0</v>
      </c>
      <c r="AN28" s="18">
        <v>11</v>
      </c>
      <c r="AO28" s="18">
        <v>0</v>
      </c>
      <c r="AP28" s="18">
        <v>0</v>
      </c>
      <c r="AQ28" s="18">
        <v>0</v>
      </c>
      <c r="AR28" s="18">
        <f t="shared" si="9"/>
        <v>11</v>
      </c>
      <c r="AS28" t="s">
        <v>117</v>
      </c>
      <c r="AT28" s="9" t="s">
        <v>153</v>
      </c>
      <c r="AU28" s="11">
        <f>+((AN28*R28)+(AQ28*AI28)+(AP28*AM28))/AR28</f>
        <v>85.862499999999997</v>
      </c>
    </row>
    <row r="29" spans="1:47" hidden="1" x14ac:dyDescent="0.25">
      <c r="A29" t="s">
        <v>46</v>
      </c>
      <c r="B29" t="s">
        <v>154</v>
      </c>
      <c r="C29" t="s">
        <v>155</v>
      </c>
      <c r="D29" t="s">
        <v>156</v>
      </c>
      <c r="E29" s="11">
        <v>0</v>
      </c>
      <c r="F29" s="11">
        <v>0</v>
      </c>
      <c r="G29" s="11">
        <v>0</v>
      </c>
      <c r="H29" s="11">
        <v>0</v>
      </c>
      <c r="I29" s="13">
        <f t="shared" si="1"/>
        <v>0</v>
      </c>
      <c r="J29" s="11">
        <v>76.614285714285714</v>
      </c>
      <c r="K29" s="11">
        <v>0</v>
      </c>
      <c r="L29" s="11">
        <v>3.5714285714285712</v>
      </c>
      <c r="M29" s="13">
        <f t="shared" si="2"/>
        <v>80.185714285714283</v>
      </c>
      <c r="N29" s="11">
        <v>0</v>
      </c>
      <c r="O29" s="11">
        <v>0</v>
      </c>
      <c r="P29" s="11">
        <v>0</v>
      </c>
      <c r="Q29" s="11">
        <v>0</v>
      </c>
      <c r="R29" s="13">
        <f t="shared" si="3"/>
        <v>0</v>
      </c>
      <c r="S29">
        <v>0</v>
      </c>
      <c r="T29">
        <v>0</v>
      </c>
      <c r="U29" s="7">
        <f t="shared" si="4"/>
        <v>0</v>
      </c>
      <c r="V29">
        <v>0</v>
      </c>
      <c r="W29">
        <v>0</v>
      </c>
      <c r="X29">
        <v>0</v>
      </c>
      <c r="Y29">
        <v>0</v>
      </c>
      <c r="Z29" s="13">
        <f t="shared" si="5"/>
        <v>0</v>
      </c>
      <c r="AA29">
        <v>0</v>
      </c>
      <c r="AB29">
        <v>0</v>
      </c>
      <c r="AC29">
        <v>0</v>
      </c>
      <c r="AD29">
        <v>0</v>
      </c>
      <c r="AE29" s="7">
        <f t="shared" si="6"/>
        <v>0</v>
      </c>
      <c r="AF29">
        <v>0</v>
      </c>
      <c r="AG29">
        <v>0</v>
      </c>
      <c r="AH29">
        <v>0</v>
      </c>
      <c r="AI29" s="13">
        <f t="shared" si="7"/>
        <v>0</v>
      </c>
      <c r="AJ29" s="11" t="s">
        <v>51</v>
      </c>
      <c r="AK29" s="11" t="s">
        <v>51</v>
      </c>
      <c r="AL29" s="11" t="s">
        <v>51</v>
      </c>
      <c r="AM29" s="13">
        <f t="shared" si="8"/>
        <v>0</v>
      </c>
      <c r="AN29" s="18">
        <v>2.375</v>
      </c>
      <c r="AO29" s="18">
        <v>0</v>
      </c>
      <c r="AP29" s="18">
        <v>0</v>
      </c>
      <c r="AQ29" s="18">
        <v>0</v>
      </c>
      <c r="AR29" s="18">
        <f t="shared" si="9"/>
        <v>2.375</v>
      </c>
      <c r="AS29" t="s">
        <v>87</v>
      </c>
      <c r="AT29" s="9" t="s">
        <v>157</v>
      </c>
      <c r="AU29" s="30">
        <f>+((AN29*M29)/AR29)</f>
        <v>80.185714285714283</v>
      </c>
    </row>
    <row r="30" spans="1:47" hidden="1" x14ac:dyDescent="0.25">
      <c r="A30" t="s">
        <v>46</v>
      </c>
      <c r="B30" t="s">
        <v>158</v>
      </c>
      <c r="C30" t="s">
        <v>159</v>
      </c>
      <c r="D30" t="s">
        <v>160</v>
      </c>
      <c r="E30" s="11">
        <v>0</v>
      </c>
      <c r="F30" s="11">
        <v>0</v>
      </c>
      <c r="G30" s="11">
        <v>74.783333333333346</v>
      </c>
      <c r="H30" s="11">
        <v>5.8333333333333321</v>
      </c>
      <c r="I30" s="13">
        <f t="shared" si="1"/>
        <v>80.616666666666674</v>
      </c>
      <c r="J30" s="11">
        <v>0</v>
      </c>
      <c r="K30" s="11">
        <v>0</v>
      </c>
      <c r="L30" s="11">
        <v>0</v>
      </c>
      <c r="M30" s="13">
        <f t="shared" si="2"/>
        <v>0</v>
      </c>
      <c r="N30" s="11">
        <v>0</v>
      </c>
      <c r="O30" s="11">
        <v>0</v>
      </c>
      <c r="P30" s="11">
        <v>0</v>
      </c>
      <c r="Q30" s="11">
        <v>0</v>
      </c>
      <c r="R30" s="13">
        <f t="shared" si="3"/>
        <v>0</v>
      </c>
      <c r="S30">
        <v>0</v>
      </c>
      <c r="T30">
        <v>0</v>
      </c>
      <c r="U30" s="7">
        <f t="shared" si="4"/>
        <v>0</v>
      </c>
      <c r="V30">
        <v>0</v>
      </c>
      <c r="W30">
        <v>0</v>
      </c>
      <c r="X30">
        <v>0</v>
      </c>
      <c r="Y30">
        <v>0</v>
      </c>
      <c r="Z30" s="13">
        <f t="shared" si="5"/>
        <v>0</v>
      </c>
      <c r="AA30">
        <v>0</v>
      </c>
      <c r="AB30">
        <v>0</v>
      </c>
      <c r="AC30">
        <v>0</v>
      </c>
      <c r="AD30">
        <v>0</v>
      </c>
      <c r="AE30" s="7">
        <f t="shared" si="6"/>
        <v>0</v>
      </c>
      <c r="AF30">
        <v>0</v>
      </c>
      <c r="AG30">
        <v>0</v>
      </c>
      <c r="AH30">
        <v>0</v>
      </c>
      <c r="AI30" s="13">
        <f t="shared" si="7"/>
        <v>0</v>
      </c>
      <c r="AJ30" s="11" t="s">
        <v>51</v>
      </c>
      <c r="AK30" s="11" t="s">
        <v>51</v>
      </c>
      <c r="AL30" s="11" t="s">
        <v>51</v>
      </c>
      <c r="AM30" s="13">
        <f t="shared" si="8"/>
        <v>0</v>
      </c>
      <c r="AN30" s="18">
        <v>6</v>
      </c>
      <c r="AO30" s="18">
        <v>0</v>
      </c>
      <c r="AP30" s="18">
        <v>0</v>
      </c>
      <c r="AQ30" s="18">
        <v>0</v>
      </c>
      <c r="AR30" s="18">
        <f t="shared" si="9"/>
        <v>6</v>
      </c>
      <c r="AS30" t="s">
        <v>52</v>
      </c>
      <c r="AT30" s="9" t="s">
        <v>161</v>
      </c>
      <c r="AU30" s="30">
        <f>+((AN30*I30)+(AO30*AE30)+(AQ30*AI30)+(AP30*AM30))/AR30</f>
        <v>80.616666666666674</v>
      </c>
    </row>
    <row r="31" spans="1:47" hidden="1" x14ac:dyDescent="0.25">
      <c r="A31" t="s">
        <v>46</v>
      </c>
      <c r="B31" t="s">
        <v>162</v>
      </c>
      <c r="C31" t="s">
        <v>163</v>
      </c>
      <c r="D31" t="s">
        <v>164</v>
      </c>
      <c r="E31" s="11">
        <v>25</v>
      </c>
      <c r="F31" s="11">
        <v>0</v>
      </c>
      <c r="G31" s="11">
        <v>53.55</v>
      </c>
      <c r="H31" s="11">
        <v>10</v>
      </c>
      <c r="I31" s="13">
        <f t="shared" si="1"/>
        <v>88.55</v>
      </c>
      <c r="J31" s="11">
        <v>0</v>
      </c>
      <c r="K31" s="11">
        <v>0</v>
      </c>
      <c r="L31" s="11">
        <v>0</v>
      </c>
      <c r="M31" s="13">
        <f t="shared" si="2"/>
        <v>0</v>
      </c>
      <c r="N31" s="11">
        <v>0</v>
      </c>
      <c r="O31" s="11">
        <v>0</v>
      </c>
      <c r="P31" s="11">
        <v>0</v>
      </c>
      <c r="Q31" s="11">
        <v>0</v>
      </c>
      <c r="R31" s="13">
        <f t="shared" si="3"/>
        <v>0</v>
      </c>
      <c r="S31">
        <v>0</v>
      </c>
      <c r="T31">
        <v>0</v>
      </c>
      <c r="U31" s="7">
        <f t="shared" si="4"/>
        <v>0</v>
      </c>
      <c r="V31">
        <v>0</v>
      </c>
      <c r="W31">
        <v>0</v>
      </c>
      <c r="X31">
        <v>0</v>
      </c>
      <c r="Y31">
        <v>0</v>
      </c>
      <c r="Z31" s="13">
        <f t="shared" si="5"/>
        <v>0</v>
      </c>
      <c r="AA31">
        <v>0</v>
      </c>
      <c r="AB31">
        <v>0</v>
      </c>
      <c r="AC31">
        <v>0</v>
      </c>
      <c r="AD31">
        <v>0</v>
      </c>
      <c r="AE31" s="7">
        <f t="shared" si="6"/>
        <v>0</v>
      </c>
      <c r="AF31">
        <v>0</v>
      </c>
      <c r="AG31">
        <v>0</v>
      </c>
      <c r="AH31">
        <v>0</v>
      </c>
      <c r="AI31" s="13">
        <f t="shared" si="7"/>
        <v>0</v>
      </c>
      <c r="AJ31" s="11" t="s">
        <v>51</v>
      </c>
      <c r="AK31" s="11" t="s">
        <v>51</v>
      </c>
      <c r="AL31" s="11" t="s">
        <v>51</v>
      </c>
      <c r="AM31" s="13">
        <f t="shared" si="8"/>
        <v>0</v>
      </c>
      <c r="AN31" s="18">
        <v>8</v>
      </c>
      <c r="AO31" s="18">
        <v>0</v>
      </c>
      <c r="AP31" s="18">
        <v>0</v>
      </c>
      <c r="AQ31" s="18">
        <v>0</v>
      </c>
      <c r="AR31" s="18">
        <f t="shared" si="9"/>
        <v>8</v>
      </c>
      <c r="AS31" t="s">
        <v>52</v>
      </c>
      <c r="AT31" s="9" t="s">
        <v>165</v>
      </c>
      <c r="AU31" s="30">
        <f>+((AN31*I31)+(AO31*AE31)+(AQ31*AI31)+(AP31*AM31))/AR31</f>
        <v>88.55</v>
      </c>
    </row>
    <row r="32" spans="1:47" hidden="1" x14ac:dyDescent="0.25">
      <c r="A32" t="s">
        <v>46</v>
      </c>
      <c r="B32" s="32" t="s">
        <v>166</v>
      </c>
      <c r="C32" s="32" t="s">
        <v>167</v>
      </c>
      <c r="D32" s="32" t="s">
        <v>168</v>
      </c>
      <c r="E32" s="11">
        <v>0</v>
      </c>
      <c r="F32" s="11">
        <v>0</v>
      </c>
      <c r="G32" s="11">
        <v>0</v>
      </c>
      <c r="H32" s="11">
        <v>0</v>
      </c>
      <c r="I32" s="13">
        <f t="shared" si="1"/>
        <v>0</v>
      </c>
      <c r="J32" s="11">
        <v>0</v>
      </c>
      <c r="K32" s="11">
        <v>0</v>
      </c>
      <c r="L32" s="11">
        <v>0</v>
      </c>
      <c r="M32" s="13">
        <f t="shared" si="2"/>
        <v>0</v>
      </c>
      <c r="N32" s="11">
        <v>54.65</v>
      </c>
      <c r="O32" s="11">
        <v>3.125</v>
      </c>
      <c r="P32" s="11">
        <v>0</v>
      </c>
      <c r="Q32" s="11">
        <v>25</v>
      </c>
      <c r="R32" s="13">
        <f t="shared" si="3"/>
        <v>82.775000000000006</v>
      </c>
      <c r="S32">
        <v>0</v>
      </c>
      <c r="T32">
        <v>0</v>
      </c>
      <c r="U32" s="7">
        <f t="shared" si="4"/>
        <v>0</v>
      </c>
      <c r="V32">
        <v>0</v>
      </c>
      <c r="W32">
        <v>0</v>
      </c>
      <c r="X32">
        <v>0</v>
      </c>
      <c r="Y32">
        <v>0</v>
      </c>
      <c r="Z32" s="13">
        <f t="shared" si="5"/>
        <v>0</v>
      </c>
      <c r="AA32">
        <v>0</v>
      </c>
      <c r="AB32">
        <v>0</v>
      </c>
      <c r="AC32">
        <v>0</v>
      </c>
      <c r="AD32">
        <v>0</v>
      </c>
      <c r="AE32" s="7">
        <f t="shared" si="6"/>
        <v>0</v>
      </c>
      <c r="AF32">
        <v>0</v>
      </c>
      <c r="AG32">
        <v>0</v>
      </c>
      <c r="AH32">
        <v>0</v>
      </c>
      <c r="AI32" s="13">
        <f t="shared" si="7"/>
        <v>0</v>
      </c>
      <c r="AJ32" s="11" t="s">
        <v>51</v>
      </c>
      <c r="AK32" s="11" t="s">
        <v>51</v>
      </c>
      <c r="AL32" s="11" t="s">
        <v>51</v>
      </c>
      <c r="AM32" s="13">
        <f t="shared" si="8"/>
        <v>0</v>
      </c>
      <c r="AN32" s="18">
        <v>4</v>
      </c>
      <c r="AO32" s="18">
        <v>0</v>
      </c>
      <c r="AP32" s="18">
        <v>0</v>
      </c>
      <c r="AQ32" s="18">
        <v>0</v>
      </c>
      <c r="AR32" s="18">
        <f t="shared" si="9"/>
        <v>4</v>
      </c>
      <c r="AS32" t="s">
        <v>117</v>
      </c>
      <c r="AT32" s="9" t="s">
        <v>169</v>
      </c>
      <c r="AU32" s="11">
        <f>+((AN32*R32)+(AQ32*AI32)+(AP32*AM32))/AR32</f>
        <v>82.775000000000006</v>
      </c>
    </row>
    <row r="33" spans="1:47" hidden="1" x14ac:dyDescent="0.25">
      <c r="A33" t="s">
        <v>46</v>
      </c>
      <c r="B33" t="s">
        <v>170</v>
      </c>
      <c r="C33" t="s">
        <v>171</v>
      </c>
      <c r="D33" t="s">
        <v>172</v>
      </c>
      <c r="E33" s="11">
        <v>20</v>
      </c>
      <c r="F33" s="11">
        <v>16.670000000000002</v>
      </c>
      <c r="G33" s="11">
        <v>47.3</v>
      </c>
      <c r="H33" s="11">
        <v>5</v>
      </c>
      <c r="I33" s="13">
        <f t="shared" si="1"/>
        <v>88.97</v>
      </c>
      <c r="J33" s="11">
        <v>0</v>
      </c>
      <c r="K33" s="11">
        <v>0</v>
      </c>
      <c r="L33" s="11">
        <v>0</v>
      </c>
      <c r="M33" s="13">
        <f t="shared" si="2"/>
        <v>0</v>
      </c>
      <c r="N33" s="11">
        <v>0</v>
      </c>
      <c r="O33" s="11">
        <v>0</v>
      </c>
      <c r="P33" s="11">
        <v>0</v>
      </c>
      <c r="Q33" s="11">
        <v>0</v>
      </c>
      <c r="R33" s="13">
        <f t="shared" si="3"/>
        <v>0</v>
      </c>
      <c r="S33">
        <v>0</v>
      </c>
      <c r="T33">
        <v>0</v>
      </c>
      <c r="U33" s="7">
        <f t="shared" si="4"/>
        <v>0</v>
      </c>
      <c r="V33">
        <v>0</v>
      </c>
      <c r="W33">
        <v>0</v>
      </c>
      <c r="X33">
        <v>0</v>
      </c>
      <c r="Y33">
        <v>0</v>
      </c>
      <c r="Z33" s="13">
        <f t="shared" si="5"/>
        <v>0</v>
      </c>
      <c r="AA33">
        <v>0</v>
      </c>
      <c r="AB33">
        <v>0</v>
      </c>
      <c r="AC33">
        <v>0</v>
      </c>
      <c r="AD33">
        <v>0</v>
      </c>
      <c r="AE33" s="7">
        <f t="shared" si="6"/>
        <v>0</v>
      </c>
      <c r="AF33">
        <v>0</v>
      </c>
      <c r="AG33">
        <v>0</v>
      </c>
      <c r="AH33">
        <v>0</v>
      </c>
      <c r="AI33" s="13">
        <f t="shared" si="7"/>
        <v>0</v>
      </c>
      <c r="AJ33" s="11" t="s">
        <v>51</v>
      </c>
      <c r="AK33" s="11" t="s">
        <v>51</v>
      </c>
      <c r="AL33" s="11" t="s">
        <v>51</v>
      </c>
      <c r="AM33" s="13">
        <f t="shared" si="8"/>
        <v>0</v>
      </c>
      <c r="AN33" s="18">
        <v>8</v>
      </c>
      <c r="AO33" s="18">
        <v>0</v>
      </c>
      <c r="AP33" s="18">
        <v>0</v>
      </c>
      <c r="AQ33" s="18">
        <v>0</v>
      </c>
      <c r="AR33" s="18">
        <f t="shared" si="9"/>
        <v>8</v>
      </c>
      <c r="AS33" t="s">
        <v>52</v>
      </c>
      <c r="AT33" s="9" t="s">
        <v>173</v>
      </c>
      <c r="AU33" s="30">
        <f>+((AN33*I33)+(AO33*AE33)+(AQ33*AI33)+(AP33*AM33))/AR33</f>
        <v>88.97</v>
      </c>
    </row>
    <row r="34" spans="1:47" hidden="1" x14ac:dyDescent="0.25">
      <c r="A34" t="s">
        <v>46</v>
      </c>
      <c r="B34" t="s">
        <v>174</v>
      </c>
      <c r="C34" t="s">
        <v>175</v>
      </c>
      <c r="D34" t="s">
        <v>176</v>
      </c>
      <c r="E34" s="11">
        <v>0</v>
      </c>
      <c r="F34" s="11">
        <v>0</v>
      </c>
      <c r="G34" s="11">
        <v>0</v>
      </c>
      <c r="H34" s="11">
        <v>0</v>
      </c>
      <c r="I34" s="13">
        <f t="shared" si="1"/>
        <v>0</v>
      </c>
      <c r="J34" s="11">
        <v>0</v>
      </c>
      <c r="K34" s="11">
        <v>0</v>
      </c>
      <c r="L34" s="11">
        <v>0</v>
      </c>
      <c r="M34" s="13">
        <f t="shared" si="2"/>
        <v>0</v>
      </c>
      <c r="N34" s="11">
        <v>0</v>
      </c>
      <c r="O34" s="11">
        <v>0</v>
      </c>
      <c r="P34" s="11">
        <v>0</v>
      </c>
      <c r="Q34" s="11">
        <v>0</v>
      </c>
      <c r="R34" s="13">
        <f t="shared" si="3"/>
        <v>0</v>
      </c>
      <c r="S34">
        <v>0</v>
      </c>
      <c r="T34">
        <v>0</v>
      </c>
      <c r="U34" s="7">
        <f t="shared" si="4"/>
        <v>0</v>
      </c>
      <c r="V34">
        <v>2.5</v>
      </c>
      <c r="W34">
        <v>19.329999999999998</v>
      </c>
      <c r="X34">
        <v>37.6</v>
      </c>
      <c r="Y34">
        <v>18.670000000000002</v>
      </c>
      <c r="Z34" s="13">
        <f t="shared" si="5"/>
        <v>78.099999999999994</v>
      </c>
      <c r="AA34">
        <v>0</v>
      </c>
      <c r="AB34">
        <v>0</v>
      </c>
      <c r="AC34">
        <v>0</v>
      </c>
      <c r="AD34">
        <v>0</v>
      </c>
      <c r="AE34" s="7">
        <f t="shared" si="6"/>
        <v>0</v>
      </c>
      <c r="AF34">
        <v>0</v>
      </c>
      <c r="AG34">
        <v>0</v>
      </c>
      <c r="AH34">
        <v>0</v>
      </c>
      <c r="AI34" s="13">
        <f t="shared" si="7"/>
        <v>0</v>
      </c>
      <c r="AJ34" s="11" t="s">
        <v>51</v>
      </c>
      <c r="AK34" s="11" t="s">
        <v>51</v>
      </c>
      <c r="AL34" s="11" t="s">
        <v>51</v>
      </c>
      <c r="AM34" s="13">
        <f t="shared" si="8"/>
        <v>0</v>
      </c>
      <c r="AN34" s="18">
        <v>8</v>
      </c>
      <c r="AO34" s="18">
        <v>0</v>
      </c>
      <c r="AP34" s="18">
        <v>0</v>
      </c>
      <c r="AQ34" s="18">
        <v>0</v>
      </c>
      <c r="AR34" s="18">
        <f t="shared" si="9"/>
        <v>8</v>
      </c>
      <c r="AS34" t="s">
        <v>52</v>
      </c>
      <c r="AT34" s="9" t="s">
        <v>177</v>
      </c>
      <c r="AU34" s="30">
        <f>+((Z34*AN34)/AR34)</f>
        <v>78.099999999999994</v>
      </c>
    </row>
    <row r="35" spans="1:47" hidden="1" x14ac:dyDescent="0.25">
      <c r="A35" t="s">
        <v>46</v>
      </c>
      <c r="B35" t="s">
        <v>178</v>
      </c>
      <c r="C35" t="s">
        <v>179</v>
      </c>
      <c r="D35" t="s">
        <v>180</v>
      </c>
      <c r="E35" s="11">
        <v>20.274999999999999</v>
      </c>
      <c r="F35" s="11">
        <v>0</v>
      </c>
      <c r="G35" s="11">
        <v>56.987499999999997</v>
      </c>
      <c r="H35" s="11">
        <v>6.875</v>
      </c>
      <c r="I35" s="13">
        <f t="shared" si="1"/>
        <v>84.137499999999989</v>
      </c>
      <c r="J35" s="11">
        <v>0</v>
      </c>
      <c r="K35" s="11">
        <v>0</v>
      </c>
      <c r="L35" s="11">
        <v>0</v>
      </c>
      <c r="M35" s="13">
        <f t="shared" si="2"/>
        <v>0</v>
      </c>
      <c r="N35" s="11">
        <v>0</v>
      </c>
      <c r="O35" s="11">
        <v>0</v>
      </c>
      <c r="P35" s="11">
        <v>0</v>
      </c>
      <c r="Q35" s="11">
        <v>0</v>
      </c>
      <c r="R35" s="13">
        <f t="shared" si="3"/>
        <v>0</v>
      </c>
      <c r="S35">
        <v>0</v>
      </c>
      <c r="T35">
        <v>0</v>
      </c>
      <c r="U35" s="7">
        <f t="shared" si="4"/>
        <v>0</v>
      </c>
      <c r="V35">
        <v>0</v>
      </c>
      <c r="W35">
        <v>0</v>
      </c>
      <c r="X35">
        <v>0</v>
      </c>
      <c r="Y35">
        <v>0</v>
      </c>
      <c r="Z35" s="13">
        <f t="shared" si="5"/>
        <v>0</v>
      </c>
      <c r="AA35" s="35">
        <v>0</v>
      </c>
      <c r="AB35" s="35">
        <v>71.428571428571431</v>
      </c>
      <c r="AC35" s="35">
        <v>0</v>
      </c>
      <c r="AD35" s="35">
        <v>28.571428571428569</v>
      </c>
      <c r="AE35" s="7">
        <f t="shared" si="6"/>
        <v>100</v>
      </c>
      <c r="AF35">
        <v>0</v>
      </c>
      <c r="AG35">
        <v>0</v>
      </c>
      <c r="AH35">
        <v>0</v>
      </c>
      <c r="AI35" s="13">
        <f t="shared" si="7"/>
        <v>0</v>
      </c>
      <c r="AJ35" s="11" t="s">
        <v>51</v>
      </c>
      <c r="AK35" s="11" t="s">
        <v>51</v>
      </c>
      <c r="AL35" s="11" t="s">
        <v>51</v>
      </c>
      <c r="AM35" s="13">
        <f t="shared" si="8"/>
        <v>0</v>
      </c>
      <c r="AN35" s="18">
        <v>32</v>
      </c>
      <c r="AO35" s="18">
        <v>8</v>
      </c>
      <c r="AP35" s="18">
        <v>0</v>
      </c>
      <c r="AQ35" s="18">
        <v>0</v>
      </c>
      <c r="AR35" s="18">
        <f t="shared" si="9"/>
        <v>40</v>
      </c>
      <c r="AS35" t="s">
        <v>52</v>
      </c>
      <c r="AT35" s="9" t="s">
        <v>181</v>
      </c>
      <c r="AU35" s="30">
        <f>+((AN35*I35)+(AO35*AE35)+(AQ35*AI35)+(AP35*AM35))/AR35</f>
        <v>87.309999999999988</v>
      </c>
    </row>
    <row r="36" spans="1:47" hidden="1" x14ac:dyDescent="0.25">
      <c r="A36" t="s">
        <v>46</v>
      </c>
      <c r="B36" t="s">
        <v>182</v>
      </c>
      <c r="C36" t="s">
        <v>183</v>
      </c>
      <c r="D36" t="s">
        <v>184</v>
      </c>
      <c r="E36" s="11">
        <v>17.75</v>
      </c>
      <c r="F36" s="11">
        <v>18</v>
      </c>
      <c r="G36" s="11">
        <v>45.5</v>
      </c>
      <c r="H36" s="11">
        <v>4.5</v>
      </c>
      <c r="I36" s="13">
        <f t="shared" si="1"/>
        <v>85.75</v>
      </c>
      <c r="J36" s="11">
        <v>0</v>
      </c>
      <c r="K36" s="11">
        <v>0</v>
      </c>
      <c r="L36" s="11">
        <v>0</v>
      </c>
      <c r="M36" s="13">
        <f t="shared" si="2"/>
        <v>0</v>
      </c>
      <c r="N36" s="11">
        <v>46.97</v>
      </c>
      <c r="O36" s="11">
        <v>4.5</v>
      </c>
      <c r="P36" s="11">
        <v>18</v>
      </c>
      <c r="Q36" s="11">
        <v>18.170000000000002</v>
      </c>
      <c r="R36" s="13">
        <f t="shared" si="3"/>
        <v>87.64</v>
      </c>
      <c r="S36">
        <v>0</v>
      </c>
      <c r="T36">
        <v>0</v>
      </c>
      <c r="U36" s="7">
        <f t="shared" si="4"/>
        <v>0</v>
      </c>
      <c r="V36">
        <v>0</v>
      </c>
      <c r="W36">
        <v>0</v>
      </c>
      <c r="X36">
        <v>0</v>
      </c>
      <c r="Y36">
        <v>0</v>
      </c>
      <c r="Z36" s="13">
        <f t="shared" si="5"/>
        <v>0</v>
      </c>
      <c r="AA36">
        <v>0</v>
      </c>
      <c r="AB36">
        <v>0</v>
      </c>
      <c r="AC36">
        <v>0</v>
      </c>
      <c r="AD36">
        <v>0</v>
      </c>
      <c r="AE36" s="7">
        <f t="shared" si="6"/>
        <v>0</v>
      </c>
      <c r="AF36">
        <v>0</v>
      </c>
      <c r="AG36">
        <v>0</v>
      </c>
      <c r="AH36">
        <v>0</v>
      </c>
      <c r="AI36" s="13">
        <f t="shared" si="7"/>
        <v>0</v>
      </c>
      <c r="AJ36" s="11">
        <v>19.329999999999998</v>
      </c>
      <c r="AK36" s="11">
        <v>18</v>
      </c>
      <c r="AL36" s="11">
        <v>45.94</v>
      </c>
      <c r="AM36" s="13">
        <f t="shared" si="8"/>
        <v>83.27</v>
      </c>
      <c r="AN36" s="18">
        <v>34</v>
      </c>
      <c r="AO36" s="18">
        <v>0</v>
      </c>
      <c r="AP36" s="18">
        <v>3</v>
      </c>
      <c r="AQ36" s="18">
        <v>0</v>
      </c>
      <c r="AR36" s="18">
        <f t="shared" si="9"/>
        <v>37</v>
      </c>
      <c r="AS36" t="s">
        <v>52</v>
      </c>
      <c r="AT36" s="9" t="s">
        <v>186</v>
      </c>
      <c r="AU36" s="30">
        <f>+((AN36*I36)+(AO36*AE36)+(AQ36*AI36)+(AP36*AM36))/AR36</f>
        <v>85.548918918918915</v>
      </c>
    </row>
    <row r="37" spans="1:47" hidden="1" x14ac:dyDescent="0.25">
      <c r="A37" s="33" t="s">
        <v>46</v>
      </c>
      <c r="B37" s="32" t="s">
        <v>182</v>
      </c>
      <c r="C37" s="32" t="s">
        <v>183</v>
      </c>
      <c r="D37" s="32" t="s">
        <v>184</v>
      </c>
      <c r="E37" s="11">
        <v>17.75</v>
      </c>
      <c r="F37" s="11">
        <v>18</v>
      </c>
      <c r="G37" s="11">
        <v>45.5</v>
      </c>
      <c r="H37" s="11">
        <v>4.5</v>
      </c>
      <c r="I37" s="13">
        <f t="shared" si="1"/>
        <v>85.75</v>
      </c>
      <c r="J37" s="11">
        <v>0</v>
      </c>
      <c r="K37" s="11">
        <v>0</v>
      </c>
      <c r="L37" s="11">
        <v>0</v>
      </c>
      <c r="M37" s="13">
        <f t="shared" si="2"/>
        <v>0</v>
      </c>
      <c r="N37" s="11">
        <v>46.97</v>
      </c>
      <c r="O37" s="11">
        <v>4.5</v>
      </c>
      <c r="P37" s="11">
        <v>18</v>
      </c>
      <c r="Q37" s="11">
        <v>18.170000000000002</v>
      </c>
      <c r="R37" s="13">
        <f t="shared" si="3"/>
        <v>87.64</v>
      </c>
      <c r="S37">
        <v>0</v>
      </c>
      <c r="T37">
        <v>0</v>
      </c>
      <c r="U37" s="7">
        <f t="shared" si="4"/>
        <v>0</v>
      </c>
      <c r="V37">
        <v>0</v>
      </c>
      <c r="W37">
        <v>0</v>
      </c>
      <c r="X37">
        <v>0</v>
      </c>
      <c r="Y37">
        <v>0</v>
      </c>
      <c r="Z37" s="13">
        <f t="shared" si="5"/>
        <v>0</v>
      </c>
      <c r="AA37">
        <v>0</v>
      </c>
      <c r="AB37">
        <v>0</v>
      </c>
      <c r="AC37">
        <v>0</v>
      </c>
      <c r="AD37">
        <v>0</v>
      </c>
      <c r="AE37" s="7">
        <f t="shared" si="6"/>
        <v>0</v>
      </c>
      <c r="AF37">
        <v>0</v>
      </c>
      <c r="AG37">
        <v>0</v>
      </c>
      <c r="AH37">
        <v>0</v>
      </c>
      <c r="AI37" s="13">
        <f t="shared" si="7"/>
        <v>0</v>
      </c>
      <c r="AJ37" s="11">
        <v>19.329999999999998</v>
      </c>
      <c r="AK37" s="11">
        <v>18</v>
      </c>
      <c r="AL37" s="11">
        <v>45.94</v>
      </c>
      <c r="AM37" s="13">
        <f t="shared" si="8"/>
        <v>83.27</v>
      </c>
      <c r="AN37" s="18">
        <v>3</v>
      </c>
      <c r="AO37" s="18">
        <v>0</v>
      </c>
      <c r="AP37" s="18">
        <v>0</v>
      </c>
      <c r="AQ37" s="18">
        <v>0</v>
      </c>
      <c r="AR37" s="18">
        <f t="shared" si="9"/>
        <v>3</v>
      </c>
      <c r="AS37" t="s">
        <v>117</v>
      </c>
      <c r="AT37" s="9" t="s">
        <v>187</v>
      </c>
      <c r="AU37" s="11">
        <f>+((AN37*R37)+(AQ37*AI37)+(AP37*AM37))/AR37</f>
        <v>87.64</v>
      </c>
    </row>
    <row r="38" spans="1:47" hidden="1" x14ac:dyDescent="0.25">
      <c r="A38" t="s">
        <v>46</v>
      </c>
      <c r="B38" t="s">
        <v>188</v>
      </c>
      <c r="C38" t="s">
        <v>189</v>
      </c>
      <c r="D38" t="s">
        <v>190</v>
      </c>
      <c r="E38" s="11">
        <v>20</v>
      </c>
      <c r="F38" s="11">
        <v>18.670000000000002</v>
      </c>
      <c r="G38" s="11">
        <v>45.01</v>
      </c>
      <c r="H38" s="11">
        <v>4</v>
      </c>
      <c r="I38" s="13">
        <f t="shared" si="1"/>
        <v>87.68</v>
      </c>
      <c r="J38" s="11">
        <v>0</v>
      </c>
      <c r="K38" s="11">
        <v>0</v>
      </c>
      <c r="L38" s="11">
        <v>0</v>
      </c>
      <c r="M38" s="13">
        <f t="shared" si="2"/>
        <v>0</v>
      </c>
      <c r="N38">
        <v>48.5</v>
      </c>
      <c r="O38">
        <v>4</v>
      </c>
      <c r="P38">
        <v>18.670000000000002</v>
      </c>
      <c r="Q38">
        <v>20</v>
      </c>
      <c r="R38" s="13">
        <f t="shared" si="3"/>
        <v>91.17</v>
      </c>
      <c r="S38">
        <v>0</v>
      </c>
      <c r="T38">
        <v>0</v>
      </c>
      <c r="U38" s="7">
        <f t="shared" si="4"/>
        <v>0</v>
      </c>
      <c r="V38">
        <v>0</v>
      </c>
      <c r="W38">
        <v>0</v>
      </c>
      <c r="X38">
        <v>0</v>
      </c>
      <c r="Y38">
        <v>0</v>
      </c>
      <c r="Z38" s="13">
        <f t="shared" si="5"/>
        <v>0</v>
      </c>
      <c r="AA38">
        <v>0</v>
      </c>
      <c r="AB38">
        <v>0</v>
      </c>
      <c r="AC38">
        <v>0</v>
      </c>
      <c r="AD38">
        <v>0</v>
      </c>
      <c r="AE38" s="7">
        <f t="shared" si="6"/>
        <v>0</v>
      </c>
      <c r="AF38">
        <v>0</v>
      </c>
      <c r="AG38">
        <v>0</v>
      </c>
      <c r="AH38">
        <v>0</v>
      </c>
      <c r="AI38" s="13">
        <f t="shared" si="7"/>
        <v>0</v>
      </c>
      <c r="AJ38" s="11" t="s">
        <v>51</v>
      </c>
      <c r="AK38" s="11" t="s">
        <v>51</v>
      </c>
      <c r="AL38" s="11" t="s">
        <v>51</v>
      </c>
      <c r="AM38" s="13">
        <f t="shared" si="8"/>
        <v>0</v>
      </c>
      <c r="AN38" s="18">
        <v>8</v>
      </c>
      <c r="AO38" s="18">
        <v>0</v>
      </c>
      <c r="AP38" s="18">
        <v>0</v>
      </c>
      <c r="AQ38" s="18">
        <v>0</v>
      </c>
      <c r="AR38" s="18">
        <f t="shared" si="9"/>
        <v>8</v>
      </c>
      <c r="AS38" t="s">
        <v>52</v>
      </c>
      <c r="AT38" s="9" t="s">
        <v>191</v>
      </c>
      <c r="AU38" s="30">
        <f>+((AN38*I38)+(AO38*AE38)+(AQ38*AI38)+(AP38*AM38))/AR38</f>
        <v>87.68</v>
      </c>
    </row>
    <row r="39" spans="1:47" hidden="1" x14ac:dyDescent="0.25">
      <c r="A39" s="33" t="s">
        <v>46</v>
      </c>
      <c r="B39" s="32" t="s">
        <v>188</v>
      </c>
      <c r="C39" s="32" t="s">
        <v>189</v>
      </c>
      <c r="D39" s="32" t="s">
        <v>190</v>
      </c>
      <c r="E39" s="11">
        <v>20</v>
      </c>
      <c r="F39" s="11">
        <v>18.670000000000002</v>
      </c>
      <c r="G39" s="11">
        <v>45.01</v>
      </c>
      <c r="H39" s="11">
        <v>4</v>
      </c>
      <c r="I39" s="13">
        <f t="shared" si="1"/>
        <v>87.68</v>
      </c>
      <c r="J39" s="11">
        <v>0</v>
      </c>
      <c r="K39" s="11">
        <v>0</v>
      </c>
      <c r="L39" s="11">
        <v>0</v>
      </c>
      <c r="M39" s="13">
        <f t="shared" si="2"/>
        <v>0</v>
      </c>
      <c r="N39">
        <v>48.5</v>
      </c>
      <c r="O39">
        <v>4</v>
      </c>
      <c r="P39">
        <v>18.670000000000002</v>
      </c>
      <c r="Q39">
        <v>20</v>
      </c>
      <c r="R39" s="13">
        <f t="shared" si="3"/>
        <v>91.17</v>
      </c>
      <c r="S39">
        <v>0</v>
      </c>
      <c r="T39">
        <v>0</v>
      </c>
      <c r="U39" s="7">
        <f t="shared" si="4"/>
        <v>0</v>
      </c>
      <c r="V39">
        <v>0</v>
      </c>
      <c r="W39">
        <v>0</v>
      </c>
      <c r="X39">
        <v>0</v>
      </c>
      <c r="Y39">
        <v>0</v>
      </c>
      <c r="Z39" s="13">
        <f t="shared" si="5"/>
        <v>0</v>
      </c>
      <c r="AA39">
        <v>0</v>
      </c>
      <c r="AB39">
        <v>0</v>
      </c>
      <c r="AC39">
        <v>0</v>
      </c>
      <c r="AD39">
        <v>0</v>
      </c>
      <c r="AE39" s="7">
        <f t="shared" si="6"/>
        <v>0</v>
      </c>
      <c r="AF39">
        <v>0</v>
      </c>
      <c r="AG39">
        <v>0</v>
      </c>
      <c r="AH39">
        <v>0</v>
      </c>
      <c r="AI39" s="13">
        <f t="shared" si="7"/>
        <v>0</v>
      </c>
      <c r="AJ39" s="11" t="s">
        <v>51</v>
      </c>
      <c r="AK39" s="11" t="s">
        <v>51</v>
      </c>
      <c r="AL39" s="11" t="s">
        <v>51</v>
      </c>
      <c r="AM39" s="13">
        <f t="shared" si="8"/>
        <v>0</v>
      </c>
      <c r="AN39" s="18">
        <v>2</v>
      </c>
      <c r="AO39" s="18">
        <v>0</v>
      </c>
      <c r="AP39" s="18">
        <v>0</v>
      </c>
      <c r="AQ39" s="18">
        <v>0</v>
      </c>
      <c r="AR39" s="18">
        <f t="shared" si="9"/>
        <v>2</v>
      </c>
      <c r="AS39" t="s">
        <v>117</v>
      </c>
      <c r="AT39" s="9" t="s">
        <v>191</v>
      </c>
      <c r="AU39" s="11">
        <f>+((AN39*R39)+(AQ39*AI39)+(AP39*AM39))/AR39</f>
        <v>91.17</v>
      </c>
    </row>
    <row r="40" spans="1:47" hidden="1" x14ac:dyDescent="0.25">
      <c r="A40" t="s">
        <v>46</v>
      </c>
      <c r="B40" t="s">
        <v>192</v>
      </c>
      <c r="C40" t="s">
        <v>193</v>
      </c>
      <c r="D40" t="s">
        <v>194</v>
      </c>
      <c r="E40" s="11">
        <v>0</v>
      </c>
      <c r="F40" s="11">
        <v>20</v>
      </c>
      <c r="G40" s="11">
        <v>60.35</v>
      </c>
      <c r="H40" s="11">
        <v>5.625</v>
      </c>
      <c r="I40" s="13">
        <f t="shared" si="1"/>
        <v>85.974999999999994</v>
      </c>
      <c r="J40" s="11">
        <v>0</v>
      </c>
      <c r="K40" s="11">
        <v>0</v>
      </c>
      <c r="L40" s="11">
        <v>0</v>
      </c>
      <c r="M40" s="13">
        <f t="shared" si="2"/>
        <v>0</v>
      </c>
      <c r="N40" s="11">
        <v>0</v>
      </c>
      <c r="O40" s="11">
        <v>0</v>
      </c>
      <c r="P40" s="11">
        <v>0</v>
      </c>
      <c r="Q40" s="11">
        <v>0</v>
      </c>
      <c r="R40" s="13">
        <f t="shared" si="3"/>
        <v>0</v>
      </c>
      <c r="S40">
        <v>0</v>
      </c>
      <c r="T40">
        <v>0</v>
      </c>
      <c r="U40" s="7">
        <f t="shared" si="4"/>
        <v>0</v>
      </c>
      <c r="V40">
        <v>0</v>
      </c>
      <c r="W40">
        <v>0</v>
      </c>
      <c r="X40">
        <v>0</v>
      </c>
      <c r="Y40">
        <v>0</v>
      </c>
      <c r="Z40" s="13">
        <f t="shared" si="5"/>
        <v>0</v>
      </c>
      <c r="AA40">
        <v>0</v>
      </c>
      <c r="AB40">
        <v>0</v>
      </c>
      <c r="AC40">
        <v>0</v>
      </c>
      <c r="AD40">
        <v>0</v>
      </c>
      <c r="AE40" s="7">
        <f t="shared" si="6"/>
        <v>0</v>
      </c>
      <c r="AF40">
        <v>0</v>
      </c>
      <c r="AG40">
        <v>0</v>
      </c>
      <c r="AH40">
        <v>0</v>
      </c>
      <c r="AI40" s="13">
        <f t="shared" si="7"/>
        <v>0</v>
      </c>
      <c r="AJ40" s="11" t="s">
        <v>51</v>
      </c>
      <c r="AK40" s="11" t="s">
        <v>51</v>
      </c>
      <c r="AL40" s="11" t="s">
        <v>51</v>
      </c>
      <c r="AM40" s="13">
        <f t="shared" si="8"/>
        <v>0</v>
      </c>
      <c r="AN40" s="18">
        <v>3</v>
      </c>
      <c r="AO40" s="18">
        <v>0</v>
      </c>
      <c r="AP40" s="18">
        <v>0</v>
      </c>
      <c r="AQ40" s="18">
        <v>0</v>
      </c>
      <c r="AR40" s="18">
        <f t="shared" si="9"/>
        <v>3</v>
      </c>
      <c r="AS40" t="s">
        <v>52</v>
      </c>
      <c r="AT40" s="9" t="s">
        <v>195</v>
      </c>
      <c r="AU40" s="30">
        <f>+((AN40*I40)+(AO40*AE40)+(AQ40*AI40)+(AP40*AM40))/AR40</f>
        <v>85.97499999999998</v>
      </c>
    </row>
    <row r="41" spans="1:47" hidden="1" x14ac:dyDescent="0.25">
      <c r="A41" t="s">
        <v>46</v>
      </c>
      <c r="B41" t="s">
        <v>196</v>
      </c>
      <c r="C41" t="s">
        <v>197</v>
      </c>
      <c r="D41" t="s">
        <v>198</v>
      </c>
      <c r="E41" s="11">
        <v>20</v>
      </c>
      <c r="F41" s="11">
        <v>17.329999999999998</v>
      </c>
      <c r="G41" s="11">
        <v>43.88</v>
      </c>
      <c r="H41" s="11">
        <v>6</v>
      </c>
      <c r="I41" s="13">
        <f t="shared" si="1"/>
        <v>87.210000000000008</v>
      </c>
      <c r="J41" s="11">
        <v>0</v>
      </c>
      <c r="K41" s="11">
        <v>0</v>
      </c>
      <c r="L41" s="11">
        <v>0</v>
      </c>
      <c r="M41" s="13">
        <f t="shared" si="2"/>
        <v>0</v>
      </c>
      <c r="N41" s="11">
        <v>0</v>
      </c>
      <c r="O41" s="11">
        <v>0</v>
      </c>
      <c r="P41" s="11">
        <v>0</v>
      </c>
      <c r="Q41" s="11">
        <v>0</v>
      </c>
      <c r="R41" s="13">
        <f t="shared" si="3"/>
        <v>0</v>
      </c>
      <c r="S41">
        <v>0</v>
      </c>
      <c r="T41">
        <v>0</v>
      </c>
      <c r="U41" s="7">
        <f t="shared" si="4"/>
        <v>0</v>
      </c>
      <c r="V41">
        <v>0</v>
      </c>
      <c r="W41">
        <v>0</v>
      </c>
      <c r="X41">
        <v>0</v>
      </c>
      <c r="Y41">
        <v>0</v>
      </c>
      <c r="Z41" s="13">
        <f t="shared" si="5"/>
        <v>0</v>
      </c>
      <c r="AA41">
        <v>0</v>
      </c>
      <c r="AB41">
        <v>0</v>
      </c>
      <c r="AC41">
        <v>0</v>
      </c>
      <c r="AD41">
        <v>0</v>
      </c>
      <c r="AE41" s="7">
        <f t="shared" si="6"/>
        <v>0</v>
      </c>
      <c r="AF41">
        <v>0</v>
      </c>
      <c r="AG41">
        <v>0</v>
      </c>
      <c r="AH41">
        <v>0</v>
      </c>
      <c r="AI41" s="13">
        <f t="shared" si="7"/>
        <v>0</v>
      </c>
      <c r="AJ41" s="11" t="s">
        <v>51</v>
      </c>
      <c r="AK41" s="11" t="s">
        <v>51</v>
      </c>
      <c r="AL41" s="11" t="s">
        <v>51</v>
      </c>
      <c r="AM41" s="13">
        <f t="shared" si="8"/>
        <v>0</v>
      </c>
      <c r="AN41" s="18">
        <v>4</v>
      </c>
      <c r="AO41" s="18">
        <v>0</v>
      </c>
      <c r="AP41" s="18">
        <v>0</v>
      </c>
      <c r="AQ41" s="18">
        <v>0</v>
      </c>
      <c r="AR41" s="18">
        <f t="shared" si="9"/>
        <v>4</v>
      </c>
      <c r="AS41" t="s">
        <v>52</v>
      </c>
      <c r="AT41" s="9" t="s">
        <v>199</v>
      </c>
      <c r="AU41" s="30">
        <f>+((AN41*I41)+(AO41*AE41)+(AQ41*AI41)+(AP41*AM41))/AR41</f>
        <v>87.210000000000008</v>
      </c>
    </row>
    <row r="42" spans="1:47" hidden="1" x14ac:dyDescent="0.25">
      <c r="A42" t="s">
        <v>46</v>
      </c>
      <c r="B42" s="32" t="s">
        <v>200</v>
      </c>
      <c r="C42" s="32" t="s">
        <v>201</v>
      </c>
      <c r="D42" s="32" t="s">
        <v>202</v>
      </c>
      <c r="E42" s="11">
        <v>0</v>
      </c>
      <c r="F42" s="11">
        <v>0</v>
      </c>
      <c r="G42" s="11">
        <v>0</v>
      </c>
      <c r="H42" s="11">
        <v>0</v>
      </c>
      <c r="I42" s="13">
        <f t="shared" si="1"/>
        <v>0</v>
      </c>
      <c r="J42" s="11">
        <v>0</v>
      </c>
      <c r="K42" s="11">
        <v>0</v>
      </c>
      <c r="L42" s="11">
        <v>0</v>
      </c>
      <c r="M42" s="13">
        <f t="shared" si="2"/>
        <v>0</v>
      </c>
      <c r="N42" s="11">
        <v>60.337499999999999</v>
      </c>
      <c r="O42" s="11">
        <v>6.25</v>
      </c>
      <c r="P42" s="11">
        <v>0</v>
      </c>
      <c r="Q42" s="11">
        <v>24.162500000000001</v>
      </c>
      <c r="R42" s="13">
        <f t="shared" si="3"/>
        <v>90.75</v>
      </c>
      <c r="S42">
        <v>0</v>
      </c>
      <c r="T42">
        <v>0</v>
      </c>
      <c r="U42" s="7">
        <f t="shared" si="4"/>
        <v>0</v>
      </c>
      <c r="V42">
        <v>0</v>
      </c>
      <c r="W42">
        <v>0</v>
      </c>
      <c r="X42">
        <v>0</v>
      </c>
      <c r="Y42">
        <v>0</v>
      </c>
      <c r="Z42" s="13">
        <f t="shared" si="5"/>
        <v>0</v>
      </c>
      <c r="AA42">
        <v>0</v>
      </c>
      <c r="AB42">
        <v>0</v>
      </c>
      <c r="AC42">
        <v>0</v>
      </c>
      <c r="AD42">
        <v>0</v>
      </c>
      <c r="AE42" s="7">
        <f t="shared" si="6"/>
        <v>0</v>
      </c>
      <c r="AF42">
        <v>0</v>
      </c>
      <c r="AG42">
        <v>0</v>
      </c>
      <c r="AH42">
        <v>0</v>
      </c>
      <c r="AI42" s="13">
        <f t="shared" si="7"/>
        <v>0</v>
      </c>
      <c r="AJ42" s="11" t="s">
        <v>51</v>
      </c>
      <c r="AK42" s="11">
        <v>33.75</v>
      </c>
      <c r="AL42" s="11">
        <v>57.7</v>
      </c>
      <c r="AM42" s="13">
        <f t="shared" si="8"/>
        <v>91.45</v>
      </c>
      <c r="AN42" s="18">
        <v>7</v>
      </c>
      <c r="AO42" s="18">
        <v>0</v>
      </c>
      <c r="AP42" s="18">
        <v>3</v>
      </c>
      <c r="AQ42" s="18">
        <v>0</v>
      </c>
      <c r="AR42" s="18">
        <f t="shared" si="9"/>
        <v>10</v>
      </c>
      <c r="AS42" t="s">
        <v>117</v>
      </c>
      <c r="AT42" s="9" t="s">
        <v>203</v>
      </c>
      <c r="AU42" s="11">
        <f>+((AN42*R42)+(AQ42*AI42)+(AP42*AM42))/AR42</f>
        <v>90.960000000000008</v>
      </c>
    </row>
    <row r="43" spans="1:47" hidden="1" x14ac:dyDescent="0.25">
      <c r="A43" t="s">
        <v>46</v>
      </c>
      <c r="B43" t="s">
        <v>204</v>
      </c>
      <c r="C43" t="s">
        <v>205</v>
      </c>
      <c r="D43" t="s">
        <v>206</v>
      </c>
      <c r="E43" s="11">
        <v>20</v>
      </c>
      <c r="F43" s="11">
        <v>20</v>
      </c>
      <c r="G43" s="11">
        <v>42.49</v>
      </c>
      <c r="H43" s="11">
        <v>5.5</v>
      </c>
      <c r="I43" s="13">
        <f t="shared" si="1"/>
        <v>87.990000000000009</v>
      </c>
      <c r="J43" s="11">
        <v>0</v>
      </c>
      <c r="K43" s="11">
        <v>0</v>
      </c>
      <c r="L43" s="11">
        <v>0</v>
      </c>
      <c r="M43" s="13">
        <f t="shared" si="2"/>
        <v>0</v>
      </c>
      <c r="N43" s="11">
        <v>0</v>
      </c>
      <c r="O43" s="11">
        <v>0</v>
      </c>
      <c r="P43" s="11">
        <v>0</v>
      </c>
      <c r="Q43" s="11">
        <v>0</v>
      </c>
      <c r="R43" s="13">
        <f t="shared" si="3"/>
        <v>0</v>
      </c>
      <c r="S43">
        <v>0</v>
      </c>
      <c r="T43">
        <v>0</v>
      </c>
      <c r="U43" s="7">
        <f t="shared" si="4"/>
        <v>0</v>
      </c>
      <c r="V43">
        <v>0</v>
      </c>
      <c r="W43">
        <v>0</v>
      </c>
      <c r="X43">
        <v>0</v>
      </c>
      <c r="Y43">
        <v>0</v>
      </c>
      <c r="Z43" s="13">
        <f t="shared" si="5"/>
        <v>0</v>
      </c>
      <c r="AA43">
        <v>0</v>
      </c>
      <c r="AB43">
        <v>0</v>
      </c>
      <c r="AC43">
        <v>0</v>
      </c>
      <c r="AD43">
        <v>0</v>
      </c>
      <c r="AE43" s="7">
        <f t="shared" si="6"/>
        <v>0</v>
      </c>
      <c r="AF43">
        <v>0</v>
      </c>
      <c r="AG43">
        <v>0</v>
      </c>
      <c r="AH43">
        <v>0</v>
      </c>
      <c r="AI43" s="13">
        <f t="shared" si="7"/>
        <v>0</v>
      </c>
      <c r="AJ43" s="11" t="s">
        <v>51</v>
      </c>
      <c r="AK43" s="11" t="s">
        <v>51</v>
      </c>
      <c r="AL43" s="11" t="s">
        <v>51</v>
      </c>
      <c r="AM43" s="13">
        <f t="shared" si="8"/>
        <v>0</v>
      </c>
      <c r="AN43" s="18">
        <v>8</v>
      </c>
      <c r="AO43" s="18">
        <v>0</v>
      </c>
      <c r="AP43" s="18">
        <v>0</v>
      </c>
      <c r="AQ43" s="18">
        <v>0</v>
      </c>
      <c r="AR43" s="18">
        <f t="shared" si="9"/>
        <v>8</v>
      </c>
      <c r="AS43" t="s">
        <v>52</v>
      </c>
      <c r="AT43" s="9" t="s">
        <v>207</v>
      </c>
      <c r="AU43" s="30">
        <f>+((AN43*I43)+(AO43*AE43)+(AQ43*AI43)+(AP43*AM43))/AR43</f>
        <v>87.990000000000009</v>
      </c>
    </row>
    <row r="44" spans="1:47" hidden="1" x14ac:dyDescent="0.25">
      <c r="A44" t="s">
        <v>46</v>
      </c>
      <c r="B44" t="s">
        <v>208</v>
      </c>
      <c r="C44" t="s">
        <v>209</v>
      </c>
      <c r="D44" t="s">
        <v>210</v>
      </c>
      <c r="E44" s="11">
        <v>0</v>
      </c>
      <c r="F44" s="11">
        <v>25</v>
      </c>
      <c r="G44" s="11">
        <v>55.8</v>
      </c>
      <c r="H44" s="11">
        <v>3.125</v>
      </c>
      <c r="I44" s="13">
        <f t="shared" si="1"/>
        <v>83.924999999999997</v>
      </c>
      <c r="J44" s="11">
        <v>0</v>
      </c>
      <c r="K44" s="11">
        <v>0</v>
      </c>
      <c r="L44" s="11">
        <v>0</v>
      </c>
      <c r="M44" s="13">
        <f t="shared" si="2"/>
        <v>0</v>
      </c>
      <c r="N44" s="11">
        <v>0</v>
      </c>
      <c r="O44" s="11">
        <v>0</v>
      </c>
      <c r="P44" s="11">
        <v>0</v>
      </c>
      <c r="Q44" s="11">
        <v>0</v>
      </c>
      <c r="R44" s="13">
        <f t="shared" si="3"/>
        <v>0</v>
      </c>
      <c r="S44">
        <v>0</v>
      </c>
      <c r="T44">
        <v>0</v>
      </c>
      <c r="U44" s="7">
        <f t="shared" si="4"/>
        <v>0</v>
      </c>
      <c r="V44">
        <v>0</v>
      </c>
      <c r="W44">
        <v>0</v>
      </c>
      <c r="X44">
        <v>0</v>
      </c>
      <c r="Y44">
        <v>0</v>
      </c>
      <c r="Z44" s="13">
        <f t="shared" si="5"/>
        <v>0</v>
      </c>
      <c r="AA44">
        <v>0</v>
      </c>
      <c r="AB44">
        <v>0</v>
      </c>
      <c r="AC44">
        <v>0</v>
      </c>
      <c r="AD44">
        <v>0</v>
      </c>
      <c r="AE44" s="7">
        <f t="shared" si="6"/>
        <v>0</v>
      </c>
      <c r="AF44">
        <v>0</v>
      </c>
      <c r="AG44">
        <v>0</v>
      </c>
      <c r="AH44">
        <v>0</v>
      </c>
      <c r="AI44" s="13">
        <f t="shared" si="7"/>
        <v>0</v>
      </c>
      <c r="AJ44" s="11" t="s">
        <v>51</v>
      </c>
      <c r="AK44" s="11" t="s">
        <v>51</v>
      </c>
      <c r="AL44" s="11" t="s">
        <v>51</v>
      </c>
      <c r="AM44" s="13">
        <f t="shared" si="8"/>
        <v>0</v>
      </c>
      <c r="AN44" s="18">
        <v>2</v>
      </c>
      <c r="AO44" s="18">
        <v>0</v>
      </c>
      <c r="AP44" s="18">
        <v>0</v>
      </c>
      <c r="AQ44" s="18">
        <v>0</v>
      </c>
      <c r="AR44" s="18">
        <f t="shared" si="9"/>
        <v>2</v>
      </c>
      <c r="AS44" t="s">
        <v>52</v>
      </c>
      <c r="AT44" s="9" t="s">
        <v>211</v>
      </c>
      <c r="AU44" s="30">
        <f>+((AN44*I44)+(AO44*AE44)+(AQ44*AI44)+(AP44*AM44))/AR44</f>
        <v>83.924999999999997</v>
      </c>
    </row>
    <row r="45" spans="1:47" hidden="1" x14ac:dyDescent="0.25">
      <c r="A45" t="s">
        <v>46</v>
      </c>
      <c r="B45" t="s">
        <v>212</v>
      </c>
      <c r="C45" t="s">
        <v>213</v>
      </c>
      <c r="D45" t="s">
        <v>214</v>
      </c>
      <c r="E45" s="11">
        <v>0</v>
      </c>
      <c r="F45" s="11">
        <v>0</v>
      </c>
      <c r="G45" s="11">
        <v>0</v>
      </c>
      <c r="H45" s="11">
        <v>0</v>
      </c>
      <c r="I45" s="13">
        <f t="shared" si="1"/>
        <v>0</v>
      </c>
      <c r="J45" s="11">
        <v>0</v>
      </c>
      <c r="K45" s="11">
        <v>0</v>
      </c>
      <c r="L45" s="11">
        <v>0</v>
      </c>
      <c r="M45" s="13">
        <f t="shared" si="2"/>
        <v>0</v>
      </c>
      <c r="N45" s="11">
        <v>0</v>
      </c>
      <c r="O45" s="11">
        <v>0</v>
      </c>
      <c r="P45" s="11">
        <v>0</v>
      </c>
      <c r="Q45" s="11">
        <v>0</v>
      </c>
      <c r="R45" s="13">
        <f t="shared" si="3"/>
        <v>0</v>
      </c>
      <c r="S45">
        <v>0</v>
      </c>
      <c r="T45">
        <v>0</v>
      </c>
      <c r="U45" s="7">
        <f t="shared" si="4"/>
        <v>0</v>
      </c>
      <c r="V45" s="11">
        <v>3.125</v>
      </c>
      <c r="W45">
        <v>25</v>
      </c>
      <c r="X45">
        <v>57.1</v>
      </c>
      <c r="Y45">
        <v>0</v>
      </c>
      <c r="Z45" s="13">
        <f t="shared" si="5"/>
        <v>85.224999999999994</v>
      </c>
      <c r="AA45">
        <v>0</v>
      </c>
      <c r="AB45">
        <v>0</v>
      </c>
      <c r="AC45">
        <v>0</v>
      </c>
      <c r="AD45">
        <v>0</v>
      </c>
      <c r="AE45" s="7">
        <f t="shared" si="6"/>
        <v>0</v>
      </c>
      <c r="AF45">
        <v>0</v>
      </c>
      <c r="AG45">
        <v>0</v>
      </c>
      <c r="AH45">
        <v>0</v>
      </c>
      <c r="AI45" s="13">
        <f t="shared" si="7"/>
        <v>0</v>
      </c>
      <c r="AJ45" s="11" t="s">
        <v>51</v>
      </c>
      <c r="AK45" s="11" t="s">
        <v>51</v>
      </c>
      <c r="AL45" s="11" t="s">
        <v>51</v>
      </c>
      <c r="AM45" s="13">
        <f t="shared" si="8"/>
        <v>0</v>
      </c>
      <c r="AN45" s="18">
        <v>10</v>
      </c>
      <c r="AO45" s="18">
        <v>0</v>
      </c>
      <c r="AP45" s="18">
        <v>0</v>
      </c>
      <c r="AQ45" s="18">
        <v>0</v>
      </c>
      <c r="AR45" s="18">
        <f t="shared" si="9"/>
        <v>10</v>
      </c>
      <c r="AS45" t="s">
        <v>52</v>
      </c>
      <c r="AT45" s="9" t="s">
        <v>215</v>
      </c>
      <c r="AU45" s="30">
        <f>+((Z45*AN45)/AR45)</f>
        <v>85.224999999999994</v>
      </c>
    </row>
    <row r="46" spans="1:47" hidden="1" x14ac:dyDescent="0.25">
      <c r="A46" t="s">
        <v>46</v>
      </c>
      <c r="B46" t="s">
        <v>216</v>
      </c>
      <c r="C46" t="s">
        <v>217</v>
      </c>
      <c r="D46" t="s">
        <v>218</v>
      </c>
      <c r="E46" s="11">
        <v>0</v>
      </c>
      <c r="F46" s="11">
        <v>0</v>
      </c>
      <c r="G46" s="11">
        <v>0</v>
      </c>
      <c r="H46" s="11">
        <v>0</v>
      </c>
      <c r="I46" s="13">
        <f t="shared" si="1"/>
        <v>0</v>
      </c>
      <c r="J46" s="11">
        <v>57.82</v>
      </c>
      <c r="K46" s="11">
        <v>28.5</v>
      </c>
      <c r="L46" s="11">
        <v>4.5</v>
      </c>
      <c r="M46" s="13">
        <f t="shared" si="2"/>
        <v>90.82</v>
      </c>
      <c r="N46" s="11">
        <v>0</v>
      </c>
      <c r="O46" s="11">
        <v>0</v>
      </c>
      <c r="P46" s="11">
        <v>0</v>
      </c>
      <c r="Q46" s="11">
        <v>0</v>
      </c>
      <c r="R46" s="13">
        <f t="shared" si="3"/>
        <v>0</v>
      </c>
      <c r="S46">
        <v>0</v>
      </c>
      <c r="T46">
        <v>0</v>
      </c>
      <c r="U46" s="7">
        <f t="shared" si="4"/>
        <v>0</v>
      </c>
      <c r="V46">
        <v>0</v>
      </c>
      <c r="W46">
        <v>0</v>
      </c>
      <c r="X46">
        <v>0</v>
      </c>
      <c r="Y46">
        <v>0</v>
      </c>
      <c r="Z46" s="13">
        <f t="shared" si="5"/>
        <v>0</v>
      </c>
      <c r="AA46">
        <v>0</v>
      </c>
      <c r="AB46">
        <v>0</v>
      </c>
      <c r="AC46">
        <v>0</v>
      </c>
      <c r="AD46">
        <v>0</v>
      </c>
      <c r="AE46" s="7">
        <f t="shared" si="6"/>
        <v>0</v>
      </c>
      <c r="AF46">
        <v>0</v>
      </c>
      <c r="AG46">
        <v>0</v>
      </c>
      <c r="AH46">
        <v>0</v>
      </c>
      <c r="AI46" s="13">
        <f t="shared" si="7"/>
        <v>0</v>
      </c>
      <c r="AJ46" s="11" t="s">
        <v>51</v>
      </c>
      <c r="AK46" s="11" t="s">
        <v>51</v>
      </c>
      <c r="AL46" s="11" t="s">
        <v>51</v>
      </c>
      <c r="AM46" s="13">
        <f t="shared" si="8"/>
        <v>0</v>
      </c>
      <c r="AN46" s="18">
        <v>2.625</v>
      </c>
      <c r="AO46" s="18">
        <v>0</v>
      </c>
      <c r="AP46" s="18">
        <v>0</v>
      </c>
      <c r="AQ46" s="18">
        <v>0</v>
      </c>
      <c r="AR46" s="18">
        <f t="shared" si="9"/>
        <v>2.625</v>
      </c>
      <c r="AS46" t="s">
        <v>87</v>
      </c>
      <c r="AT46" s="9" t="s">
        <v>219</v>
      </c>
      <c r="AU46" s="30">
        <f>+((AN46*M46)/AR46)</f>
        <v>90.82</v>
      </c>
    </row>
    <row r="47" spans="1:47" hidden="1" x14ac:dyDescent="0.25">
      <c r="A47" t="s">
        <v>46</v>
      </c>
      <c r="B47" t="s">
        <v>220</v>
      </c>
      <c r="C47" t="s">
        <v>221</v>
      </c>
      <c r="D47" t="s">
        <v>222</v>
      </c>
      <c r="E47" s="11">
        <v>20</v>
      </c>
      <c r="F47" s="11">
        <v>18</v>
      </c>
      <c r="G47" s="11">
        <v>38.89</v>
      </c>
      <c r="H47" s="11">
        <v>5.5</v>
      </c>
      <c r="I47" s="13">
        <f t="shared" si="1"/>
        <v>82.39</v>
      </c>
      <c r="J47" s="11">
        <v>0</v>
      </c>
      <c r="K47" s="11">
        <v>0</v>
      </c>
      <c r="L47" s="11">
        <v>0</v>
      </c>
      <c r="M47" s="13">
        <f t="shared" si="2"/>
        <v>0</v>
      </c>
      <c r="N47" s="11">
        <v>39.47</v>
      </c>
      <c r="O47" s="11">
        <v>5.5</v>
      </c>
      <c r="P47" s="11">
        <v>18</v>
      </c>
      <c r="Q47" s="11">
        <v>20</v>
      </c>
      <c r="R47" s="13">
        <f t="shared" si="3"/>
        <v>82.97</v>
      </c>
      <c r="S47">
        <v>0</v>
      </c>
      <c r="T47">
        <v>0</v>
      </c>
      <c r="U47" s="7">
        <f t="shared" si="4"/>
        <v>0</v>
      </c>
      <c r="V47">
        <v>0</v>
      </c>
      <c r="W47">
        <v>0</v>
      </c>
      <c r="X47">
        <v>0</v>
      </c>
      <c r="Y47">
        <v>0</v>
      </c>
      <c r="Z47" s="13">
        <f t="shared" si="5"/>
        <v>0</v>
      </c>
      <c r="AA47">
        <v>0</v>
      </c>
      <c r="AB47">
        <v>0</v>
      </c>
      <c r="AC47">
        <v>0</v>
      </c>
      <c r="AD47">
        <v>0</v>
      </c>
      <c r="AE47" s="7">
        <f t="shared" si="6"/>
        <v>0</v>
      </c>
      <c r="AF47">
        <v>0</v>
      </c>
      <c r="AG47">
        <v>0</v>
      </c>
      <c r="AH47">
        <v>0</v>
      </c>
      <c r="AI47" s="13">
        <f t="shared" si="7"/>
        <v>0</v>
      </c>
      <c r="AJ47" s="11" t="s">
        <v>51</v>
      </c>
      <c r="AK47" s="11" t="s">
        <v>51</v>
      </c>
      <c r="AL47" s="11" t="s">
        <v>51</v>
      </c>
      <c r="AM47" s="13">
        <f t="shared" si="8"/>
        <v>0</v>
      </c>
      <c r="AN47" s="18">
        <v>36.836874999999999</v>
      </c>
      <c r="AO47" s="18">
        <v>0</v>
      </c>
      <c r="AP47" s="18">
        <v>0</v>
      </c>
      <c r="AQ47" s="18">
        <v>0</v>
      </c>
      <c r="AR47" s="18">
        <f t="shared" si="9"/>
        <v>36.836874999999999</v>
      </c>
      <c r="AS47" t="s">
        <v>52</v>
      </c>
      <c r="AT47" s="9" t="s">
        <v>223</v>
      </c>
      <c r="AU47" s="30">
        <f>+((AN47*I47)+(AO47*AE47)+(AQ47*AI47)+(AP47*AM47))/AR47</f>
        <v>82.39</v>
      </c>
    </row>
    <row r="48" spans="1:47" hidden="1" x14ac:dyDescent="0.25">
      <c r="A48" s="33" t="s">
        <v>46</v>
      </c>
      <c r="B48" s="32" t="s">
        <v>220</v>
      </c>
      <c r="C48" s="32" t="s">
        <v>221</v>
      </c>
      <c r="D48" s="32" t="s">
        <v>222</v>
      </c>
      <c r="E48" s="11">
        <v>20</v>
      </c>
      <c r="F48" s="11">
        <v>18</v>
      </c>
      <c r="G48" s="11">
        <v>38.89</v>
      </c>
      <c r="H48" s="11">
        <v>5.5</v>
      </c>
      <c r="I48" s="13">
        <f t="shared" si="1"/>
        <v>82.39</v>
      </c>
      <c r="J48" s="11">
        <v>0</v>
      </c>
      <c r="K48" s="11">
        <v>0</v>
      </c>
      <c r="L48" s="11">
        <v>0</v>
      </c>
      <c r="M48" s="13">
        <f t="shared" si="2"/>
        <v>0</v>
      </c>
      <c r="N48" s="11">
        <v>39.47</v>
      </c>
      <c r="O48" s="11">
        <v>5.5</v>
      </c>
      <c r="P48" s="11">
        <v>18</v>
      </c>
      <c r="Q48" s="11">
        <v>20</v>
      </c>
      <c r="R48" s="13">
        <f t="shared" si="3"/>
        <v>82.97</v>
      </c>
      <c r="S48">
        <v>0</v>
      </c>
      <c r="T48">
        <v>0</v>
      </c>
      <c r="U48" s="7">
        <f t="shared" si="4"/>
        <v>0</v>
      </c>
      <c r="V48">
        <v>0</v>
      </c>
      <c r="W48">
        <v>0</v>
      </c>
      <c r="X48">
        <v>0</v>
      </c>
      <c r="Y48">
        <v>0</v>
      </c>
      <c r="Z48" s="13">
        <f t="shared" si="5"/>
        <v>0</v>
      </c>
      <c r="AA48">
        <v>0</v>
      </c>
      <c r="AB48">
        <v>0</v>
      </c>
      <c r="AC48">
        <v>0</v>
      </c>
      <c r="AD48">
        <v>0</v>
      </c>
      <c r="AE48" s="7">
        <f t="shared" si="6"/>
        <v>0</v>
      </c>
      <c r="AF48">
        <v>0</v>
      </c>
      <c r="AG48">
        <v>0</v>
      </c>
      <c r="AH48">
        <v>0</v>
      </c>
      <c r="AI48" s="13">
        <f t="shared" si="7"/>
        <v>0</v>
      </c>
      <c r="AJ48" s="11" t="s">
        <v>51</v>
      </c>
      <c r="AK48" s="11" t="s">
        <v>51</v>
      </c>
      <c r="AL48" s="11" t="s">
        <v>51</v>
      </c>
      <c r="AM48" s="13">
        <f t="shared" si="8"/>
        <v>0</v>
      </c>
      <c r="AN48" s="18">
        <v>3</v>
      </c>
      <c r="AO48" s="18">
        <v>0</v>
      </c>
      <c r="AP48" s="18">
        <v>0</v>
      </c>
      <c r="AQ48" s="18">
        <v>0</v>
      </c>
      <c r="AR48" s="18">
        <f t="shared" si="9"/>
        <v>3</v>
      </c>
      <c r="AS48" t="s">
        <v>117</v>
      </c>
      <c r="AT48" s="9" t="s">
        <v>223</v>
      </c>
      <c r="AU48" s="11">
        <f>+((AN48*R48)+(AQ48*AI48)+(AP48*AM48))/AR48</f>
        <v>82.97</v>
      </c>
    </row>
    <row r="49" spans="1:47" hidden="1" x14ac:dyDescent="0.25">
      <c r="A49" t="s">
        <v>46</v>
      </c>
      <c r="B49" t="s">
        <v>224</v>
      </c>
      <c r="C49" t="s">
        <v>225</v>
      </c>
      <c r="D49" t="s">
        <v>226</v>
      </c>
      <c r="E49" s="11">
        <v>0</v>
      </c>
      <c r="F49" s="11">
        <v>0</v>
      </c>
      <c r="G49" s="11">
        <v>0</v>
      </c>
      <c r="H49" s="11">
        <v>0</v>
      </c>
      <c r="I49" s="13">
        <f t="shared" si="1"/>
        <v>0</v>
      </c>
      <c r="J49" s="11">
        <v>52.49</v>
      </c>
      <c r="K49" s="11">
        <v>29.5</v>
      </c>
      <c r="L49" s="11">
        <v>4</v>
      </c>
      <c r="M49" s="13">
        <f t="shared" si="2"/>
        <v>85.990000000000009</v>
      </c>
      <c r="N49" s="11">
        <v>0</v>
      </c>
      <c r="O49" s="11">
        <v>0</v>
      </c>
      <c r="P49" s="11">
        <v>0</v>
      </c>
      <c r="Q49" s="11">
        <v>0</v>
      </c>
      <c r="R49" s="13">
        <f t="shared" si="3"/>
        <v>0</v>
      </c>
      <c r="S49">
        <v>0</v>
      </c>
      <c r="T49">
        <v>0</v>
      </c>
      <c r="U49" s="7">
        <f t="shared" si="4"/>
        <v>0</v>
      </c>
      <c r="V49">
        <v>0</v>
      </c>
      <c r="W49">
        <v>0</v>
      </c>
      <c r="X49">
        <v>0</v>
      </c>
      <c r="Y49">
        <v>0</v>
      </c>
      <c r="Z49" s="13">
        <f t="shared" si="5"/>
        <v>0</v>
      </c>
      <c r="AA49">
        <v>0</v>
      </c>
      <c r="AB49">
        <v>0</v>
      </c>
      <c r="AC49">
        <v>0</v>
      </c>
      <c r="AD49">
        <v>0</v>
      </c>
      <c r="AE49" s="7">
        <f t="shared" si="6"/>
        <v>0</v>
      </c>
      <c r="AF49">
        <v>0</v>
      </c>
      <c r="AG49">
        <v>0</v>
      </c>
      <c r="AH49">
        <v>0</v>
      </c>
      <c r="AI49" s="13">
        <f t="shared" si="7"/>
        <v>0</v>
      </c>
      <c r="AJ49" s="11" t="s">
        <v>51</v>
      </c>
      <c r="AK49" s="11" t="s">
        <v>51</v>
      </c>
      <c r="AL49" s="11" t="s">
        <v>51</v>
      </c>
      <c r="AM49" s="13">
        <f t="shared" si="8"/>
        <v>0</v>
      </c>
      <c r="AN49" s="18">
        <v>2</v>
      </c>
      <c r="AO49" s="18">
        <v>0</v>
      </c>
      <c r="AP49" s="18">
        <v>0</v>
      </c>
      <c r="AQ49" s="18">
        <v>0</v>
      </c>
      <c r="AR49" s="18">
        <f t="shared" si="9"/>
        <v>2</v>
      </c>
      <c r="AS49" t="s">
        <v>87</v>
      </c>
      <c r="AT49" s="9" t="s">
        <v>227</v>
      </c>
      <c r="AU49" s="30">
        <f>+((AN49*M49)/AR49)</f>
        <v>85.990000000000009</v>
      </c>
    </row>
    <row r="50" spans="1:47" hidden="1" x14ac:dyDescent="0.25">
      <c r="A50" t="s">
        <v>46</v>
      </c>
      <c r="B50" t="s">
        <v>228</v>
      </c>
      <c r="C50" t="s">
        <v>229</v>
      </c>
      <c r="D50" t="s">
        <v>230</v>
      </c>
      <c r="E50" s="11">
        <v>20</v>
      </c>
      <c r="F50" s="11">
        <v>12</v>
      </c>
      <c r="G50" s="11">
        <v>46.18</v>
      </c>
      <c r="H50" s="11">
        <v>6.5</v>
      </c>
      <c r="I50" s="13">
        <f t="shared" si="1"/>
        <v>84.68</v>
      </c>
      <c r="J50" s="11">
        <v>0</v>
      </c>
      <c r="K50" s="11">
        <v>0</v>
      </c>
      <c r="L50" s="11">
        <v>0</v>
      </c>
      <c r="M50" s="13">
        <f t="shared" si="2"/>
        <v>0</v>
      </c>
      <c r="N50" s="11">
        <v>0</v>
      </c>
      <c r="O50" s="11">
        <v>0</v>
      </c>
      <c r="P50" s="11">
        <v>0</v>
      </c>
      <c r="Q50" s="11">
        <v>0</v>
      </c>
      <c r="R50" s="13">
        <f t="shared" si="3"/>
        <v>0</v>
      </c>
      <c r="S50">
        <v>0</v>
      </c>
      <c r="T50">
        <v>0</v>
      </c>
      <c r="U50" s="7">
        <f t="shared" si="4"/>
        <v>0</v>
      </c>
      <c r="V50">
        <v>0</v>
      </c>
      <c r="W50">
        <v>0</v>
      </c>
      <c r="X50">
        <v>0</v>
      </c>
      <c r="Y50">
        <v>0</v>
      </c>
      <c r="Z50" s="13">
        <f t="shared" si="5"/>
        <v>0</v>
      </c>
      <c r="AA50">
        <v>0</v>
      </c>
      <c r="AB50">
        <v>0</v>
      </c>
      <c r="AC50">
        <v>0</v>
      </c>
      <c r="AD50">
        <v>0</v>
      </c>
      <c r="AE50" s="7">
        <f t="shared" si="6"/>
        <v>0</v>
      </c>
      <c r="AF50">
        <v>0</v>
      </c>
      <c r="AG50">
        <v>0</v>
      </c>
      <c r="AH50">
        <v>0</v>
      </c>
      <c r="AI50" s="13">
        <f t="shared" si="7"/>
        <v>0</v>
      </c>
      <c r="AJ50" s="11" t="s">
        <v>51</v>
      </c>
      <c r="AK50" s="11" t="s">
        <v>51</v>
      </c>
      <c r="AL50" s="11" t="s">
        <v>51</v>
      </c>
      <c r="AM50" s="13">
        <f t="shared" si="8"/>
        <v>0</v>
      </c>
      <c r="AN50" s="18">
        <v>6</v>
      </c>
      <c r="AO50" s="18">
        <v>0</v>
      </c>
      <c r="AP50" s="18">
        <v>0</v>
      </c>
      <c r="AQ50" s="18">
        <v>0</v>
      </c>
      <c r="AR50" s="18">
        <f t="shared" si="9"/>
        <v>6</v>
      </c>
      <c r="AS50" t="s">
        <v>52</v>
      </c>
      <c r="AT50" s="9" t="s">
        <v>231</v>
      </c>
      <c r="AU50" s="30">
        <f t="shared" ref="AU50:AU56" si="10">+((AN50*I50)+(AO50*AE50)+(AQ50*AI50)+(AP50*AM50))/AR50</f>
        <v>84.68</v>
      </c>
    </row>
    <row r="51" spans="1:47" hidden="1" x14ac:dyDescent="0.25">
      <c r="A51" t="s">
        <v>46</v>
      </c>
      <c r="B51" t="s">
        <v>232</v>
      </c>
      <c r="C51" t="s">
        <v>233</v>
      </c>
      <c r="D51" t="s">
        <v>234</v>
      </c>
      <c r="E51" s="11">
        <v>25</v>
      </c>
      <c r="F51" s="11">
        <v>0</v>
      </c>
      <c r="G51" s="11">
        <v>53.3</v>
      </c>
      <c r="H51" s="11">
        <v>4.375</v>
      </c>
      <c r="I51" s="13">
        <f t="shared" si="1"/>
        <v>82.674999999999997</v>
      </c>
      <c r="J51" s="11">
        <v>0</v>
      </c>
      <c r="K51" s="11">
        <v>0</v>
      </c>
      <c r="L51" s="11">
        <v>0</v>
      </c>
      <c r="M51" s="13">
        <f t="shared" si="2"/>
        <v>0</v>
      </c>
      <c r="N51" s="11">
        <v>0</v>
      </c>
      <c r="O51" s="11">
        <v>0</v>
      </c>
      <c r="P51" s="11">
        <v>0</v>
      </c>
      <c r="Q51" s="11">
        <v>0</v>
      </c>
      <c r="R51" s="13">
        <f t="shared" si="3"/>
        <v>0</v>
      </c>
      <c r="S51">
        <v>0</v>
      </c>
      <c r="T51">
        <v>0</v>
      </c>
      <c r="U51" s="7">
        <f t="shared" si="4"/>
        <v>0</v>
      </c>
      <c r="V51">
        <v>0</v>
      </c>
      <c r="W51">
        <v>0</v>
      </c>
      <c r="X51">
        <v>0</v>
      </c>
      <c r="Y51">
        <v>0</v>
      </c>
      <c r="Z51" s="13">
        <f t="shared" si="5"/>
        <v>0</v>
      </c>
      <c r="AA51">
        <v>0</v>
      </c>
      <c r="AB51">
        <v>0</v>
      </c>
      <c r="AC51">
        <v>0</v>
      </c>
      <c r="AD51">
        <v>0</v>
      </c>
      <c r="AE51" s="7">
        <f t="shared" si="6"/>
        <v>0</v>
      </c>
      <c r="AF51">
        <v>41.66</v>
      </c>
      <c r="AG51">
        <v>20</v>
      </c>
      <c r="AH51">
        <v>23.04</v>
      </c>
      <c r="AI51" s="13">
        <f t="shared" si="7"/>
        <v>84.699999999999989</v>
      </c>
      <c r="AJ51" s="11" t="s">
        <v>51</v>
      </c>
      <c r="AK51" s="11" t="s">
        <v>51</v>
      </c>
      <c r="AL51" s="11" t="s">
        <v>51</v>
      </c>
      <c r="AM51" s="13">
        <f t="shared" si="8"/>
        <v>0</v>
      </c>
      <c r="AN51" s="18">
        <v>28</v>
      </c>
      <c r="AO51" s="18">
        <v>0</v>
      </c>
      <c r="AP51" s="18">
        <v>0</v>
      </c>
      <c r="AQ51" s="18">
        <v>12</v>
      </c>
      <c r="AR51" s="18">
        <f t="shared" si="9"/>
        <v>40</v>
      </c>
      <c r="AS51" t="s">
        <v>52</v>
      </c>
      <c r="AT51" s="9" t="s">
        <v>235</v>
      </c>
      <c r="AU51" s="30">
        <f t="shared" si="10"/>
        <v>83.282499999999999</v>
      </c>
    </row>
    <row r="52" spans="1:47" hidden="1" x14ac:dyDescent="0.25">
      <c r="A52" t="s">
        <v>46</v>
      </c>
      <c r="B52" t="s">
        <v>236</v>
      </c>
      <c r="C52" t="s">
        <v>237</v>
      </c>
      <c r="D52" t="s">
        <v>238</v>
      </c>
      <c r="E52" s="11">
        <v>22.5</v>
      </c>
      <c r="F52" s="11">
        <v>0</v>
      </c>
      <c r="G52" s="11">
        <v>59.85</v>
      </c>
      <c r="H52" s="11">
        <v>3.75</v>
      </c>
      <c r="I52" s="13">
        <f t="shared" si="1"/>
        <v>86.1</v>
      </c>
      <c r="J52" s="11">
        <v>0</v>
      </c>
      <c r="K52" s="11">
        <v>0</v>
      </c>
      <c r="L52" s="11">
        <v>0</v>
      </c>
      <c r="M52" s="13">
        <f t="shared" si="2"/>
        <v>0</v>
      </c>
      <c r="N52" s="11">
        <v>0</v>
      </c>
      <c r="O52" s="11">
        <v>0</v>
      </c>
      <c r="P52" s="11">
        <v>0</v>
      </c>
      <c r="Q52" s="11">
        <v>0</v>
      </c>
      <c r="R52" s="13">
        <f t="shared" si="3"/>
        <v>0</v>
      </c>
      <c r="S52">
        <v>0</v>
      </c>
      <c r="T52">
        <v>0</v>
      </c>
      <c r="U52" s="7">
        <f t="shared" si="4"/>
        <v>0</v>
      </c>
      <c r="V52">
        <v>0</v>
      </c>
      <c r="W52">
        <v>0</v>
      </c>
      <c r="X52">
        <v>0</v>
      </c>
      <c r="Y52">
        <v>0</v>
      </c>
      <c r="Z52" s="13">
        <f t="shared" si="5"/>
        <v>0</v>
      </c>
      <c r="AA52">
        <v>0</v>
      </c>
      <c r="AB52">
        <v>0</v>
      </c>
      <c r="AC52">
        <v>0</v>
      </c>
      <c r="AD52">
        <v>0</v>
      </c>
      <c r="AE52" s="7">
        <f t="shared" si="6"/>
        <v>0</v>
      </c>
      <c r="AF52">
        <v>0</v>
      </c>
      <c r="AG52">
        <v>0</v>
      </c>
      <c r="AH52">
        <v>0</v>
      </c>
      <c r="AI52" s="13">
        <f t="shared" si="7"/>
        <v>0</v>
      </c>
      <c r="AJ52" s="11" t="s">
        <v>51</v>
      </c>
      <c r="AK52" s="11" t="s">
        <v>51</v>
      </c>
      <c r="AL52" s="11" t="s">
        <v>51</v>
      </c>
      <c r="AM52" s="13">
        <f t="shared" si="8"/>
        <v>0</v>
      </c>
      <c r="AN52" s="18">
        <v>8</v>
      </c>
      <c r="AO52" s="18">
        <v>0</v>
      </c>
      <c r="AP52" s="18">
        <v>0</v>
      </c>
      <c r="AQ52" s="18">
        <v>0</v>
      </c>
      <c r="AR52" s="18">
        <f t="shared" si="9"/>
        <v>8</v>
      </c>
      <c r="AS52" t="s">
        <v>52</v>
      </c>
      <c r="AT52" s="9" t="s">
        <v>239</v>
      </c>
      <c r="AU52" s="30">
        <f t="shared" si="10"/>
        <v>86.1</v>
      </c>
    </row>
    <row r="53" spans="1:47" hidden="1" x14ac:dyDescent="0.25">
      <c r="A53" t="s">
        <v>46</v>
      </c>
      <c r="B53" t="s">
        <v>240</v>
      </c>
      <c r="C53" t="s">
        <v>241</v>
      </c>
      <c r="D53" t="s">
        <v>242</v>
      </c>
      <c r="E53" s="11">
        <v>19.329999999999998</v>
      </c>
      <c r="F53" s="11">
        <v>18.329999999999998</v>
      </c>
      <c r="G53" s="11">
        <v>46.91</v>
      </c>
      <c r="H53" s="11">
        <v>3</v>
      </c>
      <c r="I53" s="13">
        <f t="shared" si="1"/>
        <v>87.57</v>
      </c>
      <c r="J53" s="11">
        <v>0</v>
      </c>
      <c r="K53" s="11">
        <v>0</v>
      </c>
      <c r="L53" s="11">
        <v>0</v>
      </c>
      <c r="M53" s="13">
        <f t="shared" si="2"/>
        <v>0</v>
      </c>
      <c r="N53" s="11">
        <v>0</v>
      </c>
      <c r="O53" s="11">
        <v>0</v>
      </c>
      <c r="P53" s="11">
        <v>0</v>
      </c>
      <c r="Q53" s="11">
        <v>0</v>
      </c>
      <c r="R53" s="13">
        <f t="shared" si="3"/>
        <v>0</v>
      </c>
      <c r="S53">
        <v>0</v>
      </c>
      <c r="T53">
        <v>0</v>
      </c>
      <c r="U53" s="7">
        <f t="shared" si="4"/>
        <v>0</v>
      </c>
      <c r="V53">
        <v>0</v>
      </c>
      <c r="W53">
        <v>0</v>
      </c>
      <c r="X53">
        <v>0</v>
      </c>
      <c r="Y53">
        <v>0</v>
      </c>
      <c r="Z53" s="13">
        <f t="shared" si="5"/>
        <v>0</v>
      </c>
      <c r="AA53">
        <v>0</v>
      </c>
      <c r="AB53">
        <v>0</v>
      </c>
      <c r="AC53">
        <v>0</v>
      </c>
      <c r="AD53">
        <v>0</v>
      </c>
      <c r="AE53" s="7">
        <f t="shared" si="6"/>
        <v>0</v>
      </c>
      <c r="AF53">
        <v>0</v>
      </c>
      <c r="AG53">
        <v>0</v>
      </c>
      <c r="AH53">
        <v>0</v>
      </c>
      <c r="AI53" s="13">
        <f t="shared" si="7"/>
        <v>0</v>
      </c>
      <c r="AJ53" s="11" t="s">
        <v>51</v>
      </c>
      <c r="AK53" s="11" t="s">
        <v>51</v>
      </c>
      <c r="AL53" s="11" t="s">
        <v>51</v>
      </c>
      <c r="AM53" s="13">
        <f t="shared" si="8"/>
        <v>0</v>
      </c>
      <c r="AN53" s="18">
        <v>40</v>
      </c>
      <c r="AO53" s="18">
        <v>0</v>
      </c>
      <c r="AP53" s="18">
        <v>0</v>
      </c>
      <c r="AQ53" s="18">
        <v>0</v>
      </c>
      <c r="AR53" s="18">
        <f t="shared" si="9"/>
        <v>40</v>
      </c>
      <c r="AS53" t="s">
        <v>52</v>
      </c>
      <c r="AT53" s="9" t="s">
        <v>243</v>
      </c>
      <c r="AU53" s="30">
        <f t="shared" si="10"/>
        <v>87.57</v>
      </c>
    </row>
    <row r="54" spans="1:47" hidden="1" x14ac:dyDescent="0.25">
      <c r="A54" t="s">
        <v>46</v>
      </c>
      <c r="B54" t="s">
        <v>244</v>
      </c>
      <c r="C54" t="s">
        <v>245</v>
      </c>
      <c r="D54" t="s">
        <v>246</v>
      </c>
      <c r="E54" s="11">
        <v>20</v>
      </c>
      <c r="F54" s="11">
        <v>13.67</v>
      </c>
      <c r="G54" s="11">
        <v>43.17</v>
      </c>
      <c r="H54" s="11">
        <v>3</v>
      </c>
      <c r="I54" s="13">
        <f t="shared" si="1"/>
        <v>79.84</v>
      </c>
      <c r="J54" s="11">
        <v>0</v>
      </c>
      <c r="K54" s="11">
        <v>0</v>
      </c>
      <c r="L54" s="11">
        <v>0</v>
      </c>
      <c r="M54" s="13">
        <f t="shared" si="2"/>
        <v>0</v>
      </c>
      <c r="N54" s="11">
        <v>0</v>
      </c>
      <c r="O54" s="11">
        <v>0</v>
      </c>
      <c r="P54" s="11">
        <v>0</v>
      </c>
      <c r="Q54" s="11">
        <v>0</v>
      </c>
      <c r="R54" s="13">
        <f t="shared" si="3"/>
        <v>0</v>
      </c>
      <c r="S54">
        <v>0</v>
      </c>
      <c r="T54">
        <v>0</v>
      </c>
      <c r="U54" s="7">
        <f t="shared" si="4"/>
        <v>0</v>
      </c>
      <c r="V54">
        <v>0</v>
      </c>
      <c r="W54">
        <v>0</v>
      </c>
      <c r="X54">
        <v>0</v>
      </c>
      <c r="Y54">
        <v>0</v>
      </c>
      <c r="Z54" s="13">
        <f t="shared" si="5"/>
        <v>0</v>
      </c>
      <c r="AA54">
        <v>0</v>
      </c>
      <c r="AB54">
        <v>0</v>
      </c>
      <c r="AC54">
        <v>0</v>
      </c>
      <c r="AD54">
        <v>0</v>
      </c>
      <c r="AE54" s="7">
        <f t="shared" si="6"/>
        <v>0</v>
      </c>
      <c r="AF54">
        <v>33.340000000000003</v>
      </c>
      <c r="AG54">
        <v>20</v>
      </c>
      <c r="AH54">
        <v>26.72</v>
      </c>
      <c r="AI54" s="13">
        <f t="shared" si="7"/>
        <v>80.06</v>
      </c>
      <c r="AJ54" s="11" t="s">
        <v>51</v>
      </c>
      <c r="AK54" s="11" t="s">
        <v>51</v>
      </c>
      <c r="AL54" s="11" t="s">
        <v>51</v>
      </c>
      <c r="AM54" s="13">
        <f t="shared" si="8"/>
        <v>0</v>
      </c>
      <c r="AN54" s="18">
        <v>32</v>
      </c>
      <c r="AO54" s="18">
        <v>0</v>
      </c>
      <c r="AP54" s="18">
        <v>0</v>
      </c>
      <c r="AQ54" s="18">
        <v>8</v>
      </c>
      <c r="AR54" s="18">
        <f t="shared" si="9"/>
        <v>40</v>
      </c>
      <c r="AS54" t="s">
        <v>52</v>
      </c>
      <c r="AT54" s="9" t="s">
        <v>247</v>
      </c>
      <c r="AU54" s="30">
        <f t="shared" si="10"/>
        <v>79.884</v>
      </c>
    </row>
    <row r="55" spans="1:47" hidden="1" x14ac:dyDescent="0.25">
      <c r="A55" t="s">
        <v>46</v>
      </c>
      <c r="B55" t="s">
        <v>248</v>
      </c>
      <c r="C55" t="s">
        <v>249</v>
      </c>
      <c r="D55" t="s">
        <v>250</v>
      </c>
      <c r="E55" s="11">
        <v>20</v>
      </c>
      <c r="F55" s="11">
        <v>18</v>
      </c>
      <c r="G55" s="11">
        <v>36.450000000000003</v>
      </c>
      <c r="H55" s="11">
        <v>6.5</v>
      </c>
      <c r="I55" s="13">
        <f t="shared" si="1"/>
        <v>80.95</v>
      </c>
      <c r="J55" s="11">
        <v>0</v>
      </c>
      <c r="K55" s="11">
        <v>0</v>
      </c>
      <c r="L55" s="11">
        <v>0</v>
      </c>
      <c r="M55" s="13">
        <f t="shared" si="2"/>
        <v>0</v>
      </c>
      <c r="N55" s="11">
        <v>0</v>
      </c>
      <c r="O55" s="11">
        <v>0</v>
      </c>
      <c r="P55" s="11">
        <v>0</v>
      </c>
      <c r="Q55" s="11">
        <v>0</v>
      </c>
      <c r="R55" s="13">
        <f t="shared" si="3"/>
        <v>0</v>
      </c>
      <c r="S55">
        <v>0</v>
      </c>
      <c r="T55">
        <v>0</v>
      </c>
      <c r="U55" s="7">
        <f t="shared" si="4"/>
        <v>0</v>
      </c>
      <c r="V55">
        <v>0</v>
      </c>
      <c r="W55">
        <v>0</v>
      </c>
      <c r="X55">
        <v>0</v>
      </c>
      <c r="Y55">
        <v>0</v>
      </c>
      <c r="Z55" s="13">
        <f t="shared" si="5"/>
        <v>0</v>
      </c>
      <c r="AA55">
        <v>0</v>
      </c>
      <c r="AB55">
        <v>0</v>
      </c>
      <c r="AC55">
        <v>0</v>
      </c>
      <c r="AD55">
        <v>0</v>
      </c>
      <c r="AE55" s="7">
        <f t="shared" si="6"/>
        <v>0</v>
      </c>
      <c r="AF55">
        <v>0</v>
      </c>
      <c r="AG55">
        <v>0</v>
      </c>
      <c r="AH55">
        <v>0</v>
      </c>
      <c r="AI55" s="13">
        <f t="shared" si="7"/>
        <v>0</v>
      </c>
      <c r="AJ55" s="11" t="s">
        <v>51</v>
      </c>
      <c r="AK55" s="11" t="s">
        <v>51</v>
      </c>
      <c r="AL55" s="11" t="s">
        <v>51</v>
      </c>
      <c r="AM55" s="13">
        <f t="shared" si="8"/>
        <v>0</v>
      </c>
      <c r="AN55" s="18">
        <v>11</v>
      </c>
      <c r="AO55" s="18">
        <v>0</v>
      </c>
      <c r="AP55" s="18">
        <v>0</v>
      </c>
      <c r="AQ55" s="18">
        <v>0</v>
      </c>
      <c r="AR55" s="18">
        <f t="shared" si="9"/>
        <v>11</v>
      </c>
      <c r="AS55" t="s">
        <v>52</v>
      </c>
      <c r="AT55" s="9" t="s">
        <v>251</v>
      </c>
      <c r="AU55" s="30">
        <f t="shared" si="10"/>
        <v>80.95</v>
      </c>
    </row>
    <row r="56" spans="1:47" hidden="1" x14ac:dyDescent="0.25">
      <c r="A56" t="s">
        <v>46</v>
      </c>
      <c r="B56" t="s">
        <v>252</v>
      </c>
      <c r="C56" t="s">
        <v>253</v>
      </c>
      <c r="D56" t="s">
        <v>254</v>
      </c>
      <c r="E56" s="11">
        <v>20</v>
      </c>
      <c r="F56" s="11">
        <v>18.670000000000002</v>
      </c>
      <c r="G56" s="11">
        <v>44.23</v>
      </c>
      <c r="H56" s="11">
        <v>2.5</v>
      </c>
      <c r="I56" s="13">
        <f t="shared" si="1"/>
        <v>85.4</v>
      </c>
      <c r="J56" s="11">
        <v>0</v>
      </c>
      <c r="K56" s="11">
        <v>0</v>
      </c>
      <c r="L56" s="11">
        <v>0</v>
      </c>
      <c r="M56" s="13">
        <f t="shared" si="2"/>
        <v>0</v>
      </c>
      <c r="N56" s="11">
        <v>0</v>
      </c>
      <c r="O56" s="11">
        <v>0</v>
      </c>
      <c r="P56" s="11">
        <v>0</v>
      </c>
      <c r="Q56" s="11">
        <v>0</v>
      </c>
      <c r="R56" s="13">
        <f t="shared" si="3"/>
        <v>0</v>
      </c>
      <c r="S56">
        <v>0</v>
      </c>
      <c r="T56">
        <v>0</v>
      </c>
      <c r="U56" s="7">
        <f t="shared" si="4"/>
        <v>0</v>
      </c>
      <c r="V56">
        <v>0</v>
      </c>
      <c r="W56">
        <v>0</v>
      </c>
      <c r="X56">
        <v>0</v>
      </c>
      <c r="Y56">
        <v>0</v>
      </c>
      <c r="Z56" s="13">
        <f t="shared" si="5"/>
        <v>0</v>
      </c>
      <c r="AA56">
        <v>0</v>
      </c>
      <c r="AB56">
        <v>0</v>
      </c>
      <c r="AC56">
        <v>0</v>
      </c>
      <c r="AD56">
        <v>0</v>
      </c>
      <c r="AE56" s="7">
        <f t="shared" si="6"/>
        <v>0</v>
      </c>
      <c r="AF56">
        <v>0</v>
      </c>
      <c r="AG56">
        <v>0</v>
      </c>
      <c r="AH56">
        <v>0</v>
      </c>
      <c r="AI56" s="13">
        <f t="shared" si="7"/>
        <v>0</v>
      </c>
      <c r="AJ56" s="11" t="s">
        <v>51</v>
      </c>
      <c r="AK56" s="11" t="s">
        <v>51</v>
      </c>
      <c r="AL56" s="11" t="s">
        <v>51</v>
      </c>
      <c r="AM56" s="13">
        <f t="shared" si="8"/>
        <v>0</v>
      </c>
      <c r="AN56" s="18">
        <v>10</v>
      </c>
      <c r="AO56" s="18">
        <v>0</v>
      </c>
      <c r="AP56" s="18">
        <v>0</v>
      </c>
      <c r="AQ56" s="18">
        <v>0</v>
      </c>
      <c r="AR56" s="18">
        <f t="shared" si="9"/>
        <v>10</v>
      </c>
      <c r="AS56" t="s">
        <v>52</v>
      </c>
      <c r="AT56" s="9" t="s">
        <v>255</v>
      </c>
      <c r="AU56" s="30">
        <f t="shared" si="10"/>
        <v>85.4</v>
      </c>
    </row>
    <row r="57" spans="1:47" hidden="1" x14ac:dyDescent="0.25">
      <c r="A57" t="s">
        <v>46</v>
      </c>
      <c r="B57" t="s">
        <v>256</v>
      </c>
      <c r="C57" t="s">
        <v>257</v>
      </c>
      <c r="D57" t="s">
        <v>258</v>
      </c>
      <c r="E57" s="11">
        <v>0</v>
      </c>
      <c r="F57" s="11">
        <v>0</v>
      </c>
      <c r="G57" s="11">
        <v>0</v>
      </c>
      <c r="H57" s="11">
        <v>0</v>
      </c>
      <c r="I57" s="13">
        <f t="shared" si="1"/>
        <v>0</v>
      </c>
      <c r="J57" s="11">
        <v>83.785714285714278</v>
      </c>
      <c r="K57" s="11">
        <v>0</v>
      </c>
      <c r="L57" s="11">
        <v>0</v>
      </c>
      <c r="M57" s="13">
        <f t="shared" si="2"/>
        <v>83.785714285714278</v>
      </c>
      <c r="N57" s="11">
        <v>0</v>
      </c>
      <c r="O57" s="11">
        <v>0</v>
      </c>
      <c r="P57" s="11">
        <v>0</v>
      </c>
      <c r="Q57" s="11">
        <v>0</v>
      </c>
      <c r="R57" s="13">
        <f t="shared" si="3"/>
        <v>0</v>
      </c>
      <c r="S57">
        <v>0</v>
      </c>
      <c r="T57">
        <v>0</v>
      </c>
      <c r="U57" s="7">
        <f t="shared" si="4"/>
        <v>0</v>
      </c>
      <c r="V57">
        <v>0</v>
      </c>
      <c r="W57">
        <v>0</v>
      </c>
      <c r="X57">
        <v>0</v>
      </c>
      <c r="Y57">
        <v>0</v>
      </c>
      <c r="Z57" s="13">
        <f t="shared" si="5"/>
        <v>0</v>
      </c>
      <c r="AA57">
        <v>0</v>
      </c>
      <c r="AB57">
        <v>0</v>
      </c>
      <c r="AC57">
        <v>0</v>
      </c>
      <c r="AD57">
        <v>0</v>
      </c>
      <c r="AE57" s="7">
        <f t="shared" si="6"/>
        <v>0</v>
      </c>
      <c r="AF57">
        <v>0</v>
      </c>
      <c r="AG57">
        <v>0</v>
      </c>
      <c r="AH57">
        <v>0</v>
      </c>
      <c r="AI57" s="13">
        <f t="shared" si="7"/>
        <v>0</v>
      </c>
      <c r="AJ57" s="11" t="s">
        <v>51</v>
      </c>
      <c r="AK57" s="11" t="s">
        <v>51</v>
      </c>
      <c r="AL57" s="11" t="s">
        <v>51</v>
      </c>
      <c r="AM57" s="13">
        <f t="shared" si="8"/>
        <v>0</v>
      </c>
      <c r="AN57" s="18">
        <v>4.5</v>
      </c>
      <c r="AO57" s="18">
        <v>0</v>
      </c>
      <c r="AP57" s="18">
        <v>0</v>
      </c>
      <c r="AQ57" s="18">
        <v>0</v>
      </c>
      <c r="AR57" s="18">
        <f t="shared" si="9"/>
        <v>4.5</v>
      </c>
      <c r="AS57" t="s">
        <v>87</v>
      </c>
      <c r="AT57" s="9" t="s">
        <v>259</v>
      </c>
      <c r="AU57" s="30">
        <f>+((AN57*M57)/AR57)</f>
        <v>83.785714285714278</v>
      </c>
    </row>
    <row r="58" spans="1:47" hidden="1" x14ac:dyDescent="0.25">
      <c r="A58" t="s">
        <v>46</v>
      </c>
      <c r="B58" t="s">
        <v>260</v>
      </c>
      <c r="C58" t="s">
        <v>261</v>
      </c>
      <c r="D58" t="s">
        <v>262</v>
      </c>
      <c r="E58" s="11">
        <v>0</v>
      </c>
      <c r="F58" s="11">
        <v>25</v>
      </c>
      <c r="G58" s="11">
        <v>41.8125</v>
      </c>
      <c r="H58" s="11">
        <v>9.375</v>
      </c>
      <c r="I58" s="13">
        <f t="shared" si="1"/>
        <v>76.1875</v>
      </c>
      <c r="J58" s="11">
        <v>0</v>
      </c>
      <c r="K58" s="11">
        <v>0</v>
      </c>
      <c r="L58" s="11">
        <v>0</v>
      </c>
      <c r="M58" s="13">
        <f t="shared" si="2"/>
        <v>0</v>
      </c>
      <c r="N58" s="11">
        <v>0</v>
      </c>
      <c r="O58" s="11">
        <v>0</v>
      </c>
      <c r="P58" s="11">
        <v>0</v>
      </c>
      <c r="Q58" s="11">
        <v>0</v>
      </c>
      <c r="R58" s="13">
        <f t="shared" si="3"/>
        <v>0</v>
      </c>
      <c r="S58">
        <v>0</v>
      </c>
      <c r="T58">
        <v>0</v>
      </c>
      <c r="U58" s="7">
        <f t="shared" si="4"/>
        <v>0</v>
      </c>
      <c r="V58">
        <v>0</v>
      </c>
      <c r="W58">
        <v>0</v>
      </c>
      <c r="X58">
        <v>0</v>
      </c>
      <c r="Y58">
        <v>0</v>
      </c>
      <c r="Z58" s="13">
        <f t="shared" si="5"/>
        <v>0</v>
      </c>
      <c r="AA58">
        <v>0</v>
      </c>
      <c r="AB58">
        <v>0</v>
      </c>
      <c r="AC58">
        <v>0</v>
      </c>
      <c r="AD58">
        <v>0</v>
      </c>
      <c r="AE58" s="7">
        <f t="shared" si="6"/>
        <v>0</v>
      </c>
      <c r="AF58">
        <v>0</v>
      </c>
      <c r="AG58">
        <v>0</v>
      </c>
      <c r="AH58">
        <v>0</v>
      </c>
      <c r="AI58" s="13">
        <f t="shared" si="7"/>
        <v>0</v>
      </c>
      <c r="AJ58" s="11" t="s">
        <v>51</v>
      </c>
      <c r="AK58" s="11" t="s">
        <v>51</v>
      </c>
      <c r="AL58" s="11" t="s">
        <v>51</v>
      </c>
      <c r="AM58" s="13">
        <f t="shared" si="8"/>
        <v>0</v>
      </c>
      <c r="AN58" s="18">
        <v>3</v>
      </c>
      <c r="AO58" s="18">
        <v>0</v>
      </c>
      <c r="AP58" s="18">
        <v>0</v>
      </c>
      <c r="AQ58" s="18">
        <v>0</v>
      </c>
      <c r="AR58" s="18">
        <f t="shared" si="9"/>
        <v>3</v>
      </c>
      <c r="AS58" t="s">
        <v>52</v>
      </c>
      <c r="AT58" s="9" t="s">
        <v>263</v>
      </c>
      <c r="AU58" s="30">
        <f>+((AN58*I58)+(AO58*AE58)+(AQ58*AI58)+(AP58*AM58))/AR58</f>
        <v>76.1875</v>
      </c>
    </row>
    <row r="59" spans="1:47" hidden="1" x14ac:dyDescent="0.25">
      <c r="A59" t="s">
        <v>46</v>
      </c>
      <c r="B59" t="s">
        <v>264</v>
      </c>
      <c r="C59" t="s">
        <v>265</v>
      </c>
      <c r="D59" t="s">
        <v>266</v>
      </c>
      <c r="E59" s="11">
        <v>0</v>
      </c>
      <c r="F59" s="11">
        <v>0</v>
      </c>
      <c r="G59" s="11">
        <v>0</v>
      </c>
      <c r="H59" s="11">
        <v>0</v>
      </c>
      <c r="I59" s="13">
        <f t="shared" si="1"/>
        <v>0</v>
      </c>
      <c r="J59" s="11">
        <v>51.8</v>
      </c>
      <c r="K59" s="11">
        <v>30</v>
      </c>
      <c r="L59" s="11">
        <v>4</v>
      </c>
      <c r="M59" s="13">
        <f t="shared" si="2"/>
        <v>85.8</v>
      </c>
      <c r="N59" s="11">
        <v>0</v>
      </c>
      <c r="O59" s="11">
        <v>0</v>
      </c>
      <c r="P59" s="11">
        <v>0</v>
      </c>
      <c r="Q59" s="11">
        <v>0</v>
      </c>
      <c r="R59" s="13">
        <f t="shared" si="3"/>
        <v>0</v>
      </c>
      <c r="S59">
        <v>0</v>
      </c>
      <c r="T59">
        <v>0</v>
      </c>
      <c r="U59" s="7">
        <f t="shared" si="4"/>
        <v>0</v>
      </c>
      <c r="V59">
        <v>0</v>
      </c>
      <c r="W59">
        <v>0</v>
      </c>
      <c r="X59">
        <v>0</v>
      </c>
      <c r="Y59">
        <v>0</v>
      </c>
      <c r="Z59" s="13">
        <f t="shared" si="5"/>
        <v>0</v>
      </c>
      <c r="AA59">
        <v>0</v>
      </c>
      <c r="AB59">
        <v>0</v>
      </c>
      <c r="AC59">
        <v>0</v>
      </c>
      <c r="AD59">
        <v>0</v>
      </c>
      <c r="AE59" s="7">
        <f t="shared" si="6"/>
        <v>0</v>
      </c>
      <c r="AF59">
        <v>0</v>
      </c>
      <c r="AG59">
        <v>0</v>
      </c>
      <c r="AH59">
        <v>0</v>
      </c>
      <c r="AI59" s="13">
        <f t="shared" si="7"/>
        <v>0</v>
      </c>
      <c r="AJ59" s="11" t="s">
        <v>51</v>
      </c>
      <c r="AK59" s="11" t="s">
        <v>51</v>
      </c>
      <c r="AL59" s="11" t="s">
        <v>51</v>
      </c>
      <c r="AM59" s="13">
        <f t="shared" si="8"/>
        <v>0</v>
      </c>
      <c r="AN59" s="18">
        <v>2.375</v>
      </c>
      <c r="AO59" s="18">
        <v>0</v>
      </c>
      <c r="AP59" s="18">
        <v>0</v>
      </c>
      <c r="AQ59" s="18">
        <v>0</v>
      </c>
      <c r="AR59" s="18">
        <f t="shared" si="9"/>
        <v>2.375</v>
      </c>
      <c r="AS59" t="s">
        <v>87</v>
      </c>
      <c r="AT59" s="9" t="s">
        <v>268</v>
      </c>
      <c r="AU59" s="30">
        <f>+((AN59*M59)/AR59)</f>
        <v>85.8</v>
      </c>
    </row>
    <row r="60" spans="1:47" hidden="1" x14ac:dyDescent="0.25">
      <c r="A60" t="s">
        <v>46</v>
      </c>
      <c r="B60" t="s">
        <v>269</v>
      </c>
      <c r="C60" t="s">
        <v>270</v>
      </c>
      <c r="D60" t="s">
        <v>271</v>
      </c>
      <c r="E60" s="11">
        <v>20</v>
      </c>
      <c r="F60" s="11">
        <v>18.670000000000002</v>
      </c>
      <c r="G60" s="11">
        <v>44.46</v>
      </c>
      <c r="H60" s="11">
        <v>6</v>
      </c>
      <c r="I60" s="13">
        <f t="shared" si="1"/>
        <v>89.13</v>
      </c>
      <c r="J60" s="11">
        <v>0</v>
      </c>
      <c r="K60" s="11">
        <v>0</v>
      </c>
      <c r="L60" s="11">
        <v>0</v>
      </c>
      <c r="M60" s="13">
        <f t="shared" si="2"/>
        <v>0</v>
      </c>
      <c r="N60" s="11">
        <v>0</v>
      </c>
      <c r="O60" s="11">
        <v>0</v>
      </c>
      <c r="P60" s="11">
        <v>0</v>
      </c>
      <c r="Q60" s="11">
        <v>0</v>
      </c>
      <c r="R60" s="13">
        <f t="shared" si="3"/>
        <v>0</v>
      </c>
      <c r="S60">
        <v>0</v>
      </c>
      <c r="T60">
        <v>0</v>
      </c>
      <c r="U60" s="7">
        <f t="shared" si="4"/>
        <v>0</v>
      </c>
      <c r="V60">
        <v>0</v>
      </c>
      <c r="W60">
        <v>0</v>
      </c>
      <c r="X60">
        <v>0</v>
      </c>
      <c r="Y60">
        <v>0</v>
      </c>
      <c r="Z60" s="13">
        <f t="shared" si="5"/>
        <v>0</v>
      </c>
      <c r="AA60">
        <v>3.75</v>
      </c>
      <c r="AB60">
        <v>50</v>
      </c>
      <c r="AC60">
        <v>15</v>
      </c>
      <c r="AD60">
        <v>20</v>
      </c>
      <c r="AE60" s="7">
        <f t="shared" si="6"/>
        <v>88.75</v>
      </c>
      <c r="AF60">
        <v>0</v>
      </c>
      <c r="AG60">
        <v>0</v>
      </c>
      <c r="AH60">
        <v>0</v>
      </c>
      <c r="AI60" s="13">
        <f t="shared" si="7"/>
        <v>0</v>
      </c>
      <c r="AJ60" s="11">
        <v>19.329999999999998</v>
      </c>
      <c r="AK60" s="11">
        <v>29</v>
      </c>
      <c r="AL60" s="11">
        <v>43.19</v>
      </c>
      <c r="AM60" s="13">
        <f t="shared" si="8"/>
        <v>91.52</v>
      </c>
      <c r="AN60" s="18">
        <v>29</v>
      </c>
      <c r="AO60" s="18">
        <v>8</v>
      </c>
      <c r="AP60" s="18">
        <v>3</v>
      </c>
      <c r="AQ60" s="18">
        <v>0</v>
      </c>
      <c r="AR60" s="18">
        <f t="shared" si="9"/>
        <v>40</v>
      </c>
      <c r="AS60" t="s">
        <v>52</v>
      </c>
      <c r="AT60" s="9" t="s">
        <v>272</v>
      </c>
      <c r="AU60" s="30">
        <f>+((AN60*I60)+(AO60*AE60)+(AQ60*AI60)+(AP60*AM60))/AR60</f>
        <v>89.233249999999998</v>
      </c>
    </row>
    <row r="61" spans="1:47" hidden="1" x14ac:dyDescent="0.25">
      <c r="A61" t="s">
        <v>46</v>
      </c>
      <c r="B61" t="s">
        <v>273</v>
      </c>
      <c r="C61" t="s">
        <v>274</v>
      </c>
      <c r="D61" t="s">
        <v>275</v>
      </c>
      <c r="E61" s="11">
        <v>17.670000000000002</v>
      </c>
      <c r="F61" s="11">
        <v>19.329999999999998</v>
      </c>
      <c r="G61" s="11">
        <v>44.48</v>
      </c>
      <c r="H61" s="11">
        <v>5.5</v>
      </c>
      <c r="I61" s="13">
        <f t="shared" si="1"/>
        <v>86.97999999999999</v>
      </c>
      <c r="J61" s="11">
        <v>0</v>
      </c>
      <c r="K61" s="11">
        <v>0</v>
      </c>
      <c r="L61" s="11">
        <v>0</v>
      </c>
      <c r="M61" s="13">
        <f t="shared" si="2"/>
        <v>0</v>
      </c>
      <c r="N61" s="11">
        <v>0</v>
      </c>
      <c r="O61" s="11">
        <v>0</v>
      </c>
      <c r="P61" s="11">
        <v>0</v>
      </c>
      <c r="Q61" s="11">
        <v>0</v>
      </c>
      <c r="R61" s="13">
        <f t="shared" si="3"/>
        <v>0</v>
      </c>
      <c r="S61">
        <v>0</v>
      </c>
      <c r="T61">
        <v>0</v>
      </c>
      <c r="U61" s="7">
        <f t="shared" si="4"/>
        <v>0</v>
      </c>
      <c r="V61">
        <v>0</v>
      </c>
      <c r="W61">
        <v>0</v>
      </c>
      <c r="X61">
        <v>0</v>
      </c>
      <c r="Y61">
        <v>0</v>
      </c>
      <c r="Z61" s="13">
        <f t="shared" si="5"/>
        <v>0</v>
      </c>
      <c r="AA61">
        <v>0</v>
      </c>
      <c r="AB61">
        <v>0</v>
      </c>
      <c r="AC61">
        <v>0</v>
      </c>
      <c r="AD61">
        <v>0</v>
      </c>
      <c r="AE61" s="7">
        <f t="shared" si="6"/>
        <v>0</v>
      </c>
      <c r="AF61">
        <v>0</v>
      </c>
      <c r="AG61">
        <v>0</v>
      </c>
      <c r="AH61">
        <v>0</v>
      </c>
      <c r="AI61" s="13">
        <f t="shared" si="7"/>
        <v>0</v>
      </c>
      <c r="AJ61" s="11" t="s">
        <v>51</v>
      </c>
      <c r="AK61" s="11" t="s">
        <v>51</v>
      </c>
      <c r="AL61" s="11" t="s">
        <v>51</v>
      </c>
      <c r="AM61" s="13">
        <f t="shared" si="8"/>
        <v>0</v>
      </c>
      <c r="AN61" s="18">
        <v>8</v>
      </c>
      <c r="AO61" s="18">
        <v>0</v>
      </c>
      <c r="AP61" s="18">
        <v>0</v>
      </c>
      <c r="AQ61" s="18">
        <v>0</v>
      </c>
      <c r="AR61" s="18">
        <f t="shared" si="9"/>
        <v>8</v>
      </c>
      <c r="AS61" t="s">
        <v>52</v>
      </c>
      <c r="AT61" s="9" t="s">
        <v>276</v>
      </c>
      <c r="AU61" s="30">
        <f>+((AN61*I61)+(AO61*AE61)+(AQ61*AI61)+(AP61*AM61))/AR61</f>
        <v>86.97999999999999</v>
      </c>
    </row>
    <row r="62" spans="1:47" hidden="1" x14ac:dyDescent="0.25">
      <c r="A62" t="s">
        <v>46</v>
      </c>
      <c r="B62" t="s">
        <v>277</v>
      </c>
      <c r="C62" t="s">
        <v>278</v>
      </c>
      <c r="D62" t="s">
        <v>279</v>
      </c>
      <c r="E62" s="11">
        <v>20</v>
      </c>
      <c r="F62" s="11">
        <v>17.329999999999998</v>
      </c>
      <c r="G62" s="11">
        <v>46.27</v>
      </c>
      <c r="H62" s="11">
        <v>3</v>
      </c>
      <c r="I62" s="13">
        <f t="shared" si="1"/>
        <v>86.6</v>
      </c>
      <c r="J62" s="11">
        <v>0</v>
      </c>
      <c r="K62" s="11">
        <v>0</v>
      </c>
      <c r="L62" s="11">
        <v>0</v>
      </c>
      <c r="M62" s="13">
        <f t="shared" si="2"/>
        <v>0</v>
      </c>
      <c r="N62" s="11">
        <v>0</v>
      </c>
      <c r="O62" s="11">
        <v>0</v>
      </c>
      <c r="P62" s="11">
        <v>0</v>
      </c>
      <c r="Q62" s="11">
        <v>0</v>
      </c>
      <c r="R62" s="13">
        <f t="shared" si="3"/>
        <v>0</v>
      </c>
      <c r="S62">
        <v>0</v>
      </c>
      <c r="T62">
        <v>0</v>
      </c>
      <c r="U62" s="7">
        <f t="shared" si="4"/>
        <v>0</v>
      </c>
      <c r="V62">
        <v>0</v>
      </c>
      <c r="W62">
        <v>0</v>
      </c>
      <c r="X62">
        <v>0</v>
      </c>
      <c r="Y62">
        <v>0</v>
      </c>
      <c r="Z62" s="13">
        <f t="shared" si="5"/>
        <v>0</v>
      </c>
      <c r="AA62">
        <v>0</v>
      </c>
      <c r="AB62">
        <v>0</v>
      </c>
      <c r="AC62">
        <v>0</v>
      </c>
      <c r="AD62">
        <v>0</v>
      </c>
      <c r="AE62" s="7">
        <f t="shared" si="6"/>
        <v>0</v>
      </c>
      <c r="AF62">
        <v>0</v>
      </c>
      <c r="AG62">
        <v>0</v>
      </c>
      <c r="AH62">
        <v>0</v>
      </c>
      <c r="AI62" s="13">
        <f t="shared" si="7"/>
        <v>0</v>
      </c>
      <c r="AJ62" s="11" t="s">
        <v>51</v>
      </c>
      <c r="AK62" s="11" t="s">
        <v>51</v>
      </c>
      <c r="AL62" s="11" t="s">
        <v>51</v>
      </c>
      <c r="AM62" s="13">
        <f t="shared" si="8"/>
        <v>0</v>
      </c>
      <c r="AN62" s="18">
        <v>7</v>
      </c>
      <c r="AO62" s="18">
        <v>0</v>
      </c>
      <c r="AP62" s="18">
        <v>0</v>
      </c>
      <c r="AQ62" s="18">
        <v>0</v>
      </c>
      <c r="AR62" s="18">
        <f t="shared" si="9"/>
        <v>7</v>
      </c>
      <c r="AS62" t="s">
        <v>52</v>
      </c>
      <c r="AT62" s="9" t="s">
        <v>280</v>
      </c>
      <c r="AU62" s="30">
        <f>+((AN62*I62)+(AO62*AE62)+(AQ62*AI62)+(AP62*AM62))/AR62</f>
        <v>86.6</v>
      </c>
    </row>
    <row r="63" spans="1:47" hidden="1" x14ac:dyDescent="0.25">
      <c r="A63" t="s">
        <v>46</v>
      </c>
      <c r="B63" t="s">
        <v>281</v>
      </c>
      <c r="C63" t="s">
        <v>282</v>
      </c>
      <c r="D63" t="s">
        <v>283</v>
      </c>
      <c r="E63" s="11">
        <v>19.670000000000002</v>
      </c>
      <c r="F63" s="11">
        <v>20</v>
      </c>
      <c r="G63" s="11">
        <v>48.45</v>
      </c>
      <c r="H63" s="11">
        <v>2.5</v>
      </c>
      <c r="I63" s="13">
        <f t="shared" si="1"/>
        <v>90.62</v>
      </c>
      <c r="J63" s="11">
        <v>0</v>
      </c>
      <c r="K63" s="11">
        <v>0</v>
      </c>
      <c r="L63" s="11">
        <v>0</v>
      </c>
      <c r="M63" s="13">
        <f t="shared" si="2"/>
        <v>0</v>
      </c>
      <c r="N63" s="11">
        <v>0</v>
      </c>
      <c r="O63" s="11">
        <v>0</v>
      </c>
      <c r="P63" s="11">
        <v>0</v>
      </c>
      <c r="Q63" s="11">
        <v>0</v>
      </c>
      <c r="R63" s="13">
        <f t="shared" si="3"/>
        <v>0</v>
      </c>
      <c r="S63">
        <v>0</v>
      </c>
      <c r="T63">
        <v>0</v>
      </c>
      <c r="U63" s="7">
        <f t="shared" si="4"/>
        <v>0</v>
      </c>
      <c r="V63">
        <v>0</v>
      </c>
      <c r="W63">
        <v>0</v>
      </c>
      <c r="X63">
        <v>0</v>
      </c>
      <c r="Y63">
        <v>0</v>
      </c>
      <c r="Z63" s="13">
        <f t="shared" si="5"/>
        <v>0</v>
      </c>
      <c r="AA63">
        <v>0</v>
      </c>
      <c r="AB63">
        <v>0</v>
      </c>
      <c r="AC63">
        <v>0</v>
      </c>
      <c r="AD63">
        <v>0</v>
      </c>
      <c r="AE63" s="7">
        <f t="shared" si="6"/>
        <v>0</v>
      </c>
      <c r="AF63">
        <v>0</v>
      </c>
      <c r="AG63">
        <v>0</v>
      </c>
      <c r="AH63">
        <v>0</v>
      </c>
      <c r="AI63" s="13">
        <f t="shared" si="7"/>
        <v>0</v>
      </c>
      <c r="AJ63" s="11" t="s">
        <v>51</v>
      </c>
      <c r="AK63" s="11" t="s">
        <v>51</v>
      </c>
      <c r="AL63" s="11" t="s">
        <v>51</v>
      </c>
      <c r="AM63" s="13">
        <f t="shared" si="8"/>
        <v>0</v>
      </c>
      <c r="AN63" s="18">
        <v>7</v>
      </c>
      <c r="AO63" s="18">
        <v>0</v>
      </c>
      <c r="AP63" s="18">
        <v>0</v>
      </c>
      <c r="AQ63" s="18">
        <v>0</v>
      </c>
      <c r="AR63" s="18">
        <f t="shared" si="9"/>
        <v>7</v>
      </c>
      <c r="AS63" t="s">
        <v>52</v>
      </c>
      <c r="AT63" s="9" t="s">
        <v>284</v>
      </c>
      <c r="AU63" s="30">
        <f>+((AN63*I63)+(AO63*AE63)+(AQ63*AI63)+(AP63*AM63))/AR63</f>
        <v>90.62</v>
      </c>
    </row>
    <row r="64" spans="1:47" x14ac:dyDescent="0.25">
      <c r="A64" t="s">
        <v>46</v>
      </c>
      <c r="B64" t="s">
        <v>285</v>
      </c>
      <c r="C64" t="s">
        <v>286</v>
      </c>
      <c r="D64" t="s">
        <v>287</v>
      </c>
      <c r="E64" s="11">
        <v>0</v>
      </c>
      <c r="F64" s="11">
        <v>0</v>
      </c>
      <c r="G64" s="11">
        <v>56.033333333333339</v>
      </c>
      <c r="H64" s="11">
        <v>9.1666666666666643</v>
      </c>
      <c r="I64" s="13">
        <f t="shared" si="1"/>
        <v>65.2</v>
      </c>
      <c r="J64" s="11">
        <v>0</v>
      </c>
      <c r="K64" s="11">
        <v>0</v>
      </c>
      <c r="L64" s="11">
        <v>0</v>
      </c>
      <c r="M64" s="13">
        <f t="shared" si="2"/>
        <v>0</v>
      </c>
      <c r="N64" s="11">
        <v>0</v>
      </c>
      <c r="O64" s="11">
        <v>0</v>
      </c>
      <c r="P64" s="11">
        <v>0</v>
      </c>
      <c r="Q64" s="11">
        <v>0</v>
      </c>
      <c r="R64" s="13">
        <f t="shared" si="3"/>
        <v>0</v>
      </c>
      <c r="S64">
        <v>0</v>
      </c>
      <c r="T64">
        <v>0</v>
      </c>
      <c r="U64" s="7">
        <f t="shared" si="4"/>
        <v>0</v>
      </c>
      <c r="V64">
        <v>0</v>
      </c>
      <c r="W64">
        <v>0</v>
      </c>
      <c r="X64">
        <v>0</v>
      </c>
      <c r="Y64">
        <v>0</v>
      </c>
      <c r="Z64" s="13">
        <f t="shared" si="5"/>
        <v>0</v>
      </c>
      <c r="AA64">
        <v>0</v>
      </c>
      <c r="AB64">
        <v>0</v>
      </c>
      <c r="AC64">
        <v>0</v>
      </c>
      <c r="AD64">
        <v>0</v>
      </c>
      <c r="AE64" s="7">
        <f t="shared" si="6"/>
        <v>0</v>
      </c>
      <c r="AF64">
        <v>0</v>
      </c>
      <c r="AG64">
        <v>0</v>
      </c>
      <c r="AH64">
        <v>0</v>
      </c>
      <c r="AI64" s="13">
        <f t="shared" si="7"/>
        <v>0</v>
      </c>
      <c r="AJ64" s="11" t="s">
        <v>51</v>
      </c>
      <c r="AK64" s="11" t="s">
        <v>51</v>
      </c>
      <c r="AL64" s="11" t="s">
        <v>51</v>
      </c>
      <c r="AM64" s="13">
        <f t="shared" si="8"/>
        <v>0</v>
      </c>
      <c r="AN64" s="18">
        <v>6</v>
      </c>
      <c r="AO64" s="18">
        <v>0</v>
      </c>
      <c r="AP64" s="18">
        <v>0</v>
      </c>
      <c r="AQ64" s="18">
        <v>0</v>
      </c>
      <c r="AR64" s="18">
        <f t="shared" si="9"/>
        <v>6</v>
      </c>
      <c r="AS64" t="s">
        <v>52</v>
      </c>
      <c r="AT64" s="9" t="s">
        <v>288</v>
      </c>
      <c r="AU64" s="30">
        <f>+((AN64*I64)+(AO64*AE64)+(AQ64*AI64)+(AP64*AM64))/AR64</f>
        <v>65.2</v>
      </c>
    </row>
    <row r="65" spans="1:47" ht="19.5" hidden="1" customHeight="1" x14ac:dyDescent="0.25">
      <c r="A65" t="s">
        <v>46</v>
      </c>
      <c r="B65" t="s">
        <v>289</v>
      </c>
      <c r="C65" t="s">
        <v>290</v>
      </c>
      <c r="D65" t="s">
        <v>291</v>
      </c>
      <c r="E65" s="11">
        <v>0</v>
      </c>
      <c r="F65" s="11">
        <v>0</v>
      </c>
      <c r="G65" s="11">
        <v>0</v>
      </c>
      <c r="H65" s="11">
        <v>0</v>
      </c>
      <c r="I65" s="13">
        <f t="shared" si="1"/>
        <v>0</v>
      </c>
      <c r="J65" s="15">
        <v>64.577777777777769</v>
      </c>
      <c r="K65" s="11">
        <v>33.333333333333329</v>
      </c>
      <c r="L65" s="11">
        <v>0</v>
      </c>
      <c r="M65" s="13">
        <f t="shared" si="2"/>
        <v>97.911111111111097</v>
      </c>
      <c r="N65" s="11">
        <v>0</v>
      </c>
      <c r="O65" s="11">
        <v>0</v>
      </c>
      <c r="P65" s="11">
        <v>0</v>
      </c>
      <c r="Q65" s="11">
        <v>0</v>
      </c>
      <c r="R65" s="13">
        <f t="shared" si="3"/>
        <v>0</v>
      </c>
      <c r="S65">
        <v>0</v>
      </c>
      <c r="T65">
        <v>0</v>
      </c>
      <c r="U65" s="7">
        <f t="shared" si="4"/>
        <v>0</v>
      </c>
      <c r="V65">
        <v>0</v>
      </c>
      <c r="W65">
        <v>0</v>
      </c>
      <c r="X65">
        <v>0</v>
      </c>
      <c r="Y65">
        <v>0</v>
      </c>
      <c r="Z65" s="13">
        <f t="shared" si="5"/>
        <v>0</v>
      </c>
      <c r="AA65">
        <v>0</v>
      </c>
      <c r="AB65">
        <v>0</v>
      </c>
      <c r="AC65">
        <v>0</v>
      </c>
      <c r="AD65">
        <v>0</v>
      </c>
      <c r="AE65" s="7">
        <f t="shared" si="6"/>
        <v>0</v>
      </c>
      <c r="AF65">
        <v>0</v>
      </c>
      <c r="AG65">
        <v>0</v>
      </c>
      <c r="AH65">
        <v>0</v>
      </c>
      <c r="AI65" s="13">
        <f t="shared" si="7"/>
        <v>0</v>
      </c>
      <c r="AJ65" s="11" t="s">
        <v>51</v>
      </c>
      <c r="AK65" s="11" t="s">
        <v>51</v>
      </c>
      <c r="AL65" s="11" t="s">
        <v>51</v>
      </c>
      <c r="AM65" s="13">
        <f t="shared" si="8"/>
        <v>0</v>
      </c>
      <c r="AN65" s="18">
        <v>4.5</v>
      </c>
      <c r="AO65" s="18">
        <v>0</v>
      </c>
      <c r="AP65" s="18">
        <v>0</v>
      </c>
      <c r="AQ65" s="18">
        <v>0</v>
      </c>
      <c r="AR65" s="18">
        <f t="shared" si="9"/>
        <v>4.5</v>
      </c>
      <c r="AS65" t="s">
        <v>87</v>
      </c>
      <c r="AT65" s="9" t="s">
        <v>292</v>
      </c>
      <c r="AU65" s="30">
        <f>+((AN65*M65)/AR65)</f>
        <v>97.911111111111097</v>
      </c>
    </row>
    <row r="66" spans="1:47" x14ac:dyDescent="0.25">
      <c r="A66" t="s">
        <v>46</v>
      </c>
      <c r="B66" t="s">
        <v>293</v>
      </c>
      <c r="C66" t="s">
        <v>294</v>
      </c>
      <c r="D66" t="s">
        <v>295</v>
      </c>
      <c r="E66" s="11">
        <v>0</v>
      </c>
      <c r="F66" s="11">
        <v>0</v>
      </c>
      <c r="G66" s="11">
        <v>0</v>
      </c>
      <c r="H66" s="11">
        <v>0</v>
      </c>
      <c r="I66" s="13">
        <f t="shared" si="1"/>
        <v>0</v>
      </c>
      <c r="J66" s="11">
        <v>0</v>
      </c>
      <c r="K66" s="11">
        <v>0</v>
      </c>
      <c r="L66" s="11">
        <v>2.5</v>
      </c>
      <c r="M66" s="13">
        <f t="shared" si="2"/>
        <v>2.5</v>
      </c>
      <c r="N66" s="11">
        <v>0</v>
      </c>
      <c r="O66" s="11">
        <v>0</v>
      </c>
      <c r="P66" s="11">
        <v>0</v>
      </c>
      <c r="Q66" s="11">
        <v>0</v>
      </c>
      <c r="R66" s="13">
        <f t="shared" si="3"/>
        <v>0</v>
      </c>
      <c r="S66">
        <v>0</v>
      </c>
      <c r="T66">
        <v>0</v>
      </c>
      <c r="U66" s="7">
        <f t="shared" si="4"/>
        <v>0</v>
      </c>
      <c r="V66">
        <v>0</v>
      </c>
      <c r="W66">
        <v>0</v>
      </c>
      <c r="X66">
        <v>0</v>
      </c>
      <c r="Y66">
        <v>0</v>
      </c>
      <c r="Z66" s="13">
        <f t="shared" si="5"/>
        <v>0</v>
      </c>
      <c r="AA66">
        <v>0</v>
      </c>
      <c r="AB66">
        <v>0</v>
      </c>
      <c r="AC66">
        <v>0</v>
      </c>
      <c r="AD66">
        <v>0</v>
      </c>
      <c r="AE66" s="7">
        <f t="shared" si="6"/>
        <v>0</v>
      </c>
      <c r="AF66">
        <v>0</v>
      </c>
      <c r="AG66">
        <v>0</v>
      </c>
      <c r="AH66">
        <v>0</v>
      </c>
      <c r="AI66" s="13">
        <f t="shared" si="7"/>
        <v>0</v>
      </c>
      <c r="AJ66" s="11" t="s">
        <v>51</v>
      </c>
      <c r="AK66" s="11" t="s">
        <v>51</v>
      </c>
      <c r="AL66" s="11" t="s">
        <v>51</v>
      </c>
      <c r="AM66" s="13">
        <f t="shared" si="8"/>
        <v>0</v>
      </c>
      <c r="AN66" s="18">
        <v>2</v>
      </c>
      <c r="AO66" s="18">
        <v>0</v>
      </c>
      <c r="AP66" s="18">
        <v>0</v>
      </c>
      <c r="AQ66" s="18">
        <v>0</v>
      </c>
      <c r="AR66" s="18">
        <f t="shared" si="9"/>
        <v>2</v>
      </c>
      <c r="AS66" t="s">
        <v>87</v>
      </c>
      <c r="AT66" s="9" t="s">
        <v>66</v>
      </c>
      <c r="AU66" s="30">
        <f>+((AN66*M66)/AR66)</f>
        <v>2.5</v>
      </c>
    </row>
    <row r="67" spans="1:47" x14ac:dyDescent="0.25">
      <c r="A67" t="s">
        <v>46</v>
      </c>
      <c r="B67" t="s">
        <v>296</v>
      </c>
      <c r="C67" t="s">
        <v>297</v>
      </c>
      <c r="D67" t="s">
        <v>298</v>
      </c>
      <c r="E67" s="11">
        <v>20</v>
      </c>
      <c r="F67" s="11">
        <v>12.33</v>
      </c>
      <c r="G67" s="11">
        <v>39.46</v>
      </c>
      <c r="H67" s="11">
        <v>2.5</v>
      </c>
      <c r="I67" s="13">
        <f t="shared" si="1"/>
        <v>74.289999999999992</v>
      </c>
      <c r="J67" s="11">
        <v>0</v>
      </c>
      <c r="K67" s="11">
        <v>0</v>
      </c>
      <c r="L67" s="11">
        <v>0</v>
      </c>
      <c r="M67" s="13">
        <f t="shared" si="2"/>
        <v>0</v>
      </c>
      <c r="N67" s="11">
        <v>0</v>
      </c>
      <c r="O67" s="11">
        <v>0</v>
      </c>
      <c r="P67" s="11">
        <v>0</v>
      </c>
      <c r="Q67" s="11">
        <v>0</v>
      </c>
      <c r="R67" s="13">
        <f t="shared" si="3"/>
        <v>0</v>
      </c>
      <c r="S67">
        <v>0</v>
      </c>
      <c r="T67">
        <v>0</v>
      </c>
      <c r="U67" s="7">
        <f t="shared" si="4"/>
        <v>0</v>
      </c>
      <c r="V67">
        <v>0</v>
      </c>
      <c r="W67">
        <v>0</v>
      </c>
      <c r="X67">
        <v>0</v>
      </c>
      <c r="Y67">
        <v>0</v>
      </c>
      <c r="Z67" s="13">
        <f t="shared" si="5"/>
        <v>0</v>
      </c>
      <c r="AA67">
        <v>3.75</v>
      </c>
      <c r="AB67">
        <v>12.5</v>
      </c>
      <c r="AC67">
        <v>4.88</v>
      </c>
      <c r="AD67">
        <v>10</v>
      </c>
      <c r="AE67" s="7">
        <f t="shared" si="6"/>
        <v>31.13</v>
      </c>
      <c r="AF67">
        <v>0</v>
      </c>
      <c r="AG67">
        <v>0</v>
      </c>
      <c r="AH67">
        <v>0</v>
      </c>
      <c r="AI67" s="13">
        <f t="shared" si="7"/>
        <v>0</v>
      </c>
      <c r="AJ67" s="11" t="s">
        <v>51</v>
      </c>
      <c r="AK67" s="11" t="s">
        <v>51</v>
      </c>
      <c r="AL67" s="11" t="s">
        <v>51</v>
      </c>
      <c r="AM67" s="13">
        <f t="shared" si="8"/>
        <v>0</v>
      </c>
      <c r="AN67" s="18">
        <v>25</v>
      </c>
      <c r="AO67" s="18">
        <v>15</v>
      </c>
      <c r="AP67" s="18">
        <v>0</v>
      </c>
      <c r="AQ67" s="18">
        <v>0</v>
      </c>
      <c r="AR67" s="18">
        <f t="shared" si="9"/>
        <v>40</v>
      </c>
      <c r="AS67" t="s">
        <v>52</v>
      </c>
      <c r="AT67" s="9" t="s">
        <v>300</v>
      </c>
      <c r="AU67" s="30">
        <f>+((AN67*I67)+(AO67*AE67)+(AQ67*AI67)+(AP67*AM67))/AR67</f>
        <v>58.104999999999997</v>
      </c>
    </row>
    <row r="68" spans="1:47" hidden="1" x14ac:dyDescent="0.25">
      <c r="A68" t="s">
        <v>46</v>
      </c>
      <c r="B68" s="32" t="s">
        <v>301</v>
      </c>
      <c r="C68" s="32" t="s">
        <v>302</v>
      </c>
      <c r="D68" s="32" t="s">
        <v>303</v>
      </c>
      <c r="E68" s="11">
        <v>0</v>
      </c>
      <c r="F68" s="11">
        <v>0</v>
      </c>
      <c r="G68" s="11">
        <v>0</v>
      </c>
      <c r="H68" s="11">
        <v>0</v>
      </c>
      <c r="I68" s="13">
        <f t="shared" si="1"/>
        <v>0</v>
      </c>
      <c r="J68" s="11">
        <v>0</v>
      </c>
      <c r="K68" s="11">
        <v>0</v>
      </c>
      <c r="L68" s="11">
        <v>0</v>
      </c>
      <c r="M68" s="13">
        <f t="shared" si="2"/>
        <v>0</v>
      </c>
      <c r="N68" s="11">
        <v>62.125</v>
      </c>
      <c r="O68" s="11">
        <v>3.125</v>
      </c>
      <c r="P68" s="11">
        <v>0</v>
      </c>
      <c r="Q68" s="11">
        <v>25</v>
      </c>
      <c r="R68" s="13">
        <f t="shared" si="3"/>
        <v>90.25</v>
      </c>
      <c r="S68">
        <v>0</v>
      </c>
      <c r="T68">
        <v>0</v>
      </c>
      <c r="U68" s="7">
        <f t="shared" si="4"/>
        <v>0</v>
      </c>
      <c r="V68">
        <v>0</v>
      </c>
      <c r="W68">
        <v>0</v>
      </c>
      <c r="X68">
        <v>0</v>
      </c>
      <c r="Y68">
        <v>0</v>
      </c>
      <c r="Z68" s="13">
        <f t="shared" si="5"/>
        <v>0</v>
      </c>
      <c r="AA68">
        <v>0</v>
      </c>
      <c r="AB68">
        <v>0</v>
      </c>
      <c r="AC68">
        <v>0</v>
      </c>
      <c r="AD68">
        <v>0</v>
      </c>
      <c r="AE68" s="7">
        <f t="shared" si="6"/>
        <v>0</v>
      </c>
      <c r="AF68">
        <v>33.340000000000003</v>
      </c>
      <c r="AG68">
        <v>20</v>
      </c>
      <c r="AH68">
        <v>26.83</v>
      </c>
      <c r="AI68" s="13">
        <f t="shared" si="7"/>
        <v>80.17</v>
      </c>
      <c r="AJ68" s="11" t="s">
        <v>51</v>
      </c>
      <c r="AK68" s="11" t="s">
        <v>51</v>
      </c>
      <c r="AL68" s="11" t="s">
        <v>51</v>
      </c>
      <c r="AM68" s="13">
        <f t="shared" si="8"/>
        <v>0</v>
      </c>
      <c r="AN68" s="18">
        <v>3</v>
      </c>
      <c r="AO68" s="18">
        <v>0</v>
      </c>
      <c r="AP68" s="18">
        <v>0</v>
      </c>
      <c r="AQ68" s="18">
        <v>17</v>
      </c>
      <c r="AR68" s="18">
        <f t="shared" si="9"/>
        <v>20</v>
      </c>
      <c r="AS68" t="s">
        <v>117</v>
      </c>
      <c r="AT68" s="9" t="s">
        <v>304</v>
      </c>
      <c r="AU68" s="11">
        <f>+((AN68*R68)+(AQ68*AI68)+(AP68*AM68))/AR68</f>
        <v>81.682000000000002</v>
      </c>
    </row>
    <row r="69" spans="1:47" hidden="1" x14ac:dyDescent="0.25">
      <c r="A69" t="s">
        <v>46</v>
      </c>
      <c r="B69" t="s">
        <v>305</v>
      </c>
      <c r="C69" t="s">
        <v>306</v>
      </c>
      <c r="D69" t="s">
        <v>307</v>
      </c>
      <c r="E69" s="11">
        <v>19.730000000000004</v>
      </c>
      <c r="F69" s="11">
        <v>20</v>
      </c>
      <c r="G69" s="11">
        <v>46.9</v>
      </c>
      <c r="H69" s="11">
        <v>2.5</v>
      </c>
      <c r="I69" s="13">
        <f t="shared" si="1"/>
        <v>89.13</v>
      </c>
      <c r="J69" s="11">
        <v>0</v>
      </c>
      <c r="K69" s="11">
        <v>0</v>
      </c>
      <c r="L69" s="11">
        <v>0</v>
      </c>
      <c r="M69" s="13">
        <f t="shared" si="2"/>
        <v>0</v>
      </c>
      <c r="N69" s="11">
        <v>0</v>
      </c>
      <c r="O69" s="11">
        <v>0</v>
      </c>
      <c r="P69" s="11">
        <v>0</v>
      </c>
      <c r="Q69" s="11">
        <v>0</v>
      </c>
      <c r="R69" s="13">
        <f t="shared" si="3"/>
        <v>0</v>
      </c>
      <c r="S69">
        <v>0</v>
      </c>
      <c r="T69">
        <v>0</v>
      </c>
      <c r="U69" s="7">
        <f t="shared" si="4"/>
        <v>0</v>
      </c>
      <c r="V69">
        <v>0</v>
      </c>
      <c r="W69">
        <v>0</v>
      </c>
      <c r="X69">
        <v>0</v>
      </c>
      <c r="Y69">
        <v>0</v>
      </c>
      <c r="Z69" s="13">
        <f t="shared" si="5"/>
        <v>0</v>
      </c>
      <c r="AA69">
        <v>0</v>
      </c>
      <c r="AB69">
        <v>0</v>
      </c>
      <c r="AC69">
        <v>0</v>
      </c>
      <c r="AD69">
        <v>0</v>
      </c>
      <c r="AE69" s="7">
        <f t="shared" si="6"/>
        <v>0</v>
      </c>
      <c r="AF69">
        <v>50</v>
      </c>
      <c r="AG69">
        <v>17.329999999999998</v>
      </c>
      <c r="AH69">
        <v>29</v>
      </c>
      <c r="AI69" s="13">
        <f t="shared" si="7"/>
        <v>96.33</v>
      </c>
      <c r="AJ69" s="11" t="s">
        <v>51</v>
      </c>
      <c r="AK69" s="11" t="s">
        <v>51</v>
      </c>
      <c r="AL69" s="11" t="s">
        <v>51</v>
      </c>
      <c r="AM69" s="13">
        <f t="shared" si="8"/>
        <v>0</v>
      </c>
      <c r="AN69" s="18">
        <v>32</v>
      </c>
      <c r="AO69" s="18">
        <v>0</v>
      </c>
      <c r="AP69" s="18">
        <v>0</v>
      </c>
      <c r="AQ69" s="18">
        <v>8</v>
      </c>
      <c r="AR69" s="18">
        <f t="shared" si="9"/>
        <v>40</v>
      </c>
      <c r="AS69" t="s">
        <v>52</v>
      </c>
      <c r="AT69" s="9" t="s">
        <v>308</v>
      </c>
      <c r="AU69" s="30">
        <f>+((AN69*I69)+(AO69*AE69)+(AQ69*AI69)+(AP69*AM69))/AR69</f>
        <v>90.57</v>
      </c>
    </row>
    <row r="70" spans="1:47" hidden="1" x14ac:dyDescent="0.25">
      <c r="A70" t="s">
        <v>46</v>
      </c>
      <c r="B70" t="s">
        <v>309</v>
      </c>
      <c r="C70" t="s">
        <v>310</v>
      </c>
      <c r="D70" t="s">
        <v>311</v>
      </c>
      <c r="E70" s="11">
        <v>20</v>
      </c>
      <c r="F70" s="11">
        <v>20</v>
      </c>
      <c r="G70" s="11">
        <v>49.43</v>
      </c>
      <c r="H70" s="11">
        <v>6</v>
      </c>
      <c r="I70" s="13">
        <f t="shared" ref="I70:I133" si="11">+SUM(E70:H70)</f>
        <v>95.43</v>
      </c>
      <c r="J70" s="11">
        <v>0</v>
      </c>
      <c r="K70" s="11">
        <v>0</v>
      </c>
      <c r="L70" s="11">
        <v>0</v>
      </c>
      <c r="M70" s="13">
        <f t="shared" ref="M70:M133" si="12">+SUM(J70:L70)</f>
        <v>0</v>
      </c>
      <c r="N70" s="11">
        <v>0</v>
      </c>
      <c r="O70" s="11">
        <v>0</v>
      </c>
      <c r="P70" s="11">
        <v>0</v>
      </c>
      <c r="Q70" s="11">
        <v>0</v>
      </c>
      <c r="R70" s="13">
        <f t="shared" ref="R70:R133" si="13">+SUM(N70:Q70)</f>
        <v>0</v>
      </c>
      <c r="S70">
        <v>0</v>
      </c>
      <c r="T70">
        <v>0</v>
      </c>
      <c r="U70" s="7">
        <f t="shared" ref="U70:U133" si="14">+SUM(S70:T70)</f>
        <v>0</v>
      </c>
      <c r="V70">
        <v>0</v>
      </c>
      <c r="W70">
        <v>0</v>
      </c>
      <c r="X70">
        <v>0</v>
      </c>
      <c r="Y70">
        <v>0</v>
      </c>
      <c r="Z70" s="13">
        <f t="shared" ref="Z70:Z133" si="15">+SUM(V70:Y70)</f>
        <v>0</v>
      </c>
      <c r="AA70">
        <v>0</v>
      </c>
      <c r="AB70">
        <v>0</v>
      </c>
      <c r="AC70">
        <v>0</v>
      </c>
      <c r="AD70">
        <v>0</v>
      </c>
      <c r="AE70" s="7">
        <f t="shared" ref="AE70:AE133" si="16">+SUM(AA70:AD70)</f>
        <v>0</v>
      </c>
      <c r="AF70">
        <v>0</v>
      </c>
      <c r="AG70">
        <v>0</v>
      </c>
      <c r="AH70">
        <v>0</v>
      </c>
      <c r="AI70" s="13">
        <f t="shared" ref="AI70:AI133" si="17">+SUM(AF70:AH70)</f>
        <v>0</v>
      </c>
      <c r="AJ70" s="11" t="s">
        <v>51</v>
      </c>
      <c r="AK70" s="11" t="s">
        <v>51</v>
      </c>
      <c r="AL70" s="11" t="s">
        <v>51</v>
      </c>
      <c r="AM70" s="13">
        <f t="shared" ref="AM70:AM133" si="18">+SUM(AJ70:AL70)</f>
        <v>0</v>
      </c>
      <c r="AN70" s="18">
        <v>3</v>
      </c>
      <c r="AO70" s="18">
        <v>0</v>
      </c>
      <c r="AP70" s="18">
        <v>0</v>
      </c>
      <c r="AQ70" s="18">
        <v>0</v>
      </c>
      <c r="AR70" s="18">
        <f t="shared" ref="AR70:AR133" si="19">+SUM(AN70:AQ70)</f>
        <v>3</v>
      </c>
      <c r="AS70" t="s">
        <v>52</v>
      </c>
      <c r="AT70" s="9" t="s">
        <v>312</v>
      </c>
      <c r="AU70" s="30">
        <f>+((AN70*I70)+(AO70*AE70)+(AQ70*AI70)+(AP70*AM70))/AR70</f>
        <v>95.43</v>
      </c>
    </row>
    <row r="71" spans="1:47" hidden="1" x14ac:dyDescent="0.25">
      <c r="A71" t="s">
        <v>46</v>
      </c>
      <c r="B71" t="s">
        <v>313</v>
      </c>
      <c r="C71" t="s">
        <v>310</v>
      </c>
      <c r="D71" t="s">
        <v>314</v>
      </c>
      <c r="E71" s="11">
        <v>25</v>
      </c>
      <c r="F71" s="11">
        <v>0</v>
      </c>
      <c r="G71" s="11">
        <v>56.4</v>
      </c>
      <c r="H71" s="11">
        <v>4.375</v>
      </c>
      <c r="I71" s="13">
        <f t="shared" si="11"/>
        <v>85.775000000000006</v>
      </c>
      <c r="J71" s="11">
        <v>0</v>
      </c>
      <c r="K71" s="11">
        <v>0</v>
      </c>
      <c r="L71" s="11">
        <v>0</v>
      </c>
      <c r="M71" s="13">
        <f t="shared" si="12"/>
        <v>0</v>
      </c>
      <c r="N71" s="11">
        <v>0</v>
      </c>
      <c r="O71" s="11">
        <v>0</v>
      </c>
      <c r="P71" s="11">
        <v>0</v>
      </c>
      <c r="Q71" s="11">
        <v>0</v>
      </c>
      <c r="R71" s="13">
        <f t="shared" si="13"/>
        <v>0</v>
      </c>
      <c r="S71">
        <v>0</v>
      </c>
      <c r="T71">
        <v>0</v>
      </c>
      <c r="U71" s="7">
        <f t="shared" si="14"/>
        <v>0</v>
      </c>
      <c r="V71">
        <v>0</v>
      </c>
      <c r="W71">
        <v>0</v>
      </c>
      <c r="X71">
        <v>0</v>
      </c>
      <c r="Y71">
        <v>0</v>
      </c>
      <c r="Z71" s="13">
        <f t="shared" si="15"/>
        <v>0</v>
      </c>
      <c r="AA71">
        <v>0</v>
      </c>
      <c r="AB71">
        <v>0</v>
      </c>
      <c r="AC71">
        <v>0</v>
      </c>
      <c r="AD71">
        <v>0</v>
      </c>
      <c r="AE71" s="7">
        <f t="shared" si="16"/>
        <v>0</v>
      </c>
      <c r="AF71">
        <v>0</v>
      </c>
      <c r="AG71">
        <v>0</v>
      </c>
      <c r="AH71">
        <v>0</v>
      </c>
      <c r="AI71" s="13">
        <f t="shared" si="17"/>
        <v>0</v>
      </c>
      <c r="AJ71" s="11" t="s">
        <v>51</v>
      </c>
      <c r="AK71" s="11" t="s">
        <v>51</v>
      </c>
      <c r="AL71" s="11" t="s">
        <v>51</v>
      </c>
      <c r="AM71" s="13">
        <f t="shared" si="18"/>
        <v>0</v>
      </c>
      <c r="AN71" s="18">
        <v>3</v>
      </c>
      <c r="AO71" s="18">
        <v>0</v>
      </c>
      <c r="AP71" s="18">
        <v>0</v>
      </c>
      <c r="AQ71" s="18">
        <v>0</v>
      </c>
      <c r="AR71" s="18">
        <f t="shared" si="19"/>
        <v>3</v>
      </c>
      <c r="AS71" t="s">
        <v>52</v>
      </c>
      <c r="AT71" s="9" t="s">
        <v>315</v>
      </c>
      <c r="AU71" s="30">
        <f>+((AN71*I71)+(AO71*AE71)+(AQ71*AI71)+(AP71*AM71))/AR71</f>
        <v>85.77500000000002</v>
      </c>
    </row>
    <row r="72" spans="1:47" x14ac:dyDescent="0.25">
      <c r="A72" t="s">
        <v>46</v>
      </c>
      <c r="B72" t="s">
        <v>316</v>
      </c>
      <c r="C72" t="s">
        <v>317</v>
      </c>
      <c r="D72" t="s">
        <v>318</v>
      </c>
      <c r="E72" s="11">
        <v>0</v>
      </c>
      <c r="F72" s="11">
        <v>20</v>
      </c>
      <c r="G72" s="11">
        <v>0</v>
      </c>
      <c r="H72" s="11">
        <v>2.5</v>
      </c>
      <c r="I72" s="13">
        <f t="shared" si="11"/>
        <v>22.5</v>
      </c>
      <c r="J72" s="11">
        <v>0</v>
      </c>
      <c r="K72" s="11">
        <v>0</v>
      </c>
      <c r="L72" s="11">
        <v>0</v>
      </c>
      <c r="M72" s="13">
        <f t="shared" si="12"/>
        <v>0</v>
      </c>
      <c r="N72" s="11">
        <v>0</v>
      </c>
      <c r="O72" s="11">
        <v>0</v>
      </c>
      <c r="P72" s="11">
        <v>0</v>
      </c>
      <c r="Q72" s="11">
        <v>0</v>
      </c>
      <c r="R72" s="13">
        <f t="shared" si="13"/>
        <v>0</v>
      </c>
      <c r="S72">
        <v>0</v>
      </c>
      <c r="T72">
        <v>0</v>
      </c>
      <c r="U72" s="7">
        <f t="shared" si="14"/>
        <v>0</v>
      </c>
      <c r="V72">
        <v>0</v>
      </c>
      <c r="W72">
        <v>0</v>
      </c>
      <c r="X72">
        <v>0</v>
      </c>
      <c r="Y72">
        <v>0</v>
      </c>
      <c r="Z72" s="13">
        <f t="shared" si="15"/>
        <v>0</v>
      </c>
      <c r="AA72">
        <v>0</v>
      </c>
      <c r="AB72">
        <v>0</v>
      </c>
      <c r="AC72">
        <v>0</v>
      </c>
      <c r="AD72">
        <v>0</v>
      </c>
      <c r="AE72" s="7">
        <f t="shared" si="16"/>
        <v>0</v>
      </c>
      <c r="AF72">
        <v>0</v>
      </c>
      <c r="AG72">
        <v>0</v>
      </c>
      <c r="AH72">
        <v>0</v>
      </c>
      <c r="AI72" s="13">
        <f t="shared" si="17"/>
        <v>0</v>
      </c>
      <c r="AJ72" s="11" t="s">
        <v>51</v>
      </c>
      <c r="AK72" s="11" t="s">
        <v>51</v>
      </c>
      <c r="AL72" s="11" t="s">
        <v>51</v>
      </c>
      <c r="AM72" s="13">
        <f t="shared" si="18"/>
        <v>0</v>
      </c>
      <c r="AN72" s="18">
        <v>6</v>
      </c>
      <c r="AO72" s="18">
        <v>0</v>
      </c>
      <c r="AP72" s="18">
        <v>0</v>
      </c>
      <c r="AQ72" s="18">
        <v>0</v>
      </c>
      <c r="AR72" s="18">
        <f t="shared" si="19"/>
        <v>6</v>
      </c>
      <c r="AS72" t="s">
        <v>52</v>
      </c>
      <c r="AT72" s="9" t="s">
        <v>319</v>
      </c>
      <c r="AU72" s="30">
        <f>+((AN72*I72)+(AO72*AE72)+(AQ72*AI72)+(AP72*AM72))/AR72</f>
        <v>22.5</v>
      </c>
    </row>
    <row r="73" spans="1:47" hidden="1" x14ac:dyDescent="0.25">
      <c r="A73" t="s">
        <v>46</v>
      </c>
      <c r="B73" s="32" t="s">
        <v>320</v>
      </c>
      <c r="C73" s="32" t="s">
        <v>321</v>
      </c>
      <c r="D73" s="32" t="s">
        <v>322</v>
      </c>
      <c r="E73" s="11">
        <v>0</v>
      </c>
      <c r="F73" s="11">
        <v>0</v>
      </c>
      <c r="G73" s="11">
        <v>0</v>
      </c>
      <c r="H73" s="11">
        <v>0</v>
      </c>
      <c r="I73" s="13">
        <f t="shared" si="11"/>
        <v>0</v>
      </c>
      <c r="J73" s="11">
        <v>0</v>
      </c>
      <c r="K73" s="11">
        <v>0</v>
      </c>
      <c r="L73" s="11">
        <v>0</v>
      </c>
      <c r="M73" s="13">
        <f t="shared" si="12"/>
        <v>0</v>
      </c>
      <c r="N73" s="11">
        <v>47.31</v>
      </c>
      <c r="O73" s="11">
        <v>4.5</v>
      </c>
      <c r="P73" s="11">
        <v>20</v>
      </c>
      <c r="Q73" s="11">
        <v>19</v>
      </c>
      <c r="R73" s="13">
        <f t="shared" si="13"/>
        <v>90.81</v>
      </c>
      <c r="S73">
        <v>0</v>
      </c>
      <c r="T73">
        <v>0</v>
      </c>
      <c r="U73" s="7">
        <f t="shared" si="14"/>
        <v>0</v>
      </c>
      <c r="V73">
        <v>0</v>
      </c>
      <c r="W73">
        <v>0</v>
      </c>
      <c r="X73">
        <v>0</v>
      </c>
      <c r="Y73">
        <v>0</v>
      </c>
      <c r="Z73" s="13">
        <f t="shared" si="15"/>
        <v>0</v>
      </c>
      <c r="AA73">
        <v>0</v>
      </c>
      <c r="AB73">
        <v>0</v>
      </c>
      <c r="AC73">
        <v>0</v>
      </c>
      <c r="AD73">
        <v>0</v>
      </c>
      <c r="AE73" s="7">
        <f t="shared" si="16"/>
        <v>0</v>
      </c>
      <c r="AF73">
        <v>0</v>
      </c>
      <c r="AG73">
        <v>0</v>
      </c>
      <c r="AH73">
        <v>0</v>
      </c>
      <c r="AI73" s="13">
        <f t="shared" si="17"/>
        <v>0</v>
      </c>
      <c r="AJ73" s="11" t="s">
        <v>51</v>
      </c>
      <c r="AK73" s="11" t="s">
        <v>51</v>
      </c>
      <c r="AL73" s="11" t="s">
        <v>51</v>
      </c>
      <c r="AM73" s="13">
        <f t="shared" si="18"/>
        <v>0</v>
      </c>
      <c r="AN73" s="18">
        <v>10</v>
      </c>
      <c r="AO73" s="18">
        <v>0</v>
      </c>
      <c r="AP73" s="18">
        <v>0</v>
      </c>
      <c r="AQ73" s="18">
        <v>0</v>
      </c>
      <c r="AR73" s="18">
        <f t="shared" si="19"/>
        <v>10</v>
      </c>
      <c r="AS73" t="s">
        <v>117</v>
      </c>
      <c r="AT73" s="9" t="s">
        <v>323</v>
      </c>
      <c r="AU73" s="11">
        <f>+((AN73*R73)+(AQ73*AI73)+(AP73*AM73))/AR73</f>
        <v>90.81</v>
      </c>
    </row>
    <row r="74" spans="1:47" hidden="1" x14ac:dyDescent="0.25">
      <c r="A74" t="s">
        <v>46</v>
      </c>
      <c r="B74" t="s">
        <v>324</v>
      </c>
      <c r="C74" t="s">
        <v>325</v>
      </c>
      <c r="D74" t="s">
        <v>326</v>
      </c>
      <c r="E74" s="11">
        <v>20</v>
      </c>
      <c r="F74" s="11">
        <v>19.329999999999998</v>
      </c>
      <c r="G74" s="11">
        <v>37.72</v>
      </c>
      <c r="H74" s="11">
        <v>3.5</v>
      </c>
      <c r="I74" s="13">
        <f t="shared" si="11"/>
        <v>80.55</v>
      </c>
      <c r="J74" s="11">
        <v>0</v>
      </c>
      <c r="K74" s="11">
        <v>0</v>
      </c>
      <c r="L74" s="11">
        <v>0</v>
      </c>
      <c r="M74" s="13">
        <f t="shared" si="12"/>
        <v>0</v>
      </c>
      <c r="N74" s="11">
        <v>0</v>
      </c>
      <c r="O74" s="11">
        <v>0</v>
      </c>
      <c r="P74" s="11">
        <v>0</v>
      </c>
      <c r="Q74" s="11">
        <v>0</v>
      </c>
      <c r="R74" s="13">
        <f t="shared" si="13"/>
        <v>0</v>
      </c>
      <c r="S74">
        <v>0</v>
      </c>
      <c r="T74">
        <v>0</v>
      </c>
      <c r="U74" s="7">
        <f t="shared" si="14"/>
        <v>0</v>
      </c>
      <c r="V74">
        <v>0</v>
      </c>
      <c r="W74">
        <v>0</v>
      </c>
      <c r="X74">
        <v>0</v>
      </c>
      <c r="Y74">
        <v>0</v>
      </c>
      <c r="Z74" s="13">
        <f t="shared" si="15"/>
        <v>0</v>
      </c>
      <c r="AA74">
        <v>0</v>
      </c>
      <c r="AB74">
        <v>0</v>
      </c>
      <c r="AC74">
        <v>0</v>
      </c>
      <c r="AD74">
        <v>0</v>
      </c>
      <c r="AE74" s="7">
        <f t="shared" si="16"/>
        <v>0</v>
      </c>
      <c r="AF74">
        <v>0</v>
      </c>
      <c r="AG74">
        <v>0</v>
      </c>
      <c r="AH74">
        <v>0</v>
      </c>
      <c r="AI74" s="13">
        <f t="shared" si="17"/>
        <v>0</v>
      </c>
      <c r="AJ74" s="11" t="s">
        <v>51</v>
      </c>
      <c r="AK74" s="11" t="s">
        <v>51</v>
      </c>
      <c r="AL74" s="11" t="s">
        <v>51</v>
      </c>
      <c r="AM74" s="13">
        <f t="shared" si="18"/>
        <v>0</v>
      </c>
      <c r="AN74" s="18">
        <v>3</v>
      </c>
      <c r="AO74" s="18">
        <v>0</v>
      </c>
      <c r="AP74" s="18">
        <v>0</v>
      </c>
      <c r="AQ74" s="18">
        <v>0</v>
      </c>
      <c r="AR74" s="18">
        <f t="shared" si="19"/>
        <v>3</v>
      </c>
      <c r="AS74" t="s">
        <v>52</v>
      </c>
      <c r="AT74" s="9" t="s">
        <v>327</v>
      </c>
      <c r="AU74" s="30">
        <f t="shared" ref="AU74:AU79" si="20">+((AN74*I74)+(AO74*AE74)+(AQ74*AI74)+(AP74*AM74))/AR74</f>
        <v>80.55</v>
      </c>
    </row>
    <row r="75" spans="1:47" hidden="1" x14ac:dyDescent="0.25">
      <c r="A75" t="s">
        <v>46</v>
      </c>
      <c r="B75" t="s">
        <v>328</v>
      </c>
      <c r="C75" t="s">
        <v>329</v>
      </c>
      <c r="D75" t="s">
        <v>330</v>
      </c>
      <c r="E75" s="11">
        <v>0</v>
      </c>
      <c r="F75" s="11">
        <v>25</v>
      </c>
      <c r="G75" s="11">
        <v>55.287500000000001</v>
      </c>
      <c r="H75" s="11">
        <v>3.125</v>
      </c>
      <c r="I75" s="13">
        <f t="shared" si="11"/>
        <v>83.412499999999994</v>
      </c>
      <c r="J75" s="11">
        <v>0</v>
      </c>
      <c r="K75" s="11">
        <v>0</v>
      </c>
      <c r="L75" s="11">
        <v>0</v>
      </c>
      <c r="M75" s="13">
        <f t="shared" si="12"/>
        <v>0</v>
      </c>
      <c r="N75" s="11">
        <v>0</v>
      </c>
      <c r="O75" s="11">
        <v>0</v>
      </c>
      <c r="P75" s="11">
        <v>0</v>
      </c>
      <c r="Q75" s="11">
        <v>0</v>
      </c>
      <c r="R75" s="13">
        <f t="shared" si="13"/>
        <v>0</v>
      </c>
      <c r="S75">
        <v>0</v>
      </c>
      <c r="T75">
        <v>0</v>
      </c>
      <c r="U75" s="7">
        <f t="shared" si="14"/>
        <v>0</v>
      </c>
      <c r="V75">
        <v>0</v>
      </c>
      <c r="W75">
        <v>0</v>
      </c>
      <c r="X75">
        <v>0</v>
      </c>
      <c r="Y75">
        <v>0</v>
      </c>
      <c r="Z75" s="13">
        <f t="shared" si="15"/>
        <v>0</v>
      </c>
      <c r="AA75">
        <v>0</v>
      </c>
      <c r="AB75">
        <v>0</v>
      </c>
      <c r="AC75">
        <v>0</v>
      </c>
      <c r="AD75">
        <v>0</v>
      </c>
      <c r="AE75" s="7">
        <f t="shared" si="16"/>
        <v>0</v>
      </c>
      <c r="AF75">
        <v>0</v>
      </c>
      <c r="AG75">
        <v>0</v>
      </c>
      <c r="AH75">
        <v>0</v>
      </c>
      <c r="AI75" s="13">
        <f t="shared" si="17"/>
        <v>0</v>
      </c>
      <c r="AJ75" s="11" t="s">
        <v>51</v>
      </c>
      <c r="AK75" s="11" t="s">
        <v>51</v>
      </c>
      <c r="AL75" s="11" t="s">
        <v>51</v>
      </c>
      <c r="AM75" s="13">
        <f t="shared" si="18"/>
        <v>0</v>
      </c>
      <c r="AN75" s="18">
        <v>3</v>
      </c>
      <c r="AO75" s="18">
        <v>0</v>
      </c>
      <c r="AP75" s="18">
        <v>0</v>
      </c>
      <c r="AQ75" s="18">
        <v>0</v>
      </c>
      <c r="AR75" s="18">
        <f t="shared" si="19"/>
        <v>3</v>
      </c>
      <c r="AS75" t="s">
        <v>52</v>
      </c>
      <c r="AT75" s="9" t="s">
        <v>331</v>
      </c>
      <c r="AU75" s="30">
        <f t="shared" si="20"/>
        <v>83.412499999999994</v>
      </c>
    </row>
    <row r="76" spans="1:47" hidden="1" x14ac:dyDescent="0.25">
      <c r="A76" t="s">
        <v>46</v>
      </c>
      <c r="B76" t="s">
        <v>332</v>
      </c>
      <c r="C76" t="s">
        <v>333</v>
      </c>
      <c r="D76" t="s">
        <v>334</v>
      </c>
      <c r="E76">
        <v>19.329999999999998</v>
      </c>
      <c r="F76">
        <v>20</v>
      </c>
      <c r="G76">
        <v>50</v>
      </c>
      <c r="H76" s="11">
        <v>0</v>
      </c>
      <c r="I76" s="13">
        <f t="shared" si="11"/>
        <v>89.33</v>
      </c>
      <c r="J76" s="11">
        <v>0</v>
      </c>
      <c r="K76" s="11">
        <v>0</v>
      </c>
      <c r="L76" s="11">
        <v>0</v>
      </c>
      <c r="M76" s="13">
        <f t="shared" si="12"/>
        <v>0</v>
      </c>
      <c r="N76" s="11">
        <v>0</v>
      </c>
      <c r="O76" s="11">
        <v>0</v>
      </c>
      <c r="P76" s="11">
        <v>0</v>
      </c>
      <c r="Q76" s="11">
        <v>0</v>
      </c>
      <c r="R76" s="13">
        <f t="shared" si="13"/>
        <v>0</v>
      </c>
      <c r="S76">
        <v>0</v>
      </c>
      <c r="T76">
        <v>0</v>
      </c>
      <c r="U76" s="7">
        <f t="shared" si="14"/>
        <v>0</v>
      </c>
      <c r="V76">
        <v>0</v>
      </c>
      <c r="W76">
        <v>0</v>
      </c>
      <c r="X76">
        <v>0</v>
      </c>
      <c r="Y76">
        <v>0</v>
      </c>
      <c r="Z76" s="13">
        <f t="shared" si="15"/>
        <v>0</v>
      </c>
      <c r="AA76">
        <v>0</v>
      </c>
      <c r="AB76">
        <v>0</v>
      </c>
      <c r="AC76">
        <v>0</v>
      </c>
      <c r="AD76">
        <v>0</v>
      </c>
      <c r="AE76" s="7">
        <f t="shared" si="16"/>
        <v>0</v>
      </c>
      <c r="AF76">
        <v>0</v>
      </c>
      <c r="AG76">
        <v>0</v>
      </c>
      <c r="AH76">
        <v>0</v>
      </c>
      <c r="AI76" s="13">
        <f t="shared" si="17"/>
        <v>0</v>
      </c>
      <c r="AJ76" s="11" t="s">
        <v>51</v>
      </c>
      <c r="AK76" s="11" t="s">
        <v>51</v>
      </c>
      <c r="AL76" s="11" t="s">
        <v>51</v>
      </c>
      <c r="AM76" s="13">
        <f t="shared" si="18"/>
        <v>0</v>
      </c>
      <c r="AN76" s="18">
        <v>3</v>
      </c>
      <c r="AO76" s="18">
        <v>0</v>
      </c>
      <c r="AP76" s="18">
        <v>0</v>
      </c>
      <c r="AQ76" s="18">
        <v>0</v>
      </c>
      <c r="AR76" s="18">
        <v>3</v>
      </c>
      <c r="AS76" t="s">
        <v>52</v>
      </c>
      <c r="AT76" s="9" t="s">
        <v>72</v>
      </c>
      <c r="AU76" s="30">
        <f t="shared" si="20"/>
        <v>89.33</v>
      </c>
    </row>
    <row r="77" spans="1:47" hidden="1" x14ac:dyDescent="0.25">
      <c r="A77" t="s">
        <v>46</v>
      </c>
      <c r="B77" t="s">
        <v>335</v>
      </c>
      <c r="C77" t="s">
        <v>336</v>
      </c>
      <c r="D77" t="s">
        <v>337</v>
      </c>
      <c r="E77" s="11">
        <v>20</v>
      </c>
      <c r="F77" s="11">
        <v>20</v>
      </c>
      <c r="G77" s="11">
        <v>46.06</v>
      </c>
      <c r="H77" s="11">
        <v>3</v>
      </c>
      <c r="I77" s="13">
        <f t="shared" si="11"/>
        <v>89.06</v>
      </c>
      <c r="J77" s="11">
        <v>0</v>
      </c>
      <c r="K77" s="11">
        <v>0</v>
      </c>
      <c r="L77" s="11">
        <v>0</v>
      </c>
      <c r="M77" s="13">
        <f t="shared" si="12"/>
        <v>0</v>
      </c>
      <c r="N77" s="11">
        <v>0</v>
      </c>
      <c r="O77" s="11">
        <v>0</v>
      </c>
      <c r="P77" s="11">
        <v>0</v>
      </c>
      <c r="Q77" s="11">
        <v>0</v>
      </c>
      <c r="R77" s="13">
        <f t="shared" si="13"/>
        <v>0</v>
      </c>
      <c r="S77">
        <v>0</v>
      </c>
      <c r="T77">
        <v>0</v>
      </c>
      <c r="U77" s="7">
        <f t="shared" si="14"/>
        <v>0</v>
      </c>
      <c r="V77">
        <v>0</v>
      </c>
      <c r="W77">
        <v>0</v>
      </c>
      <c r="X77">
        <v>0</v>
      </c>
      <c r="Y77">
        <v>0</v>
      </c>
      <c r="Z77" s="13">
        <f t="shared" si="15"/>
        <v>0</v>
      </c>
      <c r="AA77" s="11">
        <v>0</v>
      </c>
      <c r="AB77" s="11">
        <v>14.705882352941178</v>
      </c>
      <c r="AC77" s="11">
        <v>14.564705882352941</v>
      </c>
      <c r="AD77" s="11">
        <v>22.058823529411761</v>
      </c>
      <c r="AE77" s="7">
        <f t="shared" si="16"/>
        <v>51.329411764705881</v>
      </c>
      <c r="AF77">
        <v>0</v>
      </c>
      <c r="AG77">
        <v>0</v>
      </c>
      <c r="AH77">
        <v>0</v>
      </c>
      <c r="AI77" s="13">
        <f t="shared" si="17"/>
        <v>0</v>
      </c>
      <c r="AJ77" s="11" t="s">
        <v>51</v>
      </c>
      <c r="AK77" s="11" t="s">
        <v>51</v>
      </c>
      <c r="AL77" s="11" t="s">
        <v>51</v>
      </c>
      <c r="AM77" s="13">
        <f t="shared" si="18"/>
        <v>0</v>
      </c>
      <c r="AN77" s="18">
        <v>35</v>
      </c>
      <c r="AO77" s="18">
        <v>5</v>
      </c>
      <c r="AP77" s="18">
        <v>0</v>
      </c>
      <c r="AQ77" s="18">
        <v>0</v>
      </c>
      <c r="AR77" s="18">
        <f t="shared" si="19"/>
        <v>40</v>
      </c>
      <c r="AS77" t="s">
        <v>52</v>
      </c>
      <c r="AT77" s="9" t="s">
        <v>338</v>
      </c>
      <c r="AU77" s="30">
        <f>+((AN77*I77)+(AO77*AE77)+(AQ77*AI77)+(AP77*AM77))/AR77</f>
        <v>84.343676470588235</v>
      </c>
    </row>
    <row r="78" spans="1:47" hidden="1" x14ac:dyDescent="0.25">
      <c r="A78" t="s">
        <v>46</v>
      </c>
      <c r="B78" t="s">
        <v>339</v>
      </c>
      <c r="C78" t="s">
        <v>340</v>
      </c>
      <c r="D78" t="s">
        <v>341</v>
      </c>
      <c r="E78" s="11">
        <v>19.670000000000002</v>
      </c>
      <c r="F78" s="11">
        <v>19.329999999999998</v>
      </c>
      <c r="G78" s="11">
        <v>44.53</v>
      </c>
      <c r="H78" s="11">
        <v>4.5</v>
      </c>
      <c r="I78" s="13">
        <f t="shared" si="11"/>
        <v>88.03</v>
      </c>
      <c r="J78" s="11">
        <v>54.27</v>
      </c>
      <c r="K78" s="11">
        <v>30</v>
      </c>
      <c r="L78" s="11">
        <v>4.5</v>
      </c>
      <c r="M78" s="13">
        <f t="shared" si="12"/>
        <v>88.77000000000001</v>
      </c>
      <c r="N78" s="11">
        <v>0</v>
      </c>
      <c r="O78" s="11">
        <v>0</v>
      </c>
      <c r="P78" s="11">
        <v>0</v>
      </c>
      <c r="Q78" s="11">
        <v>0</v>
      </c>
      <c r="R78" s="13">
        <f t="shared" si="13"/>
        <v>0</v>
      </c>
      <c r="S78">
        <v>0</v>
      </c>
      <c r="T78">
        <v>0</v>
      </c>
      <c r="U78" s="7">
        <f t="shared" si="14"/>
        <v>0</v>
      </c>
      <c r="V78">
        <v>0</v>
      </c>
      <c r="W78">
        <v>0</v>
      </c>
      <c r="X78">
        <v>0</v>
      </c>
      <c r="Y78">
        <v>0</v>
      </c>
      <c r="Z78" s="13">
        <f t="shared" si="15"/>
        <v>0</v>
      </c>
      <c r="AA78">
        <v>0</v>
      </c>
      <c r="AB78">
        <v>0</v>
      </c>
      <c r="AC78">
        <v>0</v>
      </c>
      <c r="AD78">
        <v>0</v>
      </c>
      <c r="AE78" s="7">
        <f t="shared" si="16"/>
        <v>0</v>
      </c>
      <c r="AF78">
        <v>46.66</v>
      </c>
      <c r="AG78">
        <v>18</v>
      </c>
      <c r="AH78">
        <v>29</v>
      </c>
      <c r="AI78" s="13">
        <f t="shared" si="17"/>
        <v>93.66</v>
      </c>
      <c r="AJ78" s="11" t="s">
        <v>51</v>
      </c>
      <c r="AK78" s="11" t="s">
        <v>51</v>
      </c>
      <c r="AL78" s="11" t="s">
        <v>51</v>
      </c>
      <c r="AM78" s="13">
        <f t="shared" si="18"/>
        <v>0</v>
      </c>
      <c r="AN78" s="18">
        <v>17.25</v>
      </c>
      <c r="AO78" s="18">
        <v>0</v>
      </c>
      <c r="AP78" s="18">
        <v>0</v>
      </c>
      <c r="AQ78" s="18">
        <v>0</v>
      </c>
      <c r="AR78" s="18">
        <f t="shared" si="19"/>
        <v>17.25</v>
      </c>
      <c r="AS78" t="s">
        <v>52</v>
      </c>
      <c r="AT78" s="9" t="s">
        <v>342</v>
      </c>
      <c r="AU78" s="30">
        <f t="shared" si="20"/>
        <v>88.03</v>
      </c>
    </row>
    <row r="79" spans="1:47" hidden="1" x14ac:dyDescent="0.25">
      <c r="A79" t="s">
        <v>46</v>
      </c>
      <c r="B79" t="s">
        <v>339</v>
      </c>
      <c r="C79" t="s">
        <v>340</v>
      </c>
      <c r="D79" t="s">
        <v>341</v>
      </c>
      <c r="E79" s="11">
        <v>19.670000000000002</v>
      </c>
      <c r="F79" s="11">
        <v>19.329999999999998</v>
      </c>
      <c r="G79" s="11">
        <v>44.53</v>
      </c>
      <c r="H79" s="11">
        <v>4.5</v>
      </c>
      <c r="I79" s="13">
        <f t="shared" si="11"/>
        <v>88.03</v>
      </c>
      <c r="J79" s="11">
        <v>54.27</v>
      </c>
      <c r="K79" s="11">
        <v>30</v>
      </c>
      <c r="L79" s="11">
        <v>4.5</v>
      </c>
      <c r="M79" s="13">
        <f t="shared" si="12"/>
        <v>88.77000000000001</v>
      </c>
      <c r="N79" s="11">
        <v>0</v>
      </c>
      <c r="O79" s="11">
        <v>0</v>
      </c>
      <c r="P79" s="11">
        <v>0</v>
      </c>
      <c r="Q79" s="11">
        <v>0</v>
      </c>
      <c r="R79" s="13">
        <f t="shared" si="13"/>
        <v>0</v>
      </c>
      <c r="S79">
        <v>0</v>
      </c>
      <c r="T79">
        <v>0</v>
      </c>
      <c r="U79" s="7">
        <f t="shared" si="14"/>
        <v>0</v>
      </c>
      <c r="V79">
        <v>0</v>
      </c>
      <c r="W79">
        <v>0</v>
      </c>
      <c r="X79">
        <v>0</v>
      </c>
      <c r="Y79">
        <v>0</v>
      </c>
      <c r="Z79" s="13">
        <f t="shared" si="15"/>
        <v>0</v>
      </c>
      <c r="AA79">
        <v>0</v>
      </c>
      <c r="AB79">
        <v>0</v>
      </c>
      <c r="AC79">
        <v>0</v>
      </c>
      <c r="AD79">
        <v>0</v>
      </c>
      <c r="AE79" s="7">
        <f t="shared" si="16"/>
        <v>0</v>
      </c>
      <c r="AF79">
        <v>46.66</v>
      </c>
      <c r="AG79">
        <v>18</v>
      </c>
      <c r="AH79">
        <v>29</v>
      </c>
      <c r="AI79" s="13">
        <f t="shared" si="17"/>
        <v>93.66</v>
      </c>
      <c r="AJ79" s="11" t="s">
        <v>51</v>
      </c>
      <c r="AK79" s="11" t="s">
        <v>51</v>
      </c>
      <c r="AL79" s="11" t="s">
        <v>51</v>
      </c>
      <c r="AM79" s="13">
        <f t="shared" si="18"/>
        <v>0</v>
      </c>
      <c r="AN79" s="18">
        <v>5</v>
      </c>
      <c r="AO79" s="18">
        <v>0</v>
      </c>
      <c r="AP79" s="18">
        <v>0</v>
      </c>
      <c r="AQ79" s="18">
        <v>17.75</v>
      </c>
      <c r="AR79" s="18">
        <f t="shared" si="19"/>
        <v>22.75</v>
      </c>
      <c r="AS79" t="s">
        <v>87</v>
      </c>
      <c r="AT79" s="9" t="s">
        <v>344</v>
      </c>
      <c r="AU79" s="30">
        <f t="shared" si="20"/>
        <v>92.42263736263736</v>
      </c>
    </row>
    <row r="80" spans="1:47" hidden="1" x14ac:dyDescent="0.25">
      <c r="A80" t="s">
        <v>46</v>
      </c>
      <c r="B80" t="s">
        <v>345</v>
      </c>
      <c r="C80" t="s">
        <v>346</v>
      </c>
      <c r="D80" t="s">
        <v>347</v>
      </c>
      <c r="E80" s="11">
        <v>0</v>
      </c>
      <c r="F80" s="11">
        <v>0</v>
      </c>
      <c r="G80" s="11">
        <v>0</v>
      </c>
      <c r="H80" s="11">
        <v>0</v>
      </c>
      <c r="I80" s="13">
        <f t="shared" si="11"/>
        <v>0</v>
      </c>
      <c r="J80" s="11">
        <v>0</v>
      </c>
      <c r="K80" s="11">
        <v>0</v>
      </c>
      <c r="L80" s="11">
        <v>0</v>
      </c>
      <c r="M80" s="13">
        <f t="shared" si="12"/>
        <v>0</v>
      </c>
      <c r="N80" s="11">
        <v>0</v>
      </c>
      <c r="O80" s="11">
        <v>0</v>
      </c>
      <c r="P80" s="11">
        <v>0</v>
      </c>
      <c r="Q80" s="11">
        <v>0</v>
      </c>
      <c r="R80" s="13">
        <f t="shared" si="13"/>
        <v>0</v>
      </c>
      <c r="S80">
        <v>65.62</v>
      </c>
      <c r="T80">
        <v>29.5</v>
      </c>
      <c r="U80" s="7">
        <f t="shared" si="14"/>
        <v>95.12</v>
      </c>
      <c r="V80">
        <v>0</v>
      </c>
      <c r="W80">
        <v>0</v>
      </c>
      <c r="X80">
        <v>0</v>
      </c>
      <c r="Y80">
        <v>0</v>
      </c>
      <c r="Z80" s="13">
        <f t="shared" si="15"/>
        <v>0</v>
      </c>
      <c r="AA80">
        <v>0</v>
      </c>
      <c r="AB80">
        <v>0</v>
      </c>
      <c r="AC80">
        <v>0</v>
      </c>
      <c r="AD80">
        <v>0</v>
      </c>
      <c r="AE80" s="7">
        <f t="shared" si="16"/>
        <v>0</v>
      </c>
      <c r="AF80">
        <v>0</v>
      </c>
      <c r="AG80">
        <v>0</v>
      </c>
      <c r="AH80">
        <v>0</v>
      </c>
      <c r="AI80" s="13">
        <f t="shared" si="17"/>
        <v>0</v>
      </c>
      <c r="AJ80" s="11" t="s">
        <v>51</v>
      </c>
      <c r="AK80" s="11" t="s">
        <v>51</v>
      </c>
      <c r="AL80" s="11" t="s">
        <v>51</v>
      </c>
      <c r="AM80" s="13">
        <f t="shared" si="18"/>
        <v>0</v>
      </c>
      <c r="AN80" s="18">
        <v>4</v>
      </c>
      <c r="AO80" s="18">
        <v>0</v>
      </c>
      <c r="AP80" s="18">
        <v>0</v>
      </c>
      <c r="AQ80" s="18">
        <v>0</v>
      </c>
      <c r="AR80" s="18">
        <f t="shared" si="19"/>
        <v>4</v>
      </c>
      <c r="AS80" t="s">
        <v>52</v>
      </c>
      <c r="AT80" s="9" t="s">
        <v>348</v>
      </c>
      <c r="AU80" s="30">
        <f>+((U80*AN80)/AR80)</f>
        <v>95.12</v>
      </c>
    </row>
    <row r="81" spans="1:47" hidden="1" x14ac:dyDescent="0.25">
      <c r="A81" t="s">
        <v>46</v>
      </c>
      <c r="B81" t="s">
        <v>349</v>
      </c>
      <c r="C81" t="s">
        <v>350</v>
      </c>
      <c r="D81" t="s">
        <v>351</v>
      </c>
      <c r="E81" s="11">
        <v>0</v>
      </c>
      <c r="F81" s="11">
        <v>0</v>
      </c>
      <c r="G81" s="11">
        <v>0</v>
      </c>
      <c r="H81" s="11">
        <v>0</v>
      </c>
      <c r="I81" s="13">
        <f t="shared" si="11"/>
        <v>0</v>
      </c>
      <c r="J81" s="11">
        <v>54.16</v>
      </c>
      <c r="K81" s="11">
        <v>30</v>
      </c>
      <c r="L81" s="11">
        <v>2.5</v>
      </c>
      <c r="M81" s="13">
        <f t="shared" si="12"/>
        <v>86.66</v>
      </c>
      <c r="N81" s="11">
        <v>0</v>
      </c>
      <c r="O81" s="11">
        <v>0</v>
      </c>
      <c r="P81" s="11">
        <v>0</v>
      </c>
      <c r="Q81" s="11">
        <v>0</v>
      </c>
      <c r="R81" s="13">
        <f t="shared" si="13"/>
        <v>0</v>
      </c>
      <c r="S81">
        <v>0</v>
      </c>
      <c r="T81">
        <v>0</v>
      </c>
      <c r="U81" s="7">
        <f t="shared" si="14"/>
        <v>0</v>
      </c>
      <c r="V81">
        <v>0</v>
      </c>
      <c r="W81">
        <v>0</v>
      </c>
      <c r="X81">
        <v>0</v>
      </c>
      <c r="Y81">
        <v>0</v>
      </c>
      <c r="Z81" s="13">
        <f t="shared" si="15"/>
        <v>0</v>
      </c>
      <c r="AA81">
        <v>0</v>
      </c>
      <c r="AB81">
        <v>0</v>
      </c>
      <c r="AC81">
        <v>0</v>
      </c>
      <c r="AD81">
        <v>0</v>
      </c>
      <c r="AE81" s="7">
        <f t="shared" si="16"/>
        <v>0</v>
      </c>
      <c r="AF81">
        <v>0</v>
      </c>
      <c r="AG81">
        <v>0</v>
      </c>
      <c r="AH81">
        <v>0</v>
      </c>
      <c r="AI81" s="13">
        <f t="shared" si="17"/>
        <v>0</v>
      </c>
      <c r="AJ81" s="11" t="s">
        <v>51</v>
      </c>
      <c r="AK81" s="11" t="s">
        <v>51</v>
      </c>
      <c r="AL81" s="11" t="s">
        <v>51</v>
      </c>
      <c r="AM81" s="13">
        <f t="shared" si="18"/>
        <v>0</v>
      </c>
      <c r="AN81" s="18">
        <v>2</v>
      </c>
      <c r="AO81" s="18">
        <v>0</v>
      </c>
      <c r="AP81" s="18">
        <v>0</v>
      </c>
      <c r="AQ81" s="18">
        <v>0</v>
      </c>
      <c r="AR81" s="18">
        <f t="shared" si="19"/>
        <v>2</v>
      </c>
      <c r="AS81" t="s">
        <v>87</v>
      </c>
      <c r="AT81" s="9" t="s">
        <v>185</v>
      </c>
      <c r="AU81" s="30">
        <f>+((AN81*M81)/AR81)</f>
        <v>86.66</v>
      </c>
    </row>
    <row r="82" spans="1:47" hidden="1" x14ac:dyDescent="0.25">
      <c r="A82" t="s">
        <v>46</v>
      </c>
      <c r="B82" t="s">
        <v>352</v>
      </c>
      <c r="C82" t="s">
        <v>353</v>
      </c>
      <c r="D82" t="s">
        <v>354</v>
      </c>
      <c r="E82" s="11">
        <v>25</v>
      </c>
      <c r="F82" s="11">
        <v>0</v>
      </c>
      <c r="G82" s="11">
        <v>54.4375</v>
      </c>
      <c r="H82" s="11">
        <v>5.625</v>
      </c>
      <c r="I82" s="13">
        <f t="shared" si="11"/>
        <v>85.0625</v>
      </c>
      <c r="J82" s="11">
        <v>0</v>
      </c>
      <c r="K82" s="11">
        <v>0</v>
      </c>
      <c r="L82" s="11">
        <v>0</v>
      </c>
      <c r="M82" s="13">
        <f t="shared" si="12"/>
        <v>0</v>
      </c>
      <c r="N82" s="11">
        <v>0</v>
      </c>
      <c r="O82" s="11">
        <v>0</v>
      </c>
      <c r="P82" s="11">
        <v>0</v>
      </c>
      <c r="Q82" s="11">
        <v>0</v>
      </c>
      <c r="R82" s="13">
        <f t="shared" si="13"/>
        <v>0</v>
      </c>
      <c r="S82">
        <v>0</v>
      </c>
      <c r="T82">
        <v>0</v>
      </c>
      <c r="U82" s="7">
        <f t="shared" si="14"/>
        <v>0</v>
      </c>
      <c r="V82">
        <v>0</v>
      </c>
      <c r="W82">
        <v>0</v>
      </c>
      <c r="X82">
        <v>0</v>
      </c>
      <c r="Y82">
        <v>0</v>
      </c>
      <c r="Z82" s="13">
        <f t="shared" si="15"/>
        <v>0</v>
      </c>
      <c r="AA82">
        <v>15</v>
      </c>
      <c r="AB82">
        <v>50</v>
      </c>
      <c r="AC82">
        <v>15</v>
      </c>
      <c r="AD82">
        <v>13.75</v>
      </c>
      <c r="AE82" s="7">
        <f t="shared" si="16"/>
        <v>93.75</v>
      </c>
      <c r="AF82">
        <v>0</v>
      </c>
      <c r="AG82">
        <v>0</v>
      </c>
      <c r="AH82">
        <v>0</v>
      </c>
      <c r="AI82" s="13">
        <f t="shared" si="17"/>
        <v>0</v>
      </c>
      <c r="AJ82" s="11" t="s">
        <v>51</v>
      </c>
      <c r="AK82" s="11" t="s">
        <v>51</v>
      </c>
      <c r="AL82" s="11" t="s">
        <v>51</v>
      </c>
      <c r="AM82" s="13">
        <f t="shared" si="18"/>
        <v>0</v>
      </c>
      <c r="AN82" s="18">
        <v>35</v>
      </c>
      <c r="AO82" s="18">
        <v>5</v>
      </c>
      <c r="AP82" s="18">
        <v>0</v>
      </c>
      <c r="AQ82" s="18">
        <v>0</v>
      </c>
      <c r="AR82" s="18">
        <f t="shared" si="19"/>
        <v>40</v>
      </c>
      <c r="AS82" t="s">
        <v>52</v>
      </c>
      <c r="AT82" s="9" t="s">
        <v>355</v>
      </c>
      <c r="AU82" s="30">
        <f>+((AN82*I82)+(AO82*AE82)+(AQ82*AI82)+(AP82*AM82))/AR82</f>
        <v>86.1484375</v>
      </c>
    </row>
    <row r="83" spans="1:47" hidden="1" x14ac:dyDescent="0.25">
      <c r="A83" t="s">
        <v>46</v>
      </c>
      <c r="B83" t="s">
        <v>356</v>
      </c>
      <c r="C83" t="s">
        <v>357</v>
      </c>
      <c r="D83" t="s">
        <v>358</v>
      </c>
      <c r="E83" s="11">
        <v>0</v>
      </c>
      <c r="F83" s="11">
        <v>0</v>
      </c>
      <c r="G83" s="11">
        <v>0</v>
      </c>
      <c r="H83" s="11">
        <v>0</v>
      </c>
      <c r="I83" s="13">
        <f t="shared" si="11"/>
        <v>0</v>
      </c>
      <c r="J83" s="11">
        <v>0</v>
      </c>
      <c r="K83" s="11">
        <v>0</v>
      </c>
      <c r="L83" s="11">
        <v>0</v>
      </c>
      <c r="M83" s="13">
        <f t="shared" si="12"/>
        <v>0</v>
      </c>
      <c r="N83" s="11">
        <v>0</v>
      </c>
      <c r="O83" s="11">
        <v>0</v>
      </c>
      <c r="P83" s="11">
        <v>0</v>
      </c>
      <c r="Q83" s="11">
        <v>0</v>
      </c>
      <c r="R83" s="13">
        <f t="shared" si="13"/>
        <v>0</v>
      </c>
      <c r="S83">
        <v>0</v>
      </c>
      <c r="T83">
        <v>0</v>
      </c>
      <c r="U83" s="7">
        <f t="shared" si="14"/>
        <v>0</v>
      </c>
      <c r="V83">
        <v>5</v>
      </c>
      <c r="W83">
        <v>14.67</v>
      </c>
      <c r="X83">
        <v>42.78</v>
      </c>
      <c r="Y83">
        <v>17.579999999999998</v>
      </c>
      <c r="Z83" s="13">
        <f t="shared" si="15"/>
        <v>80.03</v>
      </c>
      <c r="AA83">
        <v>0</v>
      </c>
      <c r="AB83">
        <v>0</v>
      </c>
      <c r="AC83">
        <v>0</v>
      </c>
      <c r="AD83">
        <v>0</v>
      </c>
      <c r="AE83" s="7">
        <f t="shared" si="16"/>
        <v>0</v>
      </c>
      <c r="AF83">
        <v>50</v>
      </c>
      <c r="AG83">
        <v>18.670000000000002</v>
      </c>
      <c r="AH83">
        <v>29.25</v>
      </c>
      <c r="AI83" s="13">
        <f t="shared" si="17"/>
        <v>97.92</v>
      </c>
      <c r="AJ83" s="11" t="s">
        <v>51</v>
      </c>
      <c r="AK83" s="11" t="s">
        <v>51</v>
      </c>
      <c r="AL83" s="11" t="s">
        <v>51</v>
      </c>
      <c r="AM83" s="13">
        <f t="shared" si="18"/>
        <v>0</v>
      </c>
      <c r="AN83" s="18">
        <v>32</v>
      </c>
      <c r="AO83" s="18">
        <v>0</v>
      </c>
      <c r="AP83" s="18">
        <v>0</v>
      </c>
      <c r="AQ83" s="18">
        <v>8</v>
      </c>
      <c r="AR83" s="18">
        <f t="shared" si="19"/>
        <v>40</v>
      </c>
      <c r="AS83" t="s">
        <v>52</v>
      </c>
      <c r="AT83" s="9" t="s">
        <v>359</v>
      </c>
      <c r="AU83" s="30">
        <f>+((AN83*Z83)+(AO83*AE83)+(AQ83*AI83)+(AP83*AM83))/AR83</f>
        <v>83.608000000000004</v>
      </c>
    </row>
    <row r="84" spans="1:47" hidden="1" x14ac:dyDescent="0.25">
      <c r="A84" t="s">
        <v>46</v>
      </c>
      <c r="B84" t="s">
        <v>360</v>
      </c>
      <c r="C84" t="s">
        <v>361</v>
      </c>
      <c r="D84" t="s">
        <v>362</v>
      </c>
      <c r="E84" s="11">
        <v>0</v>
      </c>
      <c r="F84" s="11">
        <v>0</v>
      </c>
      <c r="G84" s="11">
        <v>0</v>
      </c>
      <c r="H84" s="11">
        <v>0</v>
      </c>
      <c r="I84" s="13">
        <f t="shared" si="11"/>
        <v>0</v>
      </c>
      <c r="J84" s="11">
        <v>0</v>
      </c>
      <c r="K84" s="11">
        <v>0</v>
      </c>
      <c r="L84" s="11">
        <v>0</v>
      </c>
      <c r="M84" s="13">
        <f t="shared" si="12"/>
        <v>0</v>
      </c>
      <c r="N84" s="11">
        <v>0</v>
      </c>
      <c r="O84" s="11">
        <v>0</v>
      </c>
      <c r="P84" s="11">
        <v>0</v>
      </c>
      <c r="Q84" s="11">
        <v>0</v>
      </c>
      <c r="R84" s="13">
        <f t="shared" si="13"/>
        <v>0</v>
      </c>
      <c r="S84">
        <v>0</v>
      </c>
      <c r="T84">
        <v>0</v>
      </c>
      <c r="U84" s="7">
        <f t="shared" si="14"/>
        <v>0</v>
      </c>
      <c r="V84">
        <v>3.5</v>
      </c>
      <c r="W84">
        <v>20</v>
      </c>
      <c r="X84">
        <v>46.96</v>
      </c>
      <c r="Y84">
        <v>20</v>
      </c>
      <c r="Z84" s="13">
        <f t="shared" si="15"/>
        <v>90.460000000000008</v>
      </c>
      <c r="AA84">
        <v>0</v>
      </c>
      <c r="AB84">
        <v>0</v>
      </c>
      <c r="AC84">
        <v>0</v>
      </c>
      <c r="AD84">
        <v>0</v>
      </c>
      <c r="AE84" s="7">
        <f t="shared" si="16"/>
        <v>0</v>
      </c>
      <c r="AF84">
        <v>0</v>
      </c>
      <c r="AG84">
        <v>0</v>
      </c>
      <c r="AH84">
        <v>0</v>
      </c>
      <c r="AI84" s="13">
        <f t="shared" si="17"/>
        <v>0</v>
      </c>
      <c r="AJ84" s="11" t="s">
        <v>51</v>
      </c>
      <c r="AK84" s="11" t="s">
        <v>51</v>
      </c>
      <c r="AL84" s="11" t="s">
        <v>51</v>
      </c>
      <c r="AM84" s="13">
        <f t="shared" si="18"/>
        <v>0</v>
      </c>
      <c r="AN84" s="18">
        <v>10</v>
      </c>
      <c r="AO84" s="18">
        <v>0</v>
      </c>
      <c r="AP84" s="18">
        <v>0</v>
      </c>
      <c r="AQ84" s="18">
        <v>0</v>
      </c>
      <c r="AR84" s="18">
        <f t="shared" si="19"/>
        <v>10</v>
      </c>
      <c r="AS84" t="s">
        <v>52</v>
      </c>
      <c r="AT84" s="9" t="s">
        <v>363</v>
      </c>
      <c r="AU84" s="30">
        <f>+((Z84*AN84)/AR84)</f>
        <v>90.460000000000008</v>
      </c>
    </row>
    <row r="85" spans="1:47" hidden="1" x14ac:dyDescent="0.25">
      <c r="A85" t="s">
        <v>46</v>
      </c>
      <c r="B85" s="32" t="s">
        <v>364</v>
      </c>
      <c r="C85" s="32" t="s">
        <v>365</v>
      </c>
      <c r="D85" s="32" t="s">
        <v>366</v>
      </c>
      <c r="E85" s="11">
        <v>0</v>
      </c>
      <c r="F85" s="11">
        <v>0</v>
      </c>
      <c r="G85" s="11">
        <v>0</v>
      </c>
      <c r="H85" s="11">
        <v>0</v>
      </c>
      <c r="I85" s="13">
        <f t="shared" si="11"/>
        <v>0</v>
      </c>
      <c r="J85" s="11">
        <v>0</v>
      </c>
      <c r="K85" s="11">
        <v>0</v>
      </c>
      <c r="L85" s="11">
        <v>0</v>
      </c>
      <c r="M85" s="13">
        <f t="shared" si="12"/>
        <v>0</v>
      </c>
      <c r="N85" s="11">
        <v>55.5625</v>
      </c>
      <c r="O85" s="11">
        <v>5</v>
      </c>
      <c r="P85" s="11">
        <v>0</v>
      </c>
      <c r="Q85" s="11">
        <v>25</v>
      </c>
      <c r="R85" s="13">
        <f t="shared" si="13"/>
        <v>85.5625</v>
      </c>
      <c r="S85">
        <v>0</v>
      </c>
      <c r="T85">
        <v>0</v>
      </c>
      <c r="U85" s="7">
        <f t="shared" si="14"/>
        <v>0</v>
      </c>
      <c r="V85">
        <v>0</v>
      </c>
      <c r="W85">
        <v>0</v>
      </c>
      <c r="X85">
        <v>0</v>
      </c>
      <c r="Y85">
        <v>0</v>
      </c>
      <c r="Z85" s="13">
        <f t="shared" si="15"/>
        <v>0</v>
      </c>
      <c r="AA85">
        <v>0</v>
      </c>
      <c r="AB85">
        <v>0</v>
      </c>
      <c r="AC85">
        <v>0</v>
      </c>
      <c r="AD85">
        <v>0</v>
      </c>
      <c r="AE85" s="7">
        <f t="shared" si="16"/>
        <v>0</v>
      </c>
      <c r="AF85">
        <v>0</v>
      </c>
      <c r="AG85">
        <v>0</v>
      </c>
      <c r="AH85">
        <v>0</v>
      </c>
      <c r="AI85" s="13">
        <f t="shared" si="17"/>
        <v>0</v>
      </c>
      <c r="AJ85" s="11" t="s">
        <v>51</v>
      </c>
      <c r="AK85" s="11" t="s">
        <v>51</v>
      </c>
      <c r="AL85" s="11" t="s">
        <v>51</v>
      </c>
      <c r="AM85" s="13">
        <f t="shared" si="18"/>
        <v>0</v>
      </c>
      <c r="AN85" s="18">
        <v>10</v>
      </c>
      <c r="AO85" s="18">
        <v>0</v>
      </c>
      <c r="AP85" s="18">
        <v>0</v>
      </c>
      <c r="AQ85" s="18">
        <v>0</v>
      </c>
      <c r="AR85" s="18">
        <f t="shared" si="19"/>
        <v>10</v>
      </c>
      <c r="AS85" t="s">
        <v>117</v>
      </c>
      <c r="AT85" s="9" t="s">
        <v>367</v>
      </c>
      <c r="AU85" s="11">
        <f>+((AN85*R85)+(AQ85*AI85)+(AP85*AM85))/AR85</f>
        <v>85.5625</v>
      </c>
    </row>
    <row r="86" spans="1:47" hidden="1" x14ac:dyDescent="0.25">
      <c r="A86" t="s">
        <v>46</v>
      </c>
      <c r="B86" t="s">
        <v>368</v>
      </c>
      <c r="C86" t="s">
        <v>369</v>
      </c>
      <c r="D86" t="s">
        <v>370</v>
      </c>
      <c r="E86" s="11">
        <v>0</v>
      </c>
      <c r="F86" s="11">
        <v>17.087499999999999</v>
      </c>
      <c r="G86" s="11">
        <v>51.912500000000001</v>
      </c>
      <c r="H86" s="11">
        <v>3.125</v>
      </c>
      <c r="I86" s="13">
        <f t="shared" si="11"/>
        <v>72.125</v>
      </c>
      <c r="J86" s="11">
        <v>0</v>
      </c>
      <c r="K86" s="11">
        <v>0</v>
      </c>
      <c r="L86" s="11">
        <v>0</v>
      </c>
      <c r="M86" s="13">
        <f t="shared" si="12"/>
        <v>0</v>
      </c>
      <c r="N86" s="11">
        <v>52.36</v>
      </c>
      <c r="O86" s="11">
        <v>3.125</v>
      </c>
      <c r="P86" s="11">
        <v>17.087499999999999</v>
      </c>
      <c r="Q86" s="11">
        <v>0</v>
      </c>
      <c r="R86" s="13">
        <f t="shared" si="13"/>
        <v>72.572499999999991</v>
      </c>
      <c r="S86">
        <v>0</v>
      </c>
      <c r="T86">
        <v>0</v>
      </c>
      <c r="U86" s="7">
        <f t="shared" si="14"/>
        <v>0</v>
      </c>
      <c r="V86">
        <v>0</v>
      </c>
      <c r="W86">
        <v>0</v>
      </c>
      <c r="X86">
        <v>0</v>
      </c>
      <c r="Y86">
        <v>0</v>
      </c>
      <c r="Z86" s="13">
        <f t="shared" si="15"/>
        <v>0</v>
      </c>
      <c r="AA86">
        <v>15</v>
      </c>
      <c r="AB86">
        <v>21.25</v>
      </c>
      <c r="AC86">
        <v>14.25</v>
      </c>
      <c r="AD86">
        <v>18.75</v>
      </c>
      <c r="AE86" s="7">
        <f t="shared" si="16"/>
        <v>69.25</v>
      </c>
      <c r="AF86">
        <v>0</v>
      </c>
      <c r="AG86">
        <v>0</v>
      </c>
      <c r="AH86">
        <v>0</v>
      </c>
      <c r="AI86" s="13">
        <f t="shared" si="17"/>
        <v>0</v>
      </c>
      <c r="AJ86" s="11" t="s">
        <v>51</v>
      </c>
      <c r="AK86" s="11" t="s">
        <v>51</v>
      </c>
      <c r="AL86" s="11" t="s">
        <v>51</v>
      </c>
      <c r="AM86" s="13">
        <f t="shared" si="18"/>
        <v>0</v>
      </c>
      <c r="AN86" s="18">
        <v>23</v>
      </c>
      <c r="AO86" s="18">
        <v>10</v>
      </c>
      <c r="AP86" s="18">
        <v>0</v>
      </c>
      <c r="AQ86" s="18">
        <v>0</v>
      </c>
      <c r="AR86" s="18">
        <f t="shared" si="19"/>
        <v>33</v>
      </c>
      <c r="AS86" t="s">
        <v>52</v>
      </c>
      <c r="AT86" s="9" t="s">
        <v>371</v>
      </c>
      <c r="AU86" s="30">
        <f>+((AN86*I86)+(AO86*AE86)+(AQ86*AI86)+(AP86*AM86))/AR86</f>
        <v>71.253787878787875</v>
      </c>
    </row>
    <row r="87" spans="1:47" hidden="1" x14ac:dyDescent="0.25">
      <c r="A87" s="33" t="s">
        <v>46</v>
      </c>
      <c r="B87" s="32" t="s">
        <v>368</v>
      </c>
      <c r="C87" s="32" t="s">
        <v>369</v>
      </c>
      <c r="D87" s="32" t="s">
        <v>370</v>
      </c>
      <c r="E87" s="11">
        <v>0</v>
      </c>
      <c r="F87" s="11">
        <v>17.087499999999999</v>
      </c>
      <c r="G87" s="11">
        <v>51.912500000000001</v>
      </c>
      <c r="H87" s="11">
        <v>3.125</v>
      </c>
      <c r="I87" s="13">
        <f t="shared" si="11"/>
        <v>72.125</v>
      </c>
      <c r="J87" s="11">
        <v>0</v>
      </c>
      <c r="K87" s="11">
        <v>0</v>
      </c>
      <c r="L87" s="11">
        <v>0</v>
      </c>
      <c r="M87" s="13">
        <f t="shared" si="12"/>
        <v>0</v>
      </c>
      <c r="N87" s="11">
        <v>52.36</v>
      </c>
      <c r="O87" s="11">
        <v>3.125</v>
      </c>
      <c r="P87" s="11">
        <v>17.087499999999999</v>
      </c>
      <c r="Q87" s="11">
        <v>0</v>
      </c>
      <c r="R87" s="13">
        <f t="shared" si="13"/>
        <v>72.572499999999991</v>
      </c>
      <c r="S87">
        <v>0</v>
      </c>
      <c r="T87">
        <v>0</v>
      </c>
      <c r="U87" s="7">
        <f t="shared" si="14"/>
        <v>0</v>
      </c>
      <c r="V87">
        <v>0</v>
      </c>
      <c r="W87">
        <v>0</v>
      </c>
      <c r="X87">
        <v>0</v>
      </c>
      <c r="Y87">
        <v>0</v>
      </c>
      <c r="Z87" s="13">
        <f t="shared" si="15"/>
        <v>0</v>
      </c>
      <c r="AA87">
        <v>15</v>
      </c>
      <c r="AB87">
        <v>21.25</v>
      </c>
      <c r="AC87">
        <v>14.25</v>
      </c>
      <c r="AD87">
        <v>18.75</v>
      </c>
      <c r="AE87" s="7">
        <f t="shared" si="16"/>
        <v>69.25</v>
      </c>
      <c r="AF87">
        <v>0</v>
      </c>
      <c r="AG87">
        <v>0</v>
      </c>
      <c r="AH87">
        <v>0</v>
      </c>
      <c r="AI87" s="13">
        <f t="shared" si="17"/>
        <v>0</v>
      </c>
      <c r="AJ87" s="11" t="s">
        <v>51</v>
      </c>
      <c r="AK87" s="11" t="s">
        <v>51</v>
      </c>
      <c r="AL87" s="11" t="s">
        <v>51</v>
      </c>
      <c r="AM87" s="13">
        <f t="shared" si="18"/>
        <v>0</v>
      </c>
      <c r="AN87" s="18">
        <v>7</v>
      </c>
      <c r="AO87" s="18">
        <v>0</v>
      </c>
      <c r="AP87" s="18">
        <v>0</v>
      </c>
      <c r="AQ87" s="18">
        <v>0</v>
      </c>
      <c r="AR87" s="18">
        <f t="shared" si="19"/>
        <v>7</v>
      </c>
      <c r="AS87" t="s">
        <v>117</v>
      </c>
      <c r="AT87" s="9" t="s">
        <v>372</v>
      </c>
      <c r="AU87" s="11">
        <f>+((AN87*R87)+(AQ87*AI87)+(AP87*AM87))/AR87</f>
        <v>72.572499999999991</v>
      </c>
    </row>
    <row r="88" spans="1:47" hidden="1" x14ac:dyDescent="0.25">
      <c r="A88" t="s">
        <v>46</v>
      </c>
      <c r="B88" t="s">
        <v>373</v>
      </c>
      <c r="C88" t="s">
        <v>374</v>
      </c>
      <c r="D88" t="s">
        <v>375</v>
      </c>
      <c r="E88" s="11">
        <v>19</v>
      </c>
      <c r="F88" s="11">
        <v>17.329999999999998</v>
      </c>
      <c r="G88" s="11">
        <v>50</v>
      </c>
      <c r="H88" s="11">
        <v>2.5</v>
      </c>
      <c r="I88" s="13">
        <f t="shared" si="11"/>
        <v>88.83</v>
      </c>
      <c r="J88" s="11">
        <v>0</v>
      </c>
      <c r="K88" s="11">
        <v>0</v>
      </c>
      <c r="L88" s="11">
        <v>0</v>
      </c>
      <c r="M88" s="13">
        <f t="shared" si="12"/>
        <v>0</v>
      </c>
      <c r="N88" s="11">
        <v>0</v>
      </c>
      <c r="O88" s="11">
        <v>0</v>
      </c>
      <c r="P88" s="11">
        <v>0</v>
      </c>
      <c r="Q88" s="11">
        <v>0</v>
      </c>
      <c r="R88" s="13">
        <f t="shared" si="13"/>
        <v>0</v>
      </c>
      <c r="S88">
        <v>0</v>
      </c>
      <c r="T88">
        <v>0</v>
      </c>
      <c r="U88" s="7">
        <f t="shared" si="14"/>
        <v>0</v>
      </c>
      <c r="V88">
        <v>0</v>
      </c>
      <c r="W88">
        <v>0</v>
      </c>
      <c r="X88">
        <v>0</v>
      </c>
      <c r="Y88">
        <v>0</v>
      </c>
      <c r="Z88" s="13">
        <f t="shared" si="15"/>
        <v>0</v>
      </c>
      <c r="AA88">
        <v>0</v>
      </c>
      <c r="AB88">
        <v>0</v>
      </c>
      <c r="AC88">
        <v>0</v>
      </c>
      <c r="AD88">
        <v>0</v>
      </c>
      <c r="AE88" s="7">
        <f t="shared" si="16"/>
        <v>0</v>
      </c>
      <c r="AF88">
        <v>0</v>
      </c>
      <c r="AG88">
        <v>0</v>
      </c>
      <c r="AH88">
        <v>0</v>
      </c>
      <c r="AI88" s="13">
        <f t="shared" si="17"/>
        <v>0</v>
      </c>
      <c r="AJ88" s="11" t="s">
        <v>51</v>
      </c>
      <c r="AK88" s="11" t="s">
        <v>51</v>
      </c>
      <c r="AL88" s="11" t="s">
        <v>51</v>
      </c>
      <c r="AM88" s="13">
        <f t="shared" si="18"/>
        <v>0</v>
      </c>
      <c r="AN88" s="18">
        <v>3</v>
      </c>
      <c r="AO88" s="18">
        <v>0</v>
      </c>
      <c r="AP88" s="18">
        <v>0</v>
      </c>
      <c r="AQ88" s="18">
        <v>0</v>
      </c>
      <c r="AR88" s="18">
        <f t="shared" si="19"/>
        <v>3</v>
      </c>
      <c r="AS88" t="s">
        <v>52</v>
      </c>
      <c r="AT88" s="9" t="s">
        <v>376</v>
      </c>
      <c r="AU88" s="30">
        <f>+((AN88*I88)+(AO88*AE88)+(AQ88*AI88)+(AP88*AM88))/AR88</f>
        <v>88.83</v>
      </c>
    </row>
    <row r="89" spans="1:47" ht="16.5" hidden="1" customHeight="1" x14ac:dyDescent="0.25">
      <c r="A89" t="s">
        <v>46</v>
      </c>
      <c r="B89" t="s">
        <v>377</v>
      </c>
      <c r="C89" t="s">
        <v>378</v>
      </c>
      <c r="D89" t="s">
        <v>379</v>
      </c>
      <c r="E89" s="11">
        <v>20</v>
      </c>
      <c r="F89" s="11">
        <v>17.670000000000002</v>
      </c>
      <c r="G89" s="11">
        <v>46.5</v>
      </c>
      <c r="H89" s="11">
        <v>7</v>
      </c>
      <c r="I89" s="13">
        <f t="shared" si="11"/>
        <v>91.17</v>
      </c>
      <c r="J89" s="11">
        <v>0</v>
      </c>
      <c r="K89" s="11">
        <v>0</v>
      </c>
      <c r="L89" s="11">
        <v>0</v>
      </c>
      <c r="M89" s="13">
        <f t="shared" si="12"/>
        <v>0</v>
      </c>
      <c r="N89" s="11">
        <v>0</v>
      </c>
      <c r="O89" s="11">
        <v>0</v>
      </c>
      <c r="P89" s="11">
        <v>0</v>
      </c>
      <c r="Q89" s="11">
        <v>0</v>
      </c>
      <c r="R89" s="13">
        <f t="shared" si="13"/>
        <v>0</v>
      </c>
      <c r="S89">
        <v>0</v>
      </c>
      <c r="T89">
        <v>0</v>
      </c>
      <c r="U89" s="7">
        <f t="shared" si="14"/>
        <v>0</v>
      </c>
      <c r="V89">
        <v>0</v>
      </c>
      <c r="W89">
        <v>0</v>
      </c>
      <c r="X89">
        <v>0</v>
      </c>
      <c r="Y89">
        <v>0</v>
      </c>
      <c r="Z89" s="13">
        <f t="shared" si="15"/>
        <v>0</v>
      </c>
      <c r="AA89">
        <v>15</v>
      </c>
      <c r="AB89">
        <v>50</v>
      </c>
      <c r="AC89">
        <v>15</v>
      </c>
      <c r="AD89">
        <v>18.75</v>
      </c>
      <c r="AE89" s="7">
        <f t="shared" si="16"/>
        <v>98.75</v>
      </c>
      <c r="AF89">
        <v>0</v>
      </c>
      <c r="AG89">
        <v>0</v>
      </c>
      <c r="AH89">
        <v>0</v>
      </c>
      <c r="AI89" s="13">
        <f t="shared" si="17"/>
        <v>0</v>
      </c>
      <c r="AJ89" s="11" t="s">
        <v>51</v>
      </c>
      <c r="AK89" s="11" t="s">
        <v>51</v>
      </c>
      <c r="AL89" s="11" t="s">
        <v>51</v>
      </c>
      <c r="AM89" s="13">
        <f t="shared" si="18"/>
        <v>0</v>
      </c>
      <c r="AN89" s="18">
        <v>29.25</v>
      </c>
      <c r="AO89" s="18">
        <v>10.75</v>
      </c>
      <c r="AP89" s="18">
        <v>0</v>
      </c>
      <c r="AQ89" s="18">
        <v>0</v>
      </c>
      <c r="AR89" s="18">
        <f t="shared" si="19"/>
        <v>40</v>
      </c>
      <c r="AS89" t="s">
        <v>52</v>
      </c>
      <c r="AT89" s="9" t="s">
        <v>380</v>
      </c>
      <c r="AU89" s="30">
        <f>+((AN89*I89)+(AO89*AE89)+(AQ89*AI89)+(AP89*AM89))/AR89</f>
        <v>93.207124999999991</v>
      </c>
    </row>
    <row r="90" spans="1:47" hidden="1" x14ac:dyDescent="0.25">
      <c r="A90" t="s">
        <v>46</v>
      </c>
      <c r="B90" t="s">
        <v>381</v>
      </c>
      <c r="C90" t="s">
        <v>382</v>
      </c>
      <c r="D90" t="s">
        <v>383</v>
      </c>
      <c r="E90" s="11">
        <v>20</v>
      </c>
      <c r="F90" s="11">
        <v>20</v>
      </c>
      <c r="G90" s="11">
        <v>47.38</v>
      </c>
      <c r="H90" s="11">
        <v>4.5</v>
      </c>
      <c r="I90" s="13">
        <f t="shared" si="11"/>
        <v>91.88</v>
      </c>
      <c r="J90" s="11">
        <v>0</v>
      </c>
      <c r="K90" s="11">
        <v>0</v>
      </c>
      <c r="L90" s="11">
        <v>0</v>
      </c>
      <c r="M90" s="13">
        <f t="shared" si="12"/>
        <v>0</v>
      </c>
      <c r="N90" s="11">
        <v>46.46</v>
      </c>
      <c r="O90" s="11">
        <v>4.5</v>
      </c>
      <c r="P90" s="11">
        <v>20</v>
      </c>
      <c r="Q90" s="11">
        <v>20</v>
      </c>
      <c r="R90" s="13">
        <f t="shared" si="13"/>
        <v>90.960000000000008</v>
      </c>
      <c r="S90">
        <v>0</v>
      </c>
      <c r="T90">
        <v>0</v>
      </c>
      <c r="U90" s="7">
        <f t="shared" si="14"/>
        <v>0</v>
      </c>
      <c r="V90">
        <v>0</v>
      </c>
      <c r="W90">
        <v>0</v>
      </c>
      <c r="X90">
        <v>0</v>
      </c>
      <c r="Y90">
        <v>0</v>
      </c>
      <c r="Z90" s="13">
        <f t="shared" si="15"/>
        <v>0</v>
      </c>
      <c r="AA90" s="11">
        <v>0</v>
      </c>
      <c r="AB90" s="11">
        <v>58.82352941176471</v>
      </c>
      <c r="AC90" s="11">
        <v>17.647058823529413</v>
      </c>
      <c r="AD90" s="11">
        <v>23.529411764705877</v>
      </c>
      <c r="AE90" s="7">
        <f t="shared" si="16"/>
        <v>100</v>
      </c>
      <c r="AF90">
        <v>50</v>
      </c>
      <c r="AG90">
        <v>20</v>
      </c>
      <c r="AH90">
        <v>26.19</v>
      </c>
      <c r="AI90" s="13">
        <f t="shared" si="17"/>
        <v>96.19</v>
      </c>
      <c r="AJ90" s="11" t="s">
        <v>51</v>
      </c>
      <c r="AK90" s="11" t="s">
        <v>51</v>
      </c>
      <c r="AL90" s="11" t="s">
        <v>51</v>
      </c>
      <c r="AM90" s="13">
        <f t="shared" si="18"/>
        <v>0</v>
      </c>
      <c r="AN90" s="18">
        <v>16.25</v>
      </c>
      <c r="AO90" s="18">
        <v>8.75</v>
      </c>
      <c r="AP90" s="18">
        <v>0</v>
      </c>
      <c r="AQ90" s="18">
        <v>0</v>
      </c>
      <c r="AR90" s="18">
        <f t="shared" si="19"/>
        <v>25</v>
      </c>
      <c r="AS90" t="s">
        <v>52</v>
      </c>
      <c r="AT90" s="9" t="s">
        <v>384</v>
      </c>
      <c r="AU90" s="11">
        <f>+((AN90*I90)+(AO90*AE90)+(AP90*AM90))/AR90</f>
        <v>94.722000000000008</v>
      </c>
    </row>
    <row r="91" spans="1:47" hidden="1" x14ac:dyDescent="0.25">
      <c r="A91" s="33" t="s">
        <v>46</v>
      </c>
      <c r="B91" s="32" t="s">
        <v>381</v>
      </c>
      <c r="C91" s="32" t="s">
        <v>382</v>
      </c>
      <c r="D91" s="32" t="s">
        <v>383</v>
      </c>
      <c r="E91" s="11">
        <v>20</v>
      </c>
      <c r="F91" s="11">
        <v>20</v>
      </c>
      <c r="G91" s="11">
        <v>47.38</v>
      </c>
      <c r="H91" s="11">
        <v>4.5</v>
      </c>
      <c r="I91" s="13">
        <f t="shared" si="11"/>
        <v>91.88</v>
      </c>
      <c r="J91" s="11">
        <v>0</v>
      </c>
      <c r="K91" s="11">
        <v>0</v>
      </c>
      <c r="L91" s="11">
        <v>0</v>
      </c>
      <c r="M91" s="13">
        <f t="shared" si="12"/>
        <v>0</v>
      </c>
      <c r="N91" s="11">
        <v>46.46</v>
      </c>
      <c r="O91" s="11">
        <v>4.5</v>
      </c>
      <c r="P91" s="11">
        <v>20</v>
      </c>
      <c r="Q91" s="11">
        <v>20</v>
      </c>
      <c r="R91" s="13">
        <f t="shared" si="13"/>
        <v>90.960000000000008</v>
      </c>
      <c r="S91">
        <v>0</v>
      </c>
      <c r="T91">
        <v>0</v>
      </c>
      <c r="U91" s="7">
        <f t="shared" si="14"/>
        <v>0</v>
      </c>
      <c r="V91">
        <v>0</v>
      </c>
      <c r="W91">
        <v>0</v>
      </c>
      <c r="X91">
        <v>0</v>
      </c>
      <c r="Y91">
        <v>0</v>
      </c>
      <c r="Z91" s="13">
        <f t="shared" si="15"/>
        <v>0</v>
      </c>
      <c r="AA91" s="11">
        <v>0</v>
      </c>
      <c r="AB91" s="11">
        <v>58.82352941176471</v>
      </c>
      <c r="AC91" s="11">
        <v>17.647058823529413</v>
      </c>
      <c r="AD91" s="11">
        <v>23.529411764705877</v>
      </c>
      <c r="AE91" s="7">
        <f t="shared" si="16"/>
        <v>100</v>
      </c>
      <c r="AF91">
        <v>50</v>
      </c>
      <c r="AG91">
        <v>20</v>
      </c>
      <c r="AH91">
        <v>26.19</v>
      </c>
      <c r="AI91" s="13">
        <f t="shared" si="17"/>
        <v>96.19</v>
      </c>
      <c r="AJ91" s="11" t="s">
        <v>51</v>
      </c>
      <c r="AK91" s="11" t="s">
        <v>51</v>
      </c>
      <c r="AL91" s="11" t="s">
        <v>51</v>
      </c>
      <c r="AM91" s="13">
        <f t="shared" si="18"/>
        <v>0</v>
      </c>
      <c r="AN91" s="18">
        <v>7</v>
      </c>
      <c r="AO91" s="18">
        <v>0</v>
      </c>
      <c r="AP91" s="18">
        <v>0</v>
      </c>
      <c r="AQ91" s="18">
        <v>8</v>
      </c>
      <c r="AR91" s="18">
        <f t="shared" si="19"/>
        <v>15</v>
      </c>
      <c r="AS91" t="s">
        <v>117</v>
      </c>
      <c r="AT91" s="9" t="s">
        <v>385</v>
      </c>
      <c r="AU91" s="11">
        <f>+((AN91*R91)+(AQ91*AI91)+(AP91*AM91))/AR91</f>
        <v>93.74933333333334</v>
      </c>
    </row>
    <row r="92" spans="1:47" hidden="1" x14ac:dyDescent="0.25">
      <c r="A92" t="s">
        <v>46</v>
      </c>
      <c r="B92" t="s">
        <v>386</v>
      </c>
      <c r="C92" t="s">
        <v>387</v>
      </c>
      <c r="D92" t="s">
        <v>388</v>
      </c>
      <c r="E92" s="11">
        <v>19</v>
      </c>
      <c r="F92" s="11">
        <v>19.670000000000002</v>
      </c>
      <c r="G92" s="11">
        <v>44.56</v>
      </c>
      <c r="H92" s="11">
        <v>5.5</v>
      </c>
      <c r="I92" s="13">
        <f t="shared" si="11"/>
        <v>88.73</v>
      </c>
      <c r="J92" s="11">
        <v>0</v>
      </c>
      <c r="K92" s="11">
        <v>0</v>
      </c>
      <c r="L92" s="11">
        <v>0</v>
      </c>
      <c r="M92" s="13">
        <f t="shared" si="12"/>
        <v>0</v>
      </c>
      <c r="N92" s="11">
        <v>0</v>
      </c>
      <c r="O92" s="11">
        <v>0</v>
      </c>
      <c r="P92" s="11">
        <v>0</v>
      </c>
      <c r="Q92" s="11">
        <v>0</v>
      </c>
      <c r="R92" s="13">
        <f t="shared" si="13"/>
        <v>0</v>
      </c>
      <c r="S92">
        <v>0</v>
      </c>
      <c r="T92">
        <v>0</v>
      </c>
      <c r="U92" s="7">
        <f t="shared" si="14"/>
        <v>0</v>
      </c>
      <c r="V92">
        <v>0</v>
      </c>
      <c r="W92">
        <v>0</v>
      </c>
      <c r="X92">
        <v>0</v>
      </c>
      <c r="Y92">
        <v>0</v>
      </c>
      <c r="Z92" s="13">
        <f t="shared" si="15"/>
        <v>0</v>
      </c>
      <c r="AA92">
        <v>0</v>
      </c>
      <c r="AB92">
        <v>0</v>
      </c>
      <c r="AC92">
        <v>0</v>
      </c>
      <c r="AD92">
        <v>0</v>
      </c>
      <c r="AE92" s="7">
        <f t="shared" si="16"/>
        <v>0</v>
      </c>
      <c r="AF92">
        <v>0</v>
      </c>
      <c r="AG92">
        <v>0</v>
      </c>
      <c r="AH92">
        <v>0</v>
      </c>
      <c r="AI92" s="13">
        <f t="shared" si="17"/>
        <v>0</v>
      </c>
      <c r="AJ92" s="11" t="s">
        <v>51</v>
      </c>
      <c r="AK92" s="11" t="s">
        <v>51</v>
      </c>
      <c r="AL92" s="11" t="s">
        <v>51</v>
      </c>
      <c r="AM92" s="13">
        <f t="shared" si="18"/>
        <v>0</v>
      </c>
      <c r="AN92" s="18">
        <v>40</v>
      </c>
      <c r="AO92" s="18">
        <v>0</v>
      </c>
      <c r="AP92" s="18">
        <v>0</v>
      </c>
      <c r="AQ92" s="18">
        <v>0</v>
      </c>
      <c r="AR92" s="18">
        <f t="shared" si="19"/>
        <v>40</v>
      </c>
      <c r="AS92" t="s">
        <v>52</v>
      </c>
      <c r="AT92" s="9" t="s">
        <v>389</v>
      </c>
      <c r="AU92" s="30">
        <f t="shared" ref="AU92:AU99" si="21">+((AN92*I92)+(AO92*AE92)+(AQ92*AI92)+(AP92*AM92))/AR92</f>
        <v>88.73</v>
      </c>
    </row>
    <row r="93" spans="1:47" hidden="1" x14ac:dyDescent="0.25">
      <c r="A93" t="s">
        <v>46</v>
      </c>
      <c r="B93" t="s">
        <v>390</v>
      </c>
      <c r="C93" t="s">
        <v>391</v>
      </c>
      <c r="D93" t="s">
        <v>392</v>
      </c>
      <c r="E93" s="11">
        <v>19.829999999999998</v>
      </c>
      <c r="F93" s="11">
        <v>15.67</v>
      </c>
      <c r="G93" s="11">
        <v>47.21</v>
      </c>
      <c r="H93" s="11">
        <v>4</v>
      </c>
      <c r="I93" s="13">
        <f t="shared" si="11"/>
        <v>86.710000000000008</v>
      </c>
      <c r="J93" s="11">
        <v>0</v>
      </c>
      <c r="K93" s="11">
        <v>0</v>
      </c>
      <c r="L93" s="11">
        <v>0</v>
      </c>
      <c r="M93" s="13">
        <f t="shared" si="12"/>
        <v>0</v>
      </c>
      <c r="N93" s="11">
        <v>0</v>
      </c>
      <c r="O93" s="11">
        <v>0</v>
      </c>
      <c r="P93" s="11">
        <v>0</v>
      </c>
      <c r="Q93" s="11">
        <v>0</v>
      </c>
      <c r="R93" s="13">
        <f t="shared" si="13"/>
        <v>0</v>
      </c>
      <c r="S93">
        <v>0</v>
      </c>
      <c r="T93">
        <v>0</v>
      </c>
      <c r="U93" s="7">
        <f t="shared" si="14"/>
        <v>0</v>
      </c>
      <c r="V93">
        <v>0</v>
      </c>
      <c r="W93">
        <v>0</v>
      </c>
      <c r="X93">
        <v>0</v>
      </c>
      <c r="Y93">
        <v>0</v>
      </c>
      <c r="Z93" s="13">
        <f t="shared" si="15"/>
        <v>0</v>
      </c>
      <c r="AA93">
        <v>0</v>
      </c>
      <c r="AB93">
        <v>0</v>
      </c>
      <c r="AC93">
        <v>0</v>
      </c>
      <c r="AD93">
        <v>0</v>
      </c>
      <c r="AE93" s="7">
        <f t="shared" si="16"/>
        <v>0</v>
      </c>
      <c r="AF93">
        <v>0</v>
      </c>
      <c r="AG93">
        <v>0</v>
      </c>
      <c r="AH93">
        <v>0</v>
      </c>
      <c r="AI93" s="13">
        <f t="shared" si="17"/>
        <v>0</v>
      </c>
      <c r="AJ93" s="11" t="s">
        <v>51</v>
      </c>
      <c r="AK93" s="11" t="s">
        <v>51</v>
      </c>
      <c r="AL93" s="11" t="s">
        <v>51</v>
      </c>
      <c r="AM93" s="13">
        <f t="shared" si="18"/>
        <v>0</v>
      </c>
      <c r="AN93" s="18">
        <v>20</v>
      </c>
      <c r="AO93" s="18">
        <v>0</v>
      </c>
      <c r="AP93" s="18">
        <v>0</v>
      </c>
      <c r="AQ93" s="18">
        <v>0</v>
      </c>
      <c r="AR93" s="18">
        <f t="shared" si="19"/>
        <v>20</v>
      </c>
      <c r="AS93" t="s">
        <v>52</v>
      </c>
      <c r="AT93" s="9" t="s">
        <v>393</v>
      </c>
      <c r="AU93" s="30">
        <f t="shared" si="21"/>
        <v>86.710000000000008</v>
      </c>
    </row>
    <row r="94" spans="1:47" hidden="1" x14ac:dyDescent="0.25">
      <c r="A94" t="s">
        <v>46</v>
      </c>
      <c r="B94" t="s">
        <v>394</v>
      </c>
      <c r="C94" t="s">
        <v>395</v>
      </c>
      <c r="D94" t="s">
        <v>396</v>
      </c>
      <c r="E94" s="11">
        <v>20</v>
      </c>
      <c r="F94" s="11">
        <v>16.670000000000002</v>
      </c>
      <c r="G94" s="11">
        <v>43.94</v>
      </c>
      <c r="H94" s="11">
        <v>5</v>
      </c>
      <c r="I94" s="13">
        <f t="shared" si="11"/>
        <v>85.61</v>
      </c>
      <c r="J94" s="11">
        <v>0</v>
      </c>
      <c r="K94" s="11">
        <v>0</v>
      </c>
      <c r="L94" s="11">
        <v>0</v>
      </c>
      <c r="M94" s="13">
        <f t="shared" si="12"/>
        <v>0</v>
      </c>
      <c r="N94" s="11">
        <v>0</v>
      </c>
      <c r="O94" s="11">
        <v>0</v>
      </c>
      <c r="P94" s="11">
        <v>0</v>
      </c>
      <c r="Q94" s="11">
        <v>0</v>
      </c>
      <c r="R94" s="13">
        <f t="shared" si="13"/>
        <v>0</v>
      </c>
      <c r="S94">
        <v>0</v>
      </c>
      <c r="T94">
        <v>0</v>
      </c>
      <c r="U94" s="7">
        <f t="shared" si="14"/>
        <v>0</v>
      </c>
      <c r="V94">
        <v>0</v>
      </c>
      <c r="W94">
        <v>0</v>
      </c>
      <c r="X94">
        <v>0</v>
      </c>
      <c r="Y94">
        <v>0</v>
      </c>
      <c r="Z94" s="13">
        <f t="shared" si="15"/>
        <v>0</v>
      </c>
      <c r="AA94">
        <v>0</v>
      </c>
      <c r="AB94">
        <v>0</v>
      </c>
      <c r="AC94">
        <v>0</v>
      </c>
      <c r="AD94">
        <v>0</v>
      </c>
      <c r="AE94" s="7">
        <f t="shared" si="16"/>
        <v>0</v>
      </c>
      <c r="AF94">
        <v>50</v>
      </c>
      <c r="AG94">
        <v>16.670000000000002</v>
      </c>
      <c r="AH94">
        <v>26.83</v>
      </c>
      <c r="AI94" s="13">
        <f t="shared" si="17"/>
        <v>93.5</v>
      </c>
      <c r="AJ94" s="11" t="s">
        <v>51</v>
      </c>
      <c r="AK94" s="11" t="s">
        <v>51</v>
      </c>
      <c r="AL94" s="11" t="s">
        <v>51</v>
      </c>
      <c r="AM94" s="13">
        <f t="shared" si="18"/>
        <v>0</v>
      </c>
      <c r="AN94" s="18">
        <v>32</v>
      </c>
      <c r="AO94" s="18">
        <v>0</v>
      </c>
      <c r="AP94" s="18">
        <v>0</v>
      </c>
      <c r="AQ94" s="18">
        <v>8</v>
      </c>
      <c r="AR94" s="18">
        <f t="shared" si="19"/>
        <v>40</v>
      </c>
      <c r="AS94" t="s">
        <v>52</v>
      </c>
      <c r="AT94" s="9" t="s">
        <v>255</v>
      </c>
      <c r="AU94" s="30">
        <f t="shared" si="21"/>
        <v>87.188000000000002</v>
      </c>
    </row>
    <row r="95" spans="1:47" hidden="1" x14ac:dyDescent="0.25">
      <c r="A95" t="s">
        <v>46</v>
      </c>
      <c r="B95" t="s">
        <v>397</v>
      </c>
      <c r="C95" t="s">
        <v>398</v>
      </c>
      <c r="D95" t="s">
        <v>399</v>
      </c>
      <c r="E95" s="11">
        <v>20</v>
      </c>
      <c r="F95" s="11">
        <v>20</v>
      </c>
      <c r="G95" s="11">
        <v>42.07</v>
      </c>
      <c r="H95" s="11">
        <v>2.5</v>
      </c>
      <c r="I95" s="13">
        <f t="shared" si="11"/>
        <v>84.57</v>
      </c>
      <c r="J95" s="11">
        <v>0</v>
      </c>
      <c r="K95" s="11">
        <v>0</v>
      </c>
      <c r="L95" s="11">
        <v>0</v>
      </c>
      <c r="M95" s="13">
        <f t="shared" si="12"/>
        <v>0</v>
      </c>
      <c r="N95" s="11">
        <v>0</v>
      </c>
      <c r="O95" s="11">
        <v>0</v>
      </c>
      <c r="P95" s="11">
        <v>0</v>
      </c>
      <c r="Q95" s="11">
        <v>0</v>
      </c>
      <c r="R95" s="13">
        <f t="shared" si="13"/>
        <v>0</v>
      </c>
      <c r="S95">
        <v>0</v>
      </c>
      <c r="T95">
        <v>0</v>
      </c>
      <c r="U95" s="7">
        <f t="shared" si="14"/>
        <v>0</v>
      </c>
      <c r="V95">
        <v>0</v>
      </c>
      <c r="W95">
        <v>0</v>
      </c>
      <c r="X95">
        <v>0</v>
      </c>
      <c r="Y95">
        <v>0</v>
      </c>
      <c r="Z95" s="13">
        <f t="shared" si="15"/>
        <v>0</v>
      </c>
      <c r="AA95">
        <v>0</v>
      </c>
      <c r="AB95">
        <v>0</v>
      </c>
      <c r="AC95">
        <v>0</v>
      </c>
      <c r="AD95">
        <v>0</v>
      </c>
      <c r="AE95" s="7">
        <f t="shared" si="16"/>
        <v>0</v>
      </c>
      <c r="AF95">
        <v>0</v>
      </c>
      <c r="AG95">
        <v>0</v>
      </c>
      <c r="AH95">
        <v>0</v>
      </c>
      <c r="AI95" s="13">
        <f t="shared" si="17"/>
        <v>0</v>
      </c>
      <c r="AJ95" s="11" t="s">
        <v>51</v>
      </c>
      <c r="AK95" s="11" t="s">
        <v>51</v>
      </c>
      <c r="AL95" s="11" t="s">
        <v>51</v>
      </c>
      <c r="AM95" s="13">
        <f t="shared" si="18"/>
        <v>0</v>
      </c>
      <c r="AN95" s="18">
        <v>4</v>
      </c>
      <c r="AO95" s="18">
        <v>0</v>
      </c>
      <c r="AP95" s="18">
        <v>0</v>
      </c>
      <c r="AQ95" s="18">
        <v>0</v>
      </c>
      <c r="AR95" s="18">
        <f t="shared" si="19"/>
        <v>4</v>
      </c>
      <c r="AS95" t="s">
        <v>52</v>
      </c>
      <c r="AT95" s="9" t="s">
        <v>400</v>
      </c>
      <c r="AU95" s="30">
        <f t="shared" si="21"/>
        <v>84.57</v>
      </c>
    </row>
    <row r="96" spans="1:47" hidden="1" x14ac:dyDescent="0.25">
      <c r="A96" t="s">
        <v>46</v>
      </c>
      <c r="B96" t="s">
        <v>401</v>
      </c>
      <c r="C96" t="s">
        <v>402</v>
      </c>
      <c r="D96" t="s">
        <v>403</v>
      </c>
      <c r="E96" s="11">
        <v>20</v>
      </c>
      <c r="F96" s="11">
        <v>20</v>
      </c>
      <c r="G96" s="11">
        <v>41.52</v>
      </c>
      <c r="H96" s="11">
        <v>4.5</v>
      </c>
      <c r="I96" s="13">
        <f t="shared" si="11"/>
        <v>86.02000000000001</v>
      </c>
      <c r="J96" s="11">
        <v>0</v>
      </c>
      <c r="K96" s="11">
        <v>0</v>
      </c>
      <c r="L96" s="11">
        <v>0</v>
      </c>
      <c r="M96" s="13">
        <f t="shared" si="12"/>
        <v>0</v>
      </c>
      <c r="N96" s="11">
        <v>0</v>
      </c>
      <c r="O96" s="11">
        <v>0</v>
      </c>
      <c r="P96" s="11">
        <v>0</v>
      </c>
      <c r="Q96" s="11">
        <v>0</v>
      </c>
      <c r="R96" s="13">
        <f t="shared" si="13"/>
        <v>0</v>
      </c>
      <c r="S96">
        <v>0</v>
      </c>
      <c r="T96">
        <v>0</v>
      </c>
      <c r="U96" s="7">
        <f t="shared" si="14"/>
        <v>0</v>
      </c>
      <c r="V96">
        <v>0</v>
      </c>
      <c r="W96">
        <v>0</v>
      </c>
      <c r="X96">
        <v>0</v>
      </c>
      <c r="Y96">
        <v>0</v>
      </c>
      <c r="Z96" s="13">
        <f t="shared" si="15"/>
        <v>0</v>
      </c>
      <c r="AA96">
        <v>0</v>
      </c>
      <c r="AB96">
        <v>0</v>
      </c>
      <c r="AC96">
        <v>0</v>
      </c>
      <c r="AD96">
        <v>0</v>
      </c>
      <c r="AE96" s="7">
        <f t="shared" si="16"/>
        <v>0</v>
      </c>
      <c r="AF96">
        <v>0</v>
      </c>
      <c r="AG96">
        <v>0</v>
      </c>
      <c r="AH96">
        <v>0</v>
      </c>
      <c r="AI96" s="13">
        <f t="shared" si="17"/>
        <v>0</v>
      </c>
      <c r="AJ96" s="11" t="s">
        <v>51</v>
      </c>
      <c r="AK96" s="11" t="s">
        <v>51</v>
      </c>
      <c r="AL96" s="11" t="s">
        <v>51</v>
      </c>
      <c r="AM96" s="13">
        <f t="shared" si="18"/>
        <v>0</v>
      </c>
      <c r="AN96" s="18">
        <v>20</v>
      </c>
      <c r="AO96" s="18">
        <v>0</v>
      </c>
      <c r="AP96" s="18">
        <v>0</v>
      </c>
      <c r="AQ96" s="18">
        <v>0</v>
      </c>
      <c r="AR96" s="18">
        <f t="shared" si="19"/>
        <v>20</v>
      </c>
      <c r="AS96" t="s">
        <v>52</v>
      </c>
      <c r="AT96" s="9" t="s">
        <v>404</v>
      </c>
      <c r="AU96" s="30">
        <f t="shared" si="21"/>
        <v>86.02000000000001</v>
      </c>
    </row>
    <row r="97" spans="1:47" hidden="1" x14ac:dyDescent="0.25">
      <c r="A97" t="s">
        <v>46</v>
      </c>
      <c r="B97" t="s">
        <v>405</v>
      </c>
      <c r="C97" t="s">
        <v>406</v>
      </c>
      <c r="D97" t="s">
        <v>407</v>
      </c>
      <c r="E97" s="11">
        <v>20</v>
      </c>
      <c r="F97" s="11">
        <v>20</v>
      </c>
      <c r="G97" s="11">
        <v>44.63</v>
      </c>
      <c r="H97" s="11">
        <v>3.5</v>
      </c>
      <c r="I97" s="13">
        <f t="shared" si="11"/>
        <v>88.13</v>
      </c>
      <c r="J97" s="11">
        <v>0</v>
      </c>
      <c r="K97" s="11">
        <v>0</v>
      </c>
      <c r="L97" s="11">
        <v>0</v>
      </c>
      <c r="M97" s="13">
        <f t="shared" si="12"/>
        <v>0</v>
      </c>
      <c r="N97" s="11">
        <v>0</v>
      </c>
      <c r="O97" s="11">
        <v>0</v>
      </c>
      <c r="P97" s="11">
        <v>0</v>
      </c>
      <c r="Q97" s="11">
        <v>0</v>
      </c>
      <c r="R97" s="13">
        <f t="shared" si="13"/>
        <v>0</v>
      </c>
      <c r="S97">
        <v>0</v>
      </c>
      <c r="T97">
        <v>0</v>
      </c>
      <c r="U97" s="7">
        <f t="shared" si="14"/>
        <v>0</v>
      </c>
      <c r="V97">
        <v>0</v>
      </c>
      <c r="W97">
        <v>0</v>
      </c>
      <c r="X97">
        <v>0</v>
      </c>
      <c r="Y97">
        <v>0</v>
      </c>
      <c r="Z97" s="13">
        <f t="shared" si="15"/>
        <v>0</v>
      </c>
      <c r="AA97">
        <v>3.75</v>
      </c>
      <c r="AB97">
        <v>12.5</v>
      </c>
      <c r="AC97">
        <v>13.12</v>
      </c>
      <c r="AD97">
        <v>15</v>
      </c>
      <c r="AE97" s="7">
        <f t="shared" si="16"/>
        <v>44.37</v>
      </c>
      <c r="AF97">
        <v>0</v>
      </c>
      <c r="AG97">
        <v>0</v>
      </c>
      <c r="AH97">
        <v>0</v>
      </c>
      <c r="AI97" s="13">
        <f t="shared" si="17"/>
        <v>0</v>
      </c>
      <c r="AJ97" s="11" t="s">
        <v>51</v>
      </c>
      <c r="AK97" s="11" t="s">
        <v>51</v>
      </c>
      <c r="AL97" s="11" t="s">
        <v>51</v>
      </c>
      <c r="AM97" s="13">
        <f t="shared" si="18"/>
        <v>0</v>
      </c>
      <c r="AN97" s="18">
        <v>35</v>
      </c>
      <c r="AO97" s="18">
        <v>5</v>
      </c>
      <c r="AP97" s="18">
        <v>0</v>
      </c>
      <c r="AQ97" s="18">
        <v>0</v>
      </c>
      <c r="AR97" s="18">
        <f t="shared" si="19"/>
        <v>40</v>
      </c>
      <c r="AS97" t="s">
        <v>52</v>
      </c>
      <c r="AT97" s="9" t="s">
        <v>408</v>
      </c>
      <c r="AU97" s="30">
        <f t="shared" si="21"/>
        <v>82.66</v>
      </c>
    </row>
    <row r="98" spans="1:47" hidden="1" x14ac:dyDescent="0.25">
      <c r="A98" t="s">
        <v>46</v>
      </c>
      <c r="B98" t="s">
        <v>409</v>
      </c>
      <c r="C98" t="s">
        <v>410</v>
      </c>
      <c r="D98" t="s">
        <v>411</v>
      </c>
      <c r="E98" s="11">
        <v>25</v>
      </c>
      <c r="F98" s="11">
        <v>0</v>
      </c>
      <c r="G98" s="11">
        <v>59.15</v>
      </c>
      <c r="H98" s="11">
        <v>6.25</v>
      </c>
      <c r="I98" s="13">
        <f t="shared" si="11"/>
        <v>90.4</v>
      </c>
      <c r="J98" s="11">
        <v>0</v>
      </c>
      <c r="K98" s="11">
        <v>0</v>
      </c>
      <c r="L98" s="11">
        <v>0</v>
      </c>
      <c r="M98" s="13">
        <f t="shared" si="12"/>
        <v>0</v>
      </c>
      <c r="N98" s="11">
        <v>0</v>
      </c>
      <c r="O98" s="11">
        <v>0</v>
      </c>
      <c r="P98" s="11">
        <v>0</v>
      </c>
      <c r="Q98" s="11">
        <v>0</v>
      </c>
      <c r="R98" s="13">
        <f t="shared" si="13"/>
        <v>0</v>
      </c>
      <c r="S98">
        <v>0</v>
      </c>
      <c r="T98">
        <v>0</v>
      </c>
      <c r="U98" s="7">
        <f t="shared" si="14"/>
        <v>0</v>
      </c>
      <c r="V98">
        <v>0</v>
      </c>
      <c r="W98">
        <v>0</v>
      </c>
      <c r="X98">
        <v>0</v>
      </c>
      <c r="Y98">
        <v>0</v>
      </c>
      <c r="Z98" s="13">
        <f t="shared" si="15"/>
        <v>0</v>
      </c>
      <c r="AA98">
        <v>0</v>
      </c>
      <c r="AB98">
        <v>0</v>
      </c>
      <c r="AC98">
        <v>0</v>
      </c>
      <c r="AD98">
        <v>0</v>
      </c>
      <c r="AE98" s="7">
        <f t="shared" si="16"/>
        <v>0</v>
      </c>
      <c r="AF98">
        <v>0</v>
      </c>
      <c r="AG98">
        <v>0</v>
      </c>
      <c r="AH98">
        <v>0</v>
      </c>
      <c r="AI98" s="13">
        <f t="shared" si="17"/>
        <v>0</v>
      </c>
      <c r="AJ98" s="11" t="s">
        <v>51</v>
      </c>
      <c r="AK98" s="11" t="s">
        <v>51</v>
      </c>
      <c r="AL98" s="11" t="s">
        <v>51</v>
      </c>
      <c r="AM98" s="13">
        <f t="shared" si="18"/>
        <v>0</v>
      </c>
      <c r="AN98" s="18">
        <v>40</v>
      </c>
      <c r="AO98" s="18">
        <v>0</v>
      </c>
      <c r="AP98" s="18">
        <v>0</v>
      </c>
      <c r="AQ98" s="18">
        <v>0</v>
      </c>
      <c r="AR98" s="18">
        <f t="shared" si="19"/>
        <v>40</v>
      </c>
      <c r="AS98" t="s">
        <v>52</v>
      </c>
      <c r="AT98" s="9" t="s">
        <v>413</v>
      </c>
      <c r="AU98" s="30">
        <f t="shared" si="21"/>
        <v>90.4</v>
      </c>
    </row>
    <row r="99" spans="1:47" x14ac:dyDescent="0.25">
      <c r="A99" t="s">
        <v>46</v>
      </c>
      <c r="B99" t="s">
        <v>414</v>
      </c>
      <c r="C99" t="s">
        <v>415</v>
      </c>
      <c r="D99" t="s">
        <v>416</v>
      </c>
      <c r="E99" s="11">
        <v>0</v>
      </c>
      <c r="F99" s="11">
        <v>0</v>
      </c>
      <c r="G99" s="11">
        <v>57.300000000000011</v>
      </c>
      <c r="H99" s="11">
        <v>6.6666666666666652</v>
      </c>
      <c r="I99" s="13">
        <f t="shared" si="11"/>
        <v>63.966666666666676</v>
      </c>
      <c r="J99" s="11">
        <v>0</v>
      </c>
      <c r="K99" s="11">
        <v>0</v>
      </c>
      <c r="L99" s="11">
        <v>0</v>
      </c>
      <c r="M99" s="13">
        <f t="shared" si="12"/>
        <v>0</v>
      </c>
      <c r="N99" s="11">
        <v>0</v>
      </c>
      <c r="O99" s="11">
        <v>0</v>
      </c>
      <c r="P99" s="11">
        <v>0</v>
      </c>
      <c r="Q99" s="11">
        <v>0</v>
      </c>
      <c r="R99" s="13">
        <f t="shared" si="13"/>
        <v>0</v>
      </c>
      <c r="S99">
        <v>0</v>
      </c>
      <c r="T99">
        <v>0</v>
      </c>
      <c r="U99" s="7">
        <f t="shared" si="14"/>
        <v>0</v>
      </c>
      <c r="V99">
        <v>0</v>
      </c>
      <c r="W99">
        <v>0</v>
      </c>
      <c r="X99">
        <v>0</v>
      </c>
      <c r="Y99">
        <v>0</v>
      </c>
      <c r="Z99" s="13">
        <f t="shared" si="15"/>
        <v>0</v>
      </c>
      <c r="AA99">
        <v>0</v>
      </c>
      <c r="AB99">
        <v>0</v>
      </c>
      <c r="AC99">
        <v>0</v>
      </c>
      <c r="AD99">
        <v>0</v>
      </c>
      <c r="AE99" s="7">
        <f t="shared" si="16"/>
        <v>0</v>
      </c>
      <c r="AF99">
        <v>0</v>
      </c>
      <c r="AG99">
        <v>0</v>
      </c>
      <c r="AH99">
        <v>0</v>
      </c>
      <c r="AI99" s="13">
        <f t="shared" si="17"/>
        <v>0</v>
      </c>
      <c r="AJ99" s="11" t="s">
        <v>51</v>
      </c>
      <c r="AK99" s="11" t="s">
        <v>51</v>
      </c>
      <c r="AL99" s="11" t="s">
        <v>51</v>
      </c>
      <c r="AM99" s="13">
        <f t="shared" si="18"/>
        <v>0</v>
      </c>
      <c r="AN99" s="18">
        <v>2</v>
      </c>
      <c r="AO99" s="18">
        <v>0</v>
      </c>
      <c r="AP99" s="18">
        <v>0</v>
      </c>
      <c r="AQ99" s="18">
        <v>0</v>
      </c>
      <c r="AR99" s="18">
        <f t="shared" si="19"/>
        <v>2</v>
      </c>
      <c r="AS99" t="s">
        <v>52</v>
      </c>
      <c r="AT99" s="9" t="s">
        <v>417</v>
      </c>
      <c r="AU99" s="30">
        <f t="shared" si="21"/>
        <v>63.966666666666676</v>
      </c>
    </row>
    <row r="100" spans="1:47" s="6" customFormat="1" hidden="1" x14ac:dyDescent="0.25">
      <c r="A100" s="6" t="s">
        <v>46</v>
      </c>
      <c r="B100" s="6" t="s">
        <v>418</v>
      </c>
      <c r="C100" s="6" t="s">
        <v>419</v>
      </c>
      <c r="D100" s="6" t="s">
        <v>420</v>
      </c>
      <c r="E100" s="12">
        <v>0</v>
      </c>
      <c r="F100" s="12">
        <v>0</v>
      </c>
      <c r="G100" s="12">
        <v>0</v>
      </c>
      <c r="H100" s="12">
        <v>0</v>
      </c>
      <c r="I100" s="13">
        <f t="shared" si="11"/>
        <v>0</v>
      </c>
      <c r="J100" s="14">
        <v>80.428571428571416</v>
      </c>
      <c r="K100" s="14">
        <v>0</v>
      </c>
      <c r="L100" s="14">
        <v>6.4285714285714279</v>
      </c>
      <c r="M100" s="13">
        <f t="shared" si="12"/>
        <v>86.857142857142847</v>
      </c>
      <c r="N100" s="12">
        <v>0</v>
      </c>
      <c r="O100" s="12">
        <v>0</v>
      </c>
      <c r="P100" s="12">
        <v>0</v>
      </c>
      <c r="Q100" s="12">
        <v>0</v>
      </c>
      <c r="R100" s="13">
        <f t="shared" si="13"/>
        <v>0</v>
      </c>
      <c r="S100" s="6">
        <v>0</v>
      </c>
      <c r="T100" s="6">
        <v>0</v>
      </c>
      <c r="U100" s="7">
        <f t="shared" si="14"/>
        <v>0</v>
      </c>
      <c r="V100" s="6">
        <v>0</v>
      </c>
      <c r="W100" s="6">
        <v>0</v>
      </c>
      <c r="X100" s="6">
        <v>0</v>
      </c>
      <c r="Y100" s="6">
        <v>0</v>
      </c>
      <c r="Z100" s="13">
        <f t="shared" si="15"/>
        <v>0</v>
      </c>
      <c r="AA100" s="6">
        <v>0</v>
      </c>
      <c r="AB100" s="6">
        <v>0</v>
      </c>
      <c r="AC100" s="6">
        <v>0</v>
      </c>
      <c r="AD100" s="6">
        <v>0</v>
      </c>
      <c r="AE100" s="7">
        <f t="shared" si="16"/>
        <v>0</v>
      </c>
      <c r="AF100" s="6">
        <v>0</v>
      </c>
      <c r="AG100" s="6">
        <v>0</v>
      </c>
      <c r="AH100" s="6">
        <v>0</v>
      </c>
      <c r="AI100" s="13">
        <f t="shared" si="17"/>
        <v>0</v>
      </c>
      <c r="AJ100" s="12" t="s">
        <v>51</v>
      </c>
      <c r="AK100" s="12" t="s">
        <v>51</v>
      </c>
      <c r="AL100" s="12" t="s">
        <v>51</v>
      </c>
      <c r="AM100" s="13">
        <f t="shared" si="18"/>
        <v>0</v>
      </c>
      <c r="AN100" s="21">
        <v>2.125</v>
      </c>
      <c r="AO100" s="21">
        <v>0</v>
      </c>
      <c r="AP100" s="21">
        <v>0</v>
      </c>
      <c r="AQ100" s="21">
        <v>0</v>
      </c>
      <c r="AR100" s="18">
        <f t="shared" si="19"/>
        <v>2.125</v>
      </c>
      <c r="AS100" s="6" t="s">
        <v>87</v>
      </c>
      <c r="AT100" s="10" t="s">
        <v>931</v>
      </c>
      <c r="AU100" s="30">
        <f>+((AN100*M100)/AR100)</f>
        <v>86.857142857142847</v>
      </c>
    </row>
    <row r="101" spans="1:47" x14ac:dyDescent="0.25">
      <c r="A101" t="s">
        <v>46</v>
      </c>
      <c r="B101" t="s">
        <v>421</v>
      </c>
      <c r="C101" t="s">
        <v>422</v>
      </c>
      <c r="D101" t="s">
        <v>423</v>
      </c>
      <c r="E101" s="11">
        <v>15.92</v>
      </c>
      <c r="F101" s="11">
        <v>19</v>
      </c>
      <c r="G101" s="11">
        <v>32.35</v>
      </c>
      <c r="H101" s="11">
        <v>4.5</v>
      </c>
      <c r="I101" s="13">
        <f t="shared" si="11"/>
        <v>71.77000000000001</v>
      </c>
      <c r="J101" s="11">
        <v>0</v>
      </c>
      <c r="K101" s="11">
        <v>0</v>
      </c>
      <c r="L101" s="11">
        <v>0</v>
      </c>
      <c r="M101" s="13">
        <f t="shared" si="12"/>
        <v>0</v>
      </c>
      <c r="N101" s="11">
        <v>0</v>
      </c>
      <c r="O101" s="11">
        <v>0</v>
      </c>
      <c r="P101" s="11">
        <v>0</v>
      </c>
      <c r="Q101" s="11">
        <v>0</v>
      </c>
      <c r="R101" s="13">
        <f t="shared" si="13"/>
        <v>0</v>
      </c>
      <c r="S101">
        <v>0</v>
      </c>
      <c r="T101">
        <v>0</v>
      </c>
      <c r="U101" s="7">
        <f t="shared" si="14"/>
        <v>0</v>
      </c>
      <c r="V101">
        <v>0</v>
      </c>
      <c r="W101">
        <v>0</v>
      </c>
      <c r="X101">
        <v>0</v>
      </c>
      <c r="Y101">
        <v>0</v>
      </c>
      <c r="Z101" s="13">
        <f t="shared" si="15"/>
        <v>0</v>
      </c>
      <c r="AA101">
        <v>11.25</v>
      </c>
      <c r="AB101">
        <v>12.5</v>
      </c>
      <c r="AC101">
        <v>12.75</v>
      </c>
      <c r="AD101">
        <v>12.5</v>
      </c>
      <c r="AE101" s="7">
        <f t="shared" si="16"/>
        <v>49</v>
      </c>
      <c r="AF101">
        <v>0</v>
      </c>
      <c r="AG101">
        <v>0</v>
      </c>
      <c r="AH101">
        <v>0</v>
      </c>
      <c r="AI101" s="13">
        <f t="shared" si="17"/>
        <v>0</v>
      </c>
      <c r="AJ101" s="11" t="s">
        <v>51</v>
      </c>
      <c r="AK101" s="11" t="s">
        <v>51</v>
      </c>
      <c r="AL101" s="11" t="s">
        <v>51</v>
      </c>
      <c r="AM101" s="13">
        <f t="shared" si="18"/>
        <v>0</v>
      </c>
      <c r="AN101" s="18">
        <v>35</v>
      </c>
      <c r="AO101" s="18">
        <v>5</v>
      </c>
      <c r="AP101" s="18">
        <v>0</v>
      </c>
      <c r="AQ101" s="18">
        <v>0</v>
      </c>
      <c r="AR101" s="18">
        <f t="shared" si="19"/>
        <v>40</v>
      </c>
      <c r="AS101" t="s">
        <v>52</v>
      </c>
      <c r="AT101" s="9" t="s">
        <v>424</v>
      </c>
      <c r="AU101" s="30">
        <f>+((AN101*I101)+(AO101*AE101))/AR101</f>
        <v>68.923750000000013</v>
      </c>
    </row>
    <row r="102" spans="1:47" hidden="1" x14ac:dyDescent="0.25">
      <c r="A102" t="s">
        <v>46</v>
      </c>
      <c r="B102" t="s">
        <v>425</v>
      </c>
      <c r="C102" t="s">
        <v>426</v>
      </c>
      <c r="D102" t="s">
        <v>427</v>
      </c>
      <c r="E102" s="11">
        <v>0</v>
      </c>
      <c r="F102" s="11">
        <v>0</v>
      </c>
      <c r="G102" s="11">
        <v>0</v>
      </c>
      <c r="H102" s="11">
        <v>0</v>
      </c>
      <c r="I102" s="13">
        <f t="shared" si="11"/>
        <v>0</v>
      </c>
      <c r="J102" s="11">
        <v>0</v>
      </c>
      <c r="K102" s="11">
        <v>0</v>
      </c>
      <c r="L102" s="11">
        <v>0</v>
      </c>
      <c r="M102" s="13">
        <f t="shared" si="12"/>
        <v>0</v>
      </c>
      <c r="N102" s="11">
        <v>0</v>
      </c>
      <c r="O102" s="11">
        <v>0</v>
      </c>
      <c r="P102" s="11">
        <v>0</v>
      </c>
      <c r="Q102" s="11">
        <v>0</v>
      </c>
      <c r="R102" s="13">
        <f t="shared" si="13"/>
        <v>0</v>
      </c>
      <c r="S102">
        <v>55.11</v>
      </c>
      <c r="T102">
        <v>30</v>
      </c>
      <c r="U102" s="7">
        <f t="shared" si="14"/>
        <v>85.11</v>
      </c>
      <c r="V102">
        <v>0</v>
      </c>
      <c r="W102">
        <v>0</v>
      </c>
      <c r="X102">
        <v>0</v>
      </c>
      <c r="Y102">
        <v>0</v>
      </c>
      <c r="Z102" s="13">
        <f t="shared" si="15"/>
        <v>0</v>
      </c>
      <c r="AA102">
        <v>0</v>
      </c>
      <c r="AB102">
        <v>0</v>
      </c>
      <c r="AC102">
        <v>0</v>
      </c>
      <c r="AD102">
        <v>0</v>
      </c>
      <c r="AE102" s="7">
        <f t="shared" si="16"/>
        <v>0</v>
      </c>
      <c r="AF102">
        <v>0</v>
      </c>
      <c r="AG102">
        <v>0</v>
      </c>
      <c r="AH102">
        <v>0</v>
      </c>
      <c r="AI102" s="13">
        <f t="shared" si="17"/>
        <v>0</v>
      </c>
      <c r="AJ102" s="11" t="s">
        <v>51</v>
      </c>
      <c r="AK102" s="11" t="s">
        <v>51</v>
      </c>
      <c r="AL102" s="11" t="s">
        <v>51</v>
      </c>
      <c r="AM102" s="13">
        <f t="shared" si="18"/>
        <v>0</v>
      </c>
      <c r="AN102" s="18">
        <v>4</v>
      </c>
      <c r="AO102" s="18">
        <v>0</v>
      </c>
      <c r="AP102" s="18">
        <v>0</v>
      </c>
      <c r="AQ102" s="18">
        <v>0</v>
      </c>
      <c r="AR102" s="18">
        <f t="shared" si="19"/>
        <v>4</v>
      </c>
      <c r="AS102" t="s">
        <v>52</v>
      </c>
      <c r="AT102" s="9" t="s">
        <v>428</v>
      </c>
      <c r="AU102" s="30">
        <f>+((U102*AN102)/AR102)</f>
        <v>85.11</v>
      </c>
    </row>
    <row r="103" spans="1:47" s="16" customFormat="1" hidden="1" x14ac:dyDescent="0.25">
      <c r="A103" s="16" t="s">
        <v>46</v>
      </c>
      <c r="B103" s="16" t="s">
        <v>429</v>
      </c>
      <c r="C103" s="16" t="s">
        <v>430</v>
      </c>
      <c r="D103" s="16" t="s">
        <v>431</v>
      </c>
      <c r="E103" s="17">
        <v>0</v>
      </c>
      <c r="F103" s="17">
        <v>0</v>
      </c>
      <c r="G103" s="17">
        <v>0</v>
      </c>
      <c r="H103" s="17">
        <v>0</v>
      </c>
      <c r="I103" s="13">
        <f t="shared" si="11"/>
        <v>0</v>
      </c>
      <c r="J103" s="17">
        <v>0</v>
      </c>
      <c r="K103" s="17">
        <v>0</v>
      </c>
      <c r="L103" s="17">
        <v>0</v>
      </c>
      <c r="M103" s="13">
        <f t="shared" si="12"/>
        <v>0</v>
      </c>
      <c r="N103" s="26">
        <v>48.94</v>
      </c>
      <c r="O103" s="26">
        <v>3</v>
      </c>
      <c r="P103" s="26">
        <v>17.5</v>
      </c>
      <c r="Q103" s="26">
        <v>20</v>
      </c>
      <c r="R103" s="13">
        <f t="shared" si="13"/>
        <v>89.44</v>
      </c>
      <c r="S103" s="16">
        <v>0</v>
      </c>
      <c r="T103" s="16">
        <v>0</v>
      </c>
      <c r="U103" s="7">
        <f t="shared" si="14"/>
        <v>0</v>
      </c>
      <c r="V103" s="16">
        <v>3</v>
      </c>
      <c r="W103" s="16">
        <v>17.5</v>
      </c>
      <c r="X103" s="16">
        <v>43.99</v>
      </c>
      <c r="Y103" s="16">
        <v>20</v>
      </c>
      <c r="Z103" s="13">
        <f t="shared" si="15"/>
        <v>84.490000000000009</v>
      </c>
      <c r="AA103" s="16">
        <v>0</v>
      </c>
      <c r="AB103" s="16">
        <v>0</v>
      </c>
      <c r="AC103" s="16">
        <v>0</v>
      </c>
      <c r="AD103" s="16">
        <v>0</v>
      </c>
      <c r="AE103" s="7">
        <f t="shared" si="16"/>
        <v>0</v>
      </c>
      <c r="AF103" s="16">
        <v>0</v>
      </c>
      <c r="AG103" s="16">
        <v>0</v>
      </c>
      <c r="AH103" s="16">
        <v>0</v>
      </c>
      <c r="AI103" s="13">
        <f t="shared" si="17"/>
        <v>0</v>
      </c>
      <c r="AJ103" s="17" t="s">
        <v>51</v>
      </c>
      <c r="AK103" s="17" t="s">
        <v>51</v>
      </c>
      <c r="AL103" s="17" t="s">
        <v>51</v>
      </c>
      <c r="AM103" s="13">
        <f t="shared" si="18"/>
        <v>0</v>
      </c>
      <c r="AN103" s="22">
        <v>37</v>
      </c>
      <c r="AO103" s="22">
        <v>0</v>
      </c>
      <c r="AP103" s="22">
        <v>0</v>
      </c>
      <c r="AQ103" s="22">
        <v>0</v>
      </c>
      <c r="AR103" s="18">
        <f t="shared" si="19"/>
        <v>37</v>
      </c>
      <c r="AS103" s="16" t="s">
        <v>52</v>
      </c>
      <c r="AT103" s="1" t="s">
        <v>432</v>
      </c>
      <c r="AU103" s="30">
        <f>+((Z103*AN103)/AR103)</f>
        <v>84.490000000000009</v>
      </c>
    </row>
    <row r="104" spans="1:47" s="25" customFormat="1" hidden="1" x14ac:dyDescent="0.25">
      <c r="A104" s="25" t="s">
        <v>46</v>
      </c>
      <c r="B104" s="34" t="s">
        <v>429</v>
      </c>
      <c r="C104" s="34" t="s">
        <v>430</v>
      </c>
      <c r="D104" s="34" t="s">
        <v>431</v>
      </c>
      <c r="E104" s="26">
        <v>0</v>
      </c>
      <c r="F104" s="26">
        <v>0</v>
      </c>
      <c r="G104" s="26">
        <v>0</v>
      </c>
      <c r="H104" s="26">
        <v>0</v>
      </c>
      <c r="I104" s="13">
        <f t="shared" si="11"/>
        <v>0</v>
      </c>
      <c r="J104" s="26">
        <v>0</v>
      </c>
      <c r="K104" s="26">
        <v>0</v>
      </c>
      <c r="L104" s="26">
        <v>0</v>
      </c>
      <c r="M104" s="13">
        <f t="shared" si="12"/>
        <v>0</v>
      </c>
      <c r="N104" s="26">
        <v>48.94</v>
      </c>
      <c r="O104" s="26">
        <v>3</v>
      </c>
      <c r="P104" s="26">
        <v>17.5</v>
      </c>
      <c r="Q104" s="26">
        <v>20</v>
      </c>
      <c r="R104" s="13">
        <f t="shared" si="13"/>
        <v>89.44</v>
      </c>
      <c r="S104" s="25">
        <v>0</v>
      </c>
      <c r="T104" s="25">
        <v>0</v>
      </c>
      <c r="U104" s="7">
        <f t="shared" si="14"/>
        <v>0</v>
      </c>
      <c r="V104" s="25">
        <v>3</v>
      </c>
      <c r="W104" s="25">
        <v>17.5</v>
      </c>
      <c r="X104" s="25">
        <v>43.99</v>
      </c>
      <c r="Y104" s="25">
        <v>20</v>
      </c>
      <c r="Z104" s="13">
        <f t="shared" si="15"/>
        <v>84.490000000000009</v>
      </c>
      <c r="AA104" s="25">
        <v>0</v>
      </c>
      <c r="AB104" s="25">
        <v>0</v>
      </c>
      <c r="AC104" s="25">
        <v>0</v>
      </c>
      <c r="AD104" s="25">
        <v>0</v>
      </c>
      <c r="AE104" s="7">
        <f t="shared" si="16"/>
        <v>0</v>
      </c>
      <c r="AF104" s="25">
        <v>0</v>
      </c>
      <c r="AG104" s="25">
        <v>0</v>
      </c>
      <c r="AH104" s="25">
        <v>0</v>
      </c>
      <c r="AI104" s="13">
        <f t="shared" si="17"/>
        <v>0</v>
      </c>
      <c r="AJ104" s="26" t="s">
        <v>51</v>
      </c>
      <c r="AK104" s="26" t="s">
        <v>51</v>
      </c>
      <c r="AL104" s="26" t="s">
        <v>51</v>
      </c>
      <c r="AM104" s="13">
        <f t="shared" si="18"/>
        <v>0</v>
      </c>
      <c r="AN104" s="23">
        <v>3</v>
      </c>
      <c r="AO104" s="23">
        <v>0</v>
      </c>
      <c r="AP104" s="23">
        <v>0</v>
      </c>
      <c r="AQ104" s="23">
        <v>0</v>
      </c>
      <c r="AR104" s="18">
        <f t="shared" si="19"/>
        <v>3</v>
      </c>
      <c r="AS104" s="25" t="s">
        <v>117</v>
      </c>
      <c r="AT104" s="29" t="s">
        <v>432</v>
      </c>
      <c r="AU104" s="26">
        <f>+((AN104*R104)+(AQ104*AI104)+(AP104*AM104))/AR104</f>
        <v>89.44</v>
      </c>
    </row>
    <row r="105" spans="1:47" hidden="1" x14ac:dyDescent="0.25">
      <c r="A105" t="s">
        <v>46</v>
      </c>
      <c r="B105" t="s">
        <v>433</v>
      </c>
      <c r="C105" t="s">
        <v>434</v>
      </c>
      <c r="D105" t="s">
        <v>435</v>
      </c>
      <c r="E105" s="11">
        <v>20</v>
      </c>
      <c r="F105" s="11">
        <v>20</v>
      </c>
      <c r="G105" s="11">
        <v>43.31</v>
      </c>
      <c r="H105" s="11">
        <v>7</v>
      </c>
      <c r="I105" s="13">
        <f t="shared" si="11"/>
        <v>90.31</v>
      </c>
      <c r="J105" s="11">
        <v>0</v>
      </c>
      <c r="K105" s="11">
        <v>0</v>
      </c>
      <c r="L105" s="11">
        <v>0</v>
      </c>
      <c r="M105" s="13">
        <f t="shared" si="12"/>
        <v>0</v>
      </c>
      <c r="N105" s="11">
        <v>43.31</v>
      </c>
      <c r="O105" s="11">
        <v>7</v>
      </c>
      <c r="P105" s="11">
        <v>20</v>
      </c>
      <c r="Q105" s="11">
        <v>20</v>
      </c>
      <c r="R105" s="13">
        <f t="shared" si="13"/>
        <v>90.31</v>
      </c>
      <c r="S105">
        <v>0</v>
      </c>
      <c r="T105">
        <v>0</v>
      </c>
      <c r="U105" s="7">
        <f t="shared" si="14"/>
        <v>0</v>
      </c>
      <c r="V105">
        <v>0</v>
      </c>
      <c r="W105">
        <v>0</v>
      </c>
      <c r="X105">
        <v>0</v>
      </c>
      <c r="Y105">
        <v>0</v>
      </c>
      <c r="Z105" s="13">
        <f t="shared" si="15"/>
        <v>0</v>
      </c>
      <c r="AA105">
        <v>0</v>
      </c>
      <c r="AB105">
        <v>0</v>
      </c>
      <c r="AC105">
        <v>0</v>
      </c>
      <c r="AD105">
        <v>0</v>
      </c>
      <c r="AE105" s="7">
        <f t="shared" si="16"/>
        <v>0</v>
      </c>
      <c r="AF105">
        <v>0</v>
      </c>
      <c r="AG105">
        <v>0</v>
      </c>
      <c r="AH105">
        <v>0</v>
      </c>
      <c r="AI105" s="13">
        <f t="shared" si="17"/>
        <v>0</v>
      </c>
      <c r="AJ105" s="11" t="s">
        <v>51</v>
      </c>
      <c r="AK105" s="11" t="s">
        <v>51</v>
      </c>
      <c r="AL105" s="11" t="s">
        <v>51</v>
      </c>
      <c r="AM105" s="13">
        <f t="shared" si="18"/>
        <v>0</v>
      </c>
      <c r="AN105" s="18">
        <v>6</v>
      </c>
      <c r="AO105" s="18">
        <v>0</v>
      </c>
      <c r="AP105" s="18">
        <v>0</v>
      </c>
      <c r="AQ105" s="18">
        <v>0</v>
      </c>
      <c r="AR105" s="18">
        <f t="shared" si="19"/>
        <v>6</v>
      </c>
      <c r="AS105" t="s">
        <v>52</v>
      </c>
      <c r="AT105" s="9" t="s">
        <v>436</v>
      </c>
      <c r="AU105" s="30">
        <f>+((AN105*I105)+(AO105*AE105)+(AQ105*AI105)+(AP105*AM105))/AR105</f>
        <v>90.31</v>
      </c>
    </row>
    <row r="106" spans="1:47" hidden="1" x14ac:dyDescent="0.25">
      <c r="A106" t="s">
        <v>46</v>
      </c>
      <c r="B106" s="32" t="s">
        <v>433</v>
      </c>
      <c r="C106" s="32" t="s">
        <v>434</v>
      </c>
      <c r="D106" s="32" t="s">
        <v>435</v>
      </c>
      <c r="E106" s="11">
        <v>20</v>
      </c>
      <c r="F106" s="11">
        <v>20</v>
      </c>
      <c r="G106" s="11">
        <v>42.74</v>
      </c>
      <c r="H106" s="11">
        <v>7</v>
      </c>
      <c r="I106" s="13">
        <f t="shared" si="11"/>
        <v>89.740000000000009</v>
      </c>
      <c r="J106" s="11">
        <v>0</v>
      </c>
      <c r="K106" s="11">
        <v>0</v>
      </c>
      <c r="L106" s="11">
        <v>0</v>
      </c>
      <c r="M106" s="13">
        <f t="shared" si="12"/>
        <v>0</v>
      </c>
      <c r="N106" s="11">
        <v>46.19</v>
      </c>
      <c r="O106" s="11">
        <v>7</v>
      </c>
      <c r="P106" s="11">
        <v>20</v>
      </c>
      <c r="Q106" s="11">
        <v>20</v>
      </c>
      <c r="R106" s="13">
        <f t="shared" si="13"/>
        <v>93.19</v>
      </c>
      <c r="S106">
        <v>0</v>
      </c>
      <c r="T106">
        <v>0</v>
      </c>
      <c r="U106" s="7">
        <f t="shared" si="14"/>
        <v>0</v>
      </c>
      <c r="V106">
        <v>0</v>
      </c>
      <c r="W106">
        <v>0</v>
      </c>
      <c r="X106">
        <v>0</v>
      </c>
      <c r="Y106">
        <v>0</v>
      </c>
      <c r="Z106" s="13">
        <f t="shared" si="15"/>
        <v>0</v>
      </c>
      <c r="AA106">
        <v>0</v>
      </c>
      <c r="AB106">
        <v>0</v>
      </c>
      <c r="AC106">
        <v>0</v>
      </c>
      <c r="AD106">
        <v>0</v>
      </c>
      <c r="AE106" s="7">
        <f t="shared" si="16"/>
        <v>0</v>
      </c>
      <c r="AF106">
        <v>0</v>
      </c>
      <c r="AG106">
        <v>0</v>
      </c>
      <c r="AH106">
        <v>0</v>
      </c>
      <c r="AI106" s="13">
        <f t="shared" si="17"/>
        <v>0</v>
      </c>
      <c r="AJ106" s="11" t="s">
        <v>51</v>
      </c>
      <c r="AK106" s="11" t="s">
        <v>51</v>
      </c>
      <c r="AL106" s="11" t="s">
        <v>51</v>
      </c>
      <c r="AM106" s="13">
        <f t="shared" si="18"/>
        <v>0</v>
      </c>
      <c r="AN106" s="18">
        <v>2</v>
      </c>
      <c r="AO106" s="18">
        <v>0</v>
      </c>
      <c r="AP106" s="18">
        <v>0</v>
      </c>
      <c r="AQ106" s="18">
        <v>0</v>
      </c>
      <c r="AR106" s="18">
        <f t="shared" si="19"/>
        <v>2</v>
      </c>
      <c r="AS106" t="s">
        <v>117</v>
      </c>
      <c r="AT106" s="9" t="s">
        <v>436</v>
      </c>
      <c r="AU106" s="11">
        <f>+((AN106*R106)+(AQ106*AI106)+(AP106*AM106))/AR106</f>
        <v>93.19</v>
      </c>
    </row>
    <row r="107" spans="1:47" hidden="1" x14ac:dyDescent="0.25">
      <c r="A107" t="s">
        <v>46</v>
      </c>
      <c r="B107" t="s">
        <v>437</v>
      </c>
      <c r="C107" t="s">
        <v>438</v>
      </c>
      <c r="D107" t="s">
        <v>439</v>
      </c>
      <c r="E107" s="11">
        <v>19.670000000000002</v>
      </c>
      <c r="F107" s="11">
        <v>20</v>
      </c>
      <c r="G107" s="11">
        <v>47.58</v>
      </c>
      <c r="H107" s="11">
        <v>9.5</v>
      </c>
      <c r="I107" s="13">
        <f t="shared" si="11"/>
        <v>96.75</v>
      </c>
      <c r="J107" s="11">
        <v>0</v>
      </c>
      <c r="K107" s="11">
        <v>0</v>
      </c>
      <c r="L107" s="11">
        <v>0</v>
      </c>
      <c r="M107" s="13">
        <f t="shared" si="12"/>
        <v>0</v>
      </c>
      <c r="N107" s="11">
        <v>0</v>
      </c>
      <c r="O107" s="11">
        <v>0</v>
      </c>
      <c r="P107" s="11">
        <v>0</v>
      </c>
      <c r="Q107" s="11">
        <v>0</v>
      </c>
      <c r="R107" s="13">
        <f t="shared" si="13"/>
        <v>0</v>
      </c>
      <c r="S107">
        <v>0</v>
      </c>
      <c r="T107">
        <v>0</v>
      </c>
      <c r="U107" s="7">
        <f t="shared" si="14"/>
        <v>0</v>
      </c>
      <c r="V107">
        <v>0</v>
      </c>
      <c r="W107">
        <v>0</v>
      </c>
      <c r="X107">
        <v>0</v>
      </c>
      <c r="Y107">
        <v>0</v>
      </c>
      <c r="Z107" s="13">
        <f t="shared" si="15"/>
        <v>0</v>
      </c>
      <c r="AA107">
        <v>0</v>
      </c>
      <c r="AB107">
        <v>0</v>
      </c>
      <c r="AC107">
        <v>0</v>
      </c>
      <c r="AD107">
        <v>0</v>
      </c>
      <c r="AE107" s="7">
        <f t="shared" si="16"/>
        <v>0</v>
      </c>
      <c r="AF107">
        <v>0</v>
      </c>
      <c r="AG107">
        <v>0</v>
      </c>
      <c r="AH107">
        <v>0</v>
      </c>
      <c r="AI107" s="13">
        <f t="shared" si="17"/>
        <v>0</v>
      </c>
      <c r="AJ107" s="11" t="s">
        <v>51</v>
      </c>
      <c r="AK107" s="11" t="s">
        <v>51</v>
      </c>
      <c r="AL107" s="11" t="s">
        <v>51</v>
      </c>
      <c r="AM107" s="13">
        <f t="shared" si="18"/>
        <v>0</v>
      </c>
      <c r="AN107" s="18">
        <v>40</v>
      </c>
      <c r="AO107" s="18">
        <v>0</v>
      </c>
      <c r="AP107" s="18">
        <v>0</v>
      </c>
      <c r="AQ107" s="18">
        <v>0</v>
      </c>
      <c r="AR107" s="18">
        <f t="shared" si="19"/>
        <v>40</v>
      </c>
      <c r="AS107" t="s">
        <v>52</v>
      </c>
      <c r="AT107" s="9" t="s">
        <v>440</v>
      </c>
      <c r="AU107" s="30">
        <f>+((AN107*I107)+(AO107*AE107)+(AQ107*AI107)+(AP107*AM107))/AR107</f>
        <v>96.75</v>
      </c>
    </row>
    <row r="108" spans="1:47" hidden="1" x14ac:dyDescent="0.25">
      <c r="A108" t="s">
        <v>46</v>
      </c>
      <c r="B108" t="s">
        <v>441</v>
      </c>
      <c r="C108" t="s">
        <v>442</v>
      </c>
      <c r="D108" t="s">
        <v>443</v>
      </c>
      <c r="E108" s="11">
        <v>25</v>
      </c>
      <c r="F108" s="11">
        <v>0</v>
      </c>
      <c r="G108" s="11">
        <v>51.674999999999997</v>
      </c>
      <c r="H108" s="11">
        <v>8.75</v>
      </c>
      <c r="I108" s="13">
        <f t="shared" si="11"/>
        <v>85.424999999999997</v>
      </c>
      <c r="J108" s="11">
        <v>0</v>
      </c>
      <c r="K108" s="11">
        <v>0</v>
      </c>
      <c r="L108" s="11">
        <v>0</v>
      </c>
      <c r="M108" s="13">
        <f t="shared" si="12"/>
        <v>0</v>
      </c>
      <c r="N108" s="11">
        <v>0</v>
      </c>
      <c r="O108" s="11">
        <v>0</v>
      </c>
      <c r="P108" s="11">
        <v>0</v>
      </c>
      <c r="Q108" s="11">
        <v>0</v>
      </c>
      <c r="R108" s="13">
        <f t="shared" si="13"/>
        <v>0</v>
      </c>
      <c r="S108">
        <v>0</v>
      </c>
      <c r="T108">
        <v>0</v>
      </c>
      <c r="U108" s="7">
        <f t="shared" si="14"/>
        <v>0</v>
      </c>
      <c r="V108">
        <v>0</v>
      </c>
      <c r="W108">
        <v>0</v>
      </c>
      <c r="X108">
        <v>0</v>
      </c>
      <c r="Y108">
        <v>0</v>
      </c>
      <c r="Z108" s="13">
        <f t="shared" si="15"/>
        <v>0</v>
      </c>
      <c r="AA108">
        <v>0</v>
      </c>
      <c r="AB108">
        <v>0</v>
      </c>
      <c r="AC108">
        <v>0</v>
      </c>
      <c r="AD108">
        <v>0</v>
      </c>
      <c r="AE108" s="7">
        <f t="shared" si="16"/>
        <v>0</v>
      </c>
      <c r="AF108">
        <v>0</v>
      </c>
      <c r="AG108">
        <v>0</v>
      </c>
      <c r="AH108">
        <v>0</v>
      </c>
      <c r="AI108" s="13">
        <f t="shared" si="17"/>
        <v>0</v>
      </c>
      <c r="AJ108" s="11" t="s">
        <v>51</v>
      </c>
      <c r="AK108" s="11" t="s">
        <v>51</v>
      </c>
      <c r="AL108" s="11" t="s">
        <v>51</v>
      </c>
      <c r="AM108" s="13">
        <f t="shared" si="18"/>
        <v>0</v>
      </c>
      <c r="AN108" s="18">
        <v>40</v>
      </c>
      <c r="AO108" s="18">
        <v>0</v>
      </c>
      <c r="AP108" s="18">
        <v>0</v>
      </c>
      <c r="AQ108" s="18">
        <v>0</v>
      </c>
      <c r="AR108" s="18">
        <f t="shared" si="19"/>
        <v>40</v>
      </c>
      <c r="AS108" t="s">
        <v>52</v>
      </c>
      <c r="AT108" s="9" t="s">
        <v>444</v>
      </c>
      <c r="AU108" s="30">
        <f>+((AN108*I108)+(AO108*AE108)+(AQ108*AI108)+(AP108*AM108))/AR108</f>
        <v>85.424999999999997</v>
      </c>
    </row>
    <row r="109" spans="1:47" s="6" customFormat="1" hidden="1" x14ac:dyDescent="0.25">
      <c r="A109" s="6" t="s">
        <v>46</v>
      </c>
      <c r="B109" s="6" t="s">
        <v>445</v>
      </c>
      <c r="C109" s="6" t="s">
        <v>446</v>
      </c>
      <c r="D109" s="6" t="s">
        <v>447</v>
      </c>
      <c r="E109" s="12">
        <v>0</v>
      </c>
      <c r="F109" s="12">
        <v>0</v>
      </c>
      <c r="G109" s="12">
        <v>0</v>
      </c>
      <c r="H109" s="12">
        <v>0</v>
      </c>
      <c r="I109" s="13">
        <f t="shared" si="11"/>
        <v>0</v>
      </c>
      <c r="J109" s="14">
        <v>51.69</v>
      </c>
      <c r="K109" s="14">
        <v>30</v>
      </c>
      <c r="L109" s="14">
        <v>4.75</v>
      </c>
      <c r="M109" s="13">
        <f t="shared" si="12"/>
        <v>86.44</v>
      </c>
      <c r="N109" s="12">
        <v>0</v>
      </c>
      <c r="O109" s="12">
        <v>0</v>
      </c>
      <c r="P109" s="12">
        <v>0</v>
      </c>
      <c r="Q109" s="12">
        <v>0</v>
      </c>
      <c r="R109" s="13">
        <f t="shared" si="13"/>
        <v>0</v>
      </c>
      <c r="S109" s="6">
        <v>0</v>
      </c>
      <c r="T109" s="6">
        <v>0</v>
      </c>
      <c r="U109" s="7">
        <f t="shared" si="14"/>
        <v>0</v>
      </c>
      <c r="V109" s="6">
        <v>0</v>
      </c>
      <c r="W109" s="6">
        <v>0</v>
      </c>
      <c r="X109" s="6">
        <v>0</v>
      </c>
      <c r="Y109" s="6">
        <v>0</v>
      </c>
      <c r="Z109" s="13">
        <f t="shared" si="15"/>
        <v>0</v>
      </c>
      <c r="AA109" s="6">
        <v>0</v>
      </c>
      <c r="AB109" s="6">
        <v>0</v>
      </c>
      <c r="AC109" s="6">
        <v>0</v>
      </c>
      <c r="AD109" s="6">
        <v>0</v>
      </c>
      <c r="AE109" s="7">
        <f t="shared" si="16"/>
        <v>0</v>
      </c>
      <c r="AF109" s="6">
        <v>0</v>
      </c>
      <c r="AG109" s="6">
        <v>0</v>
      </c>
      <c r="AH109" s="6">
        <v>0</v>
      </c>
      <c r="AI109" s="13">
        <f t="shared" si="17"/>
        <v>0</v>
      </c>
      <c r="AJ109" s="12" t="s">
        <v>51</v>
      </c>
      <c r="AK109" s="12" t="s">
        <v>51</v>
      </c>
      <c r="AL109" s="12" t="s">
        <v>51</v>
      </c>
      <c r="AM109" s="13">
        <f t="shared" si="18"/>
        <v>0</v>
      </c>
      <c r="AN109" s="21">
        <v>2</v>
      </c>
      <c r="AO109" s="21">
        <v>0</v>
      </c>
      <c r="AP109" s="21">
        <v>0</v>
      </c>
      <c r="AQ109" s="21">
        <v>0</v>
      </c>
      <c r="AR109" s="18">
        <f t="shared" si="19"/>
        <v>2</v>
      </c>
      <c r="AS109" s="6" t="s">
        <v>87</v>
      </c>
      <c r="AT109" s="10" t="s">
        <v>932</v>
      </c>
      <c r="AU109" s="30">
        <f>+((AN109*M109)/AR109)</f>
        <v>86.44</v>
      </c>
    </row>
    <row r="110" spans="1:47" hidden="1" x14ac:dyDescent="0.25">
      <c r="A110" t="s">
        <v>46</v>
      </c>
      <c r="B110" t="s">
        <v>448</v>
      </c>
      <c r="C110" t="s">
        <v>449</v>
      </c>
      <c r="D110" t="s">
        <v>450</v>
      </c>
      <c r="E110" s="11">
        <v>17.5</v>
      </c>
      <c r="F110" s="11">
        <v>18.329999999999998</v>
      </c>
      <c r="G110" s="11">
        <v>39.520000000000003</v>
      </c>
      <c r="H110" s="11">
        <v>7</v>
      </c>
      <c r="I110" s="13">
        <f t="shared" si="11"/>
        <v>82.35</v>
      </c>
      <c r="J110" s="11">
        <v>0</v>
      </c>
      <c r="K110" s="11">
        <v>0</v>
      </c>
      <c r="L110" s="11">
        <v>0</v>
      </c>
      <c r="M110" s="13">
        <f t="shared" si="12"/>
        <v>0</v>
      </c>
      <c r="N110" s="11">
        <v>0</v>
      </c>
      <c r="O110" s="11">
        <v>0</v>
      </c>
      <c r="P110" s="11">
        <v>0</v>
      </c>
      <c r="Q110" s="11">
        <v>0</v>
      </c>
      <c r="R110" s="13">
        <f t="shared" si="13"/>
        <v>0</v>
      </c>
      <c r="S110">
        <v>0</v>
      </c>
      <c r="T110">
        <v>0</v>
      </c>
      <c r="U110" s="7">
        <f t="shared" si="14"/>
        <v>0</v>
      </c>
      <c r="V110">
        <v>0</v>
      </c>
      <c r="W110">
        <v>0</v>
      </c>
      <c r="X110">
        <v>0</v>
      </c>
      <c r="Y110">
        <v>0</v>
      </c>
      <c r="Z110" s="13">
        <f t="shared" si="15"/>
        <v>0</v>
      </c>
      <c r="AA110" s="11">
        <v>0</v>
      </c>
      <c r="AB110" s="11">
        <v>45.588235294117652</v>
      </c>
      <c r="AC110" s="11">
        <v>17.647058823529413</v>
      </c>
      <c r="AD110" s="11">
        <v>23.529411764705877</v>
      </c>
      <c r="AE110" s="7">
        <f t="shared" si="16"/>
        <v>86.764705882352942</v>
      </c>
      <c r="AF110">
        <v>50</v>
      </c>
      <c r="AG110">
        <v>17.329999999999998</v>
      </c>
      <c r="AH110">
        <v>25.57</v>
      </c>
      <c r="AI110" s="13">
        <f t="shared" si="17"/>
        <v>92.9</v>
      </c>
      <c r="AJ110" s="11" t="s">
        <v>51</v>
      </c>
      <c r="AK110" s="11" t="s">
        <v>51</v>
      </c>
      <c r="AL110" s="11" t="s">
        <v>51</v>
      </c>
      <c r="AM110" s="13">
        <f t="shared" si="18"/>
        <v>0</v>
      </c>
      <c r="AN110" s="18">
        <v>25.75</v>
      </c>
      <c r="AO110" s="18">
        <v>6.25</v>
      </c>
      <c r="AP110" s="18">
        <v>0</v>
      </c>
      <c r="AQ110" s="18">
        <v>8</v>
      </c>
      <c r="AR110" s="18">
        <f t="shared" si="19"/>
        <v>40</v>
      </c>
      <c r="AS110" t="s">
        <v>52</v>
      </c>
      <c r="AT110" s="9" t="s">
        <v>451</v>
      </c>
      <c r="AU110" s="30">
        <f>+((AN110*I110)+(AO110*AE110)+(AQ110*AI110))/AR110</f>
        <v>85.149797794117646</v>
      </c>
    </row>
    <row r="111" spans="1:47" hidden="1" x14ac:dyDescent="0.25">
      <c r="A111" t="s">
        <v>46</v>
      </c>
      <c r="B111" t="s">
        <v>452</v>
      </c>
      <c r="C111" t="s">
        <v>453</v>
      </c>
      <c r="D111" t="s">
        <v>454</v>
      </c>
      <c r="E111" s="11">
        <v>20</v>
      </c>
      <c r="F111" s="11">
        <v>20</v>
      </c>
      <c r="G111" s="11">
        <v>41.36</v>
      </c>
      <c r="H111" s="11">
        <v>5.5</v>
      </c>
      <c r="I111" s="13">
        <f t="shared" si="11"/>
        <v>86.86</v>
      </c>
      <c r="J111" s="11">
        <v>0</v>
      </c>
      <c r="K111" s="11">
        <v>0</v>
      </c>
      <c r="L111" s="11">
        <v>0</v>
      </c>
      <c r="M111" s="13">
        <f t="shared" si="12"/>
        <v>0</v>
      </c>
      <c r="N111" s="11">
        <v>0</v>
      </c>
      <c r="O111" s="11">
        <v>0</v>
      </c>
      <c r="P111" s="11">
        <v>0</v>
      </c>
      <c r="Q111" s="11">
        <v>0</v>
      </c>
      <c r="R111" s="13">
        <f t="shared" si="13"/>
        <v>0</v>
      </c>
      <c r="S111">
        <v>0</v>
      </c>
      <c r="T111">
        <v>0</v>
      </c>
      <c r="U111" s="7">
        <f t="shared" si="14"/>
        <v>0</v>
      </c>
      <c r="V111">
        <v>0</v>
      </c>
      <c r="W111">
        <v>0</v>
      </c>
      <c r="X111">
        <v>0</v>
      </c>
      <c r="Y111">
        <v>0</v>
      </c>
      <c r="Z111" s="13">
        <f t="shared" si="15"/>
        <v>0</v>
      </c>
      <c r="AA111">
        <v>0</v>
      </c>
      <c r="AB111">
        <v>0</v>
      </c>
      <c r="AC111">
        <v>0</v>
      </c>
      <c r="AD111">
        <v>0</v>
      </c>
      <c r="AE111" s="7">
        <f t="shared" si="16"/>
        <v>0</v>
      </c>
      <c r="AF111">
        <v>50</v>
      </c>
      <c r="AG111">
        <v>0</v>
      </c>
      <c r="AH111" s="11">
        <v>36.66375</v>
      </c>
      <c r="AI111" s="13">
        <f t="shared" si="17"/>
        <v>86.663749999999993</v>
      </c>
      <c r="AJ111" s="11" t="s">
        <v>51</v>
      </c>
      <c r="AK111" s="11" t="s">
        <v>51</v>
      </c>
      <c r="AL111" s="11" t="s">
        <v>51</v>
      </c>
      <c r="AM111" s="13">
        <f t="shared" si="18"/>
        <v>0</v>
      </c>
      <c r="AN111" s="18">
        <v>35</v>
      </c>
      <c r="AO111" s="18">
        <v>0</v>
      </c>
      <c r="AP111" s="18">
        <v>0</v>
      </c>
      <c r="AQ111" s="18">
        <v>5</v>
      </c>
      <c r="AR111" s="18">
        <f t="shared" si="19"/>
        <v>40</v>
      </c>
      <c r="AS111" t="s">
        <v>52</v>
      </c>
      <c r="AT111" s="9" t="s">
        <v>455</v>
      </c>
      <c r="AU111" s="30">
        <f>+((AN111*I111)+(AQ111*AI111))/AR111</f>
        <v>86.83546874999999</v>
      </c>
    </row>
    <row r="112" spans="1:47" hidden="1" x14ac:dyDescent="0.25">
      <c r="A112" t="s">
        <v>46</v>
      </c>
      <c r="B112" t="s">
        <v>456</v>
      </c>
      <c r="C112" t="s">
        <v>457</v>
      </c>
      <c r="D112" t="s">
        <v>458</v>
      </c>
      <c r="E112" s="11">
        <v>0</v>
      </c>
      <c r="F112" s="11">
        <v>0</v>
      </c>
      <c r="G112" s="11">
        <v>89.2</v>
      </c>
      <c r="H112" s="11">
        <v>0</v>
      </c>
      <c r="I112" s="13">
        <f t="shared" si="11"/>
        <v>89.2</v>
      </c>
      <c r="J112" s="11">
        <v>0</v>
      </c>
      <c r="K112" s="11">
        <v>0</v>
      </c>
      <c r="L112" s="11">
        <v>0</v>
      </c>
      <c r="M112" s="13">
        <f t="shared" si="12"/>
        <v>0</v>
      </c>
      <c r="N112" s="11">
        <v>0</v>
      </c>
      <c r="O112" s="11">
        <v>0</v>
      </c>
      <c r="P112" s="11">
        <v>0</v>
      </c>
      <c r="Q112" s="11">
        <v>0</v>
      </c>
      <c r="R112" s="13">
        <f t="shared" si="13"/>
        <v>0</v>
      </c>
      <c r="S112">
        <v>0</v>
      </c>
      <c r="T112">
        <v>0</v>
      </c>
      <c r="U112" s="7">
        <f t="shared" si="14"/>
        <v>0</v>
      </c>
      <c r="V112">
        <v>0</v>
      </c>
      <c r="W112">
        <v>0</v>
      </c>
      <c r="X112">
        <v>0</v>
      </c>
      <c r="Y112">
        <v>0</v>
      </c>
      <c r="Z112" s="13">
        <f t="shared" si="15"/>
        <v>0</v>
      </c>
      <c r="AA112">
        <v>0</v>
      </c>
      <c r="AB112">
        <v>0</v>
      </c>
      <c r="AC112">
        <v>0</v>
      </c>
      <c r="AD112">
        <v>0</v>
      </c>
      <c r="AE112" s="7">
        <f t="shared" si="16"/>
        <v>0</v>
      </c>
      <c r="AF112">
        <v>0</v>
      </c>
      <c r="AG112">
        <v>0</v>
      </c>
      <c r="AH112">
        <v>0</v>
      </c>
      <c r="AI112" s="13">
        <f t="shared" si="17"/>
        <v>0</v>
      </c>
      <c r="AJ112" s="11" t="s">
        <v>51</v>
      </c>
      <c r="AK112" s="11" t="s">
        <v>51</v>
      </c>
      <c r="AL112" s="11" t="s">
        <v>51</v>
      </c>
      <c r="AM112" s="13">
        <f t="shared" si="18"/>
        <v>0</v>
      </c>
      <c r="AN112" s="18">
        <v>7</v>
      </c>
      <c r="AO112" s="18">
        <v>0</v>
      </c>
      <c r="AP112" s="18">
        <v>0</v>
      </c>
      <c r="AQ112" s="18">
        <v>0</v>
      </c>
      <c r="AR112" s="18">
        <f t="shared" si="19"/>
        <v>7</v>
      </c>
      <c r="AS112" t="s">
        <v>52</v>
      </c>
      <c r="AT112" s="9" t="s">
        <v>459</v>
      </c>
      <c r="AU112" s="30">
        <f>+((AN112*I112)+(AO112*AE112)+(AQ112*AI112)+(AP112*AM112))/AR112</f>
        <v>89.2</v>
      </c>
    </row>
    <row r="113" spans="1:47" x14ac:dyDescent="0.25">
      <c r="A113" t="s">
        <v>46</v>
      </c>
      <c r="B113" t="s">
        <v>460</v>
      </c>
      <c r="C113" t="s">
        <v>461</v>
      </c>
      <c r="D113" t="s">
        <v>462</v>
      </c>
      <c r="E113" s="11">
        <v>0</v>
      </c>
      <c r="F113" s="11">
        <v>0</v>
      </c>
      <c r="G113" s="11">
        <v>0</v>
      </c>
      <c r="H113" s="11">
        <v>60</v>
      </c>
      <c r="I113" s="13">
        <f t="shared" si="11"/>
        <v>60</v>
      </c>
      <c r="J113" s="11">
        <v>0</v>
      </c>
      <c r="K113" s="11">
        <v>0</v>
      </c>
      <c r="L113" s="11">
        <v>0</v>
      </c>
      <c r="M113" s="13">
        <f t="shared" si="12"/>
        <v>0</v>
      </c>
      <c r="N113" s="11">
        <v>0</v>
      </c>
      <c r="O113" s="11">
        <v>0</v>
      </c>
      <c r="P113" s="11">
        <v>0</v>
      </c>
      <c r="Q113" s="11">
        <v>0</v>
      </c>
      <c r="R113" s="13">
        <f t="shared" si="13"/>
        <v>0</v>
      </c>
      <c r="S113">
        <v>0</v>
      </c>
      <c r="T113">
        <v>0</v>
      </c>
      <c r="U113" s="7">
        <f t="shared" si="14"/>
        <v>0</v>
      </c>
      <c r="V113">
        <v>0</v>
      </c>
      <c r="W113">
        <v>0</v>
      </c>
      <c r="X113">
        <v>0</v>
      </c>
      <c r="Y113">
        <v>0</v>
      </c>
      <c r="Z113" s="13">
        <f t="shared" si="15"/>
        <v>0</v>
      </c>
      <c r="AA113">
        <v>0</v>
      </c>
      <c r="AB113">
        <v>0</v>
      </c>
      <c r="AC113">
        <v>0</v>
      </c>
      <c r="AD113">
        <v>0</v>
      </c>
      <c r="AE113" s="7">
        <f t="shared" si="16"/>
        <v>0</v>
      </c>
      <c r="AF113">
        <v>0</v>
      </c>
      <c r="AG113">
        <v>0</v>
      </c>
      <c r="AH113">
        <v>0</v>
      </c>
      <c r="AI113" s="13">
        <f t="shared" si="17"/>
        <v>0</v>
      </c>
      <c r="AJ113" s="11" t="s">
        <v>51</v>
      </c>
      <c r="AK113" s="11" t="s">
        <v>51</v>
      </c>
      <c r="AL113" s="11" t="s">
        <v>51</v>
      </c>
      <c r="AM113" s="13">
        <f t="shared" si="18"/>
        <v>0</v>
      </c>
      <c r="AN113" s="18">
        <v>3</v>
      </c>
      <c r="AO113" s="18">
        <v>0</v>
      </c>
      <c r="AP113" s="18">
        <v>0</v>
      </c>
      <c r="AQ113" s="18">
        <v>0</v>
      </c>
      <c r="AR113" s="18">
        <f t="shared" si="19"/>
        <v>3</v>
      </c>
      <c r="AS113" t="s">
        <v>52</v>
      </c>
      <c r="AT113" s="9" t="s">
        <v>116</v>
      </c>
      <c r="AU113" s="30">
        <f>+((AN113*I113)+(AO113*AE113)+(AQ113*AI113)+(AP113*AM113))/AR113</f>
        <v>60</v>
      </c>
    </row>
    <row r="114" spans="1:47" hidden="1" x14ac:dyDescent="0.25">
      <c r="A114" t="s">
        <v>46</v>
      </c>
      <c r="B114" t="s">
        <v>463</v>
      </c>
      <c r="C114" t="s">
        <v>464</v>
      </c>
      <c r="D114" t="s">
        <v>465</v>
      </c>
      <c r="E114" s="11">
        <v>0</v>
      </c>
      <c r="F114" s="11">
        <v>0</v>
      </c>
      <c r="G114" s="11">
        <v>0</v>
      </c>
      <c r="H114" s="11">
        <v>0</v>
      </c>
      <c r="I114" s="13">
        <f t="shared" si="11"/>
        <v>0</v>
      </c>
      <c r="J114" s="11">
        <v>0</v>
      </c>
      <c r="K114" s="11">
        <v>0</v>
      </c>
      <c r="L114" s="11">
        <v>0</v>
      </c>
      <c r="M114" s="13">
        <f t="shared" si="12"/>
        <v>0</v>
      </c>
      <c r="N114" s="11">
        <v>0</v>
      </c>
      <c r="O114" s="11">
        <v>0</v>
      </c>
      <c r="P114" s="11">
        <v>0</v>
      </c>
      <c r="Q114" s="11">
        <v>0</v>
      </c>
      <c r="R114" s="13">
        <f t="shared" si="13"/>
        <v>0</v>
      </c>
      <c r="S114">
        <v>0</v>
      </c>
      <c r="T114">
        <v>0</v>
      </c>
      <c r="U114" s="7">
        <f t="shared" si="14"/>
        <v>0</v>
      </c>
      <c r="V114">
        <v>4.5</v>
      </c>
      <c r="W114">
        <v>20</v>
      </c>
      <c r="X114">
        <v>44.97</v>
      </c>
      <c r="Y114">
        <v>20</v>
      </c>
      <c r="Z114" s="13">
        <f t="shared" si="15"/>
        <v>89.47</v>
      </c>
      <c r="AA114">
        <v>0</v>
      </c>
      <c r="AB114">
        <v>0</v>
      </c>
      <c r="AC114">
        <v>0</v>
      </c>
      <c r="AD114">
        <v>0</v>
      </c>
      <c r="AE114" s="7">
        <f t="shared" si="16"/>
        <v>0</v>
      </c>
      <c r="AF114">
        <v>0</v>
      </c>
      <c r="AG114">
        <v>0</v>
      </c>
      <c r="AH114">
        <v>0</v>
      </c>
      <c r="AI114" s="13">
        <f t="shared" si="17"/>
        <v>0</v>
      </c>
      <c r="AJ114" s="11" t="s">
        <v>51</v>
      </c>
      <c r="AK114" s="11" t="s">
        <v>51</v>
      </c>
      <c r="AL114" s="11" t="s">
        <v>51</v>
      </c>
      <c r="AM114" s="13">
        <f t="shared" si="18"/>
        <v>0</v>
      </c>
      <c r="AN114" s="18">
        <v>37.75</v>
      </c>
      <c r="AO114" s="18">
        <v>0</v>
      </c>
      <c r="AP114" s="18">
        <v>0</v>
      </c>
      <c r="AQ114" s="18">
        <v>0</v>
      </c>
      <c r="AR114" s="18">
        <f t="shared" si="19"/>
        <v>37.75</v>
      </c>
      <c r="AS114" t="s">
        <v>52</v>
      </c>
      <c r="AT114" s="9" t="s">
        <v>466</v>
      </c>
      <c r="AU114" s="30">
        <f>+((Z114*AN114)/AR114)</f>
        <v>89.47</v>
      </c>
    </row>
    <row r="115" spans="1:47" hidden="1" x14ac:dyDescent="0.25">
      <c r="A115" t="s">
        <v>46</v>
      </c>
      <c r="B115" t="s">
        <v>467</v>
      </c>
      <c r="C115" t="s">
        <v>464</v>
      </c>
      <c r="D115" t="s">
        <v>468</v>
      </c>
      <c r="E115" s="11">
        <v>20</v>
      </c>
      <c r="F115" s="11">
        <v>19.329999999999998</v>
      </c>
      <c r="G115" s="11">
        <v>42.02</v>
      </c>
      <c r="H115" s="11">
        <v>4</v>
      </c>
      <c r="I115" s="13">
        <f t="shared" si="11"/>
        <v>85.35</v>
      </c>
      <c r="J115" s="11">
        <v>0</v>
      </c>
      <c r="K115" s="11">
        <v>0</v>
      </c>
      <c r="L115" s="11">
        <v>0</v>
      </c>
      <c r="M115" s="13">
        <f t="shared" si="12"/>
        <v>0</v>
      </c>
      <c r="N115" s="11">
        <v>0</v>
      </c>
      <c r="O115" s="11">
        <v>0</v>
      </c>
      <c r="P115" s="11">
        <v>0</v>
      </c>
      <c r="Q115" s="11">
        <v>0</v>
      </c>
      <c r="R115" s="13">
        <f t="shared" si="13"/>
        <v>0</v>
      </c>
      <c r="S115">
        <v>0</v>
      </c>
      <c r="T115">
        <v>0</v>
      </c>
      <c r="U115" s="7">
        <f t="shared" si="14"/>
        <v>0</v>
      </c>
      <c r="V115">
        <v>0</v>
      </c>
      <c r="W115">
        <v>0</v>
      </c>
      <c r="X115">
        <v>0</v>
      </c>
      <c r="Y115">
        <v>0</v>
      </c>
      <c r="Z115" s="13">
        <f t="shared" si="15"/>
        <v>0</v>
      </c>
      <c r="AA115">
        <v>0</v>
      </c>
      <c r="AB115">
        <v>0</v>
      </c>
      <c r="AC115">
        <v>0</v>
      </c>
      <c r="AD115">
        <v>0</v>
      </c>
      <c r="AE115" s="7">
        <f t="shared" si="16"/>
        <v>0</v>
      </c>
      <c r="AF115">
        <v>0</v>
      </c>
      <c r="AG115">
        <v>0</v>
      </c>
      <c r="AH115">
        <v>0</v>
      </c>
      <c r="AI115" s="13">
        <f t="shared" si="17"/>
        <v>0</v>
      </c>
      <c r="AJ115" s="11" t="s">
        <v>51</v>
      </c>
      <c r="AK115" s="11" t="s">
        <v>51</v>
      </c>
      <c r="AL115" s="11" t="s">
        <v>51</v>
      </c>
      <c r="AM115" s="13">
        <f t="shared" si="18"/>
        <v>0</v>
      </c>
      <c r="AN115" s="18">
        <v>4</v>
      </c>
      <c r="AO115" s="18">
        <v>0</v>
      </c>
      <c r="AP115" s="18">
        <v>0</v>
      </c>
      <c r="AQ115" s="18">
        <v>0</v>
      </c>
      <c r="AR115" s="18">
        <f t="shared" si="19"/>
        <v>4</v>
      </c>
      <c r="AS115" t="s">
        <v>52</v>
      </c>
      <c r="AT115" s="9" t="s">
        <v>469</v>
      </c>
      <c r="AU115" s="30">
        <f>+((AN115*I115)+(AO115*AE115)+(AQ115*AI115)+(AP115*AM115))/AR115</f>
        <v>85.35</v>
      </c>
    </row>
    <row r="116" spans="1:47" hidden="1" x14ac:dyDescent="0.25">
      <c r="A116" t="s">
        <v>46</v>
      </c>
      <c r="B116" t="s">
        <v>470</v>
      </c>
      <c r="C116" t="s">
        <v>471</v>
      </c>
      <c r="D116" t="s">
        <v>472</v>
      </c>
      <c r="E116" s="11">
        <v>20</v>
      </c>
      <c r="F116" s="11">
        <v>20</v>
      </c>
      <c r="G116" s="11">
        <v>48.23</v>
      </c>
      <c r="H116" s="11">
        <v>3</v>
      </c>
      <c r="I116" s="13">
        <f t="shared" si="11"/>
        <v>91.22999999999999</v>
      </c>
      <c r="J116" s="11">
        <v>0</v>
      </c>
      <c r="K116" s="11">
        <v>0</v>
      </c>
      <c r="L116" s="11">
        <v>0</v>
      </c>
      <c r="M116" s="13">
        <f t="shared" si="12"/>
        <v>0</v>
      </c>
      <c r="N116" s="11">
        <v>0</v>
      </c>
      <c r="O116" s="11">
        <v>0</v>
      </c>
      <c r="P116" s="11">
        <v>0</v>
      </c>
      <c r="Q116" s="11">
        <v>0</v>
      </c>
      <c r="R116" s="13">
        <f t="shared" si="13"/>
        <v>0</v>
      </c>
      <c r="S116">
        <v>0</v>
      </c>
      <c r="T116">
        <v>0</v>
      </c>
      <c r="U116" s="7">
        <f t="shared" si="14"/>
        <v>0</v>
      </c>
      <c r="V116">
        <v>0</v>
      </c>
      <c r="W116">
        <v>0</v>
      </c>
      <c r="X116">
        <v>0</v>
      </c>
      <c r="Y116">
        <v>0</v>
      </c>
      <c r="Z116" s="13">
        <f t="shared" si="15"/>
        <v>0</v>
      </c>
      <c r="AA116">
        <v>0</v>
      </c>
      <c r="AB116">
        <v>0</v>
      </c>
      <c r="AC116">
        <v>0</v>
      </c>
      <c r="AD116">
        <v>0</v>
      </c>
      <c r="AE116" s="7">
        <f t="shared" si="16"/>
        <v>0</v>
      </c>
      <c r="AF116">
        <v>50</v>
      </c>
      <c r="AG116">
        <v>20</v>
      </c>
      <c r="AH116">
        <v>21.8</v>
      </c>
      <c r="AI116" s="13">
        <f t="shared" si="17"/>
        <v>91.8</v>
      </c>
      <c r="AJ116" s="11" t="s">
        <v>51</v>
      </c>
      <c r="AK116" s="11" t="s">
        <v>51</v>
      </c>
      <c r="AL116" s="11" t="s">
        <v>51</v>
      </c>
      <c r="AM116" s="13">
        <f t="shared" si="18"/>
        <v>0</v>
      </c>
      <c r="AN116" s="18">
        <v>32</v>
      </c>
      <c r="AO116" s="18">
        <v>0</v>
      </c>
      <c r="AP116" s="18">
        <v>0</v>
      </c>
      <c r="AQ116" s="18">
        <v>8</v>
      </c>
      <c r="AR116" s="18">
        <f t="shared" si="19"/>
        <v>40</v>
      </c>
      <c r="AS116" t="s">
        <v>52</v>
      </c>
      <c r="AT116" s="9" t="s">
        <v>473</v>
      </c>
      <c r="AU116" s="30">
        <f>+((AN116*I116)+(AO116*AE116)+(AQ116*AI116)+(AP116*AM116))/AR116</f>
        <v>91.343999999999994</v>
      </c>
    </row>
    <row r="117" spans="1:47" hidden="1" x14ac:dyDescent="0.25">
      <c r="A117" t="s">
        <v>46</v>
      </c>
      <c r="B117" t="s">
        <v>474</v>
      </c>
      <c r="C117" t="s">
        <v>475</v>
      </c>
      <c r="D117" t="s">
        <v>476</v>
      </c>
      <c r="E117" s="11">
        <v>20</v>
      </c>
      <c r="F117" s="11">
        <v>20</v>
      </c>
      <c r="G117" s="11">
        <v>43.76</v>
      </c>
      <c r="H117" s="11">
        <v>3</v>
      </c>
      <c r="I117" s="13">
        <f t="shared" si="11"/>
        <v>86.759999999999991</v>
      </c>
      <c r="J117" s="11">
        <v>0</v>
      </c>
      <c r="K117" s="11">
        <v>0</v>
      </c>
      <c r="L117" s="11">
        <v>0</v>
      </c>
      <c r="M117" s="13">
        <f t="shared" si="12"/>
        <v>0</v>
      </c>
      <c r="N117" s="11">
        <v>0</v>
      </c>
      <c r="O117" s="11">
        <v>0</v>
      </c>
      <c r="P117" s="11">
        <v>0</v>
      </c>
      <c r="Q117" s="11">
        <v>0</v>
      </c>
      <c r="R117" s="13">
        <f t="shared" si="13"/>
        <v>0</v>
      </c>
      <c r="S117">
        <v>0</v>
      </c>
      <c r="T117">
        <v>0</v>
      </c>
      <c r="U117" s="7">
        <f t="shared" si="14"/>
        <v>0</v>
      </c>
      <c r="V117">
        <v>0</v>
      </c>
      <c r="W117">
        <v>0</v>
      </c>
      <c r="X117">
        <v>0</v>
      </c>
      <c r="Y117">
        <v>0</v>
      </c>
      <c r="Z117" s="13">
        <f t="shared" si="15"/>
        <v>0</v>
      </c>
      <c r="AA117">
        <v>0</v>
      </c>
      <c r="AB117">
        <v>0</v>
      </c>
      <c r="AC117">
        <v>0</v>
      </c>
      <c r="AD117">
        <v>0</v>
      </c>
      <c r="AE117" s="7">
        <f t="shared" si="16"/>
        <v>0</v>
      </c>
      <c r="AF117">
        <v>0</v>
      </c>
      <c r="AG117">
        <v>0</v>
      </c>
      <c r="AH117">
        <v>0</v>
      </c>
      <c r="AI117" s="13">
        <f t="shared" si="17"/>
        <v>0</v>
      </c>
      <c r="AJ117" s="11" t="s">
        <v>51</v>
      </c>
      <c r="AK117" s="11" t="s">
        <v>51</v>
      </c>
      <c r="AL117" s="11" t="s">
        <v>51</v>
      </c>
      <c r="AM117" s="13">
        <f t="shared" si="18"/>
        <v>0</v>
      </c>
      <c r="AN117" s="18">
        <v>4</v>
      </c>
      <c r="AO117" s="18">
        <v>0</v>
      </c>
      <c r="AP117" s="18">
        <v>0</v>
      </c>
      <c r="AQ117" s="18">
        <v>0</v>
      </c>
      <c r="AR117" s="18">
        <f t="shared" si="19"/>
        <v>4</v>
      </c>
      <c r="AS117" t="s">
        <v>52</v>
      </c>
      <c r="AT117" s="9" t="s">
        <v>477</v>
      </c>
      <c r="AU117" s="30">
        <f>+((AN117*I117)+(AO117*AE117)+(AQ117*AI117)+(AP117*AM117))/AR117</f>
        <v>86.759999999999991</v>
      </c>
    </row>
    <row r="118" spans="1:47" hidden="1" x14ac:dyDescent="0.25">
      <c r="A118" t="s">
        <v>46</v>
      </c>
      <c r="B118" t="s">
        <v>478</v>
      </c>
      <c r="C118" t="s">
        <v>479</v>
      </c>
      <c r="D118" t="s">
        <v>480</v>
      </c>
      <c r="E118" s="11">
        <v>20</v>
      </c>
      <c r="F118" s="11">
        <v>6.6700000000000008</v>
      </c>
      <c r="G118" s="11">
        <v>41.95</v>
      </c>
      <c r="H118" s="11">
        <v>2.5</v>
      </c>
      <c r="I118" s="13">
        <f t="shared" si="11"/>
        <v>71.12</v>
      </c>
      <c r="J118" s="11">
        <v>0</v>
      </c>
      <c r="K118" s="11">
        <v>0</v>
      </c>
      <c r="L118" s="11">
        <v>0</v>
      </c>
      <c r="M118" s="13">
        <f t="shared" si="12"/>
        <v>0</v>
      </c>
      <c r="N118" s="11">
        <v>0</v>
      </c>
      <c r="O118" s="11">
        <v>0</v>
      </c>
      <c r="P118" s="11">
        <v>0</v>
      </c>
      <c r="Q118" s="11">
        <v>0</v>
      </c>
      <c r="R118" s="13">
        <f t="shared" si="13"/>
        <v>0</v>
      </c>
      <c r="S118">
        <v>0</v>
      </c>
      <c r="T118">
        <v>0</v>
      </c>
      <c r="U118" s="7">
        <f t="shared" si="14"/>
        <v>0</v>
      </c>
      <c r="V118">
        <v>0</v>
      </c>
      <c r="W118">
        <v>0</v>
      </c>
      <c r="X118">
        <v>0</v>
      </c>
      <c r="Y118">
        <v>0</v>
      </c>
      <c r="Z118" s="13">
        <f t="shared" si="15"/>
        <v>0</v>
      </c>
      <c r="AA118">
        <v>0</v>
      </c>
      <c r="AB118">
        <v>0</v>
      </c>
      <c r="AC118">
        <v>0</v>
      </c>
      <c r="AD118">
        <v>0</v>
      </c>
      <c r="AE118" s="7">
        <f t="shared" si="16"/>
        <v>0</v>
      </c>
      <c r="AF118">
        <v>0</v>
      </c>
      <c r="AG118">
        <v>0</v>
      </c>
      <c r="AH118">
        <v>0</v>
      </c>
      <c r="AI118" s="13">
        <f t="shared" si="17"/>
        <v>0</v>
      </c>
      <c r="AJ118" s="11">
        <v>20</v>
      </c>
      <c r="AK118" s="11">
        <v>30</v>
      </c>
      <c r="AL118" s="11">
        <v>43.17</v>
      </c>
      <c r="AM118" s="13">
        <f t="shared" si="18"/>
        <v>93.17</v>
      </c>
      <c r="AN118" s="18">
        <v>37</v>
      </c>
      <c r="AO118" s="18">
        <v>0</v>
      </c>
      <c r="AP118" s="18">
        <v>3</v>
      </c>
      <c r="AQ118" s="18">
        <v>0</v>
      </c>
      <c r="AR118" s="18">
        <f t="shared" si="19"/>
        <v>40</v>
      </c>
      <c r="AS118" t="s">
        <v>52</v>
      </c>
      <c r="AT118" s="9" t="s">
        <v>481</v>
      </c>
      <c r="AU118" s="30">
        <f>+((AN118*I118)+(AO118*AE118)+(AQ118*AI118)+(AP118*AM118))/AR118</f>
        <v>72.773749999999993</v>
      </c>
    </row>
    <row r="119" spans="1:47" hidden="1" x14ac:dyDescent="0.25">
      <c r="A119" t="s">
        <v>46</v>
      </c>
      <c r="B119" t="s">
        <v>482</v>
      </c>
      <c r="C119" t="s">
        <v>483</v>
      </c>
      <c r="D119" t="s">
        <v>484</v>
      </c>
      <c r="E119" s="11">
        <v>20</v>
      </c>
      <c r="F119" s="11">
        <v>20</v>
      </c>
      <c r="G119" s="11">
        <v>45.13</v>
      </c>
      <c r="H119" s="11">
        <v>5</v>
      </c>
      <c r="I119" s="13">
        <f t="shared" si="11"/>
        <v>90.13</v>
      </c>
      <c r="J119" s="11">
        <v>0</v>
      </c>
      <c r="K119" s="11">
        <v>0</v>
      </c>
      <c r="L119" s="11">
        <v>0</v>
      </c>
      <c r="M119" s="13">
        <f t="shared" si="12"/>
        <v>0</v>
      </c>
      <c r="N119" s="11">
        <v>0</v>
      </c>
      <c r="O119" s="11">
        <v>0</v>
      </c>
      <c r="P119" s="11">
        <v>0</v>
      </c>
      <c r="Q119" s="11">
        <v>0</v>
      </c>
      <c r="R119" s="13">
        <f t="shared" si="13"/>
        <v>0</v>
      </c>
      <c r="S119">
        <v>0</v>
      </c>
      <c r="T119">
        <v>0</v>
      </c>
      <c r="U119" s="7">
        <f t="shared" si="14"/>
        <v>0</v>
      </c>
      <c r="V119">
        <v>0</v>
      </c>
      <c r="W119">
        <v>0</v>
      </c>
      <c r="X119">
        <v>0</v>
      </c>
      <c r="Y119">
        <v>0</v>
      </c>
      <c r="Z119" s="13">
        <f t="shared" si="15"/>
        <v>0</v>
      </c>
      <c r="AA119">
        <v>0</v>
      </c>
      <c r="AB119">
        <v>0</v>
      </c>
      <c r="AC119">
        <v>0</v>
      </c>
      <c r="AD119">
        <v>0</v>
      </c>
      <c r="AE119" s="7">
        <f t="shared" si="16"/>
        <v>0</v>
      </c>
      <c r="AF119">
        <v>0</v>
      </c>
      <c r="AG119">
        <v>0</v>
      </c>
      <c r="AH119">
        <v>0</v>
      </c>
      <c r="AI119" s="13">
        <f t="shared" si="17"/>
        <v>0</v>
      </c>
      <c r="AJ119" s="11" t="s">
        <v>51</v>
      </c>
      <c r="AK119" s="11" t="s">
        <v>51</v>
      </c>
      <c r="AL119" s="11" t="s">
        <v>51</v>
      </c>
      <c r="AM119" s="13">
        <f t="shared" si="18"/>
        <v>0</v>
      </c>
      <c r="AN119" s="18">
        <v>8</v>
      </c>
      <c r="AO119" s="18">
        <v>0</v>
      </c>
      <c r="AP119" s="18">
        <v>0</v>
      </c>
      <c r="AQ119" s="18">
        <v>0</v>
      </c>
      <c r="AR119" s="18">
        <f t="shared" si="19"/>
        <v>8</v>
      </c>
      <c r="AS119" t="s">
        <v>52</v>
      </c>
      <c r="AT119" s="9" t="s">
        <v>485</v>
      </c>
      <c r="AU119" s="30">
        <f>+((AN119*I119)+(AO119*AE119)+(AQ119*AI119)+(AP119*AM119))/AR119</f>
        <v>90.13</v>
      </c>
    </row>
    <row r="120" spans="1:47" hidden="1" x14ac:dyDescent="0.25">
      <c r="A120" t="s">
        <v>46</v>
      </c>
      <c r="B120" t="s">
        <v>486</v>
      </c>
      <c r="C120" t="s">
        <v>487</v>
      </c>
      <c r="D120" t="s">
        <v>488</v>
      </c>
      <c r="E120" s="11">
        <v>0</v>
      </c>
      <c r="F120" s="11">
        <v>0</v>
      </c>
      <c r="G120" s="11">
        <v>0</v>
      </c>
      <c r="H120" s="11">
        <v>0</v>
      </c>
      <c r="I120" s="13">
        <f t="shared" si="11"/>
        <v>0</v>
      </c>
      <c r="J120" s="11">
        <v>0</v>
      </c>
      <c r="K120" s="11">
        <v>0</v>
      </c>
      <c r="L120" s="11">
        <v>0</v>
      </c>
      <c r="M120" s="13">
        <f t="shared" si="12"/>
        <v>0</v>
      </c>
      <c r="N120" s="11">
        <v>0</v>
      </c>
      <c r="O120" s="11">
        <v>0</v>
      </c>
      <c r="P120" s="11">
        <v>0</v>
      </c>
      <c r="Q120" s="11">
        <v>0</v>
      </c>
      <c r="R120" s="13">
        <f t="shared" si="13"/>
        <v>0</v>
      </c>
      <c r="S120">
        <v>0</v>
      </c>
      <c r="T120">
        <v>0</v>
      </c>
      <c r="U120" s="7">
        <f t="shared" si="14"/>
        <v>0</v>
      </c>
      <c r="V120" s="11">
        <v>6.25</v>
      </c>
      <c r="W120" s="11">
        <v>0</v>
      </c>
      <c r="X120" s="11">
        <v>56.625</v>
      </c>
      <c r="Y120" s="11">
        <v>23.987500000000004</v>
      </c>
      <c r="Z120" s="13">
        <f t="shared" si="15"/>
        <v>86.862500000000011</v>
      </c>
      <c r="AA120">
        <v>0</v>
      </c>
      <c r="AB120">
        <v>0</v>
      </c>
      <c r="AC120">
        <v>0</v>
      </c>
      <c r="AD120">
        <v>0</v>
      </c>
      <c r="AE120" s="7">
        <f t="shared" si="16"/>
        <v>0</v>
      </c>
      <c r="AF120">
        <v>0</v>
      </c>
      <c r="AG120">
        <v>0</v>
      </c>
      <c r="AH120">
        <v>0</v>
      </c>
      <c r="AI120" s="13">
        <f t="shared" si="17"/>
        <v>0</v>
      </c>
      <c r="AJ120" s="11" t="s">
        <v>51</v>
      </c>
      <c r="AK120" s="11" t="s">
        <v>51</v>
      </c>
      <c r="AL120" s="11" t="s">
        <v>51</v>
      </c>
      <c r="AM120" s="13">
        <f t="shared" si="18"/>
        <v>0</v>
      </c>
      <c r="AN120" s="18">
        <v>40</v>
      </c>
      <c r="AO120" s="18">
        <v>0</v>
      </c>
      <c r="AP120" s="18">
        <v>0</v>
      </c>
      <c r="AQ120" s="18">
        <v>0</v>
      </c>
      <c r="AR120" s="18">
        <f t="shared" si="19"/>
        <v>40</v>
      </c>
      <c r="AS120" t="s">
        <v>52</v>
      </c>
      <c r="AT120" s="9" t="s">
        <v>489</v>
      </c>
      <c r="AU120" s="30">
        <f>+((Z120*AN120)/AR120)</f>
        <v>86.862500000000011</v>
      </c>
    </row>
    <row r="121" spans="1:47" hidden="1" x14ac:dyDescent="0.25">
      <c r="A121" t="s">
        <v>46</v>
      </c>
      <c r="B121" t="s">
        <v>490</v>
      </c>
      <c r="C121" t="s">
        <v>491</v>
      </c>
      <c r="D121" t="s">
        <v>492</v>
      </c>
      <c r="E121" s="11">
        <v>0</v>
      </c>
      <c r="F121" s="11">
        <v>0</v>
      </c>
      <c r="G121" s="11">
        <v>0</v>
      </c>
      <c r="H121" s="11">
        <v>0</v>
      </c>
      <c r="I121" s="13">
        <f t="shared" si="11"/>
        <v>0</v>
      </c>
      <c r="J121" s="11">
        <v>0</v>
      </c>
      <c r="K121" s="11">
        <v>0</v>
      </c>
      <c r="L121" s="11">
        <v>0</v>
      </c>
      <c r="M121" s="13">
        <f t="shared" si="12"/>
        <v>0</v>
      </c>
      <c r="N121" s="11">
        <v>0</v>
      </c>
      <c r="O121" s="11">
        <v>0</v>
      </c>
      <c r="P121" s="11">
        <v>0</v>
      </c>
      <c r="Q121" s="11">
        <v>0</v>
      </c>
      <c r="R121" s="13">
        <f t="shared" si="13"/>
        <v>0</v>
      </c>
      <c r="S121">
        <v>0</v>
      </c>
      <c r="T121">
        <v>0</v>
      </c>
      <c r="U121" s="7">
        <f t="shared" si="14"/>
        <v>0</v>
      </c>
      <c r="V121" s="11">
        <v>5.625</v>
      </c>
      <c r="W121" s="11">
        <v>0</v>
      </c>
      <c r="X121" s="11">
        <v>53.6</v>
      </c>
      <c r="Y121" s="11">
        <v>25</v>
      </c>
      <c r="Z121" s="13">
        <f t="shared" si="15"/>
        <v>84.224999999999994</v>
      </c>
      <c r="AA121">
        <v>0</v>
      </c>
      <c r="AB121">
        <v>0</v>
      </c>
      <c r="AC121">
        <v>0</v>
      </c>
      <c r="AD121">
        <v>0</v>
      </c>
      <c r="AE121" s="7">
        <f t="shared" si="16"/>
        <v>0</v>
      </c>
      <c r="AF121">
        <v>0</v>
      </c>
      <c r="AG121">
        <v>0</v>
      </c>
      <c r="AH121">
        <v>0</v>
      </c>
      <c r="AI121" s="13">
        <f t="shared" si="17"/>
        <v>0</v>
      </c>
      <c r="AJ121" s="11" t="s">
        <v>51</v>
      </c>
      <c r="AK121" s="11" t="s">
        <v>51</v>
      </c>
      <c r="AL121" s="11" t="s">
        <v>51</v>
      </c>
      <c r="AM121" s="13">
        <f t="shared" si="18"/>
        <v>0</v>
      </c>
      <c r="AN121" s="18">
        <v>36.25</v>
      </c>
      <c r="AO121" s="18">
        <v>0</v>
      </c>
      <c r="AP121" s="18">
        <v>0</v>
      </c>
      <c r="AQ121" s="18">
        <v>0</v>
      </c>
      <c r="AR121" s="18">
        <f t="shared" si="19"/>
        <v>36.25</v>
      </c>
      <c r="AS121" t="s">
        <v>52</v>
      </c>
      <c r="AT121" s="9" t="s">
        <v>493</v>
      </c>
      <c r="AU121" s="30">
        <f>+((Z121*AN121)/AR121)</f>
        <v>84.224999999999994</v>
      </c>
    </row>
    <row r="122" spans="1:47" hidden="1" x14ac:dyDescent="0.25">
      <c r="A122" t="s">
        <v>46</v>
      </c>
      <c r="B122" t="s">
        <v>494</v>
      </c>
      <c r="C122" t="s">
        <v>495</v>
      </c>
      <c r="D122" t="s">
        <v>496</v>
      </c>
      <c r="E122" s="11">
        <v>19.670000000000002</v>
      </c>
      <c r="F122" s="11">
        <v>19.670000000000002</v>
      </c>
      <c r="G122" s="11">
        <v>46.72</v>
      </c>
      <c r="H122" s="11">
        <v>5.5</v>
      </c>
      <c r="I122" s="13">
        <f t="shared" si="11"/>
        <v>91.56</v>
      </c>
      <c r="J122" s="11">
        <v>0</v>
      </c>
      <c r="K122" s="11">
        <v>0</v>
      </c>
      <c r="L122" s="11">
        <v>0</v>
      </c>
      <c r="M122" s="13">
        <f t="shared" si="12"/>
        <v>0</v>
      </c>
      <c r="N122" s="11">
        <v>0</v>
      </c>
      <c r="O122" s="11">
        <v>0</v>
      </c>
      <c r="P122" s="11">
        <v>0</v>
      </c>
      <c r="Q122" s="11">
        <v>0</v>
      </c>
      <c r="R122" s="13">
        <f t="shared" si="13"/>
        <v>0</v>
      </c>
      <c r="S122">
        <v>0</v>
      </c>
      <c r="T122">
        <v>0</v>
      </c>
      <c r="U122" s="7">
        <f t="shared" si="14"/>
        <v>0</v>
      </c>
      <c r="V122">
        <v>0</v>
      </c>
      <c r="W122">
        <v>0</v>
      </c>
      <c r="X122">
        <v>0</v>
      </c>
      <c r="Y122">
        <v>0</v>
      </c>
      <c r="Z122" s="13">
        <f t="shared" si="15"/>
        <v>0</v>
      </c>
      <c r="AA122">
        <v>0</v>
      </c>
      <c r="AB122">
        <v>0</v>
      </c>
      <c r="AC122">
        <v>0</v>
      </c>
      <c r="AD122">
        <v>0</v>
      </c>
      <c r="AE122" s="7">
        <f t="shared" si="16"/>
        <v>0</v>
      </c>
      <c r="AF122">
        <v>0</v>
      </c>
      <c r="AG122">
        <v>0</v>
      </c>
      <c r="AH122">
        <v>0</v>
      </c>
      <c r="AI122" s="13">
        <f t="shared" si="17"/>
        <v>0</v>
      </c>
      <c r="AJ122" s="11" t="s">
        <v>51</v>
      </c>
      <c r="AK122" s="11" t="s">
        <v>51</v>
      </c>
      <c r="AL122" s="11" t="s">
        <v>51</v>
      </c>
      <c r="AM122" s="13">
        <f t="shared" si="18"/>
        <v>0</v>
      </c>
      <c r="AN122" s="18">
        <v>40</v>
      </c>
      <c r="AO122" s="18">
        <v>0</v>
      </c>
      <c r="AP122" s="18">
        <v>0</v>
      </c>
      <c r="AQ122" s="18">
        <v>0</v>
      </c>
      <c r="AR122" s="18">
        <f t="shared" si="19"/>
        <v>40</v>
      </c>
      <c r="AS122" t="s">
        <v>52</v>
      </c>
      <c r="AT122" s="9" t="s">
        <v>497</v>
      </c>
      <c r="AU122" s="30">
        <f>+((AN122*I122)+(AO122*AE122)+(AQ122*AI122)+(AP122*AM122))/AR122</f>
        <v>91.56</v>
      </c>
    </row>
    <row r="123" spans="1:47" hidden="1" x14ac:dyDescent="0.25">
      <c r="A123" t="s">
        <v>46</v>
      </c>
      <c r="B123" s="32" t="s">
        <v>498</v>
      </c>
      <c r="C123" s="32" t="s">
        <v>499</v>
      </c>
      <c r="D123" s="32" t="s">
        <v>500</v>
      </c>
      <c r="E123" s="11">
        <v>0</v>
      </c>
      <c r="F123" s="11">
        <v>0</v>
      </c>
      <c r="G123" s="11">
        <v>0</v>
      </c>
      <c r="H123" s="11">
        <v>0</v>
      </c>
      <c r="I123" s="13">
        <f t="shared" si="11"/>
        <v>0</v>
      </c>
      <c r="J123" s="11">
        <v>0</v>
      </c>
      <c r="K123" s="11">
        <v>0</v>
      </c>
      <c r="L123" s="11">
        <v>0</v>
      </c>
      <c r="M123" s="13">
        <f t="shared" si="12"/>
        <v>0</v>
      </c>
      <c r="N123" s="11">
        <v>57.975000000000001</v>
      </c>
      <c r="O123" s="11">
        <v>3.75</v>
      </c>
      <c r="P123" s="11">
        <v>0</v>
      </c>
      <c r="Q123" s="11">
        <v>25</v>
      </c>
      <c r="R123" s="13">
        <f t="shared" si="13"/>
        <v>86.724999999999994</v>
      </c>
      <c r="S123">
        <v>0</v>
      </c>
      <c r="T123">
        <v>0</v>
      </c>
      <c r="U123" s="7">
        <f t="shared" si="14"/>
        <v>0</v>
      </c>
      <c r="V123">
        <v>0</v>
      </c>
      <c r="W123">
        <v>0</v>
      </c>
      <c r="X123">
        <v>0</v>
      </c>
      <c r="Y123">
        <v>0</v>
      </c>
      <c r="Z123" s="13">
        <f t="shared" si="15"/>
        <v>0</v>
      </c>
      <c r="AA123">
        <v>0</v>
      </c>
      <c r="AB123">
        <v>0</v>
      </c>
      <c r="AC123">
        <v>0</v>
      </c>
      <c r="AD123">
        <v>0</v>
      </c>
      <c r="AE123" s="7">
        <f t="shared" si="16"/>
        <v>0</v>
      </c>
      <c r="AF123">
        <v>0</v>
      </c>
      <c r="AG123">
        <v>0</v>
      </c>
      <c r="AH123">
        <v>0</v>
      </c>
      <c r="AI123" s="13">
        <f t="shared" si="17"/>
        <v>0</v>
      </c>
      <c r="AJ123" s="11" t="s">
        <v>51</v>
      </c>
      <c r="AK123" s="11" t="s">
        <v>51</v>
      </c>
      <c r="AL123" s="11" t="s">
        <v>51</v>
      </c>
      <c r="AM123" s="13">
        <f t="shared" si="18"/>
        <v>0</v>
      </c>
      <c r="AN123" s="18">
        <v>10</v>
      </c>
      <c r="AO123" s="18">
        <v>0</v>
      </c>
      <c r="AP123" s="18">
        <v>0</v>
      </c>
      <c r="AQ123" s="18">
        <v>0</v>
      </c>
      <c r="AR123" s="18">
        <f t="shared" si="19"/>
        <v>10</v>
      </c>
      <c r="AS123" t="s">
        <v>117</v>
      </c>
      <c r="AT123" s="9" t="s">
        <v>501</v>
      </c>
      <c r="AU123" s="11">
        <f>+((AN123*R123)+(AQ123*AI123)+(AP123*AM123))/AR123</f>
        <v>86.724999999999994</v>
      </c>
    </row>
    <row r="124" spans="1:47" hidden="1" x14ac:dyDescent="0.25">
      <c r="A124" t="s">
        <v>46</v>
      </c>
      <c r="B124" t="s">
        <v>502</v>
      </c>
      <c r="C124" t="s">
        <v>503</v>
      </c>
      <c r="D124" t="s">
        <v>504</v>
      </c>
      <c r="E124" s="11">
        <v>0</v>
      </c>
      <c r="F124" s="11">
        <v>0</v>
      </c>
      <c r="G124" s="11">
        <v>67.283333333333346</v>
      </c>
      <c r="H124" s="11">
        <v>4.1666666666666661</v>
      </c>
      <c r="I124" s="13">
        <f t="shared" si="11"/>
        <v>71.450000000000017</v>
      </c>
      <c r="J124" s="11">
        <v>0</v>
      </c>
      <c r="K124" s="11">
        <v>0</v>
      </c>
      <c r="L124" s="11">
        <v>0</v>
      </c>
      <c r="M124" s="13">
        <f t="shared" si="12"/>
        <v>0</v>
      </c>
      <c r="N124" s="11">
        <v>0</v>
      </c>
      <c r="O124" s="11">
        <v>0</v>
      </c>
      <c r="P124" s="11">
        <v>0</v>
      </c>
      <c r="Q124" s="11">
        <v>0</v>
      </c>
      <c r="R124" s="13">
        <f t="shared" si="13"/>
        <v>0</v>
      </c>
      <c r="S124">
        <v>0</v>
      </c>
      <c r="T124">
        <v>0</v>
      </c>
      <c r="U124" s="7">
        <f t="shared" si="14"/>
        <v>0</v>
      </c>
      <c r="V124">
        <v>0</v>
      </c>
      <c r="W124">
        <v>0</v>
      </c>
      <c r="X124">
        <v>0</v>
      </c>
      <c r="Y124">
        <v>0</v>
      </c>
      <c r="Z124" s="13">
        <f t="shared" si="15"/>
        <v>0</v>
      </c>
      <c r="AA124">
        <v>0</v>
      </c>
      <c r="AB124">
        <v>0</v>
      </c>
      <c r="AC124">
        <v>0</v>
      </c>
      <c r="AD124">
        <v>0</v>
      </c>
      <c r="AE124" s="7">
        <f t="shared" si="16"/>
        <v>0</v>
      </c>
      <c r="AF124">
        <v>0</v>
      </c>
      <c r="AG124">
        <v>0</v>
      </c>
      <c r="AH124">
        <v>0</v>
      </c>
      <c r="AI124" s="13">
        <f t="shared" si="17"/>
        <v>0</v>
      </c>
      <c r="AJ124" s="11" t="s">
        <v>51</v>
      </c>
      <c r="AK124" s="11" t="s">
        <v>51</v>
      </c>
      <c r="AL124" s="11" t="s">
        <v>51</v>
      </c>
      <c r="AM124" s="13">
        <f t="shared" si="18"/>
        <v>0</v>
      </c>
      <c r="AN124" s="18">
        <v>6</v>
      </c>
      <c r="AO124" s="18">
        <v>0</v>
      </c>
      <c r="AP124" s="18">
        <v>0</v>
      </c>
      <c r="AQ124" s="18">
        <v>0</v>
      </c>
      <c r="AR124" s="18">
        <f t="shared" si="19"/>
        <v>6</v>
      </c>
      <c r="AS124" t="s">
        <v>52</v>
      </c>
      <c r="AT124" s="9" t="s">
        <v>505</v>
      </c>
      <c r="AU124" s="30">
        <f>+((AN124*I124)+(AO124*AE124)+(AQ124*AI124)+(AP124*AM124))/AR124</f>
        <v>71.450000000000017</v>
      </c>
    </row>
    <row r="125" spans="1:47" hidden="1" x14ac:dyDescent="0.25">
      <c r="A125" t="s">
        <v>46</v>
      </c>
      <c r="B125" t="s">
        <v>506</v>
      </c>
      <c r="C125" t="s">
        <v>507</v>
      </c>
      <c r="D125" t="s">
        <v>508</v>
      </c>
      <c r="E125" s="11">
        <v>0</v>
      </c>
      <c r="F125" s="11">
        <v>0</v>
      </c>
      <c r="G125" s="11">
        <v>0</v>
      </c>
      <c r="H125" s="11">
        <v>0</v>
      </c>
      <c r="I125" s="13">
        <f t="shared" si="11"/>
        <v>0</v>
      </c>
      <c r="J125" s="11">
        <v>55.42</v>
      </c>
      <c r="K125" s="11">
        <v>28</v>
      </c>
      <c r="L125" s="11">
        <v>2.5</v>
      </c>
      <c r="M125" s="13">
        <f t="shared" si="12"/>
        <v>85.92</v>
      </c>
      <c r="N125" s="11">
        <v>0</v>
      </c>
      <c r="O125" s="11">
        <v>0</v>
      </c>
      <c r="P125" s="11">
        <v>0</v>
      </c>
      <c r="Q125" s="11">
        <v>0</v>
      </c>
      <c r="R125" s="13">
        <f t="shared" si="13"/>
        <v>0</v>
      </c>
      <c r="S125">
        <v>0</v>
      </c>
      <c r="T125">
        <v>0</v>
      </c>
      <c r="U125" s="7">
        <f t="shared" si="14"/>
        <v>0</v>
      </c>
      <c r="V125">
        <v>0</v>
      </c>
      <c r="W125">
        <v>0</v>
      </c>
      <c r="X125">
        <v>0</v>
      </c>
      <c r="Y125">
        <v>0</v>
      </c>
      <c r="Z125" s="13">
        <f t="shared" si="15"/>
        <v>0</v>
      </c>
      <c r="AA125">
        <v>0</v>
      </c>
      <c r="AB125">
        <v>0</v>
      </c>
      <c r="AC125">
        <v>0</v>
      </c>
      <c r="AD125">
        <v>0</v>
      </c>
      <c r="AE125" s="7">
        <f t="shared" si="16"/>
        <v>0</v>
      </c>
      <c r="AF125">
        <v>0</v>
      </c>
      <c r="AG125">
        <v>0</v>
      </c>
      <c r="AH125">
        <v>0</v>
      </c>
      <c r="AI125" s="13">
        <f t="shared" si="17"/>
        <v>0</v>
      </c>
      <c r="AJ125" s="11" t="s">
        <v>51</v>
      </c>
      <c r="AK125" s="11" t="s">
        <v>51</v>
      </c>
      <c r="AL125" s="11" t="s">
        <v>51</v>
      </c>
      <c r="AM125" s="13">
        <f t="shared" si="18"/>
        <v>0</v>
      </c>
      <c r="AN125" s="18">
        <v>2.25</v>
      </c>
      <c r="AO125" s="18">
        <v>0</v>
      </c>
      <c r="AP125" s="18">
        <v>0</v>
      </c>
      <c r="AQ125" s="18">
        <v>0</v>
      </c>
      <c r="AR125" s="18">
        <f t="shared" si="19"/>
        <v>2.25</v>
      </c>
      <c r="AS125" t="s">
        <v>87</v>
      </c>
      <c r="AT125" s="9" t="s">
        <v>509</v>
      </c>
      <c r="AU125" s="30">
        <f>+((AN125*M125)/AR125)</f>
        <v>85.92</v>
      </c>
    </row>
    <row r="126" spans="1:47" hidden="1" x14ac:dyDescent="0.25">
      <c r="A126" t="s">
        <v>46</v>
      </c>
      <c r="B126" t="s">
        <v>510</v>
      </c>
      <c r="C126" t="s">
        <v>511</v>
      </c>
      <c r="D126" t="s">
        <v>512</v>
      </c>
      <c r="E126" s="11">
        <v>0</v>
      </c>
      <c r="F126" s="11">
        <v>0</v>
      </c>
      <c r="G126" s="11">
        <v>0</v>
      </c>
      <c r="H126" s="11">
        <v>0</v>
      </c>
      <c r="I126" s="13">
        <f t="shared" si="11"/>
        <v>0</v>
      </c>
      <c r="J126" s="11">
        <v>0</v>
      </c>
      <c r="K126" s="11">
        <v>0</v>
      </c>
      <c r="L126" s="11">
        <v>0</v>
      </c>
      <c r="M126" s="13">
        <f t="shared" si="12"/>
        <v>0</v>
      </c>
      <c r="N126" s="11">
        <v>0</v>
      </c>
      <c r="O126" s="11">
        <v>0</v>
      </c>
      <c r="P126" s="11">
        <v>0</v>
      </c>
      <c r="Q126" s="11">
        <v>0</v>
      </c>
      <c r="R126" s="13">
        <f t="shared" si="13"/>
        <v>0</v>
      </c>
      <c r="S126">
        <v>0</v>
      </c>
      <c r="T126">
        <v>0</v>
      </c>
      <c r="U126" s="7">
        <f t="shared" si="14"/>
        <v>0</v>
      </c>
      <c r="V126">
        <v>5.5</v>
      </c>
      <c r="W126">
        <v>20</v>
      </c>
      <c r="X126">
        <v>45.23</v>
      </c>
      <c r="Y126">
        <v>20</v>
      </c>
      <c r="Z126" s="13">
        <f t="shared" si="15"/>
        <v>90.72999999999999</v>
      </c>
      <c r="AA126">
        <v>0</v>
      </c>
      <c r="AB126">
        <v>0</v>
      </c>
      <c r="AC126">
        <v>0</v>
      </c>
      <c r="AD126">
        <v>0</v>
      </c>
      <c r="AE126" s="7">
        <f t="shared" si="16"/>
        <v>0</v>
      </c>
      <c r="AF126">
        <v>0</v>
      </c>
      <c r="AG126">
        <v>0</v>
      </c>
      <c r="AH126">
        <v>0</v>
      </c>
      <c r="AI126" s="13">
        <f t="shared" si="17"/>
        <v>0</v>
      </c>
      <c r="AJ126" s="11" t="s">
        <v>51</v>
      </c>
      <c r="AK126" s="11" t="s">
        <v>51</v>
      </c>
      <c r="AL126" s="11" t="s">
        <v>51</v>
      </c>
      <c r="AM126" s="13">
        <f t="shared" si="18"/>
        <v>0</v>
      </c>
      <c r="AN126" s="18">
        <v>40</v>
      </c>
      <c r="AO126" s="18">
        <v>0</v>
      </c>
      <c r="AP126" s="18">
        <v>0</v>
      </c>
      <c r="AQ126" s="18">
        <v>0</v>
      </c>
      <c r="AR126" s="18">
        <f t="shared" si="19"/>
        <v>40</v>
      </c>
      <c r="AS126" t="s">
        <v>52</v>
      </c>
      <c r="AT126" s="9" t="s">
        <v>513</v>
      </c>
      <c r="AU126" s="30">
        <f>+((Z126*AN126)/AR126)</f>
        <v>90.72999999999999</v>
      </c>
    </row>
    <row r="127" spans="1:47" x14ac:dyDescent="0.25">
      <c r="A127" t="s">
        <v>46</v>
      </c>
      <c r="B127" t="s">
        <v>514</v>
      </c>
      <c r="C127" t="s">
        <v>515</v>
      </c>
      <c r="D127" t="s">
        <v>516</v>
      </c>
      <c r="E127" s="11">
        <v>19.329999999999998</v>
      </c>
      <c r="F127" s="11">
        <v>13.330000000000002</v>
      </c>
      <c r="G127" s="11">
        <v>28.68</v>
      </c>
      <c r="H127" s="11">
        <v>3</v>
      </c>
      <c r="I127" s="13">
        <f t="shared" si="11"/>
        <v>64.34</v>
      </c>
      <c r="J127" s="11">
        <v>0</v>
      </c>
      <c r="K127" s="11">
        <v>0</v>
      </c>
      <c r="L127" s="11">
        <v>0</v>
      </c>
      <c r="M127" s="13">
        <f t="shared" si="12"/>
        <v>0</v>
      </c>
      <c r="N127" s="11">
        <v>0</v>
      </c>
      <c r="O127" s="11">
        <v>0</v>
      </c>
      <c r="P127" s="11">
        <v>0</v>
      </c>
      <c r="Q127" s="11">
        <v>0</v>
      </c>
      <c r="R127" s="13">
        <f t="shared" si="13"/>
        <v>0</v>
      </c>
      <c r="S127">
        <v>0</v>
      </c>
      <c r="T127">
        <v>0</v>
      </c>
      <c r="U127" s="7">
        <f t="shared" si="14"/>
        <v>0</v>
      </c>
      <c r="V127">
        <v>0</v>
      </c>
      <c r="W127">
        <v>0</v>
      </c>
      <c r="X127">
        <v>0</v>
      </c>
      <c r="Y127">
        <v>0</v>
      </c>
      <c r="Z127" s="13">
        <f t="shared" si="15"/>
        <v>0</v>
      </c>
      <c r="AA127">
        <v>0</v>
      </c>
      <c r="AB127">
        <v>0</v>
      </c>
      <c r="AC127">
        <v>0</v>
      </c>
      <c r="AD127">
        <v>0</v>
      </c>
      <c r="AE127" s="7">
        <f t="shared" si="16"/>
        <v>0</v>
      </c>
      <c r="AF127">
        <v>0</v>
      </c>
      <c r="AG127">
        <v>0</v>
      </c>
      <c r="AH127">
        <v>0</v>
      </c>
      <c r="AI127" s="13">
        <f t="shared" si="17"/>
        <v>0</v>
      </c>
      <c r="AJ127" s="11" t="s">
        <v>51</v>
      </c>
      <c r="AK127" s="11" t="s">
        <v>51</v>
      </c>
      <c r="AL127" s="11" t="s">
        <v>51</v>
      </c>
      <c r="AM127" s="13">
        <f t="shared" si="18"/>
        <v>0</v>
      </c>
      <c r="AN127" s="18">
        <v>40</v>
      </c>
      <c r="AO127" s="18">
        <v>0</v>
      </c>
      <c r="AP127" s="18">
        <v>0</v>
      </c>
      <c r="AQ127" s="18">
        <v>0</v>
      </c>
      <c r="AR127" s="18">
        <f t="shared" si="19"/>
        <v>40</v>
      </c>
      <c r="AS127" t="s">
        <v>52</v>
      </c>
      <c r="AT127" s="9" t="s">
        <v>517</v>
      </c>
      <c r="AU127" s="30">
        <f>+((AN127*I127)+(AO127*AE127)+(AQ127*AI127)+(AP127*AM127))/AR127</f>
        <v>64.34</v>
      </c>
    </row>
    <row r="128" spans="1:47" hidden="1" x14ac:dyDescent="0.25">
      <c r="A128" t="s">
        <v>46</v>
      </c>
      <c r="B128" t="s">
        <v>518</v>
      </c>
      <c r="C128" t="s">
        <v>519</v>
      </c>
      <c r="D128" t="s">
        <v>520</v>
      </c>
      <c r="E128" s="11">
        <v>20</v>
      </c>
      <c r="F128" s="11">
        <v>20</v>
      </c>
      <c r="G128" s="11">
        <v>41.73</v>
      </c>
      <c r="H128" s="11">
        <v>7</v>
      </c>
      <c r="I128" s="13">
        <f t="shared" si="11"/>
        <v>88.72999999999999</v>
      </c>
      <c r="J128" s="11">
        <v>0</v>
      </c>
      <c r="K128" s="11">
        <v>0</v>
      </c>
      <c r="L128" s="11">
        <v>0</v>
      </c>
      <c r="M128" s="13">
        <f t="shared" si="12"/>
        <v>0</v>
      </c>
      <c r="N128" s="11">
        <v>0</v>
      </c>
      <c r="O128" s="11">
        <v>0</v>
      </c>
      <c r="P128" s="11">
        <v>0</v>
      </c>
      <c r="Q128" s="11">
        <v>0</v>
      </c>
      <c r="R128" s="13">
        <f t="shared" si="13"/>
        <v>0</v>
      </c>
      <c r="S128">
        <v>0</v>
      </c>
      <c r="T128">
        <v>0</v>
      </c>
      <c r="U128" s="7">
        <f t="shared" si="14"/>
        <v>0</v>
      </c>
      <c r="V128">
        <v>0</v>
      </c>
      <c r="W128">
        <v>0</v>
      </c>
      <c r="X128">
        <v>0</v>
      </c>
      <c r="Y128">
        <v>0</v>
      </c>
      <c r="Z128" s="13">
        <f t="shared" si="15"/>
        <v>0</v>
      </c>
      <c r="AA128">
        <v>0</v>
      </c>
      <c r="AB128">
        <v>0</v>
      </c>
      <c r="AC128">
        <v>0</v>
      </c>
      <c r="AD128">
        <v>0</v>
      </c>
      <c r="AE128" s="7">
        <f t="shared" si="16"/>
        <v>0</v>
      </c>
      <c r="AF128">
        <v>0</v>
      </c>
      <c r="AG128">
        <v>0</v>
      </c>
      <c r="AH128">
        <v>0</v>
      </c>
      <c r="AI128" s="13">
        <f t="shared" si="17"/>
        <v>0</v>
      </c>
      <c r="AJ128" s="11" t="s">
        <v>51</v>
      </c>
      <c r="AK128" s="11" t="s">
        <v>51</v>
      </c>
      <c r="AL128" s="11" t="s">
        <v>51</v>
      </c>
      <c r="AM128" s="13">
        <f t="shared" si="18"/>
        <v>0</v>
      </c>
      <c r="AN128" s="18">
        <v>40</v>
      </c>
      <c r="AO128" s="18">
        <v>0</v>
      </c>
      <c r="AP128" s="18">
        <v>0</v>
      </c>
      <c r="AQ128" s="18">
        <v>0</v>
      </c>
      <c r="AR128" s="18">
        <f t="shared" si="19"/>
        <v>40</v>
      </c>
      <c r="AS128" t="s">
        <v>52</v>
      </c>
      <c r="AT128" s="9" t="s">
        <v>521</v>
      </c>
      <c r="AU128" s="30">
        <f>+((AN128*I128)+(AO128*AE128)+(AQ128*AI128)+(AP128*AM128))/AR128</f>
        <v>88.72999999999999</v>
      </c>
    </row>
    <row r="129" spans="1:47" hidden="1" x14ac:dyDescent="0.25">
      <c r="A129" t="s">
        <v>46</v>
      </c>
      <c r="B129" s="32" t="s">
        <v>522</v>
      </c>
      <c r="C129" s="32" t="s">
        <v>523</v>
      </c>
      <c r="D129" s="32" t="s">
        <v>524</v>
      </c>
      <c r="E129" s="11">
        <v>0</v>
      </c>
      <c r="F129" s="11">
        <v>0</v>
      </c>
      <c r="G129" s="11">
        <v>0</v>
      </c>
      <c r="H129" s="11">
        <v>0</v>
      </c>
      <c r="I129" s="13">
        <f t="shared" si="11"/>
        <v>0</v>
      </c>
      <c r="J129" s="11">
        <v>0</v>
      </c>
      <c r="K129" s="11">
        <v>0</v>
      </c>
      <c r="L129" s="11">
        <v>0</v>
      </c>
      <c r="M129" s="13">
        <f t="shared" si="12"/>
        <v>0</v>
      </c>
      <c r="N129" s="11">
        <v>82.45</v>
      </c>
      <c r="O129" s="11">
        <v>4.1666666666666661</v>
      </c>
      <c r="P129" s="11">
        <v>0</v>
      </c>
      <c r="Q129" s="11">
        <v>0</v>
      </c>
      <c r="R129" s="13">
        <f t="shared" si="13"/>
        <v>86.616666666666674</v>
      </c>
      <c r="S129">
        <v>0</v>
      </c>
      <c r="T129">
        <v>0</v>
      </c>
      <c r="U129" s="7">
        <f t="shared" si="14"/>
        <v>0</v>
      </c>
      <c r="V129">
        <v>0</v>
      </c>
      <c r="W129">
        <v>0</v>
      </c>
      <c r="X129">
        <v>0</v>
      </c>
      <c r="Y129">
        <v>0</v>
      </c>
      <c r="Z129" s="13">
        <f t="shared" si="15"/>
        <v>0</v>
      </c>
      <c r="AA129">
        <v>0</v>
      </c>
      <c r="AB129">
        <v>0</v>
      </c>
      <c r="AC129">
        <v>0</v>
      </c>
      <c r="AD129">
        <v>0</v>
      </c>
      <c r="AE129" s="7">
        <f t="shared" si="16"/>
        <v>0</v>
      </c>
      <c r="AF129">
        <v>0</v>
      </c>
      <c r="AG129">
        <v>0</v>
      </c>
      <c r="AH129">
        <v>0</v>
      </c>
      <c r="AI129" s="13">
        <f t="shared" si="17"/>
        <v>0</v>
      </c>
      <c r="AJ129" s="11" t="s">
        <v>51</v>
      </c>
      <c r="AK129" s="11" t="s">
        <v>51</v>
      </c>
      <c r="AL129" s="11" t="s">
        <v>51</v>
      </c>
      <c r="AM129" s="13">
        <f t="shared" si="18"/>
        <v>0</v>
      </c>
      <c r="AN129" s="18">
        <v>7</v>
      </c>
      <c r="AO129" s="18">
        <v>0</v>
      </c>
      <c r="AP129" s="18">
        <v>0</v>
      </c>
      <c r="AQ129" s="18">
        <v>0</v>
      </c>
      <c r="AR129" s="18">
        <f t="shared" si="19"/>
        <v>7</v>
      </c>
      <c r="AS129" t="s">
        <v>117</v>
      </c>
      <c r="AT129" s="9" t="s">
        <v>525</v>
      </c>
      <c r="AU129" s="11">
        <f>+((AN129*R129)+(AQ129*AI129)+(AP129*AM129))/AR129</f>
        <v>86.616666666666674</v>
      </c>
    </row>
    <row r="130" spans="1:47" hidden="1" x14ac:dyDescent="0.25">
      <c r="A130" t="s">
        <v>46</v>
      </c>
      <c r="B130" t="s">
        <v>526</v>
      </c>
      <c r="C130" t="s">
        <v>527</v>
      </c>
      <c r="D130" t="s">
        <v>528</v>
      </c>
      <c r="E130" s="11">
        <v>25</v>
      </c>
      <c r="F130" s="11">
        <v>0</v>
      </c>
      <c r="G130" s="11">
        <v>60.45</v>
      </c>
      <c r="H130" s="11">
        <v>4.375</v>
      </c>
      <c r="I130" s="13">
        <f t="shared" si="11"/>
        <v>89.825000000000003</v>
      </c>
      <c r="J130" s="11">
        <v>0</v>
      </c>
      <c r="K130" s="11">
        <v>0</v>
      </c>
      <c r="L130" s="11">
        <v>0</v>
      </c>
      <c r="M130" s="13">
        <f t="shared" si="12"/>
        <v>0</v>
      </c>
      <c r="N130" s="11">
        <v>0</v>
      </c>
      <c r="O130" s="11">
        <v>0</v>
      </c>
      <c r="P130" s="11">
        <v>0</v>
      </c>
      <c r="Q130" s="11">
        <v>0</v>
      </c>
      <c r="R130" s="13">
        <f t="shared" si="13"/>
        <v>0</v>
      </c>
      <c r="S130">
        <v>0</v>
      </c>
      <c r="T130">
        <v>0</v>
      </c>
      <c r="U130" s="7">
        <f t="shared" si="14"/>
        <v>0</v>
      </c>
      <c r="V130">
        <v>0</v>
      </c>
      <c r="W130">
        <v>0</v>
      </c>
      <c r="X130">
        <v>0</v>
      </c>
      <c r="Y130">
        <v>0</v>
      </c>
      <c r="Z130" s="13">
        <f t="shared" si="15"/>
        <v>0</v>
      </c>
      <c r="AA130">
        <v>0</v>
      </c>
      <c r="AB130">
        <v>0</v>
      </c>
      <c r="AC130">
        <v>0</v>
      </c>
      <c r="AD130">
        <v>0</v>
      </c>
      <c r="AE130" s="7">
        <f t="shared" si="16"/>
        <v>0</v>
      </c>
      <c r="AF130">
        <v>0</v>
      </c>
      <c r="AG130">
        <v>0</v>
      </c>
      <c r="AH130">
        <v>0</v>
      </c>
      <c r="AI130" s="13">
        <f t="shared" si="17"/>
        <v>0</v>
      </c>
      <c r="AJ130" s="11" t="s">
        <v>51</v>
      </c>
      <c r="AK130" s="11" t="s">
        <v>51</v>
      </c>
      <c r="AL130" s="11" t="s">
        <v>51</v>
      </c>
      <c r="AM130" s="13">
        <f t="shared" si="18"/>
        <v>0</v>
      </c>
      <c r="AN130" s="18">
        <v>20</v>
      </c>
      <c r="AO130" s="18">
        <v>0</v>
      </c>
      <c r="AP130" s="18">
        <v>0</v>
      </c>
      <c r="AQ130" s="18">
        <v>0</v>
      </c>
      <c r="AR130" s="18">
        <f t="shared" si="19"/>
        <v>20</v>
      </c>
      <c r="AS130" t="s">
        <v>52</v>
      </c>
      <c r="AT130" s="9" t="s">
        <v>529</v>
      </c>
      <c r="AU130" s="30">
        <f>+((AN130*I130)+(AO130*AE130)+(AQ130*AI130)+(AP130*AM130))/AR130</f>
        <v>89.825000000000003</v>
      </c>
    </row>
    <row r="131" spans="1:47" hidden="1" x14ac:dyDescent="0.25">
      <c r="A131" t="s">
        <v>46</v>
      </c>
      <c r="B131" s="32" t="s">
        <v>530</v>
      </c>
      <c r="C131" s="32" t="s">
        <v>531</v>
      </c>
      <c r="D131" s="32" t="s">
        <v>532</v>
      </c>
      <c r="E131" s="11">
        <v>0</v>
      </c>
      <c r="F131" s="11">
        <v>0</v>
      </c>
      <c r="G131" s="11">
        <v>0</v>
      </c>
      <c r="H131" s="11">
        <v>0</v>
      </c>
      <c r="I131" s="13">
        <f t="shared" si="11"/>
        <v>0</v>
      </c>
      <c r="J131" s="11">
        <v>0</v>
      </c>
      <c r="K131" s="11">
        <v>0</v>
      </c>
      <c r="L131" s="11">
        <v>0</v>
      </c>
      <c r="M131" s="13">
        <f t="shared" si="12"/>
        <v>0</v>
      </c>
      <c r="N131" s="11">
        <v>42.7</v>
      </c>
      <c r="O131" s="11">
        <v>2.5</v>
      </c>
      <c r="P131" s="11">
        <v>20</v>
      </c>
      <c r="Q131" s="11">
        <v>20</v>
      </c>
      <c r="R131" s="13">
        <f t="shared" si="13"/>
        <v>85.2</v>
      </c>
      <c r="S131">
        <v>0</v>
      </c>
      <c r="T131">
        <v>0</v>
      </c>
      <c r="U131" s="7">
        <f t="shared" si="14"/>
        <v>0</v>
      </c>
      <c r="V131">
        <v>0</v>
      </c>
      <c r="W131">
        <v>0</v>
      </c>
      <c r="X131">
        <v>0</v>
      </c>
      <c r="Y131">
        <v>0</v>
      </c>
      <c r="Z131" s="13">
        <f t="shared" si="15"/>
        <v>0</v>
      </c>
      <c r="AA131">
        <v>0</v>
      </c>
      <c r="AB131">
        <v>0</v>
      </c>
      <c r="AC131">
        <v>0</v>
      </c>
      <c r="AD131">
        <v>0</v>
      </c>
      <c r="AE131" s="7">
        <f t="shared" si="16"/>
        <v>0</v>
      </c>
      <c r="AF131">
        <v>0</v>
      </c>
      <c r="AG131">
        <v>0</v>
      </c>
      <c r="AH131">
        <v>0</v>
      </c>
      <c r="AI131" s="13">
        <f t="shared" si="17"/>
        <v>0</v>
      </c>
      <c r="AJ131" s="11" t="s">
        <v>51</v>
      </c>
      <c r="AK131" s="11" t="s">
        <v>51</v>
      </c>
      <c r="AL131" s="11" t="s">
        <v>51</v>
      </c>
      <c r="AM131" s="13">
        <f t="shared" si="18"/>
        <v>0</v>
      </c>
      <c r="AN131" s="18">
        <v>4</v>
      </c>
      <c r="AO131" s="18">
        <v>0</v>
      </c>
      <c r="AP131" s="18">
        <v>0</v>
      </c>
      <c r="AQ131" s="18">
        <v>0</v>
      </c>
      <c r="AR131" s="18">
        <f t="shared" si="19"/>
        <v>4</v>
      </c>
      <c r="AS131" t="s">
        <v>117</v>
      </c>
      <c r="AT131" s="9" t="s">
        <v>533</v>
      </c>
      <c r="AU131" s="11">
        <f>+((AN131*R131)+(AQ131*AI131)+(AP131*AM131))/AR131</f>
        <v>85.2</v>
      </c>
    </row>
    <row r="132" spans="1:47" hidden="1" x14ac:dyDescent="0.25">
      <c r="A132" t="s">
        <v>46</v>
      </c>
      <c r="B132" s="32" t="s">
        <v>534</v>
      </c>
      <c r="C132" s="32" t="s">
        <v>535</v>
      </c>
      <c r="D132" s="32" t="s">
        <v>536</v>
      </c>
      <c r="E132" s="11">
        <v>0</v>
      </c>
      <c r="F132" s="11">
        <v>0</v>
      </c>
      <c r="G132" s="11">
        <v>0</v>
      </c>
      <c r="H132" s="11">
        <v>0</v>
      </c>
      <c r="I132" s="13">
        <f t="shared" si="11"/>
        <v>0</v>
      </c>
      <c r="J132" s="11">
        <v>0</v>
      </c>
      <c r="K132" s="11">
        <v>0</v>
      </c>
      <c r="L132" s="11">
        <v>0</v>
      </c>
      <c r="M132" s="13">
        <f t="shared" si="12"/>
        <v>0</v>
      </c>
      <c r="N132" s="11">
        <v>75.083333333333343</v>
      </c>
      <c r="O132" s="11">
        <v>5.8333333333333321</v>
      </c>
      <c r="P132" s="11">
        <v>0</v>
      </c>
      <c r="Q132" s="11">
        <v>0</v>
      </c>
      <c r="R132" s="13">
        <f t="shared" si="13"/>
        <v>80.916666666666671</v>
      </c>
      <c r="S132">
        <v>0</v>
      </c>
      <c r="T132">
        <v>0</v>
      </c>
      <c r="U132" s="7">
        <f t="shared" si="14"/>
        <v>0</v>
      </c>
      <c r="V132">
        <v>0</v>
      </c>
      <c r="W132">
        <v>0</v>
      </c>
      <c r="X132">
        <v>0</v>
      </c>
      <c r="Y132">
        <v>0</v>
      </c>
      <c r="Z132" s="13">
        <f t="shared" si="15"/>
        <v>0</v>
      </c>
      <c r="AA132">
        <v>0</v>
      </c>
      <c r="AB132">
        <v>0</v>
      </c>
      <c r="AC132">
        <v>0</v>
      </c>
      <c r="AD132">
        <v>0</v>
      </c>
      <c r="AE132" s="7">
        <f t="shared" si="16"/>
        <v>0</v>
      </c>
      <c r="AF132">
        <v>0</v>
      </c>
      <c r="AG132">
        <v>0</v>
      </c>
      <c r="AH132">
        <v>0</v>
      </c>
      <c r="AI132" s="13">
        <f t="shared" si="17"/>
        <v>0</v>
      </c>
      <c r="AJ132" s="11" t="s">
        <v>51</v>
      </c>
      <c r="AK132" s="11" t="s">
        <v>51</v>
      </c>
      <c r="AL132" s="11" t="s">
        <v>51</v>
      </c>
      <c r="AM132" s="13">
        <f t="shared" si="18"/>
        <v>0</v>
      </c>
      <c r="AN132" s="18">
        <v>6</v>
      </c>
      <c r="AO132" s="18">
        <v>0</v>
      </c>
      <c r="AP132" s="18">
        <v>0</v>
      </c>
      <c r="AQ132" s="18">
        <v>0</v>
      </c>
      <c r="AR132" s="18">
        <f t="shared" si="19"/>
        <v>6</v>
      </c>
      <c r="AS132" t="s">
        <v>117</v>
      </c>
      <c r="AT132" s="9" t="s">
        <v>537</v>
      </c>
      <c r="AU132" s="11">
        <f>+((AN132*R132)+(AQ132*AI132)+(AP132*AM132))/AR132</f>
        <v>80.916666666666671</v>
      </c>
    </row>
    <row r="133" spans="1:47" hidden="1" x14ac:dyDescent="0.25">
      <c r="A133" t="s">
        <v>46</v>
      </c>
      <c r="B133" t="s">
        <v>538</v>
      </c>
      <c r="C133" t="s">
        <v>539</v>
      </c>
      <c r="D133" t="s">
        <v>540</v>
      </c>
      <c r="E133" s="11">
        <v>20</v>
      </c>
      <c r="F133" s="11">
        <v>20</v>
      </c>
      <c r="G133" s="11">
        <v>43.34</v>
      </c>
      <c r="H133" s="11">
        <v>4.5</v>
      </c>
      <c r="I133" s="13">
        <f t="shared" si="11"/>
        <v>87.84</v>
      </c>
      <c r="J133" s="11">
        <v>0</v>
      </c>
      <c r="K133" s="11">
        <v>0</v>
      </c>
      <c r="L133" s="11">
        <v>0</v>
      </c>
      <c r="M133" s="13">
        <f t="shared" si="12"/>
        <v>0</v>
      </c>
      <c r="N133" s="11">
        <v>0</v>
      </c>
      <c r="O133" s="11">
        <v>0</v>
      </c>
      <c r="P133" s="11">
        <v>0</v>
      </c>
      <c r="Q133" s="11">
        <v>0</v>
      </c>
      <c r="R133" s="13">
        <f t="shared" si="13"/>
        <v>0</v>
      </c>
      <c r="S133">
        <v>0</v>
      </c>
      <c r="T133">
        <v>0</v>
      </c>
      <c r="U133" s="7">
        <f t="shared" si="14"/>
        <v>0</v>
      </c>
      <c r="V133">
        <v>0</v>
      </c>
      <c r="W133">
        <v>0</v>
      </c>
      <c r="X133">
        <v>0</v>
      </c>
      <c r="Y133">
        <v>0</v>
      </c>
      <c r="Z133" s="13">
        <f t="shared" si="15"/>
        <v>0</v>
      </c>
      <c r="AA133">
        <v>0</v>
      </c>
      <c r="AB133">
        <v>0</v>
      </c>
      <c r="AC133">
        <v>0</v>
      </c>
      <c r="AD133">
        <v>0</v>
      </c>
      <c r="AE133" s="7">
        <f t="shared" si="16"/>
        <v>0</v>
      </c>
      <c r="AF133">
        <v>0</v>
      </c>
      <c r="AG133">
        <v>0</v>
      </c>
      <c r="AH133">
        <v>0</v>
      </c>
      <c r="AI133" s="13">
        <f t="shared" si="17"/>
        <v>0</v>
      </c>
      <c r="AJ133" s="11" t="s">
        <v>51</v>
      </c>
      <c r="AK133" s="11" t="s">
        <v>51</v>
      </c>
      <c r="AL133" s="11" t="s">
        <v>51</v>
      </c>
      <c r="AM133" s="13">
        <f t="shared" si="18"/>
        <v>0</v>
      </c>
      <c r="AN133" s="18">
        <v>39.25</v>
      </c>
      <c r="AO133" s="18">
        <v>0</v>
      </c>
      <c r="AP133" s="18">
        <v>0</v>
      </c>
      <c r="AQ133" s="18">
        <v>0</v>
      </c>
      <c r="AR133" s="18">
        <f t="shared" si="19"/>
        <v>39.25</v>
      </c>
      <c r="AS133" t="s">
        <v>52</v>
      </c>
      <c r="AT133" s="9" t="s">
        <v>541</v>
      </c>
      <c r="AU133" s="30">
        <f>+((AN133*I133)+(AO133*AE133)+(AQ133*AI133)+(AP133*AM133))/AR133</f>
        <v>87.84</v>
      </c>
    </row>
    <row r="134" spans="1:47" hidden="1" x14ac:dyDescent="0.25">
      <c r="A134" t="s">
        <v>46</v>
      </c>
      <c r="B134" t="s">
        <v>542</v>
      </c>
      <c r="C134" t="s">
        <v>543</v>
      </c>
      <c r="D134" t="s">
        <v>544</v>
      </c>
      <c r="E134" s="11">
        <v>20</v>
      </c>
      <c r="F134" s="11">
        <v>17</v>
      </c>
      <c r="G134" s="11">
        <v>39.090000000000003</v>
      </c>
      <c r="H134" s="11">
        <v>7</v>
      </c>
      <c r="I134" s="13">
        <f t="shared" ref="I134:I197" si="22">+SUM(E134:H134)</f>
        <v>83.09</v>
      </c>
      <c r="J134" s="11">
        <v>0</v>
      </c>
      <c r="K134" s="11">
        <v>0</v>
      </c>
      <c r="L134" s="11">
        <v>0</v>
      </c>
      <c r="M134" s="13">
        <f t="shared" ref="M134:M197" si="23">+SUM(J134:L134)</f>
        <v>0</v>
      </c>
      <c r="N134" s="11">
        <v>0</v>
      </c>
      <c r="O134" s="11">
        <v>0</v>
      </c>
      <c r="P134" s="11">
        <v>0</v>
      </c>
      <c r="Q134" s="11">
        <v>0</v>
      </c>
      <c r="R134" s="13">
        <f t="shared" ref="R134:R197" si="24">+SUM(N134:Q134)</f>
        <v>0</v>
      </c>
      <c r="S134">
        <v>0</v>
      </c>
      <c r="T134">
        <v>0</v>
      </c>
      <c r="U134" s="7">
        <f t="shared" ref="U134:U197" si="25">+SUM(S134:T134)</f>
        <v>0</v>
      </c>
      <c r="V134">
        <v>0</v>
      </c>
      <c r="W134">
        <v>0</v>
      </c>
      <c r="X134">
        <v>0</v>
      </c>
      <c r="Y134">
        <v>0</v>
      </c>
      <c r="Z134" s="13">
        <f t="shared" ref="Z134:Z197" si="26">+SUM(V134:Y134)</f>
        <v>0</v>
      </c>
      <c r="AA134">
        <v>0</v>
      </c>
      <c r="AB134">
        <v>0</v>
      </c>
      <c r="AC134">
        <v>0</v>
      </c>
      <c r="AD134">
        <v>0</v>
      </c>
      <c r="AE134" s="7">
        <f t="shared" ref="AE134:AE197" si="27">+SUM(AA134:AD134)</f>
        <v>0</v>
      </c>
      <c r="AF134">
        <v>0</v>
      </c>
      <c r="AG134">
        <v>0</v>
      </c>
      <c r="AH134">
        <v>0</v>
      </c>
      <c r="AI134" s="13">
        <f t="shared" ref="AI134:AI197" si="28">+SUM(AF134:AH134)</f>
        <v>0</v>
      </c>
      <c r="AJ134" s="11" t="s">
        <v>51</v>
      </c>
      <c r="AK134" s="11" t="s">
        <v>51</v>
      </c>
      <c r="AL134" s="11" t="s">
        <v>51</v>
      </c>
      <c r="AM134" s="13">
        <f t="shared" ref="AM134:AM197" si="29">+SUM(AJ134:AL134)</f>
        <v>0</v>
      </c>
      <c r="AN134" s="18">
        <v>20</v>
      </c>
      <c r="AO134" s="18">
        <v>0</v>
      </c>
      <c r="AP134" s="18">
        <v>0</v>
      </c>
      <c r="AQ134" s="18">
        <v>0</v>
      </c>
      <c r="AR134" s="18">
        <f t="shared" ref="AR134:AR197" si="30">+SUM(AN134:AQ134)</f>
        <v>20</v>
      </c>
      <c r="AS134" t="s">
        <v>52</v>
      </c>
      <c r="AT134" s="9" t="s">
        <v>545</v>
      </c>
      <c r="AU134" s="30">
        <f>+((AN134*I134)+(AO134*AE134)+(AQ134*AI134)+(AP134*AM134))/AR134</f>
        <v>83.09</v>
      </c>
    </row>
    <row r="135" spans="1:47" hidden="1" x14ac:dyDescent="0.25">
      <c r="A135" t="s">
        <v>46</v>
      </c>
      <c r="B135" t="s">
        <v>546</v>
      </c>
      <c r="C135" t="s">
        <v>547</v>
      </c>
      <c r="D135" t="s">
        <v>548</v>
      </c>
      <c r="E135" s="11">
        <v>25</v>
      </c>
      <c r="F135" s="11">
        <v>0</v>
      </c>
      <c r="G135" s="11">
        <v>51.537500000000001</v>
      </c>
      <c r="H135" s="11">
        <v>8.125</v>
      </c>
      <c r="I135" s="13">
        <f t="shared" si="22"/>
        <v>84.662499999999994</v>
      </c>
      <c r="J135" s="11">
        <v>0</v>
      </c>
      <c r="K135" s="11">
        <v>0</v>
      </c>
      <c r="L135" s="11">
        <v>0</v>
      </c>
      <c r="M135" s="13">
        <f t="shared" si="23"/>
        <v>0</v>
      </c>
      <c r="N135" s="11">
        <v>0</v>
      </c>
      <c r="O135" s="11">
        <v>0</v>
      </c>
      <c r="P135" s="11">
        <v>0</v>
      </c>
      <c r="Q135" s="11">
        <v>0</v>
      </c>
      <c r="R135" s="13">
        <f t="shared" si="24"/>
        <v>0</v>
      </c>
      <c r="S135">
        <v>0</v>
      </c>
      <c r="T135">
        <v>0</v>
      </c>
      <c r="U135" s="7">
        <f t="shared" si="25"/>
        <v>0</v>
      </c>
      <c r="V135">
        <v>0</v>
      </c>
      <c r="W135">
        <v>0</v>
      </c>
      <c r="X135">
        <v>0</v>
      </c>
      <c r="Y135">
        <v>0</v>
      </c>
      <c r="Z135" s="13">
        <f t="shared" si="26"/>
        <v>0</v>
      </c>
      <c r="AA135">
        <v>0</v>
      </c>
      <c r="AB135">
        <v>0</v>
      </c>
      <c r="AC135">
        <v>0</v>
      </c>
      <c r="AD135">
        <v>0</v>
      </c>
      <c r="AE135" s="7">
        <f t="shared" si="27"/>
        <v>0</v>
      </c>
      <c r="AF135">
        <v>38.340000000000003</v>
      </c>
      <c r="AG135">
        <v>20</v>
      </c>
      <c r="AH135">
        <v>30</v>
      </c>
      <c r="AI135" s="13">
        <f t="shared" si="28"/>
        <v>88.34</v>
      </c>
      <c r="AJ135" s="11">
        <v>18</v>
      </c>
      <c r="AK135" s="11">
        <v>26.5</v>
      </c>
      <c r="AL135" s="11">
        <v>41.52</v>
      </c>
      <c r="AM135" s="13">
        <f t="shared" si="29"/>
        <v>86.02000000000001</v>
      </c>
      <c r="AN135" s="18">
        <v>32</v>
      </c>
      <c r="AO135" s="18">
        <v>0</v>
      </c>
      <c r="AP135" s="18">
        <v>0</v>
      </c>
      <c r="AQ135" s="18">
        <v>5</v>
      </c>
      <c r="AR135" s="18">
        <f t="shared" si="30"/>
        <v>37</v>
      </c>
      <c r="AS135" t="s">
        <v>52</v>
      </c>
      <c r="AT135" s="9" t="s">
        <v>549</v>
      </c>
      <c r="AU135" s="11">
        <f>+((AN135*I135)+(AQ135*AI135))/AR135</f>
        <v>85.159459459459455</v>
      </c>
    </row>
    <row r="136" spans="1:47" hidden="1" x14ac:dyDescent="0.25">
      <c r="A136" s="33" t="s">
        <v>46</v>
      </c>
      <c r="B136" s="32" t="s">
        <v>546</v>
      </c>
      <c r="C136" s="32" t="s">
        <v>547</v>
      </c>
      <c r="D136" s="32" t="s">
        <v>548</v>
      </c>
      <c r="E136" s="11">
        <v>25</v>
      </c>
      <c r="F136" s="11">
        <v>0</v>
      </c>
      <c r="G136" s="11">
        <v>51.537500000000001</v>
      </c>
      <c r="H136" s="11">
        <v>8.125</v>
      </c>
      <c r="I136" s="13">
        <f t="shared" si="22"/>
        <v>84.662499999999994</v>
      </c>
      <c r="J136" s="11">
        <v>0</v>
      </c>
      <c r="K136" s="11">
        <v>0</v>
      </c>
      <c r="L136" s="11">
        <v>0</v>
      </c>
      <c r="M136" s="13">
        <f t="shared" si="23"/>
        <v>0</v>
      </c>
      <c r="N136" s="11">
        <v>0</v>
      </c>
      <c r="O136" s="11">
        <v>0</v>
      </c>
      <c r="P136" s="11">
        <v>0</v>
      </c>
      <c r="Q136" s="11">
        <v>0</v>
      </c>
      <c r="R136" s="13">
        <f t="shared" si="24"/>
        <v>0</v>
      </c>
      <c r="S136">
        <v>0</v>
      </c>
      <c r="T136">
        <v>0</v>
      </c>
      <c r="U136" s="7">
        <f t="shared" si="25"/>
        <v>0</v>
      </c>
      <c r="V136">
        <v>0</v>
      </c>
      <c r="W136">
        <v>0</v>
      </c>
      <c r="X136">
        <v>0</v>
      </c>
      <c r="Y136">
        <v>0</v>
      </c>
      <c r="Z136" s="13">
        <f t="shared" si="26"/>
        <v>0</v>
      </c>
      <c r="AA136">
        <v>0</v>
      </c>
      <c r="AB136">
        <v>0</v>
      </c>
      <c r="AC136">
        <v>0</v>
      </c>
      <c r="AD136">
        <v>0</v>
      </c>
      <c r="AE136" s="7">
        <f t="shared" si="27"/>
        <v>0</v>
      </c>
      <c r="AF136">
        <v>38.340000000000003</v>
      </c>
      <c r="AG136">
        <v>20</v>
      </c>
      <c r="AH136">
        <v>30</v>
      </c>
      <c r="AI136" s="13">
        <f t="shared" si="28"/>
        <v>88.34</v>
      </c>
      <c r="AJ136" s="11">
        <v>18</v>
      </c>
      <c r="AK136" s="11">
        <v>26.5</v>
      </c>
      <c r="AL136" s="11">
        <v>41.52</v>
      </c>
      <c r="AM136" s="13">
        <f t="shared" si="29"/>
        <v>86.02000000000001</v>
      </c>
      <c r="AN136" s="18">
        <v>0</v>
      </c>
      <c r="AO136" s="18">
        <v>0</v>
      </c>
      <c r="AP136" s="18">
        <v>3</v>
      </c>
      <c r="AQ136" s="18">
        <v>0</v>
      </c>
      <c r="AR136" s="18">
        <f t="shared" si="30"/>
        <v>3</v>
      </c>
      <c r="AS136" t="s">
        <v>117</v>
      </c>
      <c r="AT136" s="9" t="s">
        <v>550</v>
      </c>
      <c r="AU136" s="11">
        <f>+((AP136*AM136))/AR136</f>
        <v>86.020000000000024</v>
      </c>
    </row>
    <row r="137" spans="1:47" hidden="1" x14ac:dyDescent="0.25">
      <c r="A137" t="s">
        <v>46</v>
      </c>
      <c r="B137" t="s">
        <v>551</v>
      </c>
      <c r="C137" t="s">
        <v>552</v>
      </c>
      <c r="D137" t="s">
        <v>553</v>
      </c>
      <c r="E137" s="11">
        <v>25</v>
      </c>
      <c r="F137" s="11">
        <v>0</v>
      </c>
      <c r="G137" s="11">
        <v>49.575000000000003</v>
      </c>
      <c r="H137" s="11">
        <v>3.125</v>
      </c>
      <c r="I137" s="13">
        <f t="shared" si="22"/>
        <v>77.7</v>
      </c>
      <c r="J137" s="11">
        <v>0</v>
      </c>
      <c r="K137" s="11">
        <v>0</v>
      </c>
      <c r="L137" s="11">
        <v>0</v>
      </c>
      <c r="M137" s="13">
        <f t="shared" si="23"/>
        <v>0</v>
      </c>
      <c r="N137" s="11">
        <v>0</v>
      </c>
      <c r="O137" s="11">
        <v>0</v>
      </c>
      <c r="P137" s="11">
        <v>0</v>
      </c>
      <c r="Q137" s="11">
        <v>0</v>
      </c>
      <c r="R137" s="13">
        <f t="shared" si="24"/>
        <v>0</v>
      </c>
      <c r="S137">
        <v>0</v>
      </c>
      <c r="T137">
        <v>0</v>
      </c>
      <c r="U137" s="7">
        <f t="shared" si="25"/>
        <v>0</v>
      </c>
      <c r="V137">
        <v>0</v>
      </c>
      <c r="W137">
        <v>0</v>
      </c>
      <c r="X137">
        <v>0</v>
      </c>
      <c r="Y137">
        <v>0</v>
      </c>
      <c r="Z137" s="13">
        <f t="shared" si="26"/>
        <v>0</v>
      </c>
      <c r="AA137">
        <v>3.75</v>
      </c>
      <c r="AB137">
        <v>21.25</v>
      </c>
      <c r="AC137">
        <v>15</v>
      </c>
      <c r="AD137">
        <v>20</v>
      </c>
      <c r="AE137" s="7">
        <f t="shared" si="27"/>
        <v>60</v>
      </c>
      <c r="AF137">
        <v>0</v>
      </c>
      <c r="AG137">
        <v>0</v>
      </c>
      <c r="AH137">
        <v>0</v>
      </c>
      <c r="AI137" s="13">
        <f t="shared" si="28"/>
        <v>0</v>
      </c>
      <c r="AJ137" s="11" t="s">
        <v>51</v>
      </c>
      <c r="AK137" s="11" t="s">
        <v>51</v>
      </c>
      <c r="AL137" s="11" t="s">
        <v>51</v>
      </c>
      <c r="AM137" s="13">
        <f t="shared" si="29"/>
        <v>0</v>
      </c>
      <c r="AN137" s="18">
        <v>35</v>
      </c>
      <c r="AO137" s="18">
        <v>5</v>
      </c>
      <c r="AP137" s="18">
        <v>0</v>
      </c>
      <c r="AQ137" s="18">
        <v>0</v>
      </c>
      <c r="AR137" s="18">
        <f t="shared" si="30"/>
        <v>40</v>
      </c>
      <c r="AS137" t="s">
        <v>52</v>
      </c>
      <c r="AT137" s="9" t="s">
        <v>554</v>
      </c>
      <c r="AU137" s="30">
        <f>+((AN137*I137)+(AO137*AE137)+(AQ137*AI137)+(AP137*AM137))/AR137</f>
        <v>75.487499999999997</v>
      </c>
    </row>
    <row r="138" spans="1:47" s="6" customFormat="1" hidden="1" x14ac:dyDescent="0.25">
      <c r="A138" s="6" t="s">
        <v>46</v>
      </c>
      <c r="B138" s="6" t="s">
        <v>555</v>
      </c>
      <c r="C138" s="6" t="s">
        <v>556</v>
      </c>
      <c r="D138" s="6" t="s">
        <v>557</v>
      </c>
      <c r="E138" s="12">
        <v>0</v>
      </c>
      <c r="F138" s="12">
        <v>0</v>
      </c>
      <c r="G138" s="12">
        <v>0</v>
      </c>
      <c r="H138" s="12">
        <v>0</v>
      </c>
      <c r="I138" s="13">
        <f t="shared" si="22"/>
        <v>0</v>
      </c>
      <c r="J138" s="14">
        <v>57.28</v>
      </c>
      <c r="K138" s="14">
        <v>29</v>
      </c>
      <c r="L138" s="14">
        <v>2.5</v>
      </c>
      <c r="M138" s="13">
        <f t="shared" si="23"/>
        <v>88.78</v>
      </c>
      <c r="N138" s="12">
        <v>0</v>
      </c>
      <c r="O138" s="12">
        <v>0</v>
      </c>
      <c r="P138" s="12">
        <v>0</v>
      </c>
      <c r="Q138" s="12">
        <v>0</v>
      </c>
      <c r="R138" s="13">
        <f t="shared" si="24"/>
        <v>0</v>
      </c>
      <c r="S138" s="6">
        <v>0</v>
      </c>
      <c r="T138" s="6">
        <v>0</v>
      </c>
      <c r="U138" s="7">
        <f t="shared" si="25"/>
        <v>0</v>
      </c>
      <c r="V138" s="6">
        <v>0</v>
      </c>
      <c r="W138" s="6">
        <v>0</v>
      </c>
      <c r="X138" s="6">
        <v>0</v>
      </c>
      <c r="Y138" s="6">
        <v>0</v>
      </c>
      <c r="Z138" s="13">
        <f t="shared" si="26"/>
        <v>0</v>
      </c>
      <c r="AA138" s="6">
        <v>0</v>
      </c>
      <c r="AB138" s="6">
        <v>0</v>
      </c>
      <c r="AC138" s="6">
        <v>0</v>
      </c>
      <c r="AD138" s="6">
        <v>0</v>
      </c>
      <c r="AE138" s="7">
        <f t="shared" si="27"/>
        <v>0</v>
      </c>
      <c r="AF138" s="6">
        <v>0</v>
      </c>
      <c r="AG138" s="6">
        <v>0</v>
      </c>
      <c r="AH138" s="6">
        <v>0</v>
      </c>
      <c r="AI138" s="13">
        <f t="shared" si="28"/>
        <v>0</v>
      </c>
      <c r="AJ138" s="12" t="s">
        <v>51</v>
      </c>
      <c r="AK138" s="12" t="s">
        <v>51</v>
      </c>
      <c r="AL138" s="12" t="s">
        <v>51</v>
      </c>
      <c r="AM138" s="13">
        <f t="shared" si="29"/>
        <v>0</v>
      </c>
      <c r="AN138" s="21">
        <v>1.1299999999999999</v>
      </c>
      <c r="AO138" s="21">
        <v>0</v>
      </c>
      <c r="AP138" s="21">
        <v>0</v>
      </c>
      <c r="AQ138" s="21">
        <v>0</v>
      </c>
      <c r="AR138" s="18">
        <f t="shared" si="30"/>
        <v>1.1299999999999999</v>
      </c>
      <c r="AS138" s="6" t="s">
        <v>87</v>
      </c>
      <c r="AT138" s="10" t="s">
        <v>709</v>
      </c>
      <c r="AU138" s="30">
        <f>+((AN138*M138)/AR138)</f>
        <v>88.78</v>
      </c>
    </row>
    <row r="139" spans="1:47" hidden="1" x14ac:dyDescent="0.25">
      <c r="A139" t="s">
        <v>46</v>
      </c>
      <c r="B139" t="s">
        <v>558</v>
      </c>
      <c r="C139" t="s">
        <v>559</v>
      </c>
      <c r="D139" t="s">
        <v>560</v>
      </c>
      <c r="E139" s="11">
        <v>20</v>
      </c>
      <c r="F139" s="11">
        <v>20</v>
      </c>
      <c r="G139" s="11">
        <v>50</v>
      </c>
      <c r="H139" s="11">
        <v>6</v>
      </c>
      <c r="I139" s="13">
        <f t="shared" si="22"/>
        <v>96</v>
      </c>
      <c r="J139" s="11">
        <v>0</v>
      </c>
      <c r="K139" s="11">
        <v>0</v>
      </c>
      <c r="L139" s="11">
        <v>0</v>
      </c>
      <c r="M139" s="13">
        <f t="shared" si="23"/>
        <v>0</v>
      </c>
      <c r="N139" s="11">
        <v>0</v>
      </c>
      <c r="O139" s="11">
        <v>0</v>
      </c>
      <c r="P139" s="11">
        <v>0</v>
      </c>
      <c r="Q139" s="11">
        <v>0</v>
      </c>
      <c r="R139" s="13">
        <f t="shared" si="24"/>
        <v>0</v>
      </c>
      <c r="S139">
        <v>0</v>
      </c>
      <c r="T139">
        <v>0</v>
      </c>
      <c r="U139" s="7">
        <f t="shared" si="25"/>
        <v>0</v>
      </c>
      <c r="V139">
        <v>0</v>
      </c>
      <c r="W139">
        <v>0</v>
      </c>
      <c r="X139">
        <v>0</v>
      </c>
      <c r="Y139">
        <v>0</v>
      </c>
      <c r="Z139" s="13">
        <f t="shared" si="26"/>
        <v>0</v>
      </c>
      <c r="AA139">
        <v>0</v>
      </c>
      <c r="AB139">
        <v>0</v>
      </c>
      <c r="AC139">
        <v>0</v>
      </c>
      <c r="AD139">
        <v>0</v>
      </c>
      <c r="AE139" s="7">
        <f t="shared" si="27"/>
        <v>0</v>
      </c>
      <c r="AF139">
        <v>0</v>
      </c>
      <c r="AG139">
        <v>0</v>
      </c>
      <c r="AH139">
        <v>0</v>
      </c>
      <c r="AI139" s="13">
        <f t="shared" si="28"/>
        <v>0</v>
      </c>
      <c r="AJ139" s="11" t="s">
        <v>51</v>
      </c>
      <c r="AK139" s="11" t="s">
        <v>51</v>
      </c>
      <c r="AL139" s="11" t="s">
        <v>51</v>
      </c>
      <c r="AM139" s="13">
        <f t="shared" si="29"/>
        <v>0</v>
      </c>
      <c r="AN139" s="18">
        <v>40</v>
      </c>
      <c r="AO139" s="18">
        <v>0</v>
      </c>
      <c r="AP139" s="18">
        <v>0</v>
      </c>
      <c r="AQ139" s="18">
        <v>0</v>
      </c>
      <c r="AR139" s="18">
        <f t="shared" si="30"/>
        <v>40</v>
      </c>
      <c r="AS139" t="s">
        <v>52</v>
      </c>
      <c r="AT139" s="9" t="s">
        <v>561</v>
      </c>
      <c r="AU139" s="30">
        <f>+((AN139*I139)+(AO139*AE139)+(AQ139*AI139)+(AP139*AM139))/AR139</f>
        <v>96</v>
      </c>
    </row>
    <row r="140" spans="1:47" hidden="1" x14ac:dyDescent="0.25">
      <c r="A140" t="s">
        <v>46</v>
      </c>
      <c r="B140" t="s">
        <v>562</v>
      </c>
      <c r="C140" t="s">
        <v>563</v>
      </c>
      <c r="D140" t="s">
        <v>564</v>
      </c>
      <c r="E140" s="11">
        <v>19.670000000000002</v>
      </c>
      <c r="F140" s="11">
        <v>20</v>
      </c>
      <c r="G140" s="11">
        <v>43.12</v>
      </c>
      <c r="H140" s="11">
        <v>3.5</v>
      </c>
      <c r="I140" s="13">
        <f t="shared" si="22"/>
        <v>86.289999999999992</v>
      </c>
      <c r="J140" s="11">
        <v>0</v>
      </c>
      <c r="K140" s="11">
        <v>0</v>
      </c>
      <c r="L140" s="11">
        <v>0</v>
      </c>
      <c r="M140" s="13">
        <f t="shared" si="23"/>
        <v>0</v>
      </c>
      <c r="N140" s="11">
        <v>0</v>
      </c>
      <c r="O140" s="11">
        <v>0</v>
      </c>
      <c r="P140" s="11">
        <v>0</v>
      </c>
      <c r="Q140" s="11">
        <v>0</v>
      </c>
      <c r="R140" s="13">
        <f t="shared" si="24"/>
        <v>0</v>
      </c>
      <c r="S140">
        <v>0</v>
      </c>
      <c r="T140">
        <v>0</v>
      </c>
      <c r="U140" s="7">
        <f t="shared" si="25"/>
        <v>0</v>
      </c>
      <c r="V140">
        <v>0</v>
      </c>
      <c r="W140">
        <v>0</v>
      </c>
      <c r="X140">
        <v>0</v>
      </c>
      <c r="Y140">
        <v>0</v>
      </c>
      <c r="Z140" s="13">
        <f t="shared" si="26"/>
        <v>0</v>
      </c>
      <c r="AA140">
        <v>0</v>
      </c>
      <c r="AB140">
        <v>0</v>
      </c>
      <c r="AC140">
        <v>0</v>
      </c>
      <c r="AD140">
        <v>0</v>
      </c>
      <c r="AE140" s="7">
        <f t="shared" si="27"/>
        <v>0</v>
      </c>
      <c r="AF140">
        <v>0</v>
      </c>
      <c r="AG140">
        <v>0</v>
      </c>
      <c r="AH140">
        <v>0</v>
      </c>
      <c r="AI140" s="13">
        <f t="shared" si="28"/>
        <v>0</v>
      </c>
      <c r="AJ140" s="11" t="s">
        <v>51</v>
      </c>
      <c r="AK140" s="11" t="s">
        <v>51</v>
      </c>
      <c r="AL140" s="11" t="s">
        <v>51</v>
      </c>
      <c r="AM140" s="13">
        <f t="shared" si="29"/>
        <v>0</v>
      </c>
      <c r="AN140" s="18">
        <v>9</v>
      </c>
      <c r="AO140" s="18">
        <v>0</v>
      </c>
      <c r="AP140" s="18">
        <v>0</v>
      </c>
      <c r="AQ140" s="18">
        <v>0</v>
      </c>
      <c r="AR140" s="18">
        <f t="shared" si="30"/>
        <v>9</v>
      </c>
      <c r="AS140" t="s">
        <v>52</v>
      </c>
      <c r="AT140" s="9" t="s">
        <v>565</v>
      </c>
      <c r="AU140" s="30">
        <f>+((AN140*I140)+(AO140*AE140)+(AQ140*AI140)+(AP140*AM140))/AR140</f>
        <v>86.289999999999992</v>
      </c>
    </row>
    <row r="141" spans="1:47" hidden="1" x14ac:dyDescent="0.25">
      <c r="A141" t="s">
        <v>46</v>
      </c>
      <c r="B141" t="s">
        <v>566</v>
      </c>
      <c r="C141" t="s">
        <v>567</v>
      </c>
      <c r="D141" t="s">
        <v>568</v>
      </c>
      <c r="E141" s="11">
        <v>0</v>
      </c>
      <c r="F141" s="11">
        <v>25</v>
      </c>
      <c r="G141" s="11">
        <v>55.462499999999999</v>
      </c>
      <c r="H141" s="11">
        <v>9.375</v>
      </c>
      <c r="I141" s="13">
        <f t="shared" si="22"/>
        <v>89.837500000000006</v>
      </c>
      <c r="J141" s="11">
        <v>0</v>
      </c>
      <c r="K141" s="11">
        <v>0</v>
      </c>
      <c r="L141" s="11">
        <v>0</v>
      </c>
      <c r="M141" s="13">
        <f t="shared" si="23"/>
        <v>0</v>
      </c>
      <c r="N141" s="11">
        <v>0</v>
      </c>
      <c r="O141" s="11">
        <v>0</v>
      </c>
      <c r="P141" s="11">
        <v>0</v>
      </c>
      <c r="Q141" s="11">
        <v>0</v>
      </c>
      <c r="R141" s="13">
        <f t="shared" si="24"/>
        <v>0</v>
      </c>
      <c r="S141">
        <v>0</v>
      </c>
      <c r="T141">
        <v>0</v>
      </c>
      <c r="U141" s="7">
        <f t="shared" si="25"/>
        <v>0</v>
      </c>
      <c r="V141">
        <v>0</v>
      </c>
      <c r="W141">
        <v>0</v>
      </c>
      <c r="X141">
        <v>0</v>
      </c>
      <c r="Y141">
        <v>0</v>
      </c>
      <c r="Z141" s="13">
        <f t="shared" si="26"/>
        <v>0</v>
      </c>
      <c r="AA141">
        <v>0</v>
      </c>
      <c r="AB141">
        <v>0</v>
      </c>
      <c r="AC141">
        <v>0</v>
      </c>
      <c r="AD141">
        <v>0</v>
      </c>
      <c r="AE141" s="7">
        <f t="shared" si="27"/>
        <v>0</v>
      </c>
      <c r="AF141">
        <v>0</v>
      </c>
      <c r="AG141">
        <v>0</v>
      </c>
      <c r="AH141">
        <v>0</v>
      </c>
      <c r="AI141" s="13">
        <f t="shared" si="28"/>
        <v>0</v>
      </c>
      <c r="AJ141" s="11" t="s">
        <v>51</v>
      </c>
      <c r="AK141" s="11" t="s">
        <v>51</v>
      </c>
      <c r="AL141" s="11" t="s">
        <v>51</v>
      </c>
      <c r="AM141" s="13">
        <f t="shared" si="29"/>
        <v>0</v>
      </c>
      <c r="AN141" s="18">
        <v>40</v>
      </c>
      <c r="AO141" s="18">
        <v>0</v>
      </c>
      <c r="AP141" s="18">
        <v>0</v>
      </c>
      <c r="AQ141" s="18">
        <v>0</v>
      </c>
      <c r="AR141" s="18">
        <f t="shared" si="30"/>
        <v>40</v>
      </c>
      <c r="AS141" t="s">
        <v>52</v>
      </c>
      <c r="AT141" s="9" t="s">
        <v>569</v>
      </c>
      <c r="AU141" s="30">
        <f>+((AN141*I141)+(AO141*AE141)+(AQ141*AI141)+(AP141*AM141))/AR141</f>
        <v>89.837500000000006</v>
      </c>
    </row>
    <row r="142" spans="1:47" hidden="1" x14ac:dyDescent="0.25">
      <c r="A142" t="s">
        <v>46</v>
      </c>
      <c r="B142" t="s">
        <v>570</v>
      </c>
      <c r="C142" t="s">
        <v>571</v>
      </c>
      <c r="D142" t="s">
        <v>572</v>
      </c>
      <c r="E142" s="11">
        <v>20</v>
      </c>
      <c r="F142" s="11">
        <v>20</v>
      </c>
      <c r="G142" s="11">
        <v>44.31</v>
      </c>
      <c r="H142" s="11">
        <v>5.25</v>
      </c>
      <c r="I142" s="13">
        <f t="shared" si="22"/>
        <v>89.56</v>
      </c>
      <c r="J142" s="11">
        <v>58.24</v>
      </c>
      <c r="K142" s="11">
        <v>30</v>
      </c>
      <c r="L142" s="11">
        <v>5.25</v>
      </c>
      <c r="M142" s="13">
        <f t="shared" si="23"/>
        <v>93.490000000000009</v>
      </c>
      <c r="N142" s="11">
        <v>0</v>
      </c>
      <c r="O142" s="11">
        <v>0</v>
      </c>
      <c r="P142" s="11">
        <v>0</v>
      </c>
      <c r="Q142" s="11">
        <v>0</v>
      </c>
      <c r="R142" s="13">
        <f t="shared" si="24"/>
        <v>0</v>
      </c>
      <c r="S142">
        <v>0</v>
      </c>
      <c r="T142">
        <v>0</v>
      </c>
      <c r="U142" s="7">
        <f t="shared" si="25"/>
        <v>0</v>
      </c>
      <c r="V142">
        <v>0</v>
      </c>
      <c r="W142">
        <v>0</v>
      </c>
      <c r="X142">
        <v>0</v>
      </c>
      <c r="Y142">
        <v>0</v>
      </c>
      <c r="Z142" s="13">
        <f t="shared" si="26"/>
        <v>0</v>
      </c>
      <c r="AA142">
        <v>15</v>
      </c>
      <c r="AB142">
        <v>50</v>
      </c>
      <c r="AC142">
        <v>15</v>
      </c>
      <c r="AD142">
        <v>20</v>
      </c>
      <c r="AE142" s="7">
        <f t="shared" si="27"/>
        <v>100</v>
      </c>
      <c r="AF142">
        <v>0</v>
      </c>
      <c r="AG142">
        <v>0</v>
      </c>
      <c r="AH142">
        <v>0</v>
      </c>
      <c r="AI142" s="13">
        <f t="shared" si="28"/>
        <v>0</v>
      </c>
      <c r="AJ142" s="11" t="s">
        <v>51</v>
      </c>
      <c r="AK142" s="11" t="s">
        <v>51</v>
      </c>
      <c r="AL142" s="11" t="s">
        <v>51</v>
      </c>
      <c r="AM142" s="13">
        <f t="shared" si="29"/>
        <v>0</v>
      </c>
      <c r="AN142" s="18">
        <v>25</v>
      </c>
      <c r="AO142" s="18">
        <v>15</v>
      </c>
      <c r="AP142" s="18">
        <v>0</v>
      </c>
      <c r="AQ142" s="18">
        <v>0</v>
      </c>
      <c r="AR142" s="18">
        <f t="shared" si="30"/>
        <v>40</v>
      </c>
      <c r="AS142" t="s">
        <v>52</v>
      </c>
      <c r="AT142" s="9" t="s">
        <v>574</v>
      </c>
      <c r="AU142" s="30">
        <f>+((AN142*I142)+(AO142*AE142)+(AQ142*AI142)+(AP142*AM142))/AR142</f>
        <v>93.474999999999994</v>
      </c>
    </row>
    <row r="143" spans="1:47" hidden="1" x14ac:dyDescent="0.25">
      <c r="A143" t="s">
        <v>46</v>
      </c>
      <c r="B143" t="s">
        <v>570</v>
      </c>
      <c r="C143" t="s">
        <v>571</v>
      </c>
      <c r="D143" t="s">
        <v>572</v>
      </c>
      <c r="E143" s="11">
        <v>20</v>
      </c>
      <c r="F143" s="11">
        <v>20</v>
      </c>
      <c r="G143" s="11">
        <v>44.31</v>
      </c>
      <c r="H143" s="11">
        <v>5.25</v>
      </c>
      <c r="I143" s="13">
        <f t="shared" si="22"/>
        <v>89.56</v>
      </c>
      <c r="J143" s="11">
        <v>58.24</v>
      </c>
      <c r="K143" s="11">
        <v>30</v>
      </c>
      <c r="L143" s="11">
        <v>5.25</v>
      </c>
      <c r="M143" s="13">
        <f t="shared" si="23"/>
        <v>93.490000000000009</v>
      </c>
      <c r="N143" s="11">
        <v>0</v>
      </c>
      <c r="O143" s="11">
        <v>0</v>
      </c>
      <c r="P143" s="11">
        <v>0</v>
      </c>
      <c r="Q143" s="11">
        <v>0</v>
      </c>
      <c r="R143" s="13">
        <f t="shared" si="24"/>
        <v>0</v>
      </c>
      <c r="S143">
        <v>0</v>
      </c>
      <c r="T143">
        <v>0</v>
      </c>
      <c r="U143" s="7">
        <f t="shared" si="25"/>
        <v>0</v>
      </c>
      <c r="V143">
        <v>0</v>
      </c>
      <c r="W143">
        <v>0</v>
      </c>
      <c r="X143">
        <v>0</v>
      </c>
      <c r="Y143">
        <v>0</v>
      </c>
      <c r="Z143" s="13">
        <f t="shared" si="26"/>
        <v>0</v>
      </c>
      <c r="AA143">
        <v>15</v>
      </c>
      <c r="AB143">
        <v>50</v>
      </c>
      <c r="AC143">
        <v>15</v>
      </c>
      <c r="AD143">
        <v>20</v>
      </c>
      <c r="AE143" s="7">
        <f t="shared" si="27"/>
        <v>100</v>
      </c>
      <c r="AF143">
        <v>0</v>
      </c>
      <c r="AG143">
        <v>0</v>
      </c>
      <c r="AH143">
        <v>0</v>
      </c>
      <c r="AI143" s="13">
        <f t="shared" si="28"/>
        <v>0</v>
      </c>
      <c r="AJ143" s="11" t="s">
        <v>51</v>
      </c>
      <c r="AK143" s="11" t="s">
        <v>51</v>
      </c>
      <c r="AL143" s="11" t="s">
        <v>51</v>
      </c>
      <c r="AM143" s="13">
        <f t="shared" si="29"/>
        <v>0</v>
      </c>
      <c r="AN143" s="18">
        <v>2</v>
      </c>
      <c r="AO143" s="18">
        <v>0</v>
      </c>
      <c r="AP143" s="18">
        <v>0</v>
      </c>
      <c r="AQ143" s="18">
        <v>0</v>
      </c>
      <c r="AR143" s="18">
        <f t="shared" si="30"/>
        <v>2</v>
      </c>
      <c r="AS143" t="s">
        <v>87</v>
      </c>
      <c r="AT143" s="9" t="s">
        <v>573</v>
      </c>
      <c r="AU143" s="30">
        <f>+((AN143*M143)+(AO143*AE143)+(AQ143*AI143)+(AP143*AM143))/AR143</f>
        <v>93.490000000000009</v>
      </c>
    </row>
    <row r="144" spans="1:47" hidden="1" x14ac:dyDescent="0.25">
      <c r="A144" t="s">
        <v>46</v>
      </c>
      <c r="B144" t="s">
        <v>575</v>
      </c>
      <c r="C144" t="s">
        <v>576</v>
      </c>
      <c r="D144" t="s">
        <v>577</v>
      </c>
      <c r="E144" s="11">
        <v>25</v>
      </c>
      <c r="F144" s="11">
        <v>0</v>
      </c>
      <c r="G144" s="11">
        <v>61.35</v>
      </c>
      <c r="H144" s="11">
        <v>6.25</v>
      </c>
      <c r="I144" s="13">
        <f t="shared" si="22"/>
        <v>92.6</v>
      </c>
      <c r="J144" s="11">
        <v>0</v>
      </c>
      <c r="K144" s="11">
        <v>0</v>
      </c>
      <c r="L144" s="11">
        <v>0</v>
      </c>
      <c r="M144" s="13">
        <f t="shared" si="23"/>
        <v>0</v>
      </c>
      <c r="N144" s="11">
        <v>0</v>
      </c>
      <c r="O144" s="11">
        <v>0</v>
      </c>
      <c r="P144" s="11">
        <v>0</v>
      </c>
      <c r="Q144" s="11">
        <v>0</v>
      </c>
      <c r="R144" s="13">
        <f t="shared" si="24"/>
        <v>0</v>
      </c>
      <c r="S144">
        <v>0</v>
      </c>
      <c r="T144">
        <v>0</v>
      </c>
      <c r="U144" s="7">
        <f t="shared" si="25"/>
        <v>0</v>
      </c>
      <c r="V144">
        <v>0</v>
      </c>
      <c r="W144">
        <v>0</v>
      </c>
      <c r="X144">
        <v>0</v>
      </c>
      <c r="Y144">
        <v>0</v>
      </c>
      <c r="Z144" s="13">
        <f t="shared" si="26"/>
        <v>0</v>
      </c>
      <c r="AA144">
        <v>3.75</v>
      </c>
      <c r="AB144">
        <v>12.5</v>
      </c>
      <c r="AC144">
        <v>15</v>
      </c>
      <c r="AD144">
        <v>20</v>
      </c>
      <c r="AE144" s="7">
        <f t="shared" si="27"/>
        <v>51.25</v>
      </c>
      <c r="AF144">
        <v>0</v>
      </c>
      <c r="AG144">
        <v>0</v>
      </c>
      <c r="AH144">
        <v>0</v>
      </c>
      <c r="AI144" s="13">
        <f t="shared" si="28"/>
        <v>0</v>
      </c>
      <c r="AJ144" s="11" t="s">
        <v>51</v>
      </c>
      <c r="AK144" s="11" t="s">
        <v>51</v>
      </c>
      <c r="AL144" s="11" t="s">
        <v>51</v>
      </c>
      <c r="AM144" s="13">
        <f t="shared" si="29"/>
        <v>0</v>
      </c>
      <c r="AN144" s="18">
        <v>35</v>
      </c>
      <c r="AO144" s="18">
        <v>5</v>
      </c>
      <c r="AP144" s="18">
        <v>0</v>
      </c>
      <c r="AQ144" s="18">
        <v>0</v>
      </c>
      <c r="AR144" s="18">
        <f t="shared" si="30"/>
        <v>40</v>
      </c>
      <c r="AS144" t="s">
        <v>52</v>
      </c>
      <c r="AT144" s="9" t="s">
        <v>578</v>
      </c>
      <c r="AU144" s="30">
        <f>+((AN144*I144)+(AO144*AE144)+(AQ144*AI144)+(AP144*AM144))/AR144</f>
        <v>87.431250000000006</v>
      </c>
    </row>
    <row r="145" spans="1:47" hidden="1" x14ac:dyDescent="0.25">
      <c r="A145" t="s">
        <v>46</v>
      </c>
      <c r="B145" t="s">
        <v>579</v>
      </c>
      <c r="C145" t="s">
        <v>580</v>
      </c>
      <c r="D145" t="s">
        <v>581</v>
      </c>
      <c r="E145" s="11">
        <v>0</v>
      </c>
      <c r="F145" s="11">
        <v>0</v>
      </c>
      <c r="G145" s="11">
        <v>0</v>
      </c>
      <c r="H145" s="11">
        <v>0</v>
      </c>
      <c r="I145" s="13">
        <f t="shared" si="22"/>
        <v>0</v>
      </c>
      <c r="J145" s="11">
        <v>82.071428571428569</v>
      </c>
      <c r="K145" s="11">
        <v>0</v>
      </c>
      <c r="L145" s="11">
        <v>4.2857142857142856</v>
      </c>
      <c r="M145" s="13">
        <f t="shared" si="23"/>
        <v>86.357142857142861</v>
      </c>
      <c r="N145" s="11">
        <v>0</v>
      </c>
      <c r="O145" s="11">
        <v>0</v>
      </c>
      <c r="P145" s="11">
        <v>0</v>
      </c>
      <c r="Q145" s="11">
        <v>0</v>
      </c>
      <c r="R145" s="13">
        <f t="shared" si="24"/>
        <v>0</v>
      </c>
      <c r="S145">
        <v>0</v>
      </c>
      <c r="T145">
        <v>0</v>
      </c>
      <c r="U145" s="7">
        <f t="shared" si="25"/>
        <v>0</v>
      </c>
      <c r="V145">
        <v>0</v>
      </c>
      <c r="W145">
        <v>0</v>
      </c>
      <c r="X145">
        <v>0</v>
      </c>
      <c r="Y145">
        <v>0</v>
      </c>
      <c r="Z145" s="13">
        <f t="shared" si="26"/>
        <v>0</v>
      </c>
      <c r="AA145">
        <v>0</v>
      </c>
      <c r="AB145">
        <v>0</v>
      </c>
      <c r="AC145">
        <v>0</v>
      </c>
      <c r="AD145">
        <v>0</v>
      </c>
      <c r="AE145" s="7">
        <f t="shared" si="27"/>
        <v>0</v>
      </c>
      <c r="AF145">
        <v>0</v>
      </c>
      <c r="AG145">
        <v>0</v>
      </c>
      <c r="AH145">
        <v>0</v>
      </c>
      <c r="AI145" s="13">
        <f t="shared" si="28"/>
        <v>0</v>
      </c>
      <c r="AJ145" s="11" t="s">
        <v>51</v>
      </c>
      <c r="AK145" s="11" t="s">
        <v>51</v>
      </c>
      <c r="AL145" s="11" t="s">
        <v>51</v>
      </c>
      <c r="AM145" s="13">
        <f t="shared" si="29"/>
        <v>0</v>
      </c>
      <c r="AN145" s="18">
        <v>2</v>
      </c>
      <c r="AO145" s="18">
        <v>0</v>
      </c>
      <c r="AP145" s="18">
        <v>0</v>
      </c>
      <c r="AQ145" s="18">
        <v>0</v>
      </c>
      <c r="AR145" s="18">
        <f t="shared" si="30"/>
        <v>2</v>
      </c>
      <c r="AS145" t="s">
        <v>87</v>
      </c>
      <c r="AT145" s="9" t="s">
        <v>582</v>
      </c>
      <c r="AU145" s="30">
        <f>+((AN145*M145)/AR145)</f>
        <v>86.357142857142861</v>
      </c>
    </row>
    <row r="146" spans="1:47" hidden="1" x14ac:dyDescent="0.25">
      <c r="A146" t="s">
        <v>46</v>
      </c>
      <c r="B146" t="s">
        <v>583</v>
      </c>
      <c r="C146" t="s">
        <v>584</v>
      </c>
      <c r="D146" t="s">
        <v>585</v>
      </c>
      <c r="E146" s="11">
        <v>20</v>
      </c>
      <c r="F146" s="11">
        <v>15.67</v>
      </c>
      <c r="G146" s="11">
        <v>46.03</v>
      </c>
      <c r="H146" s="11">
        <v>7.5</v>
      </c>
      <c r="I146" s="13">
        <f t="shared" si="22"/>
        <v>89.2</v>
      </c>
      <c r="J146" s="11">
        <v>0</v>
      </c>
      <c r="K146" s="11">
        <v>0</v>
      </c>
      <c r="L146" s="11">
        <v>0</v>
      </c>
      <c r="M146" s="13">
        <f t="shared" si="23"/>
        <v>0</v>
      </c>
      <c r="N146" s="11">
        <v>0</v>
      </c>
      <c r="O146" s="11">
        <v>0</v>
      </c>
      <c r="P146" s="11">
        <v>0</v>
      </c>
      <c r="Q146" s="11">
        <v>0</v>
      </c>
      <c r="R146" s="13">
        <f t="shared" si="24"/>
        <v>0</v>
      </c>
      <c r="S146">
        <v>0</v>
      </c>
      <c r="T146">
        <v>0</v>
      </c>
      <c r="U146" s="7">
        <f t="shared" si="25"/>
        <v>0</v>
      </c>
      <c r="V146">
        <v>0</v>
      </c>
      <c r="W146">
        <v>0</v>
      </c>
      <c r="X146">
        <v>0</v>
      </c>
      <c r="Y146">
        <v>0</v>
      </c>
      <c r="Z146" s="13">
        <f t="shared" si="26"/>
        <v>0</v>
      </c>
      <c r="AA146">
        <v>0</v>
      </c>
      <c r="AB146">
        <v>0</v>
      </c>
      <c r="AC146">
        <v>0</v>
      </c>
      <c r="AD146">
        <v>0</v>
      </c>
      <c r="AE146" s="7">
        <f t="shared" si="27"/>
        <v>0</v>
      </c>
      <c r="AF146">
        <v>0</v>
      </c>
      <c r="AG146">
        <v>0</v>
      </c>
      <c r="AH146">
        <v>0</v>
      </c>
      <c r="AI146" s="13">
        <f t="shared" si="28"/>
        <v>0</v>
      </c>
      <c r="AJ146" s="11" t="s">
        <v>51</v>
      </c>
      <c r="AK146" s="11" t="s">
        <v>51</v>
      </c>
      <c r="AL146" s="11" t="s">
        <v>51</v>
      </c>
      <c r="AM146" s="13">
        <f t="shared" si="29"/>
        <v>0</v>
      </c>
      <c r="AN146" s="18">
        <v>6</v>
      </c>
      <c r="AO146" s="18">
        <v>0</v>
      </c>
      <c r="AP146" s="18">
        <v>0</v>
      </c>
      <c r="AQ146" s="18">
        <v>0</v>
      </c>
      <c r="AR146" s="18">
        <f t="shared" si="30"/>
        <v>6</v>
      </c>
      <c r="AS146" t="s">
        <v>52</v>
      </c>
      <c r="AT146" s="9" t="s">
        <v>586</v>
      </c>
      <c r="AU146" s="30">
        <f>+((AN146*I146)+(AO146*AE146)+(AQ146*AI146)+(AP146*AM146))/AR146</f>
        <v>89.2</v>
      </c>
    </row>
    <row r="147" spans="1:47" hidden="1" x14ac:dyDescent="0.25">
      <c r="A147" t="s">
        <v>46</v>
      </c>
      <c r="B147" t="s">
        <v>587</v>
      </c>
      <c r="C147" t="s">
        <v>588</v>
      </c>
      <c r="D147" t="s">
        <v>589</v>
      </c>
      <c r="E147" s="11">
        <v>20</v>
      </c>
      <c r="F147" s="11">
        <v>19</v>
      </c>
      <c r="G147" s="11">
        <v>48.47</v>
      </c>
      <c r="H147" s="11">
        <v>4</v>
      </c>
      <c r="I147" s="13">
        <f t="shared" si="22"/>
        <v>91.47</v>
      </c>
      <c r="J147" s="11">
        <v>0</v>
      </c>
      <c r="K147" s="11">
        <v>0</v>
      </c>
      <c r="L147" s="11">
        <v>0</v>
      </c>
      <c r="M147" s="13">
        <f t="shared" si="23"/>
        <v>0</v>
      </c>
      <c r="N147" s="11">
        <v>0</v>
      </c>
      <c r="O147" s="11">
        <v>0</v>
      </c>
      <c r="P147" s="11">
        <v>0</v>
      </c>
      <c r="Q147" s="11">
        <v>0</v>
      </c>
      <c r="R147" s="13">
        <f t="shared" si="24"/>
        <v>0</v>
      </c>
      <c r="S147">
        <v>0</v>
      </c>
      <c r="T147">
        <v>0</v>
      </c>
      <c r="U147" s="7">
        <f t="shared" si="25"/>
        <v>0</v>
      </c>
      <c r="V147">
        <v>0</v>
      </c>
      <c r="W147">
        <v>0</v>
      </c>
      <c r="X147">
        <v>0</v>
      </c>
      <c r="Y147">
        <v>0</v>
      </c>
      <c r="Z147" s="13">
        <f t="shared" si="26"/>
        <v>0</v>
      </c>
      <c r="AA147">
        <v>0</v>
      </c>
      <c r="AB147">
        <v>0</v>
      </c>
      <c r="AC147">
        <v>0</v>
      </c>
      <c r="AD147">
        <v>0</v>
      </c>
      <c r="AE147" s="7">
        <f t="shared" si="27"/>
        <v>0</v>
      </c>
      <c r="AF147">
        <v>0</v>
      </c>
      <c r="AG147">
        <v>0</v>
      </c>
      <c r="AH147">
        <v>0</v>
      </c>
      <c r="AI147" s="13">
        <f t="shared" si="28"/>
        <v>0</v>
      </c>
      <c r="AJ147" s="11" t="s">
        <v>51</v>
      </c>
      <c r="AK147" s="11" t="s">
        <v>51</v>
      </c>
      <c r="AL147" s="11" t="s">
        <v>51</v>
      </c>
      <c r="AM147" s="13">
        <f t="shared" si="29"/>
        <v>0</v>
      </c>
      <c r="AN147" s="18">
        <v>7</v>
      </c>
      <c r="AO147" s="18">
        <v>0</v>
      </c>
      <c r="AP147" s="18">
        <v>0</v>
      </c>
      <c r="AQ147" s="18">
        <v>0</v>
      </c>
      <c r="AR147" s="18">
        <f t="shared" si="30"/>
        <v>7</v>
      </c>
      <c r="AS147" t="s">
        <v>52</v>
      </c>
      <c r="AT147" s="9" t="s">
        <v>590</v>
      </c>
      <c r="AU147" s="30">
        <f>+((AN147*I147)+(AO147*AE147)+(AQ147*AI147)+(AP147*AM147))/AR147</f>
        <v>91.47</v>
      </c>
    </row>
    <row r="148" spans="1:47" hidden="1" x14ac:dyDescent="0.25">
      <c r="A148" t="s">
        <v>46</v>
      </c>
      <c r="B148" t="s">
        <v>591</v>
      </c>
      <c r="C148" t="s">
        <v>592</v>
      </c>
      <c r="D148" t="s">
        <v>593</v>
      </c>
      <c r="E148" s="11">
        <v>0</v>
      </c>
      <c r="F148" s="11">
        <v>0</v>
      </c>
      <c r="G148" s="11">
        <v>0</v>
      </c>
      <c r="H148" s="11">
        <v>0</v>
      </c>
      <c r="I148" s="13">
        <f t="shared" si="22"/>
        <v>0</v>
      </c>
      <c r="J148" s="11">
        <v>54.08</v>
      </c>
      <c r="K148" s="11">
        <v>30</v>
      </c>
      <c r="L148" s="11">
        <v>6</v>
      </c>
      <c r="M148" s="13">
        <f t="shared" si="23"/>
        <v>90.08</v>
      </c>
      <c r="N148" s="11">
        <v>0</v>
      </c>
      <c r="O148" s="11">
        <v>0</v>
      </c>
      <c r="P148" s="11">
        <v>0</v>
      </c>
      <c r="Q148" s="11">
        <v>0</v>
      </c>
      <c r="R148" s="13">
        <f t="shared" si="24"/>
        <v>0</v>
      </c>
      <c r="S148">
        <v>0</v>
      </c>
      <c r="T148">
        <v>0</v>
      </c>
      <c r="U148" s="7">
        <f t="shared" si="25"/>
        <v>0</v>
      </c>
      <c r="V148">
        <v>0</v>
      </c>
      <c r="W148">
        <v>0</v>
      </c>
      <c r="X148">
        <v>0</v>
      </c>
      <c r="Y148">
        <v>0</v>
      </c>
      <c r="Z148" s="13">
        <f t="shared" si="26"/>
        <v>0</v>
      </c>
      <c r="AA148">
        <v>0</v>
      </c>
      <c r="AB148">
        <v>0</v>
      </c>
      <c r="AC148">
        <v>0</v>
      </c>
      <c r="AD148">
        <v>0</v>
      </c>
      <c r="AE148" s="7">
        <f t="shared" si="27"/>
        <v>0</v>
      </c>
      <c r="AF148">
        <v>0</v>
      </c>
      <c r="AG148">
        <v>0</v>
      </c>
      <c r="AH148">
        <v>0</v>
      </c>
      <c r="AI148" s="13">
        <f t="shared" si="28"/>
        <v>0</v>
      </c>
      <c r="AJ148" s="11" t="s">
        <v>51</v>
      </c>
      <c r="AK148" s="11" t="s">
        <v>51</v>
      </c>
      <c r="AL148" s="11" t="s">
        <v>51</v>
      </c>
      <c r="AM148" s="13">
        <f t="shared" si="29"/>
        <v>0</v>
      </c>
      <c r="AN148" s="18">
        <v>1.5</v>
      </c>
      <c r="AO148" s="18">
        <v>0</v>
      </c>
      <c r="AP148" s="18">
        <v>0</v>
      </c>
      <c r="AQ148" s="18">
        <v>0</v>
      </c>
      <c r="AR148" s="18">
        <f t="shared" si="30"/>
        <v>1.5</v>
      </c>
      <c r="AS148" t="s">
        <v>87</v>
      </c>
      <c r="AT148" s="9" t="s">
        <v>594</v>
      </c>
      <c r="AU148" s="30">
        <f>+((AN148*M148)/AR148)</f>
        <v>90.08</v>
      </c>
    </row>
    <row r="149" spans="1:47" hidden="1" x14ac:dyDescent="0.25">
      <c r="A149" t="s">
        <v>46</v>
      </c>
      <c r="B149" s="32" t="s">
        <v>595</v>
      </c>
      <c r="C149" s="32" t="s">
        <v>596</v>
      </c>
      <c r="D149" s="32" t="s">
        <v>597</v>
      </c>
      <c r="E149" s="11">
        <v>0</v>
      </c>
      <c r="F149" s="11">
        <v>0</v>
      </c>
      <c r="G149" s="11">
        <v>0</v>
      </c>
      <c r="H149" s="11">
        <v>0</v>
      </c>
      <c r="I149" s="13">
        <f t="shared" si="22"/>
        <v>0</v>
      </c>
      <c r="J149" s="11">
        <v>0</v>
      </c>
      <c r="K149" s="11">
        <v>0</v>
      </c>
      <c r="L149" s="11">
        <v>0</v>
      </c>
      <c r="M149" s="13">
        <f t="shared" si="23"/>
        <v>0</v>
      </c>
      <c r="N149" s="11">
        <v>46.73</v>
      </c>
      <c r="O149" s="11">
        <v>2.5</v>
      </c>
      <c r="P149" s="11">
        <v>20</v>
      </c>
      <c r="Q149" s="11">
        <v>19.329999999999998</v>
      </c>
      <c r="R149" s="13">
        <f t="shared" si="24"/>
        <v>88.559999999999988</v>
      </c>
      <c r="S149">
        <v>0</v>
      </c>
      <c r="T149">
        <v>0</v>
      </c>
      <c r="U149" s="7">
        <f t="shared" si="25"/>
        <v>0</v>
      </c>
      <c r="V149">
        <v>0</v>
      </c>
      <c r="W149">
        <v>0</v>
      </c>
      <c r="X149">
        <v>0</v>
      </c>
      <c r="Y149">
        <v>0</v>
      </c>
      <c r="Z149" s="13">
        <f t="shared" si="26"/>
        <v>0</v>
      </c>
      <c r="AA149">
        <v>0</v>
      </c>
      <c r="AB149">
        <v>0</v>
      </c>
      <c r="AC149">
        <v>0</v>
      </c>
      <c r="AD149">
        <v>0</v>
      </c>
      <c r="AE149" s="7">
        <f t="shared" si="27"/>
        <v>0</v>
      </c>
      <c r="AF149">
        <v>0</v>
      </c>
      <c r="AG149">
        <v>0</v>
      </c>
      <c r="AH149">
        <v>0</v>
      </c>
      <c r="AI149" s="13">
        <f t="shared" si="28"/>
        <v>0</v>
      </c>
      <c r="AJ149" s="11" t="s">
        <v>51</v>
      </c>
      <c r="AK149" s="11" t="s">
        <v>51</v>
      </c>
      <c r="AL149" s="11" t="s">
        <v>51</v>
      </c>
      <c r="AM149" s="13">
        <f t="shared" si="29"/>
        <v>0</v>
      </c>
      <c r="AN149" s="18">
        <v>11</v>
      </c>
      <c r="AO149" s="18">
        <v>0</v>
      </c>
      <c r="AP149" s="18">
        <v>0</v>
      </c>
      <c r="AQ149" s="18">
        <v>0</v>
      </c>
      <c r="AR149" s="18">
        <f t="shared" si="30"/>
        <v>11</v>
      </c>
      <c r="AS149" t="s">
        <v>117</v>
      </c>
      <c r="AT149" s="9" t="s">
        <v>598</v>
      </c>
      <c r="AU149" s="11">
        <f>+((AN149*R149)+(AQ149*AI149)+(AP149*AM149))/AR149</f>
        <v>88.559999999999988</v>
      </c>
    </row>
    <row r="150" spans="1:47" hidden="1" x14ac:dyDescent="0.25">
      <c r="A150" t="s">
        <v>46</v>
      </c>
      <c r="B150" t="s">
        <v>599</v>
      </c>
      <c r="C150" t="s">
        <v>600</v>
      </c>
      <c r="D150" t="s">
        <v>601</v>
      </c>
      <c r="E150" s="11">
        <v>20</v>
      </c>
      <c r="F150" s="11">
        <v>20</v>
      </c>
      <c r="G150" s="11">
        <v>38.270000000000003</v>
      </c>
      <c r="H150" s="11">
        <v>5.5</v>
      </c>
      <c r="I150" s="13">
        <f t="shared" si="22"/>
        <v>83.77000000000001</v>
      </c>
      <c r="J150" s="11">
        <v>0</v>
      </c>
      <c r="K150" s="11">
        <v>0</v>
      </c>
      <c r="L150" s="11">
        <v>0</v>
      </c>
      <c r="M150" s="13">
        <f t="shared" si="23"/>
        <v>0</v>
      </c>
      <c r="N150" s="11">
        <v>0</v>
      </c>
      <c r="O150" s="11">
        <v>0</v>
      </c>
      <c r="P150" s="11">
        <v>0</v>
      </c>
      <c r="Q150" s="11">
        <v>0</v>
      </c>
      <c r="R150" s="13">
        <f t="shared" si="24"/>
        <v>0</v>
      </c>
      <c r="S150">
        <v>0</v>
      </c>
      <c r="T150">
        <v>0</v>
      </c>
      <c r="U150" s="7">
        <f t="shared" si="25"/>
        <v>0</v>
      </c>
      <c r="V150">
        <v>0</v>
      </c>
      <c r="W150">
        <v>0</v>
      </c>
      <c r="X150">
        <v>0</v>
      </c>
      <c r="Y150">
        <v>0</v>
      </c>
      <c r="Z150" s="13">
        <f t="shared" si="26"/>
        <v>0</v>
      </c>
      <c r="AA150">
        <v>3.75</v>
      </c>
      <c r="AB150">
        <v>12.5</v>
      </c>
      <c r="AC150">
        <v>15</v>
      </c>
      <c r="AD150">
        <v>20</v>
      </c>
      <c r="AE150" s="7">
        <f t="shared" si="27"/>
        <v>51.25</v>
      </c>
      <c r="AF150">
        <v>0</v>
      </c>
      <c r="AG150">
        <v>0</v>
      </c>
      <c r="AH150">
        <v>0</v>
      </c>
      <c r="AI150" s="13">
        <f t="shared" si="28"/>
        <v>0</v>
      </c>
      <c r="AJ150" s="11" t="s">
        <v>51</v>
      </c>
      <c r="AK150" s="11">
        <v>37.5</v>
      </c>
      <c r="AL150" s="11">
        <v>47.387500000000003</v>
      </c>
      <c r="AM150" s="13">
        <f t="shared" si="29"/>
        <v>84.887500000000003</v>
      </c>
      <c r="AN150" s="18">
        <v>32</v>
      </c>
      <c r="AO150" s="18">
        <v>5</v>
      </c>
      <c r="AP150" s="18">
        <v>3</v>
      </c>
      <c r="AQ150" s="18">
        <v>0</v>
      </c>
      <c r="AR150" s="18">
        <f t="shared" si="30"/>
        <v>40</v>
      </c>
      <c r="AS150" t="s">
        <v>52</v>
      </c>
      <c r="AT150" s="9" t="s">
        <v>602</v>
      </c>
      <c r="AU150" s="30">
        <f t="shared" ref="AU150:AU156" si="31">+((AN150*I150)+(AO150*AE150)+(AQ150*AI150)+(AP150*AM150))/AR150</f>
        <v>79.788812500000006</v>
      </c>
    </row>
    <row r="151" spans="1:47" hidden="1" x14ac:dyDescent="0.25">
      <c r="A151" t="s">
        <v>46</v>
      </c>
      <c r="B151" t="s">
        <v>603</v>
      </c>
      <c r="C151" t="s">
        <v>604</v>
      </c>
      <c r="D151" t="s">
        <v>605</v>
      </c>
      <c r="E151" s="11">
        <v>19.329999999999998</v>
      </c>
      <c r="F151" s="11">
        <v>19</v>
      </c>
      <c r="G151" s="11">
        <v>45.65</v>
      </c>
      <c r="H151" s="11">
        <v>6</v>
      </c>
      <c r="I151" s="13">
        <f t="shared" si="22"/>
        <v>89.97999999999999</v>
      </c>
      <c r="J151" s="11">
        <v>0</v>
      </c>
      <c r="K151" s="11">
        <v>0</v>
      </c>
      <c r="L151" s="11">
        <v>0</v>
      </c>
      <c r="M151" s="13">
        <f t="shared" si="23"/>
        <v>0</v>
      </c>
      <c r="N151" s="11">
        <v>0</v>
      </c>
      <c r="O151" s="11">
        <v>0</v>
      </c>
      <c r="P151" s="11">
        <v>0</v>
      </c>
      <c r="Q151" s="11">
        <v>0</v>
      </c>
      <c r="R151" s="13">
        <f t="shared" si="24"/>
        <v>0</v>
      </c>
      <c r="S151">
        <v>0</v>
      </c>
      <c r="T151">
        <v>0</v>
      </c>
      <c r="U151" s="7">
        <f t="shared" si="25"/>
        <v>0</v>
      </c>
      <c r="V151">
        <v>0</v>
      </c>
      <c r="W151">
        <v>0</v>
      </c>
      <c r="X151">
        <v>0</v>
      </c>
      <c r="Y151">
        <v>0</v>
      </c>
      <c r="Z151" s="13">
        <f t="shared" si="26"/>
        <v>0</v>
      </c>
      <c r="AA151">
        <v>0</v>
      </c>
      <c r="AB151">
        <v>0</v>
      </c>
      <c r="AC151">
        <v>0</v>
      </c>
      <c r="AD151">
        <v>0</v>
      </c>
      <c r="AE151" s="7">
        <f t="shared" si="27"/>
        <v>0</v>
      </c>
      <c r="AF151">
        <v>0</v>
      </c>
      <c r="AG151">
        <v>0</v>
      </c>
      <c r="AH151">
        <v>0</v>
      </c>
      <c r="AI151" s="13">
        <f t="shared" si="28"/>
        <v>0</v>
      </c>
      <c r="AJ151" s="11" t="s">
        <v>51</v>
      </c>
      <c r="AK151" s="11" t="s">
        <v>51</v>
      </c>
      <c r="AL151" s="11" t="s">
        <v>51</v>
      </c>
      <c r="AM151" s="13">
        <f t="shared" si="29"/>
        <v>0</v>
      </c>
      <c r="AN151" s="18">
        <v>40</v>
      </c>
      <c r="AO151" s="18">
        <v>0</v>
      </c>
      <c r="AP151" s="18">
        <v>0</v>
      </c>
      <c r="AQ151" s="18">
        <v>0</v>
      </c>
      <c r="AR151" s="18">
        <f t="shared" si="30"/>
        <v>40</v>
      </c>
      <c r="AS151" t="s">
        <v>52</v>
      </c>
      <c r="AT151" s="9" t="s">
        <v>606</v>
      </c>
      <c r="AU151" s="30">
        <f t="shared" si="31"/>
        <v>89.97999999999999</v>
      </c>
    </row>
    <row r="152" spans="1:47" hidden="1" x14ac:dyDescent="0.25">
      <c r="A152" t="s">
        <v>46</v>
      </c>
      <c r="B152" t="s">
        <v>607</v>
      </c>
      <c r="C152" t="s">
        <v>608</v>
      </c>
      <c r="D152" t="s">
        <v>609</v>
      </c>
      <c r="E152" s="11">
        <v>19.670000000000002</v>
      </c>
      <c r="F152" s="11">
        <v>18.670000000000002</v>
      </c>
      <c r="G152" s="11">
        <v>46.14</v>
      </c>
      <c r="H152" s="11">
        <v>4.5</v>
      </c>
      <c r="I152" s="13">
        <f t="shared" si="22"/>
        <v>88.98</v>
      </c>
      <c r="J152" s="11">
        <v>0</v>
      </c>
      <c r="K152" s="11">
        <v>0</v>
      </c>
      <c r="L152" s="11">
        <v>0</v>
      </c>
      <c r="M152" s="13">
        <f t="shared" si="23"/>
        <v>0</v>
      </c>
      <c r="N152" s="11">
        <v>0</v>
      </c>
      <c r="O152" s="11">
        <v>0</v>
      </c>
      <c r="P152" s="11">
        <v>0</v>
      </c>
      <c r="Q152" s="11">
        <v>0</v>
      </c>
      <c r="R152" s="13">
        <f t="shared" si="24"/>
        <v>0</v>
      </c>
      <c r="S152">
        <v>0</v>
      </c>
      <c r="T152">
        <v>0</v>
      </c>
      <c r="U152" s="7">
        <f t="shared" si="25"/>
        <v>0</v>
      </c>
      <c r="V152">
        <v>0</v>
      </c>
      <c r="W152">
        <v>0</v>
      </c>
      <c r="X152">
        <v>0</v>
      </c>
      <c r="Y152">
        <v>0</v>
      </c>
      <c r="Z152" s="13">
        <f t="shared" si="26"/>
        <v>0</v>
      </c>
      <c r="AA152">
        <v>0</v>
      </c>
      <c r="AB152">
        <v>0</v>
      </c>
      <c r="AC152">
        <v>0</v>
      </c>
      <c r="AD152">
        <v>0</v>
      </c>
      <c r="AE152" s="7">
        <f t="shared" si="27"/>
        <v>0</v>
      </c>
      <c r="AF152">
        <v>50</v>
      </c>
      <c r="AG152">
        <v>20</v>
      </c>
      <c r="AH152">
        <v>30</v>
      </c>
      <c r="AI152" s="13">
        <f t="shared" si="28"/>
        <v>100</v>
      </c>
      <c r="AJ152" s="11" t="s">
        <v>51</v>
      </c>
      <c r="AK152" s="11" t="s">
        <v>51</v>
      </c>
      <c r="AL152" s="11" t="s">
        <v>51</v>
      </c>
      <c r="AM152" s="13">
        <f t="shared" si="29"/>
        <v>0</v>
      </c>
      <c r="AN152" s="18">
        <v>32</v>
      </c>
      <c r="AO152" s="18">
        <v>0</v>
      </c>
      <c r="AP152" s="18">
        <v>0</v>
      </c>
      <c r="AQ152" s="18">
        <v>8</v>
      </c>
      <c r="AR152" s="18">
        <f t="shared" si="30"/>
        <v>40</v>
      </c>
      <c r="AS152" t="s">
        <v>52</v>
      </c>
      <c r="AT152" s="9" t="s">
        <v>610</v>
      </c>
      <c r="AU152" s="30">
        <f t="shared" si="31"/>
        <v>91.183999999999997</v>
      </c>
    </row>
    <row r="153" spans="1:47" hidden="1" x14ac:dyDescent="0.25">
      <c r="A153" t="s">
        <v>46</v>
      </c>
      <c r="B153" t="s">
        <v>611</v>
      </c>
      <c r="C153" t="s">
        <v>612</v>
      </c>
      <c r="D153" t="s">
        <v>613</v>
      </c>
      <c r="E153" s="11">
        <v>18.329999999999998</v>
      </c>
      <c r="F153" s="11">
        <v>17</v>
      </c>
      <c r="G153" s="11">
        <v>38.380000000000003</v>
      </c>
      <c r="H153" s="11">
        <v>6</v>
      </c>
      <c r="I153" s="13">
        <f t="shared" si="22"/>
        <v>79.710000000000008</v>
      </c>
      <c r="J153" s="11">
        <v>0</v>
      </c>
      <c r="K153" s="11">
        <v>0</v>
      </c>
      <c r="L153" s="11">
        <v>0</v>
      </c>
      <c r="M153" s="13">
        <f t="shared" si="23"/>
        <v>0</v>
      </c>
      <c r="N153" s="11">
        <v>0</v>
      </c>
      <c r="O153" s="11">
        <v>0</v>
      </c>
      <c r="P153" s="11">
        <v>0</v>
      </c>
      <c r="Q153" s="11">
        <v>0</v>
      </c>
      <c r="R153" s="13">
        <f t="shared" si="24"/>
        <v>0</v>
      </c>
      <c r="S153">
        <v>0</v>
      </c>
      <c r="T153">
        <v>0</v>
      </c>
      <c r="U153" s="7">
        <f t="shared" si="25"/>
        <v>0</v>
      </c>
      <c r="V153">
        <v>0</v>
      </c>
      <c r="W153">
        <v>0</v>
      </c>
      <c r="X153">
        <v>0</v>
      </c>
      <c r="Y153">
        <v>0</v>
      </c>
      <c r="Z153" s="13">
        <f t="shared" si="26"/>
        <v>0</v>
      </c>
      <c r="AA153">
        <v>3.75</v>
      </c>
      <c r="AB153">
        <v>18.75</v>
      </c>
      <c r="AC153">
        <v>15</v>
      </c>
      <c r="AD153">
        <v>18.75</v>
      </c>
      <c r="AE153" s="7">
        <f t="shared" si="27"/>
        <v>56.25</v>
      </c>
      <c r="AF153">
        <v>0</v>
      </c>
      <c r="AG153">
        <v>0</v>
      </c>
      <c r="AH153">
        <v>0</v>
      </c>
      <c r="AI153" s="13">
        <f t="shared" si="28"/>
        <v>0</v>
      </c>
      <c r="AJ153" s="11" t="s">
        <v>51</v>
      </c>
      <c r="AK153" s="11" t="s">
        <v>51</v>
      </c>
      <c r="AL153" s="11" t="s">
        <v>51</v>
      </c>
      <c r="AM153" s="13">
        <f t="shared" si="29"/>
        <v>0</v>
      </c>
      <c r="AN153" s="18">
        <v>34</v>
      </c>
      <c r="AO153" s="18">
        <v>6</v>
      </c>
      <c r="AP153" s="18">
        <v>0</v>
      </c>
      <c r="AQ153" s="18">
        <v>0</v>
      </c>
      <c r="AR153" s="18">
        <f t="shared" si="30"/>
        <v>40</v>
      </c>
      <c r="AS153" t="s">
        <v>52</v>
      </c>
      <c r="AT153" s="9" t="s">
        <v>614</v>
      </c>
      <c r="AU153" s="30">
        <f t="shared" si="31"/>
        <v>76.191000000000003</v>
      </c>
    </row>
    <row r="154" spans="1:47" hidden="1" x14ac:dyDescent="0.25">
      <c r="A154" t="s">
        <v>46</v>
      </c>
      <c r="B154" t="s">
        <v>615</v>
      </c>
      <c r="C154" t="s">
        <v>616</v>
      </c>
      <c r="D154" t="s">
        <v>176</v>
      </c>
      <c r="E154" s="11">
        <v>27.61428571428571</v>
      </c>
      <c r="F154" s="11">
        <v>0</v>
      </c>
      <c r="G154" s="11">
        <v>54.828571428571429</v>
      </c>
      <c r="H154" s="11">
        <v>0</v>
      </c>
      <c r="I154" s="13">
        <f t="shared" si="22"/>
        <v>82.442857142857136</v>
      </c>
      <c r="J154" s="11">
        <v>0</v>
      </c>
      <c r="K154" s="11">
        <v>0</v>
      </c>
      <c r="L154" s="11">
        <v>0</v>
      </c>
      <c r="M154" s="13">
        <f t="shared" si="23"/>
        <v>0</v>
      </c>
      <c r="N154" s="11">
        <v>0</v>
      </c>
      <c r="O154" s="11">
        <v>0</v>
      </c>
      <c r="P154" s="11">
        <v>0</v>
      </c>
      <c r="Q154" s="11">
        <v>0</v>
      </c>
      <c r="R154" s="13">
        <f t="shared" si="24"/>
        <v>0</v>
      </c>
      <c r="S154">
        <v>0</v>
      </c>
      <c r="T154">
        <v>0</v>
      </c>
      <c r="U154" s="7">
        <f t="shared" si="25"/>
        <v>0</v>
      </c>
      <c r="V154">
        <v>0</v>
      </c>
      <c r="W154">
        <v>0</v>
      </c>
      <c r="X154">
        <v>0</v>
      </c>
      <c r="Y154">
        <v>0</v>
      </c>
      <c r="Z154" s="13">
        <f t="shared" si="26"/>
        <v>0</v>
      </c>
      <c r="AA154">
        <v>0</v>
      </c>
      <c r="AB154">
        <v>0</v>
      </c>
      <c r="AC154">
        <v>0</v>
      </c>
      <c r="AD154">
        <v>0</v>
      </c>
      <c r="AE154" s="7">
        <f t="shared" si="27"/>
        <v>0</v>
      </c>
      <c r="AF154">
        <v>0</v>
      </c>
      <c r="AG154">
        <v>0</v>
      </c>
      <c r="AH154">
        <v>0</v>
      </c>
      <c r="AI154" s="13">
        <f t="shared" si="28"/>
        <v>0</v>
      </c>
      <c r="AJ154" s="11" t="s">
        <v>51</v>
      </c>
      <c r="AK154" s="11" t="s">
        <v>51</v>
      </c>
      <c r="AL154" s="11" t="s">
        <v>51</v>
      </c>
      <c r="AM154" s="13">
        <f t="shared" si="29"/>
        <v>0</v>
      </c>
      <c r="AN154" s="18">
        <v>3.5</v>
      </c>
      <c r="AO154" s="18">
        <v>0</v>
      </c>
      <c r="AP154" s="18">
        <v>0</v>
      </c>
      <c r="AQ154" s="18">
        <v>0</v>
      </c>
      <c r="AR154" s="18">
        <f t="shared" si="30"/>
        <v>3.5</v>
      </c>
      <c r="AS154" t="s">
        <v>52</v>
      </c>
      <c r="AT154" s="9" t="s">
        <v>617</v>
      </c>
      <c r="AU154" s="30">
        <f t="shared" si="31"/>
        <v>82.442857142857136</v>
      </c>
    </row>
    <row r="155" spans="1:47" hidden="1" x14ac:dyDescent="0.25">
      <c r="A155" t="s">
        <v>46</v>
      </c>
      <c r="B155" t="s">
        <v>618</v>
      </c>
      <c r="C155" t="s">
        <v>619</v>
      </c>
      <c r="D155" t="s">
        <v>620</v>
      </c>
      <c r="E155" s="11">
        <v>20</v>
      </c>
      <c r="F155" s="11">
        <v>20</v>
      </c>
      <c r="G155" s="11">
        <v>39.82</v>
      </c>
      <c r="H155" s="11">
        <v>3</v>
      </c>
      <c r="I155" s="13">
        <f t="shared" si="22"/>
        <v>82.82</v>
      </c>
      <c r="J155" s="11">
        <v>0</v>
      </c>
      <c r="K155" s="11">
        <v>0</v>
      </c>
      <c r="L155" s="11">
        <v>0</v>
      </c>
      <c r="M155" s="13">
        <f t="shared" si="23"/>
        <v>0</v>
      </c>
      <c r="N155" s="11">
        <v>0</v>
      </c>
      <c r="O155" s="11">
        <v>0</v>
      </c>
      <c r="P155" s="11">
        <v>0</v>
      </c>
      <c r="Q155" s="11">
        <v>0</v>
      </c>
      <c r="R155" s="13">
        <f t="shared" si="24"/>
        <v>0</v>
      </c>
      <c r="S155">
        <v>0</v>
      </c>
      <c r="T155">
        <v>0</v>
      </c>
      <c r="U155" s="7">
        <f t="shared" si="25"/>
        <v>0</v>
      </c>
      <c r="V155">
        <v>0</v>
      </c>
      <c r="W155">
        <v>0</v>
      </c>
      <c r="X155">
        <v>0</v>
      </c>
      <c r="Y155">
        <v>0</v>
      </c>
      <c r="Z155" s="13">
        <f t="shared" si="26"/>
        <v>0</v>
      </c>
      <c r="AA155">
        <v>0</v>
      </c>
      <c r="AB155">
        <v>0</v>
      </c>
      <c r="AC155">
        <v>0</v>
      </c>
      <c r="AD155">
        <v>0</v>
      </c>
      <c r="AE155" s="7">
        <f t="shared" si="27"/>
        <v>0</v>
      </c>
      <c r="AF155">
        <v>0</v>
      </c>
      <c r="AG155">
        <v>0</v>
      </c>
      <c r="AH155">
        <v>0</v>
      </c>
      <c r="AI155" s="13">
        <f t="shared" si="28"/>
        <v>0</v>
      </c>
      <c r="AJ155" s="11" t="s">
        <v>51</v>
      </c>
      <c r="AK155" s="11" t="s">
        <v>51</v>
      </c>
      <c r="AL155" s="11" t="s">
        <v>51</v>
      </c>
      <c r="AM155" s="13">
        <f t="shared" si="29"/>
        <v>0</v>
      </c>
      <c r="AN155" s="18">
        <v>2</v>
      </c>
      <c r="AO155" s="18">
        <v>0</v>
      </c>
      <c r="AP155" s="18">
        <v>0</v>
      </c>
      <c r="AQ155" s="18">
        <v>0</v>
      </c>
      <c r="AR155" s="18">
        <f t="shared" si="30"/>
        <v>2</v>
      </c>
      <c r="AS155" t="s">
        <v>52</v>
      </c>
      <c r="AT155" s="9" t="s">
        <v>621</v>
      </c>
      <c r="AU155" s="30">
        <f t="shared" si="31"/>
        <v>82.82</v>
      </c>
    </row>
    <row r="156" spans="1:47" hidden="1" x14ac:dyDescent="0.25">
      <c r="A156" t="s">
        <v>46</v>
      </c>
      <c r="B156" t="s">
        <v>622</v>
      </c>
      <c r="C156" t="s">
        <v>623</v>
      </c>
      <c r="D156" t="s">
        <v>624</v>
      </c>
      <c r="E156" s="11">
        <v>18.670000000000002</v>
      </c>
      <c r="F156" s="11">
        <v>19</v>
      </c>
      <c r="G156" s="11">
        <v>44.21</v>
      </c>
      <c r="H156" s="11">
        <v>4</v>
      </c>
      <c r="I156" s="13">
        <f t="shared" si="22"/>
        <v>85.88</v>
      </c>
      <c r="J156" s="11">
        <v>55.94</v>
      </c>
      <c r="K156" s="11">
        <v>27.5</v>
      </c>
      <c r="L156" s="11">
        <v>4</v>
      </c>
      <c r="M156" s="13">
        <f t="shared" si="23"/>
        <v>87.44</v>
      </c>
      <c r="N156" s="11">
        <v>0</v>
      </c>
      <c r="O156" s="11">
        <v>0</v>
      </c>
      <c r="P156" s="11">
        <v>0</v>
      </c>
      <c r="Q156" s="11">
        <v>0</v>
      </c>
      <c r="R156" s="13">
        <f t="shared" si="24"/>
        <v>0</v>
      </c>
      <c r="S156">
        <v>0</v>
      </c>
      <c r="T156">
        <v>0</v>
      </c>
      <c r="U156" s="7">
        <f t="shared" si="25"/>
        <v>0</v>
      </c>
      <c r="V156">
        <v>0</v>
      </c>
      <c r="W156">
        <v>0</v>
      </c>
      <c r="X156">
        <v>0</v>
      </c>
      <c r="Y156">
        <v>0</v>
      </c>
      <c r="Z156" s="13">
        <f t="shared" si="26"/>
        <v>0</v>
      </c>
      <c r="AA156">
        <v>0</v>
      </c>
      <c r="AB156">
        <v>0</v>
      </c>
      <c r="AC156">
        <v>0</v>
      </c>
      <c r="AD156">
        <v>0</v>
      </c>
      <c r="AE156" s="7">
        <f t="shared" si="27"/>
        <v>0</v>
      </c>
      <c r="AF156">
        <v>0</v>
      </c>
      <c r="AG156">
        <v>0</v>
      </c>
      <c r="AH156">
        <v>0</v>
      </c>
      <c r="AI156" s="13">
        <f t="shared" si="28"/>
        <v>0</v>
      </c>
      <c r="AJ156" s="11" t="s">
        <v>51</v>
      </c>
      <c r="AK156" s="11" t="s">
        <v>51</v>
      </c>
      <c r="AL156" s="11" t="s">
        <v>51</v>
      </c>
      <c r="AM156" s="13">
        <f t="shared" si="29"/>
        <v>0</v>
      </c>
      <c r="AN156" s="18">
        <v>7</v>
      </c>
      <c r="AO156" s="18">
        <v>0</v>
      </c>
      <c r="AP156" s="18">
        <v>0</v>
      </c>
      <c r="AQ156" s="18">
        <v>0</v>
      </c>
      <c r="AR156" s="18">
        <f t="shared" si="30"/>
        <v>7</v>
      </c>
      <c r="AS156" t="s">
        <v>52</v>
      </c>
      <c r="AT156" s="9" t="s">
        <v>625</v>
      </c>
      <c r="AU156" s="30">
        <f t="shared" si="31"/>
        <v>85.88</v>
      </c>
    </row>
    <row r="157" spans="1:47" hidden="1" x14ac:dyDescent="0.25">
      <c r="A157" t="s">
        <v>46</v>
      </c>
      <c r="B157" t="s">
        <v>622</v>
      </c>
      <c r="C157" t="s">
        <v>623</v>
      </c>
      <c r="D157" t="s">
        <v>624</v>
      </c>
      <c r="E157" s="11">
        <v>18.670000000000002</v>
      </c>
      <c r="F157" s="11">
        <v>19</v>
      </c>
      <c r="G157" s="11">
        <v>44.21</v>
      </c>
      <c r="H157" s="11">
        <v>4</v>
      </c>
      <c r="I157" s="13">
        <f t="shared" si="22"/>
        <v>85.88</v>
      </c>
      <c r="J157" s="11">
        <v>55.94</v>
      </c>
      <c r="K157" s="11">
        <v>27.5</v>
      </c>
      <c r="L157" s="11">
        <v>4</v>
      </c>
      <c r="M157" s="13">
        <f t="shared" si="23"/>
        <v>87.44</v>
      </c>
      <c r="N157" s="11">
        <v>0</v>
      </c>
      <c r="O157" s="11">
        <v>0</v>
      </c>
      <c r="P157" s="11">
        <v>0</v>
      </c>
      <c r="Q157" s="11">
        <v>0</v>
      </c>
      <c r="R157" s="13">
        <f t="shared" si="24"/>
        <v>0</v>
      </c>
      <c r="S157">
        <v>0</v>
      </c>
      <c r="T157">
        <v>0</v>
      </c>
      <c r="U157" s="7">
        <f t="shared" si="25"/>
        <v>0</v>
      </c>
      <c r="V157">
        <v>0</v>
      </c>
      <c r="W157">
        <v>0</v>
      </c>
      <c r="X157">
        <v>0</v>
      </c>
      <c r="Y157">
        <v>0</v>
      </c>
      <c r="Z157" s="13">
        <f t="shared" si="26"/>
        <v>0</v>
      </c>
      <c r="AA157">
        <v>0</v>
      </c>
      <c r="AB157">
        <v>0</v>
      </c>
      <c r="AC157">
        <v>0</v>
      </c>
      <c r="AD157">
        <v>0</v>
      </c>
      <c r="AE157" s="7">
        <f t="shared" si="27"/>
        <v>0</v>
      </c>
      <c r="AF157">
        <v>0</v>
      </c>
      <c r="AG157">
        <v>0</v>
      </c>
      <c r="AH157">
        <v>0</v>
      </c>
      <c r="AI157" s="13">
        <f t="shared" si="28"/>
        <v>0</v>
      </c>
      <c r="AJ157" s="11" t="s">
        <v>51</v>
      </c>
      <c r="AK157" s="11" t="s">
        <v>51</v>
      </c>
      <c r="AL157" s="11" t="s">
        <v>51</v>
      </c>
      <c r="AM157" s="13">
        <f t="shared" si="29"/>
        <v>0</v>
      </c>
      <c r="AN157" s="18">
        <v>2.625</v>
      </c>
      <c r="AO157" s="18">
        <v>0</v>
      </c>
      <c r="AP157" s="18">
        <v>0</v>
      </c>
      <c r="AQ157" s="18">
        <v>0</v>
      </c>
      <c r="AR157" s="18">
        <f t="shared" si="30"/>
        <v>2.625</v>
      </c>
      <c r="AS157" t="s">
        <v>87</v>
      </c>
      <c r="AT157" s="9" t="s">
        <v>626</v>
      </c>
      <c r="AU157" s="30">
        <f>+((AN157*M157)+(AO157*AE157)+(AQ157*AI157)+(AP157*AM157))/AR157</f>
        <v>87.44</v>
      </c>
    </row>
    <row r="158" spans="1:47" hidden="1" x14ac:dyDescent="0.25">
      <c r="A158" t="s">
        <v>46</v>
      </c>
      <c r="B158" t="s">
        <v>627</v>
      </c>
      <c r="C158" t="s">
        <v>628</v>
      </c>
      <c r="D158" t="s">
        <v>629</v>
      </c>
      <c r="E158" s="11">
        <v>0</v>
      </c>
      <c r="F158" s="11">
        <v>0</v>
      </c>
      <c r="G158" s="11">
        <v>0</v>
      </c>
      <c r="H158" s="11">
        <v>0</v>
      </c>
      <c r="I158" s="13">
        <f t="shared" si="22"/>
        <v>0</v>
      </c>
      <c r="J158" s="11">
        <v>56.96</v>
      </c>
      <c r="K158" s="11">
        <v>30</v>
      </c>
      <c r="L158" s="11">
        <v>3</v>
      </c>
      <c r="M158" s="13">
        <f t="shared" si="23"/>
        <v>89.960000000000008</v>
      </c>
      <c r="N158" s="11">
        <v>0</v>
      </c>
      <c r="O158" s="11">
        <v>0</v>
      </c>
      <c r="P158" s="11">
        <v>0</v>
      </c>
      <c r="Q158" s="11">
        <v>0</v>
      </c>
      <c r="R158" s="13">
        <f t="shared" si="24"/>
        <v>0</v>
      </c>
      <c r="S158">
        <v>0</v>
      </c>
      <c r="T158">
        <v>0</v>
      </c>
      <c r="U158" s="7">
        <f t="shared" si="25"/>
        <v>0</v>
      </c>
      <c r="V158">
        <v>0</v>
      </c>
      <c r="W158">
        <v>0</v>
      </c>
      <c r="X158">
        <v>0</v>
      </c>
      <c r="Y158">
        <v>0</v>
      </c>
      <c r="Z158" s="13">
        <f t="shared" si="26"/>
        <v>0</v>
      </c>
      <c r="AA158">
        <v>0</v>
      </c>
      <c r="AB158">
        <v>0</v>
      </c>
      <c r="AC158">
        <v>0</v>
      </c>
      <c r="AD158">
        <v>0</v>
      </c>
      <c r="AE158" s="7">
        <f t="shared" si="27"/>
        <v>0</v>
      </c>
      <c r="AF158">
        <v>0</v>
      </c>
      <c r="AG158">
        <v>0</v>
      </c>
      <c r="AH158">
        <v>0</v>
      </c>
      <c r="AI158" s="13">
        <f t="shared" si="28"/>
        <v>0</v>
      </c>
      <c r="AJ158" s="11" t="s">
        <v>51</v>
      </c>
      <c r="AK158" s="11" t="s">
        <v>51</v>
      </c>
      <c r="AL158" s="11" t="s">
        <v>51</v>
      </c>
      <c r="AM158" s="13">
        <f t="shared" si="29"/>
        <v>0</v>
      </c>
      <c r="AN158" s="18">
        <v>2</v>
      </c>
      <c r="AO158" s="18">
        <v>0</v>
      </c>
      <c r="AP158" s="18">
        <v>0</v>
      </c>
      <c r="AQ158" s="18">
        <v>0</v>
      </c>
      <c r="AR158" s="18">
        <f t="shared" si="30"/>
        <v>2</v>
      </c>
      <c r="AS158" t="s">
        <v>87</v>
      </c>
      <c r="AT158" s="9" t="s">
        <v>630</v>
      </c>
      <c r="AU158" s="30">
        <f>+((AN158*M158)/AR158)</f>
        <v>89.960000000000008</v>
      </c>
    </row>
    <row r="159" spans="1:47" hidden="1" x14ac:dyDescent="0.25">
      <c r="A159" t="s">
        <v>46</v>
      </c>
      <c r="B159" t="s">
        <v>631</v>
      </c>
      <c r="C159" t="s">
        <v>632</v>
      </c>
      <c r="D159" t="s">
        <v>633</v>
      </c>
      <c r="E159" s="11">
        <v>20</v>
      </c>
      <c r="F159" s="11">
        <v>20</v>
      </c>
      <c r="G159" s="11">
        <v>42.13</v>
      </c>
      <c r="H159" s="11">
        <v>5</v>
      </c>
      <c r="I159" s="13">
        <f t="shared" si="22"/>
        <v>87.13</v>
      </c>
      <c r="J159" s="11">
        <v>0</v>
      </c>
      <c r="K159" s="11">
        <v>0</v>
      </c>
      <c r="L159" s="11">
        <v>0</v>
      </c>
      <c r="M159" s="13">
        <f t="shared" si="23"/>
        <v>0</v>
      </c>
      <c r="N159" s="11">
        <v>0</v>
      </c>
      <c r="O159" s="11">
        <v>0</v>
      </c>
      <c r="P159" s="11">
        <v>0</v>
      </c>
      <c r="Q159" s="11">
        <v>0</v>
      </c>
      <c r="R159" s="13">
        <f t="shared" si="24"/>
        <v>0</v>
      </c>
      <c r="S159">
        <v>0</v>
      </c>
      <c r="T159">
        <v>0</v>
      </c>
      <c r="U159" s="7">
        <f t="shared" si="25"/>
        <v>0</v>
      </c>
      <c r="V159">
        <v>0</v>
      </c>
      <c r="W159">
        <v>0</v>
      </c>
      <c r="X159">
        <v>0</v>
      </c>
      <c r="Y159">
        <v>0</v>
      </c>
      <c r="Z159" s="13">
        <f t="shared" si="26"/>
        <v>0</v>
      </c>
      <c r="AA159">
        <v>0</v>
      </c>
      <c r="AB159">
        <v>0</v>
      </c>
      <c r="AC159">
        <v>0</v>
      </c>
      <c r="AD159">
        <v>0</v>
      </c>
      <c r="AE159" s="7">
        <f t="shared" si="27"/>
        <v>0</v>
      </c>
      <c r="AF159">
        <v>0</v>
      </c>
      <c r="AG159">
        <v>0</v>
      </c>
      <c r="AH159">
        <v>0</v>
      </c>
      <c r="AI159" s="13">
        <f t="shared" si="28"/>
        <v>0</v>
      </c>
      <c r="AJ159" s="11" t="s">
        <v>51</v>
      </c>
      <c r="AK159" s="11" t="s">
        <v>51</v>
      </c>
      <c r="AL159" s="11" t="s">
        <v>51</v>
      </c>
      <c r="AM159" s="13">
        <f t="shared" si="29"/>
        <v>0</v>
      </c>
      <c r="AN159" s="18">
        <v>40</v>
      </c>
      <c r="AO159" s="18">
        <v>0</v>
      </c>
      <c r="AP159" s="18">
        <v>0</v>
      </c>
      <c r="AQ159" s="18">
        <v>0</v>
      </c>
      <c r="AR159" s="18">
        <f t="shared" si="30"/>
        <v>40</v>
      </c>
      <c r="AS159" t="s">
        <v>52</v>
      </c>
      <c r="AT159" s="9" t="s">
        <v>634</v>
      </c>
      <c r="AU159" s="30">
        <f>+((AN159*I159)+(AO159*AE159)+(AQ159*AI159)+(AP159*AM159))/AR159</f>
        <v>87.13</v>
      </c>
    </row>
    <row r="160" spans="1:47" hidden="1" x14ac:dyDescent="0.25">
      <c r="A160" t="s">
        <v>46</v>
      </c>
      <c r="B160" t="s">
        <v>635</v>
      </c>
      <c r="C160" t="s">
        <v>636</v>
      </c>
      <c r="D160" t="s">
        <v>637</v>
      </c>
      <c r="E160" s="11">
        <v>18.5</v>
      </c>
      <c r="F160" s="11">
        <v>13.67</v>
      </c>
      <c r="G160" s="11">
        <v>37.119999999999997</v>
      </c>
      <c r="H160" s="11">
        <v>4.5</v>
      </c>
      <c r="I160" s="13">
        <f t="shared" si="22"/>
        <v>73.789999999999992</v>
      </c>
      <c r="J160" s="11">
        <v>0</v>
      </c>
      <c r="K160" s="11">
        <v>0</v>
      </c>
      <c r="L160" s="11">
        <v>0</v>
      </c>
      <c r="M160" s="13">
        <f t="shared" si="23"/>
        <v>0</v>
      </c>
      <c r="N160" s="11">
        <v>0</v>
      </c>
      <c r="O160" s="11">
        <v>0</v>
      </c>
      <c r="P160" s="11">
        <v>0</v>
      </c>
      <c r="Q160" s="11">
        <v>0</v>
      </c>
      <c r="R160" s="13">
        <f t="shared" si="24"/>
        <v>0</v>
      </c>
      <c r="S160">
        <v>0</v>
      </c>
      <c r="T160">
        <v>0</v>
      </c>
      <c r="U160" s="7">
        <f t="shared" si="25"/>
        <v>0</v>
      </c>
      <c r="V160">
        <v>0</v>
      </c>
      <c r="W160">
        <v>0</v>
      </c>
      <c r="X160">
        <v>0</v>
      </c>
      <c r="Y160">
        <v>0</v>
      </c>
      <c r="Z160" s="13">
        <f t="shared" si="26"/>
        <v>0</v>
      </c>
      <c r="AA160">
        <v>0</v>
      </c>
      <c r="AB160">
        <v>0</v>
      </c>
      <c r="AC160">
        <v>0</v>
      </c>
      <c r="AD160">
        <v>0</v>
      </c>
      <c r="AE160" s="7">
        <f t="shared" si="27"/>
        <v>0</v>
      </c>
      <c r="AF160">
        <v>0</v>
      </c>
      <c r="AG160">
        <v>0</v>
      </c>
      <c r="AH160">
        <v>0</v>
      </c>
      <c r="AI160" s="13">
        <f t="shared" si="28"/>
        <v>0</v>
      </c>
      <c r="AJ160" s="11" t="s">
        <v>51</v>
      </c>
      <c r="AK160" s="11" t="s">
        <v>51</v>
      </c>
      <c r="AL160" s="11" t="s">
        <v>51</v>
      </c>
      <c r="AM160" s="13">
        <f t="shared" si="29"/>
        <v>0</v>
      </c>
      <c r="AN160" s="18">
        <v>40</v>
      </c>
      <c r="AO160" s="18">
        <v>0</v>
      </c>
      <c r="AP160" s="18">
        <v>0</v>
      </c>
      <c r="AQ160" s="18">
        <v>0</v>
      </c>
      <c r="AR160" s="18">
        <f t="shared" si="30"/>
        <v>40</v>
      </c>
      <c r="AS160" t="s">
        <v>52</v>
      </c>
      <c r="AT160" s="9" t="s">
        <v>638</v>
      </c>
      <c r="AU160" s="30">
        <f>+((AN160*I160)+(AO160*AE160)+(AQ160*AI160)+(AP160*AM160))/AR160</f>
        <v>73.789999999999992</v>
      </c>
    </row>
    <row r="161" spans="1:47" hidden="1" x14ac:dyDescent="0.25">
      <c r="A161" t="s">
        <v>46</v>
      </c>
      <c r="B161" t="s">
        <v>639</v>
      </c>
      <c r="C161" t="s">
        <v>640</v>
      </c>
      <c r="D161" t="s">
        <v>641</v>
      </c>
      <c r="E161" s="11">
        <v>17.440000000000005</v>
      </c>
      <c r="F161" s="11">
        <v>20</v>
      </c>
      <c r="G161" s="11">
        <v>45.16</v>
      </c>
      <c r="H161" s="11">
        <v>3.5</v>
      </c>
      <c r="I161" s="13">
        <f t="shared" si="22"/>
        <v>86.1</v>
      </c>
      <c r="J161" s="11">
        <v>0</v>
      </c>
      <c r="K161" s="11">
        <v>0</v>
      </c>
      <c r="L161" s="11">
        <v>0</v>
      </c>
      <c r="M161" s="13">
        <f t="shared" si="23"/>
        <v>0</v>
      </c>
      <c r="N161" s="11">
        <v>0</v>
      </c>
      <c r="O161" s="11">
        <v>0</v>
      </c>
      <c r="P161" s="11">
        <v>0</v>
      </c>
      <c r="Q161" s="11">
        <v>0</v>
      </c>
      <c r="R161" s="13">
        <f t="shared" si="24"/>
        <v>0</v>
      </c>
      <c r="S161">
        <v>0</v>
      </c>
      <c r="T161">
        <v>0</v>
      </c>
      <c r="U161" s="7">
        <f t="shared" si="25"/>
        <v>0</v>
      </c>
      <c r="V161">
        <v>0</v>
      </c>
      <c r="W161">
        <v>0</v>
      </c>
      <c r="X161">
        <v>0</v>
      </c>
      <c r="Y161">
        <v>0</v>
      </c>
      <c r="Z161" s="13">
        <f t="shared" si="26"/>
        <v>0</v>
      </c>
      <c r="AA161">
        <v>0</v>
      </c>
      <c r="AB161">
        <v>0</v>
      </c>
      <c r="AC161">
        <v>0</v>
      </c>
      <c r="AD161">
        <v>0</v>
      </c>
      <c r="AE161" s="7">
        <f t="shared" si="27"/>
        <v>0</v>
      </c>
      <c r="AF161">
        <v>45</v>
      </c>
      <c r="AG161">
        <v>15.33</v>
      </c>
      <c r="AH161">
        <v>26.65</v>
      </c>
      <c r="AI161" s="13">
        <f t="shared" si="28"/>
        <v>86.97999999999999</v>
      </c>
      <c r="AJ161" s="11" t="s">
        <v>51</v>
      </c>
      <c r="AK161" s="11" t="s">
        <v>51</v>
      </c>
      <c r="AL161" s="11" t="s">
        <v>51</v>
      </c>
      <c r="AM161" s="13">
        <f t="shared" si="29"/>
        <v>0</v>
      </c>
      <c r="AN161" s="18">
        <v>20</v>
      </c>
      <c r="AO161" s="18">
        <v>0</v>
      </c>
      <c r="AP161" s="18">
        <v>0</v>
      </c>
      <c r="AQ161" s="18">
        <v>20</v>
      </c>
      <c r="AR161" s="18">
        <f t="shared" si="30"/>
        <v>40</v>
      </c>
      <c r="AS161" t="s">
        <v>52</v>
      </c>
      <c r="AT161" s="9" t="s">
        <v>643</v>
      </c>
      <c r="AU161" s="30">
        <f>+((AN161*I161)+(AQ161*AI161))/AR161</f>
        <v>86.539999999999992</v>
      </c>
    </row>
    <row r="162" spans="1:47" s="6" customFormat="1" hidden="1" x14ac:dyDescent="0.25">
      <c r="A162" s="6" t="s">
        <v>46</v>
      </c>
      <c r="B162" s="6" t="s">
        <v>644</v>
      </c>
      <c r="C162" s="6" t="s">
        <v>645</v>
      </c>
      <c r="D162" s="6" t="s">
        <v>646</v>
      </c>
      <c r="E162" s="12">
        <v>24.587499999999999</v>
      </c>
      <c r="F162" s="12">
        <v>0</v>
      </c>
      <c r="G162" s="12">
        <v>45.412500000000001</v>
      </c>
      <c r="H162" s="12">
        <v>3.125</v>
      </c>
      <c r="I162" s="13">
        <f t="shared" si="22"/>
        <v>73.125</v>
      </c>
      <c r="J162" s="14">
        <v>0</v>
      </c>
      <c r="K162" s="14" t="s">
        <v>51</v>
      </c>
      <c r="L162" s="14" t="s">
        <v>51</v>
      </c>
      <c r="M162" s="13">
        <f t="shared" si="23"/>
        <v>0</v>
      </c>
      <c r="N162" s="12" t="s">
        <v>51</v>
      </c>
      <c r="O162" s="12" t="s">
        <v>116</v>
      </c>
      <c r="P162" s="12" t="s">
        <v>51</v>
      </c>
      <c r="Q162" s="12" t="s">
        <v>51</v>
      </c>
      <c r="R162" s="13">
        <f t="shared" si="24"/>
        <v>0</v>
      </c>
      <c r="S162">
        <v>0</v>
      </c>
      <c r="T162">
        <v>0</v>
      </c>
      <c r="U162" s="7">
        <f t="shared" si="25"/>
        <v>0</v>
      </c>
      <c r="Z162" s="13">
        <f t="shared" si="26"/>
        <v>0</v>
      </c>
      <c r="AA162" s="6">
        <v>0</v>
      </c>
      <c r="AB162" s="6">
        <v>0</v>
      </c>
      <c r="AC162" s="6">
        <v>0</v>
      </c>
      <c r="AD162" s="6">
        <v>0</v>
      </c>
      <c r="AE162" s="7">
        <f t="shared" si="27"/>
        <v>0</v>
      </c>
      <c r="AF162" s="6">
        <v>0</v>
      </c>
      <c r="AG162" s="6">
        <v>0</v>
      </c>
      <c r="AH162" s="6">
        <v>0</v>
      </c>
      <c r="AI162" s="13">
        <f t="shared" si="28"/>
        <v>0</v>
      </c>
      <c r="AJ162" s="12" t="s">
        <v>51</v>
      </c>
      <c r="AK162" s="12" t="s">
        <v>51</v>
      </c>
      <c r="AL162" s="12" t="s">
        <v>51</v>
      </c>
      <c r="AM162" s="13">
        <f t="shared" si="29"/>
        <v>0</v>
      </c>
      <c r="AN162" s="21">
        <v>6</v>
      </c>
      <c r="AO162" s="21">
        <v>0</v>
      </c>
      <c r="AP162" s="21">
        <v>0</v>
      </c>
      <c r="AQ162" s="21">
        <v>0</v>
      </c>
      <c r="AR162" s="18">
        <f t="shared" si="30"/>
        <v>6</v>
      </c>
      <c r="AS162" s="6" t="s">
        <v>52</v>
      </c>
      <c r="AT162" s="10" t="s">
        <v>647</v>
      </c>
      <c r="AU162" s="30">
        <f>+((AN162*I162)+(AO162*AE162)+(AQ162*AI162)+(AP162*AM162))/AR162</f>
        <v>73.125</v>
      </c>
    </row>
    <row r="163" spans="1:47" hidden="1" x14ac:dyDescent="0.25">
      <c r="A163" t="s">
        <v>46</v>
      </c>
      <c r="B163" t="s">
        <v>648</v>
      </c>
      <c r="C163" t="s">
        <v>649</v>
      </c>
      <c r="D163" t="s">
        <v>650</v>
      </c>
      <c r="E163" s="11">
        <v>20</v>
      </c>
      <c r="F163" s="11">
        <v>20</v>
      </c>
      <c r="G163" s="11">
        <v>43.34</v>
      </c>
      <c r="H163" s="11">
        <v>5</v>
      </c>
      <c r="I163" s="13">
        <f t="shared" si="22"/>
        <v>88.34</v>
      </c>
      <c r="J163" s="11">
        <v>0</v>
      </c>
      <c r="K163" s="11">
        <v>0</v>
      </c>
      <c r="L163" s="11">
        <v>0</v>
      </c>
      <c r="M163" s="13">
        <f t="shared" si="23"/>
        <v>0</v>
      </c>
      <c r="N163" s="11">
        <v>0</v>
      </c>
      <c r="O163" s="11">
        <v>0</v>
      </c>
      <c r="P163" s="11">
        <v>0</v>
      </c>
      <c r="Q163" s="11">
        <v>0</v>
      </c>
      <c r="R163" s="13">
        <f t="shared" si="24"/>
        <v>0</v>
      </c>
      <c r="S163">
        <v>0</v>
      </c>
      <c r="T163">
        <v>0</v>
      </c>
      <c r="U163" s="7">
        <f t="shared" si="25"/>
        <v>0</v>
      </c>
      <c r="V163">
        <v>0</v>
      </c>
      <c r="W163">
        <v>0</v>
      </c>
      <c r="X163">
        <v>0</v>
      </c>
      <c r="Y163">
        <v>0</v>
      </c>
      <c r="Z163" s="13">
        <f t="shared" si="26"/>
        <v>0</v>
      </c>
      <c r="AA163">
        <v>0</v>
      </c>
      <c r="AB163">
        <v>0</v>
      </c>
      <c r="AC163">
        <v>0</v>
      </c>
      <c r="AD163">
        <v>0</v>
      </c>
      <c r="AE163" s="7">
        <f t="shared" si="27"/>
        <v>0</v>
      </c>
      <c r="AF163">
        <v>0</v>
      </c>
      <c r="AG163">
        <v>0</v>
      </c>
      <c r="AH163">
        <v>0</v>
      </c>
      <c r="AI163" s="13">
        <f t="shared" si="28"/>
        <v>0</v>
      </c>
      <c r="AJ163" s="11" t="s">
        <v>51</v>
      </c>
      <c r="AK163" s="11" t="s">
        <v>51</v>
      </c>
      <c r="AL163" s="11" t="s">
        <v>51</v>
      </c>
      <c r="AM163" s="13">
        <f t="shared" si="29"/>
        <v>0</v>
      </c>
      <c r="AN163" s="18">
        <v>40</v>
      </c>
      <c r="AO163" s="18">
        <v>0</v>
      </c>
      <c r="AP163" s="18">
        <v>0</v>
      </c>
      <c r="AQ163" s="18">
        <v>0</v>
      </c>
      <c r="AR163" s="18">
        <f t="shared" si="30"/>
        <v>40</v>
      </c>
      <c r="AS163" t="s">
        <v>52</v>
      </c>
      <c r="AT163" s="9" t="s">
        <v>651</v>
      </c>
      <c r="AU163" s="30">
        <f>+((AN163*I163)+(AO163*AE163)+(AQ163*AI163)+(AP163*AM163))/AR163</f>
        <v>88.34</v>
      </c>
    </row>
    <row r="164" spans="1:47" x14ac:dyDescent="0.25">
      <c r="A164" t="s">
        <v>46</v>
      </c>
      <c r="B164" t="s">
        <v>652</v>
      </c>
      <c r="C164" t="s">
        <v>653</v>
      </c>
      <c r="D164" t="s">
        <v>654</v>
      </c>
      <c r="E164" s="11">
        <v>20</v>
      </c>
      <c r="F164" s="11">
        <v>7.33</v>
      </c>
      <c r="G164" s="11">
        <v>36.270000000000003</v>
      </c>
      <c r="H164" s="11">
        <v>2.5</v>
      </c>
      <c r="I164" s="13">
        <f t="shared" si="22"/>
        <v>66.099999999999994</v>
      </c>
      <c r="J164" s="11">
        <v>0</v>
      </c>
      <c r="K164" s="11">
        <v>0</v>
      </c>
      <c r="L164" s="11">
        <v>0</v>
      </c>
      <c r="M164" s="13">
        <f t="shared" si="23"/>
        <v>0</v>
      </c>
      <c r="N164" s="11">
        <v>34.909999999999997</v>
      </c>
      <c r="O164" s="11">
        <v>2.5</v>
      </c>
      <c r="P164" s="11">
        <v>7.33</v>
      </c>
      <c r="Q164" s="11">
        <v>20</v>
      </c>
      <c r="R164" s="13">
        <f t="shared" si="24"/>
        <v>64.739999999999995</v>
      </c>
      <c r="S164">
        <v>0</v>
      </c>
      <c r="T164">
        <v>0</v>
      </c>
      <c r="U164" s="7">
        <f t="shared" si="25"/>
        <v>0</v>
      </c>
      <c r="V164">
        <v>0</v>
      </c>
      <c r="W164">
        <v>0</v>
      </c>
      <c r="X164">
        <v>0</v>
      </c>
      <c r="Y164">
        <v>0</v>
      </c>
      <c r="Z164" s="13">
        <f t="shared" si="26"/>
        <v>0</v>
      </c>
      <c r="AA164">
        <v>0</v>
      </c>
      <c r="AB164">
        <v>0</v>
      </c>
      <c r="AC164">
        <v>0</v>
      </c>
      <c r="AD164">
        <v>0</v>
      </c>
      <c r="AE164" s="7">
        <f t="shared" si="27"/>
        <v>0</v>
      </c>
      <c r="AF164">
        <v>0</v>
      </c>
      <c r="AG164">
        <v>0</v>
      </c>
      <c r="AH164">
        <v>0</v>
      </c>
      <c r="AI164" s="13">
        <f t="shared" si="28"/>
        <v>0</v>
      </c>
      <c r="AJ164" s="11" t="s">
        <v>51</v>
      </c>
      <c r="AK164" s="11" t="s">
        <v>51</v>
      </c>
      <c r="AL164" s="11" t="s">
        <v>51</v>
      </c>
      <c r="AM164" s="13">
        <f t="shared" si="29"/>
        <v>0</v>
      </c>
      <c r="AN164" s="18">
        <v>4</v>
      </c>
      <c r="AO164" s="18">
        <v>0</v>
      </c>
      <c r="AP164" s="18">
        <v>0</v>
      </c>
      <c r="AQ164" s="18">
        <v>0</v>
      </c>
      <c r="AR164" s="18">
        <f t="shared" si="30"/>
        <v>4</v>
      </c>
      <c r="AS164" t="s">
        <v>52</v>
      </c>
      <c r="AT164" s="9" t="s">
        <v>655</v>
      </c>
      <c r="AU164" s="30">
        <f>+((AN164*I164)+(AO164*AE164)+(AQ164*AI164)+(AP164*AM164))/AR164</f>
        <v>66.099999999999994</v>
      </c>
    </row>
    <row r="165" spans="1:47" x14ac:dyDescent="0.25">
      <c r="A165" s="33" t="s">
        <v>46</v>
      </c>
      <c r="B165" s="32" t="s">
        <v>652</v>
      </c>
      <c r="C165" s="32" t="s">
        <v>653</v>
      </c>
      <c r="D165" s="32" t="s">
        <v>654</v>
      </c>
      <c r="E165" s="11">
        <v>20</v>
      </c>
      <c r="F165" s="11">
        <v>7.33</v>
      </c>
      <c r="G165" s="11">
        <v>37.619999999999997</v>
      </c>
      <c r="H165" s="11">
        <v>2.5</v>
      </c>
      <c r="I165" s="13">
        <f t="shared" si="22"/>
        <v>67.449999999999989</v>
      </c>
      <c r="J165" s="11">
        <v>0</v>
      </c>
      <c r="K165" s="11">
        <v>0</v>
      </c>
      <c r="L165" s="11">
        <v>0</v>
      </c>
      <c r="M165" s="13">
        <f t="shared" si="23"/>
        <v>0</v>
      </c>
      <c r="N165" s="11">
        <v>34.909999999999997</v>
      </c>
      <c r="O165" s="11">
        <v>2.5</v>
      </c>
      <c r="P165" s="11">
        <v>7.33</v>
      </c>
      <c r="Q165" s="11">
        <v>20</v>
      </c>
      <c r="R165" s="13">
        <f t="shared" si="24"/>
        <v>64.739999999999995</v>
      </c>
      <c r="S165">
        <v>0</v>
      </c>
      <c r="T165">
        <v>0</v>
      </c>
      <c r="U165" s="7">
        <f t="shared" si="25"/>
        <v>0</v>
      </c>
      <c r="V165">
        <v>0</v>
      </c>
      <c r="W165">
        <v>0</v>
      </c>
      <c r="X165">
        <v>0</v>
      </c>
      <c r="Y165">
        <v>0</v>
      </c>
      <c r="Z165" s="13">
        <f t="shared" si="26"/>
        <v>0</v>
      </c>
      <c r="AA165">
        <v>0</v>
      </c>
      <c r="AB165">
        <v>0</v>
      </c>
      <c r="AC165">
        <v>0</v>
      </c>
      <c r="AD165">
        <v>0</v>
      </c>
      <c r="AE165" s="7">
        <f t="shared" si="27"/>
        <v>0</v>
      </c>
      <c r="AF165">
        <v>0</v>
      </c>
      <c r="AG165">
        <v>0</v>
      </c>
      <c r="AH165">
        <v>0</v>
      </c>
      <c r="AI165" s="13">
        <f t="shared" si="28"/>
        <v>0</v>
      </c>
      <c r="AJ165" s="11" t="s">
        <v>51</v>
      </c>
      <c r="AK165" s="11" t="s">
        <v>51</v>
      </c>
      <c r="AL165" s="11" t="s">
        <v>51</v>
      </c>
      <c r="AM165" s="13">
        <f t="shared" si="29"/>
        <v>0</v>
      </c>
      <c r="AN165" s="18">
        <v>2</v>
      </c>
      <c r="AO165" s="18">
        <v>0</v>
      </c>
      <c r="AP165" s="18">
        <v>0</v>
      </c>
      <c r="AQ165" s="18">
        <v>0</v>
      </c>
      <c r="AR165" s="18">
        <f t="shared" si="30"/>
        <v>2</v>
      </c>
      <c r="AS165" t="s">
        <v>117</v>
      </c>
      <c r="AT165" s="9" t="s">
        <v>656</v>
      </c>
      <c r="AU165" s="11">
        <f>+((AN165*R165)+(AQ165*AI165)+(AP165*AM165))/AR165</f>
        <v>64.739999999999995</v>
      </c>
    </row>
    <row r="166" spans="1:47" hidden="1" x14ac:dyDescent="0.25">
      <c r="A166" t="s">
        <v>46</v>
      </c>
      <c r="B166" t="s">
        <v>657</v>
      </c>
      <c r="C166" t="s">
        <v>658</v>
      </c>
      <c r="D166" t="s">
        <v>659</v>
      </c>
      <c r="E166" s="11">
        <v>25</v>
      </c>
      <c r="F166" s="11">
        <v>0</v>
      </c>
      <c r="G166" s="11">
        <v>43.137500000000003</v>
      </c>
      <c r="H166" s="11">
        <v>5.625</v>
      </c>
      <c r="I166" s="13">
        <f t="shared" si="22"/>
        <v>73.762500000000003</v>
      </c>
      <c r="J166" s="11">
        <v>0</v>
      </c>
      <c r="K166" s="11">
        <v>0</v>
      </c>
      <c r="L166" s="11">
        <v>0</v>
      </c>
      <c r="M166" s="13">
        <f t="shared" si="23"/>
        <v>0</v>
      </c>
      <c r="N166" s="11">
        <v>0</v>
      </c>
      <c r="O166" s="11">
        <v>0</v>
      </c>
      <c r="P166" s="11">
        <v>0</v>
      </c>
      <c r="Q166" s="11">
        <v>0</v>
      </c>
      <c r="R166" s="13">
        <f t="shared" si="24"/>
        <v>0</v>
      </c>
      <c r="S166">
        <v>0</v>
      </c>
      <c r="T166">
        <v>0</v>
      </c>
      <c r="U166" s="7">
        <f t="shared" si="25"/>
        <v>0</v>
      </c>
      <c r="V166">
        <v>0</v>
      </c>
      <c r="W166">
        <v>0</v>
      </c>
      <c r="X166">
        <v>0</v>
      </c>
      <c r="Y166">
        <v>0</v>
      </c>
      <c r="Z166" s="13">
        <f t="shared" si="26"/>
        <v>0</v>
      </c>
      <c r="AA166">
        <v>0</v>
      </c>
      <c r="AB166">
        <v>0</v>
      </c>
      <c r="AC166">
        <v>0</v>
      </c>
      <c r="AD166">
        <v>0</v>
      </c>
      <c r="AE166" s="7">
        <f t="shared" si="27"/>
        <v>0</v>
      </c>
      <c r="AF166">
        <v>0</v>
      </c>
      <c r="AG166">
        <v>0</v>
      </c>
      <c r="AH166">
        <v>0</v>
      </c>
      <c r="AI166" s="13">
        <f t="shared" si="28"/>
        <v>0</v>
      </c>
      <c r="AJ166" s="11" t="s">
        <v>51</v>
      </c>
      <c r="AK166" s="11" t="s">
        <v>51</v>
      </c>
      <c r="AL166" s="11" t="s">
        <v>51</v>
      </c>
      <c r="AM166" s="13">
        <f t="shared" si="29"/>
        <v>0</v>
      </c>
      <c r="AN166" s="18">
        <v>40</v>
      </c>
      <c r="AO166" s="18">
        <v>0</v>
      </c>
      <c r="AP166" s="18">
        <v>0</v>
      </c>
      <c r="AQ166" s="18">
        <v>0</v>
      </c>
      <c r="AR166" s="18">
        <f t="shared" si="30"/>
        <v>40</v>
      </c>
      <c r="AS166" t="s">
        <v>52</v>
      </c>
      <c r="AT166" s="9" t="s">
        <v>660</v>
      </c>
      <c r="AU166" s="30">
        <f t="shared" ref="AU166:AU173" si="32">+((AN166*I166)+(AO166*AE166)+(AQ166*AI166)+(AP166*AM166))/AR166</f>
        <v>73.762500000000003</v>
      </c>
    </row>
    <row r="167" spans="1:47" hidden="1" x14ac:dyDescent="0.25">
      <c r="A167" t="s">
        <v>46</v>
      </c>
      <c r="B167" t="s">
        <v>661</v>
      </c>
      <c r="C167" t="s">
        <v>662</v>
      </c>
      <c r="D167" t="s">
        <v>663</v>
      </c>
      <c r="E167" s="11">
        <v>25</v>
      </c>
      <c r="F167" s="11" t="s">
        <v>933</v>
      </c>
      <c r="G167" s="11">
        <v>50.612499999999997</v>
      </c>
      <c r="H167" s="11">
        <v>7.5</v>
      </c>
      <c r="I167" s="13">
        <f t="shared" si="22"/>
        <v>83.112499999999997</v>
      </c>
      <c r="J167" s="11">
        <v>0</v>
      </c>
      <c r="K167" s="11">
        <v>0</v>
      </c>
      <c r="L167" s="11">
        <v>0</v>
      </c>
      <c r="M167" s="13">
        <f t="shared" si="23"/>
        <v>0</v>
      </c>
      <c r="N167" s="11">
        <v>0</v>
      </c>
      <c r="O167" s="11">
        <v>0</v>
      </c>
      <c r="P167" s="11">
        <v>0</v>
      </c>
      <c r="Q167" s="11">
        <v>0</v>
      </c>
      <c r="R167" s="13">
        <f t="shared" si="24"/>
        <v>0</v>
      </c>
      <c r="S167">
        <v>0</v>
      </c>
      <c r="T167">
        <v>0</v>
      </c>
      <c r="U167" s="7">
        <f t="shared" si="25"/>
        <v>0</v>
      </c>
      <c r="V167">
        <v>0</v>
      </c>
      <c r="W167">
        <v>0</v>
      </c>
      <c r="X167">
        <v>0</v>
      </c>
      <c r="Y167">
        <v>0</v>
      </c>
      <c r="Z167" s="13">
        <f t="shared" si="26"/>
        <v>0</v>
      </c>
      <c r="AA167">
        <v>0</v>
      </c>
      <c r="AB167">
        <v>0</v>
      </c>
      <c r="AC167">
        <v>0</v>
      </c>
      <c r="AD167">
        <v>0</v>
      </c>
      <c r="AE167" s="7">
        <f t="shared" si="27"/>
        <v>0</v>
      </c>
      <c r="AF167">
        <v>0</v>
      </c>
      <c r="AG167">
        <v>0</v>
      </c>
      <c r="AH167">
        <v>0</v>
      </c>
      <c r="AI167" s="13">
        <f t="shared" si="28"/>
        <v>0</v>
      </c>
      <c r="AJ167" s="11" t="s">
        <v>51</v>
      </c>
      <c r="AK167" s="11" t="s">
        <v>51</v>
      </c>
      <c r="AL167" s="11" t="s">
        <v>51</v>
      </c>
      <c r="AM167" s="13">
        <f t="shared" si="29"/>
        <v>0</v>
      </c>
      <c r="AN167" s="18">
        <v>40</v>
      </c>
      <c r="AO167" s="18">
        <v>0</v>
      </c>
      <c r="AP167" s="18">
        <v>0</v>
      </c>
      <c r="AQ167" s="18">
        <v>0</v>
      </c>
      <c r="AR167" s="18">
        <f t="shared" si="30"/>
        <v>40</v>
      </c>
      <c r="AS167" t="s">
        <v>52</v>
      </c>
      <c r="AT167" s="9" t="s">
        <v>664</v>
      </c>
      <c r="AU167" s="30">
        <f t="shared" si="32"/>
        <v>83.112499999999997</v>
      </c>
    </row>
    <row r="168" spans="1:47" hidden="1" x14ac:dyDescent="0.25">
      <c r="A168" t="s">
        <v>46</v>
      </c>
      <c r="B168" t="s">
        <v>665</v>
      </c>
      <c r="C168" t="s">
        <v>666</v>
      </c>
      <c r="D168" t="s">
        <v>667</v>
      </c>
      <c r="E168" s="11">
        <v>20</v>
      </c>
      <c r="F168" s="11">
        <v>18.670000000000002</v>
      </c>
      <c r="G168" s="11">
        <v>44.51</v>
      </c>
      <c r="H168" s="11">
        <v>6</v>
      </c>
      <c r="I168" s="13">
        <f t="shared" si="22"/>
        <v>89.18</v>
      </c>
      <c r="J168" s="11">
        <v>0</v>
      </c>
      <c r="K168" s="11">
        <v>0</v>
      </c>
      <c r="L168" s="11">
        <v>0</v>
      </c>
      <c r="M168" s="13">
        <f t="shared" si="23"/>
        <v>0</v>
      </c>
      <c r="N168" s="11">
        <v>0</v>
      </c>
      <c r="O168" s="11">
        <v>0</v>
      </c>
      <c r="P168" s="11">
        <v>0</v>
      </c>
      <c r="Q168" s="11">
        <v>0</v>
      </c>
      <c r="R168" s="13">
        <f t="shared" si="24"/>
        <v>0</v>
      </c>
      <c r="S168">
        <v>0</v>
      </c>
      <c r="T168">
        <v>0</v>
      </c>
      <c r="U168" s="7">
        <f t="shared" si="25"/>
        <v>0</v>
      </c>
      <c r="V168">
        <v>0</v>
      </c>
      <c r="W168">
        <v>0</v>
      </c>
      <c r="X168">
        <v>0</v>
      </c>
      <c r="Y168">
        <v>0</v>
      </c>
      <c r="Z168" s="13">
        <f t="shared" si="26"/>
        <v>0</v>
      </c>
      <c r="AA168">
        <v>0</v>
      </c>
      <c r="AB168">
        <v>0</v>
      </c>
      <c r="AC168">
        <v>0</v>
      </c>
      <c r="AD168">
        <v>0</v>
      </c>
      <c r="AE168" s="7">
        <f t="shared" si="27"/>
        <v>0</v>
      </c>
      <c r="AF168">
        <v>0</v>
      </c>
      <c r="AG168">
        <v>0</v>
      </c>
      <c r="AH168">
        <v>0</v>
      </c>
      <c r="AI168" s="13">
        <f t="shared" si="28"/>
        <v>0</v>
      </c>
      <c r="AJ168" s="11" t="s">
        <v>51</v>
      </c>
      <c r="AK168" s="11" t="s">
        <v>51</v>
      </c>
      <c r="AL168" s="11" t="s">
        <v>51</v>
      </c>
      <c r="AM168" s="13">
        <f t="shared" si="29"/>
        <v>0</v>
      </c>
      <c r="AN168" s="18">
        <v>40</v>
      </c>
      <c r="AO168" s="18">
        <v>0</v>
      </c>
      <c r="AP168" s="18">
        <v>0</v>
      </c>
      <c r="AQ168" s="18">
        <v>0</v>
      </c>
      <c r="AR168" s="18">
        <f t="shared" si="30"/>
        <v>40</v>
      </c>
      <c r="AS168" t="s">
        <v>52</v>
      </c>
      <c r="AT168" s="9" t="s">
        <v>668</v>
      </c>
      <c r="AU168" s="30">
        <f t="shared" si="32"/>
        <v>89.18</v>
      </c>
    </row>
    <row r="169" spans="1:47" hidden="1" x14ac:dyDescent="0.25">
      <c r="A169" t="s">
        <v>46</v>
      </c>
      <c r="B169" t="s">
        <v>669</v>
      </c>
      <c r="C169" t="s">
        <v>670</v>
      </c>
      <c r="D169" t="s">
        <v>671</v>
      </c>
      <c r="E169" s="11">
        <v>25</v>
      </c>
      <c r="F169" s="11">
        <v>0</v>
      </c>
      <c r="G169" s="11">
        <v>61.625</v>
      </c>
      <c r="H169" s="11">
        <v>3.125</v>
      </c>
      <c r="I169" s="13">
        <f t="shared" si="22"/>
        <v>89.75</v>
      </c>
      <c r="J169" s="11">
        <v>0</v>
      </c>
      <c r="K169" s="11">
        <v>0</v>
      </c>
      <c r="L169" s="11">
        <v>0</v>
      </c>
      <c r="M169" s="13">
        <f t="shared" si="23"/>
        <v>0</v>
      </c>
      <c r="N169" s="11">
        <v>0</v>
      </c>
      <c r="O169" s="11">
        <v>0</v>
      </c>
      <c r="P169" s="11">
        <v>0</v>
      </c>
      <c r="Q169" s="11">
        <v>0</v>
      </c>
      <c r="R169" s="13">
        <f t="shared" si="24"/>
        <v>0</v>
      </c>
      <c r="S169">
        <v>0</v>
      </c>
      <c r="T169">
        <v>0</v>
      </c>
      <c r="U169" s="7">
        <f t="shared" si="25"/>
        <v>0</v>
      </c>
      <c r="V169">
        <v>0</v>
      </c>
      <c r="W169">
        <v>0</v>
      </c>
      <c r="X169">
        <v>0</v>
      </c>
      <c r="Y169">
        <v>0</v>
      </c>
      <c r="Z169" s="13">
        <f t="shared" si="26"/>
        <v>0</v>
      </c>
      <c r="AA169">
        <v>0</v>
      </c>
      <c r="AB169">
        <v>0</v>
      </c>
      <c r="AC169">
        <v>0</v>
      </c>
      <c r="AD169">
        <v>0</v>
      </c>
      <c r="AE169" s="7">
        <f t="shared" si="27"/>
        <v>0</v>
      </c>
      <c r="AF169">
        <v>0</v>
      </c>
      <c r="AG169">
        <v>0</v>
      </c>
      <c r="AH169">
        <v>0</v>
      </c>
      <c r="AI169" s="13">
        <f t="shared" si="28"/>
        <v>0</v>
      </c>
      <c r="AJ169" s="11" t="s">
        <v>51</v>
      </c>
      <c r="AK169" s="11" t="s">
        <v>51</v>
      </c>
      <c r="AL169" s="11" t="s">
        <v>51</v>
      </c>
      <c r="AM169" s="13">
        <f t="shared" si="29"/>
        <v>0</v>
      </c>
      <c r="AN169" s="18">
        <v>6</v>
      </c>
      <c r="AO169" s="18">
        <v>0</v>
      </c>
      <c r="AP169" s="18">
        <v>0</v>
      </c>
      <c r="AQ169" s="18">
        <v>0</v>
      </c>
      <c r="AR169" s="18">
        <f t="shared" si="30"/>
        <v>6</v>
      </c>
      <c r="AS169" t="s">
        <v>52</v>
      </c>
      <c r="AT169" s="9" t="s">
        <v>672</v>
      </c>
      <c r="AU169" s="30">
        <f t="shared" si="32"/>
        <v>89.75</v>
      </c>
    </row>
    <row r="170" spans="1:47" hidden="1" x14ac:dyDescent="0.25">
      <c r="A170" t="s">
        <v>46</v>
      </c>
      <c r="B170" t="s">
        <v>673</v>
      </c>
      <c r="C170" t="s">
        <v>674</v>
      </c>
      <c r="D170" t="s">
        <v>675</v>
      </c>
      <c r="E170" s="11">
        <v>20</v>
      </c>
      <c r="F170" s="11">
        <v>20</v>
      </c>
      <c r="G170" s="11">
        <v>43.2</v>
      </c>
      <c r="H170" s="11">
        <v>6</v>
      </c>
      <c r="I170" s="13">
        <f t="shared" si="22"/>
        <v>89.2</v>
      </c>
      <c r="J170" s="11">
        <v>0</v>
      </c>
      <c r="K170" s="11">
        <v>0</v>
      </c>
      <c r="L170" s="11">
        <v>0</v>
      </c>
      <c r="M170" s="13">
        <f t="shared" si="23"/>
        <v>0</v>
      </c>
      <c r="N170" s="11">
        <v>0</v>
      </c>
      <c r="O170" s="11">
        <v>0</v>
      </c>
      <c r="P170" s="11">
        <v>0</v>
      </c>
      <c r="Q170" s="11">
        <v>0</v>
      </c>
      <c r="R170" s="13">
        <f t="shared" si="24"/>
        <v>0</v>
      </c>
      <c r="S170">
        <v>0</v>
      </c>
      <c r="T170">
        <v>0</v>
      </c>
      <c r="U170" s="7">
        <f t="shared" si="25"/>
        <v>0</v>
      </c>
      <c r="V170">
        <v>0</v>
      </c>
      <c r="W170">
        <v>0</v>
      </c>
      <c r="X170">
        <v>0</v>
      </c>
      <c r="Y170">
        <v>0</v>
      </c>
      <c r="Z170" s="13">
        <f t="shared" si="26"/>
        <v>0</v>
      </c>
      <c r="AA170">
        <v>15</v>
      </c>
      <c r="AB170">
        <v>50</v>
      </c>
      <c r="AC170">
        <v>13.88</v>
      </c>
      <c r="AD170">
        <v>20</v>
      </c>
      <c r="AE170" s="7">
        <f t="shared" si="27"/>
        <v>98.88</v>
      </c>
      <c r="AF170">
        <v>0</v>
      </c>
      <c r="AG170">
        <v>0</v>
      </c>
      <c r="AH170">
        <v>0</v>
      </c>
      <c r="AI170" s="13">
        <f t="shared" si="28"/>
        <v>0</v>
      </c>
      <c r="AJ170" s="11" t="s">
        <v>51</v>
      </c>
      <c r="AK170" s="11" t="s">
        <v>51</v>
      </c>
      <c r="AL170" s="11" t="s">
        <v>51</v>
      </c>
      <c r="AM170" s="13">
        <f t="shared" si="29"/>
        <v>0</v>
      </c>
      <c r="AN170" s="18">
        <v>29.5</v>
      </c>
      <c r="AO170" s="18">
        <v>10.5</v>
      </c>
      <c r="AP170" s="18">
        <v>0</v>
      </c>
      <c r="AQ170" s="18">
        <v>0</v>
      </c>
      <c r="AR170" s="18">
        <f t="shared" si="30"/>
        <v>40</v>
      </c>
      <c r="AS170" t="s">
        <v>52</v>
      </c>
      <c r="AT170" s="9" t="s">
        <v>676</v>
      </c>
      <c r="AU170" s="30">
        <f t="shared" si="32"/>
        <v>91.741000000000014</v>
      </c>
    </row>
    <row r="171" spans="1:47" hidden="1" x14ac:dyDescent="0.25">
      <c r="A171" t="s">
        <v>46</v>
      </c>
      <c r="B171" t="s">
        <v>677</v>
      </c>
      <c r="C171" t="s">
        <v>678</v>
      </c>
      <c r="D171" t="s">
        <v>679</v>
      </c>
      <c r="E171" s="11">
        <v>28.571428571428569</v>
      </c>
      <c r="F171" s="11">
        <v>0</v>
      </c>
      <c r="G171" s="11">
        <v>62.542857142857144</v>
      </c>
      <c r="H171" s="11">
        <v>0</v>
      </c>
      <c r="I171" s="13">
        <f t="shared" si="22"/>
        <v>91.114285714285714</v>
      </c>
      <c r="J171" s="11">
        <v>0</v>
      </c>
      <c r="K171" s="11">
        <v>0</v>
      </c>
      <c r="L171" s="11">
        <v>0</v>
      </c>
      <c r="M171" s="13">
        <f t="shared" si="23"/>
        <v>0</v>
      </c>
      <c r="N171" s="11">
        <v>0</v>
      </c>
      <c r="O171" s="11">
        <v>0</v>
      </c>
      <c r="P171" s="11">
        <v>0</v>
      </c>
      <c r="Q171" s="11">
        <v>0</v>
      </c>
      <c r="R171" s="13">
        <f t="shared" si="24"/>
        <v>0</v>
      </c>
      <c r="S171">
        <v>0</v>
      </c>
      <c r="T171">
        <v>0</v>
      </c>
      <c r="U171" s="7">
        <f t="shared" si="25"/>
        <v>0</v>
      </c>
      <c r="V171">
        <v>0</v>
      </c>
      <c r="W171">
        <v>0</v>
      </c>
      <c r="X171">
        <v>0</v>
      </c>
      <c r="Y171">
        <v>0</v>
      </c>
      <c r="Z171" s="13">
        <f t="shared" si="26"/>
        <v>0</v>
      </c>
      <c r="AA171">
        <v>15</v>
      </c>
      <c r="AB171">
        <v>50</v>
      </c>
      <c r="AC171">
        <v>15</v>
      </c>
      <c r="AD171">
        <v>20</v>
      </c>
      <c r="AE171" s="7">
        <f t="shared" si="27"/>
        <v>100</v>
      </c>
      <c r="AF171">
        <v>0</v>
      </c>
      <c r="AG171">
        <v>0</v>
      </c>
      <c r="AH171">
        <v>0</v>
      </c>
      <c r="AI171" s="13">
        <f t="shared" si="28"/>
        <v>0</v>
      </c>
      <c r="AJ171" s="19">
        <v>28.571428571428569</v>
      </c>
      <c r="AK171" s="19">
        <v>0</v>
      </c>
      <c r="AL171" s="19">
        <v>71.428571428571431</v>
      </c>
      <c r="AM171" s="13">
        <f t="shared" si="29"/>
        <v>100</v>
      </c>
      <c r="AN171" s="18">
        <v>32</v>
      </c>
      <c r="AO171" s="18">
        <v>5</v>
      </c>
      <c r="AP171" s="18">
        <v>3</v>
      </c>
      <c r="AQ171" s="18">
        <v>0</v>
      </c>
      <c r="AR171" s="18">
        <f t="shared" si="30"/>
        <v>40</v>
      </c>
      <c r="AS171" t="s">
        <v>52</v>
      </c>
      <c r="AT171" s="9" t="s">
        <v>680</v>
      </c>
      <c r="AU171" s="30">
        <f t="shared" si="32"/>
        <v>92.891428571428577</v>
      </c>
    </row>
    <row r="172" spans="1:47" hidden="1" x14ac:dyDescent="0.25">
      <c r="A172" t="s">
        <v>46</v>
      </c>
      <c r="B172" t="s">
        <v>681</v>
      </c>
      <c r="C172" t="s">
        <v>682</v>
      </c>
      <c r="D172" t="s">
        <v>683</v>
      </c>
      <c r="E172" s="11">
        <v>18.670000000000002</v>
      </c>
      <c r="F172" s="11">
        <v>20</v>
      </c>
      <c r="G172" s="11">
        <v>50</v>
      </c>
      <c r="H172" s="11">
        <v>3</v>
      </c>
      <c r="I172" s="13">
        <f t="shared" si="22"/>
        <v>91.67</v>
      </c>
      <c r="J172" s="11">
        <v>0</v>
      </c>
      <c r="K172" s="11">
        <v>0</v>
      </c>
      <c r="L172" s="11">
        <v>0</v>
      </c>
      <c r="M172" s="13">
        <f t="shared" si="23"/>
        <v>0</v>
      </c>
      <c r="N172" s="11">
        <v>0</v>
      </c>
      <c r="O172" s="11">
        <v>0</v>
      </c>
      <c r="P172" s="11">
        <v>0</v>
      </c>
      <c r="Q172" s="11">
        <v>0</v>
      </c>
      <c r="R172" s="13">
        <f t="shared" si="24"/>
        <v>0</v>
      </c>
      <c r="S172">
        <v>0</v>
      </c>
      <c r="T172">
        <v>0</v>
      </c>
      <c r="U172" s="7">
        <f t="shared" si="25"/>
        <v>0</v>
      </c>
      <c r="V172">
        <v>0</v>
      </c>
      <c r="W172">
        <v>0</v>
      </c>
      <c r="X172">
        <v>0</v>
      </c>
      <c r="Y172">
        <v>0</v>
      </c>
      <c r="Z172" s="13">
        <f t="shared" si="26"/>
        <v>0</v>
      </c>
      <c r="AA172">
        <v>0</v>
      </c>
      <c r="AB172">
        <v>0</v>
      </c>
      <c r="AC172">
        <v>0</v>
      </c>
      <c r="AD172">
        <v>0</v>
      </c>
      <c r="AE172" s="7">
        <f t="shared" si="27"/>
        <v>0</v>
      </c>
      <c r="AF172">
        <v>0</v>
      </c>
      <c r="AG172">
        <v>0</v>
      </c>
      <c r="AH172">
        <v>0</v>
      </c>
      <c r="AI172" s="13">
        <f t="shared" si="28"/>
        <v>0</v>
      </c>
      <c r="AJ172" s="11" t="s">
        <v>51</v>
      </c>
      <c r="AK172" s="11" t="s">
        <v>51</v>
      </c>
      <c r="AL172" s="11" t="s">
        <v>51</v>
      </c>
      <c r="AM172" s="13">
        <f t="shared" si="29"/>
        <v>0</v>
      </c>
      <c r="AN172" s="18">
        <v>6</v>
      </c>
      <c r="AO172" s="18">
        <v>0</v>
      </c>
      <c r="AP172" s="18">
        <v>0</v>
      </c>
      <c r="AQ172" s="18">
        <v>0</v>
      </c>
      <c r="AR172" s="18">
        <f t="shared" si="30"/>
        <v>6</v>
      </c>
      <c r="AS172" t="s">
        <v>52</v>
      </c>
      <c r="AT172" s="9" t="s">
        <v>684</v>
      </c>
      <c r="AU172" s="30">
        <f t="shared" si="32"/>
        <v>91.67</v>
      </c>
    </row>
    <row r="173" spans="1:47" hidden="1" x14ac:dyDescent="0.25">
      <c r="A173" t="s">
        <v>46</v>
      </c>
      <c r="B173" t="s">
        <v>685</v>
      </c>
      <c r="C173" t="s">
        <v>686</v>
      </c>
      <c r="D173" t="s">
        <v>687</v>
      </c>
      <c r="E173" s="11">
        <v>22.222222222222221</v>
      </c>
      <c r="F173" s="11">
        <v>22.222222222222221</v>
      </c>
      <c r="G173" s="11">
        <v>50.4</v>
      </c>
      <c r="H173" s="11">
        <v>0</v>
      </c>
      <c r="I173" s="13">
        <f t="shared" si="22"/>
        <v>94.844444444444434</v>
      </c>
      <c r="J173" s="11">
        <v>0</v>
      </c>
      <c r="K173" s="11">
        <v>0</v>
      </c>
      <c r="L173" s="11">
        <v>0</v>
      </c>
      <c r="M173" s="13">
        <f t="shared" si="23"/>
        <v>0</v>
      </c>
      <c r="N173" s="11">
        <v>48.144444444444446</v>
      </c>
      <c r="O173" s="11">
        <v>0</v>
      </c>
      <c r="P173" s="11">
        <v>22.222222222222221</v>
      </c>
      <c r="Q173" s="11">
        <v>22.222222222222221</v>
      </c>
      <c r="R173" s="13">
        <f t="shared" si="24"/>
        <v>92.588888888888903</v>
      </c>
      <c r="S173">
        <v>0</v>
      </c>
      <c r="T173">
        <v>0</v>
      </c>
      <c r="U173" s="7">
        <f t="shared" si="25"/>
        <v>0</v>
      </c>
      <c r="V173">
        <v>0</v>
      </c>
      <c r="W173">
        <v>0</v>
      </c>
      <c r="X173">
        <v>0</v>
      </c>
      <c r="Y173">
        <v>0</v>
      </c>
      <c r="Z173" s="13">
        <f t="shared" si="26"/>
        <v>0</v>
      </c>
      <c r="AA173">
        <v>0</v>
      </c>
      <c r="AB173">
        <v>0</v>
      </c>
      <c r="AC173">
        <v>0</v>
      </c>
      <c r="AD173">
        <v>0</v>
      </c>
      <c r="AE173" s="7">
        <f t="shared" si="27"/>
        <v>0</v>
      </c>
      <c r="AF173">
        <v>0</v>
      </c>
      <c r="AG173">
        <v>0</v>
      </c>
      <c r="AH173">
        <v>0</v>
      </c>
      <c r="AI173" s="13">
        <f t="shared" si="28"/>
        <v>0</v>
      </c>
      <c r="AJ173" s="11" t="s">
        <v>51</v>
      </c>
      <c r="AK173" s="11" t="s">
        <v>51</v>
      </c>
      <c r="AL173" s="11" t="s">
        <v>51</v>
      </c>
      <c r="AM173" s="13">
        <f t="shared" si="29"/>
        <v>0</v>
      </c>
      <c r="AN173" s="18">
        <v>9</v>
      </c>
      <c r="AO173" s="18">
        <v>0</v>
      </c>
      <c r="AP173" s="18">
        <v>0</v>
      </c>
      <c r="AQ173" s="18">
        <v>0</v>
      </c>
      <c r="AR173" s="18">
        <f t="shared" si="30"/>
        <v>9</v>
      </c>
      <c r="AS173" t="s">
        <v>52</v>
      </c>
      <c r="AT173" s="9" t="s">
        <v>688</v>
      </c>
      <c r="AU173" s="30">
        <f t="shared" si="32"/>
        <v>94.844444444444434</v>
      </c>
    </row>
    <row r="174" spans="1:47" hidden="1" x14ac:dyDescent="0.25">
      <c r="A174" s="33" t="s">
        <v>46</v>
      </c>
      <c r="B174" s="32" t="s">
        <v>685</v>
      </c>
      <c r="C174" s="32" t="s">
        <v>686</v>
      </c>
      <c r="D174" s="32" t="s">
        <v>687</v>
      </c>
      <c r="E174" s="11">
        <v>22.222222222222221</v>
      </c>
      <c r="F174" s="11">
        <v>22.222222222222221</v>
      </c>
      <c r="G174" s="11">
        <v>50.4</v>
      </c>
      <c r="H174" s="11">
        <v>0</v>
      </c>
      <c r="I174" s="13">
        <f t="shared" si="22"/>
        <v>94.844444444444434</v>
      </c>
      <c r="J174" s="11">
        <v>0</v>
      </c>
      <c r="K174" s="11">
        <v>0</v>
      </c>
      <c r="L174" s="11">
        <v>0</v>
      </c>
      <c r="M174" s="13">
        <f t="shared" si="23"/>
        <v>0</v>
      </c>
      <c r="N174" s="11">
        <v>48.144444444444446</v>
      </c>
      <c r="O174" s="11">
        <v>0</v>
      </c>
      <c r="P174" s="11">
        <v>22.222222222222221</v>
      </c>
      <c r="Q174" s="11">
        <v>22.222222222222221</v>
      </c>
      <c r="R174" s="13">
        <f t="shared" si="24"/>
        <v>92.588888888888903</v>
      </c>
      <c r="S174">
        <v>0</v>
      </c>
      <c r="T174">
        <v>0</v>
      </c>
      <c r="U174" s="7">
        <f t="shared" si="25"/>
        <v>0</v>
      </c>
      <c r="V174">
        <v>0</v>
      </c>
      <c r="W174">
        <v>0</v>
      </c>
      <c r="X174">
        <v>0</v>
      </c>
      <c r="Y174">
        <v>0</v>
      </c>
      <c r="Z174" s="13">
        <f t="shared" si="26"/>
        <v>0</v>
      </c>
      <c r="AA174">
        <v>0</v>
      </c>
      <c r="AB174">
        <v>0</v>
      </c>
      <c r="AC174">
        <v>0</v>
      </c>
      <c r="AD174">
        <v>0</v>
      </c>
      <c r="AE174" s="7">
        <f t="shared" si="27"/>
        <v>0</v>
      </c>
      <c r="AF174">
        <v>0</v>
      </c>
      <c r="AG174">
        <v>0</v>
      </c>
      <c r="AH174">
        <v>0</v>
      </c>
      <c r="AI174" s="13">
        <f t="shared" si="28"/>
        <v>0</v>
      </c>
      <c r="AJ174" s="11" t="s">
        <v>51</v>
      </c>
      <c r="AK174" s="11" t="s">
        <v>51</v>
      </c>
      <c r="AL174" s="11" t="s">
        <v>51</v>
      </c>
      <c r="AM174" s="13">
        <f t="shared" si="29"/>
        <v>0</v>
      </c>
      <c r="AN174" s="18">
        <v>2</v>
      </c>
      <c r="AO174" s="18">
        <v>0</v>
      </c>
      <c r="AP174" s="18">
        <v>0</v>
      </c>
      <c r="AQ174" s="18">
        <v>0</v>
      </c>
      <c r="AR174" s="18">
        <f t="shared" si="30"/>
        <v>2</v>
      </c>
      <c r="AS174" t="s">
        <v>117</v>
      </c>
      <c r="AT174" s="9" t="s">
        <v>688</v>
      </c>
      <c r="AU174" s="11">
        <f>+((AN174*R174)+(AQ174*AI174)+(AP174*AM174))/AR174</f>
        <v>92.588888888888903</v>
      </c>
    </row>
    <row r="175" spans="1:47" hidden="1" x14ac:dyDescent="0.25">
      <c r="A175" t="s">
        <v>46</v>
      </c>
      <c r="B175" t="s">
        <v>689</v>
      </c>
      <c r="C175" t="s">
        <v>690</v>
      </c>
      <c r="D175" t="s">
        <v>691</v>
      </c>
      <c r="E175" s="11">
        <v>25</v>
      </c>
      <c r="F175" s="11">
        <v>0</v>
      </c>
      <c r="G175" s="11">
        <v>52.225000000000001</v>
      </c>
      <c r="H175" s="11">
        <v>3.75</v>
      </c>
      <c r="I175" s="13">
        <f t="shared" si="22"/>
        <v>80.974999999999994</v>
      </c>
      <c r="J175" s="11">
        <v>0</v>
      </c>
      <c r="K175" s="11">
        <v>0</v>
      </c>
      <c r="L175" s="11">
        <v>0</v>
      </c>
      <c r="M175" s="13">
        <f t="shared" si="23"/>
        <v>0</v>
      </c>
      <c r="N175" s="11">
        <v>0</v>
      </c>
      <c r="O175" s="11">
        <v>0</v>
      </c>
      <c r="P175" s="11">
        <v>0</v>
      </c>
      <c r="Q175" s="11">
        <v>0</v>
      </c>
      <c r="R175" s="13">
        <f t="shared" si="24"/>
        <v>0</v>
      </c>
      <c r="S175">
        <v>0</v>
      </c>
      <c r="T175">
        <v>0</v>
      </c>
      <c r="U175" s="7">
        <f t="shared" si="25"/>
        <v>0</v>
      </c>
      <c r="V175">
        <v>0</v>
      </c>
      <c r="W175">
        <v>0</v>
      </c>
      <c r="X175">
        <v>0</v>
      </c>
      <c r="Y175">
        <v>0</v>
      </c>
      <c r="Z175" s="13">
        <f t="shared" si="26"/>
        <v>0</v>
      </c>
      <c r="AA175">
        <v>0</v>
      </c>
      <c r="AB175">
        <v>0</v>
      </c>
      <c r="AC175">
        <v>0</v>
      </c>
      <c r="AD175">
        <v>0</v>
      </c>
      <c r="AE175" s="7">
        <f t="shared" si="27"/>
        <v>0</v>
      </c>
      <c r="AF175">
        <v>0</v>
      </c>
      <c r="AG175">
        <v>0</v>
      </c>
      <c r="AH175">
        <v>0</v>
      </c>
      <c r="AI175" s="13">
        <f t="shared" si="28"/>
        <v>0</v>
      </c>
      <c r="AJ175" s="11" t="s">
        <v>51</v>
      </c>
      <c r="AK175" s="11" t="s">
        <v>51</v>
      </c>
      <c r="AL175" s="11" t="s">
        <v>51</v>
      </c>
      <c r="AM175" s="13">
        <f t="shared" si="29"/>
        <v>0</v>
      </c>
      <c r="AN175" s="18">
        <v>11</v>
      </c>
      <c r="AO175" s="18">
        <v>0</v>
      </c>
      <c r="AP175" s="18">
        <v>0</v>
      </c>
      <c r="AQ175" s="18">
        <v>0</v>
      </c>
      <c r="AR175" s="18">
        <f t="shared" si="30"/>
        <v>11</v>
      </c>
      <c r="AS175" t="s">
        <v>52</v>
      </c>
      <c r="AT175" s="9" t="s">
        <v>692</v>
      </c>
      <c r="AU175" s="30">
        <f>+((AN175*I175)+(AO175*AE175)+(AQ175*AI175)+(AP175*AM175))/AR175</f>
        <v>80.974999999999994</v>
      </c>
    </row>
    <row r="176" spans="1:47" x14ac:dyDescent="0.25">
      <c r="A176" t="s">
        <v>46</v>
      </c>
      <c r="B176" t="s">
        <v>693</v>
      </c>
      <c r="C176" t="s">
        <v>694</v>
      </c>
      <c r="D176" t="s">
        <v>695</v>
      </c>
      <c r="E176" s="11">
        <v>0</v>
      </c>
      <c r="F176" s="11">
        <v>0</v>
      </c>
      <c r="G176" s="11">
        <v>0</v>
      </c>
      <c r="H176" s="11">
        <v>0</v>
      </c>
      <c r="I176" s="13">
        <f t="shared" si="22"/>
        <v>0</v>
      </c>
      <c r="J176" s="11">
        <v>0</v>
      </c>
      <c r="K176" s="11">
        <v>0</v>
      </c>
      <c r="L176" s="11">
        <v>0</v>
      </c>
      <c r="M176" s="13">
        <f t="shared" si="23"/>
        <v>0</v>
      </c>
      <c r="N176" s="11">
        <v>0</v>
      </c>
      <c r="O176" s="11">
        <v>0</v>
      </c>
      <c r="P176" s="11">
        <v>0</v>
      </c>
      <c r="Q176" s="11">
        <v>0</v>
      </c>
      <c r="R176" s="13">
        <f t="shared" si="24"/>
        <v>0</v>
      </c>
      <c r="S176">
        <v>41.78</v>
      </c>
      <c r="T176">
        <v>24.75</v>
      </c>
      <c r="U176" s="7">
        <f t="shared" si="25"/>
        <v>66.53</v>
      </c>
      <c r="V176">
        <v>0</v>
      </c>
      <c r="W176">
        <v>0</v>
      </c>
      <c r="X176">
        <v>0</v>
      </c>
      <c r="Y176">
        <v>0</v>
      </c>
      <c r="Z176" s="13">
        <f t="shared" si="26"/>
        <v>0</v>
      </c>
      <c r="AA176">
        <v>0</v>
      </c>
      <c r="AB176">
        <v>0</v>
      </c>
      <c r="AC176">
        <v>0</v>
      </c>
      <c r="AD176">
        <v>0</v>
      </c>
      <c r="AE176" s="7">
        <f t="shared" si="27"/>
        <v>0</v>
      </c>
      <c r="AF176">
        <v>0</v>
      </c>
      <c r="AG176">
        <v>0</v>
      </c>
      <c r="AH176">
        <v>0</v>
      </c>
      <c r="AI176" s="13">
        <f t="shared" si="28"/>
        <v>0</v>
      </c>
      <c r="AJ176" s="11" t="s">
        <v>51</v>
      </c>
      <c r="AK176" s="11" t="s">
        <v>51</v>
      </c>
      <c r="AL176" s="11" t="s">
        <v>51</v>
      </c>
      <c r="AM176" s="13">
        <f t="shared" si="29"/>
        <v>0</v>
      </c>
      <c r="AN176" s="18">
        <v>4</v>
      </c>
      <c r="AO176" s="18">
        <v>0</v>
      </c>
      <c r="AP176" s="18">
        <v>0</v>
      </c>
      <c r="AQ176" s="18">
        <v>0</v>
      </c>
      <c r="AR176" s="18">
        <f t="shared" si="30"/>
        <v>4</v>
      </c>
      <c r="AS176" t="s">
        <v>52</v>
      </c>
      <c r="AT176" s="9" t="s">
        <v>696</v>
      </c>
      <c r="AU176" s="30">
        <f>+((U176*AN176)/AR176)</f>
        <v>66.53</v>
      </c>
    </row>
    <row r="177" spans="1:47" hidden="1" x14ac:dyDescent="0.25">
      <c r="A177" t="s">
        <v>46</v>
      </c>
      <c r="B177" t="s">
        <v>697</v>
      </c>
      <c r="C177" t="s">
        <v>698</v>
      </c>
      <c r="D177" t="s">
        <v>699</v>
      </c>
      <c r="E177" s="11">
        <v>0</v>
      </c>
      <c r="F177" s="11">
        <v>0</v>
      </c>
      <c r="G177" s="11">
        <v>0</v>
      </c>
      <c r="H177" s="11">
        <v>0</v>
      </c>
      <c r="I177" s="13">
        <f t="shared" si="22"/>
        <v>0</v>
      </c>
      <c r="J177" s="11">
        <v>57.86</v>
      </c>
      <c r="K177" s="11">
        <v>30</v>
      </c>
      <c r="L177" s="11">
        <v>2.5</v>
      </c>
      <c r="M177" s="13">
        <f t="shared" si="23"/>
        <v>90.36</v>
      </c>
      <c r="N177" s="11">
        <v>0</v>
      </c>
      <c r="O177" s="11">
        <v>0</v>
      </c>
      <c r="P177" s="11">
        <v>0</v>
      </c>
      <c r="Q177" s="11">
        <v>0</v>
      </c>
      <c r="R177" s="13">
        <f t="shared" si="24"/>
        <v>0</v>
      </c>
      <c r="S177">
        <v>0</v>
      </c>
      <c r="T177">
        <v>0</v>
      </c>
      <c r="U177" s="7">
        <f t="shared" si="25"/>
        <v>0</v>
      </c>
      <c r="V177">
        <v>0</v>
      </c>
      <c r="W177">
        <v>0</v>
      </c>
      <c r="X177">
        <v>0</v>
      </c>
      <c r="Y177">
        <v>0</v>
      </c>
      <c r="Z177" s="13">
        <f t="shared" si="26"/>
        <v>0</v>
      </c>
      <c r="AA177">
        <v>0</v>
      </c>
      <c r="AB177">
        <v>0</v>
      </c>
      <c r="AC177">
        <v>0</v>
      </c>
      <c r="AD177">
        <v>0</v>
      </c>
      <c r="AE177" s="7">
        <f t="shared" si="27"/>
        <v>0</v>
      </c>
      <c r="AF177">
        <v>0</v>
      </c>
      <c r="AG177">
        <v>0</v>
      </c>
      <c r="AH177">
        <v>0</v>
      </c>
      <c r="AI177" s="13">
        <f t="shared" si="28"/>
        <v>0</v>
      </c>
      <c r="AJ177" s="11" t="s">
        <v>51</v>
      </c>
      <c r="AK177" s="11" t="s">
        <v>51</v>
      </c>
      <c r="AL177" s="11" t="s">
        <v>51</v>
      </c>
      <c r="AM177" s="13">
        <f t="shared" si="29"/>
        <v>0</v>
      </c>
      <c r="AN177" s="18">
        <v>2</v>
      </c>
      <c r="AO177" s="18">
        <v>0</v>
      </c>
      <c r="AP177" s="18">
        <v>0</v>
      </c>
      <c r="AQ177" s="18">
        <v>0</v>
      </c>
      <c r="AR177" s="18">
        <f t="shared" si="30"/>
        <v>2</v>
      </c>
      <c r="AS177" t="s">
        <v>87</v>
      </c>
      <c r="AT177" s="9" t="s">
        <v>700</v>
      </c>
      <c r="AU177" s="30">
        <f>+((AN177*M177)/AR177)</f>
        <v>90.36</v>
      </c>
    </row>
    <row r="178" spans="1:47" hidden="1" x14ac:dyDescent="0.25">
      <c r="A178" t="s">
        <v>46</v>
      </c>
      <c r="B178" t="s">
        <v>701</v>
      </c>
      <c r="C178" t="s">
        <v>702</v>
      </c>
      <c r="D178" t="s">
        <v>703</v>
      </c>
      <c r="E178" s="11">
        <v>0</v>
      </c>
      <c r="F178" s="11">
        <v>16.662500000000001</v>
      </c>
      <c r="G178" s="11">
        <v>57.55</v>
      </c>
      <c r="H178" s="11">
        <v>3.125</v>
      </c>
      <c r="I178" s="13">
        <f t="shared" si="22"/>
        <v>77.337500000000006</v>
      </c>
      <c r="J178" s="11">
        <v>0</v>
      </c>
      <c r="K178" s="11">
        <v>0</v>
      </c>
      <c r="L178" s="11">
        <v>0</v>
      </c>
      <c r="M178" s="13">
        <f t="shared" si="23"/>
        <v>0</v>
      </c>
      <c r="N178" s="11">
        <v>0</v>
      </c>
      <c r="O178" s="11">
        <v>0</v>
      </c>
      <c r="P178" s="11">
        <v>0</v>
      </c>
      <c r="Q178" s="11">
        <v>0</v>
      </c>
      <c r="R178" s="13">
        <f t="shared" si="24"/>
        <v>0</v>
      </c>
      <c r="S178">
        <v>0</v>
      </c>
      <c r="T178">
        <v>0</v>
      </c>
      <c r="U178" s="7">
        <f t="shared" si="25"/>
        <v>0</v>
      </c>
      <c r="V178">
        <v>0</v>
      </c>
      <c r="W178">
        <v>0</v>
      </c>
      <c r="X178">
        <v>0</v>
      </c>
      <c r="Y178">
        <v>0</v>
      </c>
      <c r="Z178" s="13">
        <f t="shared" si="26"/>
        <v>0</v>
      </c>
      <c r="AA178">
        <v>15</v>
      </c>
      <c r="AB178">
        <v>50</v>
      </c>
      <c r="AC178">
        <v>0</v>
      </c>
      <c r="AD178">
        <v>0</v>
      </c>
      <c r="AE178" s="7">
        <f t="shared" si="27"/>
        <v>65</v>
      </c>
      <c r="AF178">
        <v>0</v>
      </c>
      <c r="AG178">
        <v>0</v>
      </c>
      <c r="AH178">
        <v>0</v>
      </c>
      <c r="AI178" s="13">
        <f t="shared" si="28"/>
        <v>0</v>
      </c>
      <c r="AJ178" s="11" t="s">
        <v>51</v>
      </c>
      <c r="AK178" s="11" t="s">
        <v>51</v>
      </c>
      <c r="AL178" s="11" t="s">
        <v>51</v>
      </c>
      <c r="AM178" s="13">
        <f t="shared" si="29"/>
        <v>0</v>
      </c>
      <c r="AN178" s="18">
        <v>24.5</v>
      </c>
      <c r="AO178" s="18">
        <v>15.5</v>
      </c>
      <c r="AP178" s="18">
        <v>0</v>
      </c>
      <c r="AQ178" s="18">
        <v>0</v>
      </c>
      <c r="AR178" s="18">
        <f t="shared" si="30"/>
        <v>40</v>
      </c>
      <c r="AS178" t="s">
        <v>52</v>
      </c>
      <c r="AT178" s="9" t="s">
        <v>705</v>
      </c>
      <c r="AU178" s="30">
        <f>+((AN178*I178)+(AO178*AE178)+(AQ178*AI178)+(AP178*AM178))/AR178</f>
        <v>72.556718750000002</v>
      </c>
    </row>
    <row r="179" spans="1:47" hidden="1" x14ac:dyDescent="0.25">
      <c r="A179" t="s">
        <v>46</v>
      </c>
      <c r="B179" t="s">
        <v>706</v>
      </c>
      <c r="C179" t="s">
        <v>707</v>
      </c>
      <c r="D179" t="s">
        <v>708</v>
      </c>
      <c r="E179" s="11">
        <v>20</v>
      </c>
      <c r="F179" s="11">
        <v>20</v>
      </c>
      <c r="G179" s="11">
        <v>44.4</v>
      </c>
      <c r="H179" s="11">
        <v>4</v>
      </c>
      <c r="I179" s="13">
        <f t="shared" si="22"/>
        <v>88.4</v>
      </c>
      <c r="J179" s="11">
        <v>0</v>
      </c>
      <c r="K179" s="11">
        <v>0</v>
      </c>
      <c r="L179" s="11">
        <v>0</v>
      </c>
      <c r="M179" s="13">
        <f t="shared" si="23"/>
        <v>0</v>
      </c>
      <c r="N179" s="11">
        <v>47.13</v>
      </c>
      <c r="O179" s="11">
        <v>4</v>
      </c>
      <c r="P179" s="11">
        <v>20</v>
      </c>
      <c r="Q179" s="11">
        <v>20</v>
      </c>
      <c r="R179" s="13">
        <f t="shared" si="24"/>
        <v>91.13</v>
      </c>
      <c r="S179">
        <v>0</v>
      </c>
      <c r="T179">
        <v>0</v>
      </c>
      <c r="U179" s="7">
        <f t="shared" si="25"/>
        <v>0</v>
      </c>
      <c r="V179">
        <v>0</v>
      </c>
      <c r="W179">
        <v>0</v>
      </c>
      <c r="X179">
        <v>0</v>
      </c>
      <c r="Y179">
        <v>0</v>
      </c>
      <c r="Z179" s="13">
        <f t="shared" si="26"/>
        <v>0</v>
      </c>
      <c r="AA179">
        <v>15</v>
      </c>
      <c r="AB179">
        <v>50</v>
      </c>
      <c r="AC179">
        <v>15</v>
      </c>
      <c r="AD179">
        <v>20</v>
      </c>
      <c r="AE179" s="7">
        <f t="shared" si="27"/>
        <v>100</v>
      </c>
      <c r="AF179">
        <v>0</v>
      </c>
      <c r="AG179">
        <v>0</v>
      </c>
      <c r="AH179">
        <v>0</v>
      </c>
      <c r="AI179" s="13">
        <f t="shared" si="28"/>
        <v>0</v>
      </c>
      <c r="AJ179" s="11" t="s">
        <v>51</v>
      </c>
      <c r="AK179" s="11" t="s">
        <v>51</v>
      </c>
      <c r="AL179" s="11" t="s">
        <v>51</v>
      </c>
      <c r="AM179" s="13">
        <f t="shared" si="29"/>
        <v>0</v>
      </c>
      <c r="AN179" s="18">
        <v>23</v>
      </c>
      <c r="AO179" s="18">
        <v>15</v>
      </c>
      <c r="AP179" s="18">
        <v>0</v>
      </c>
      <c r="AQ179" s="18">
        <v>0</v>
      </c>
      <c r="AR179" s="18">
        <f t="shared" si="30"/>
        <v>38</v>
      </c>
      <c r="AS179" t="s">
        <v>52</v>
      </c>
      <c r="AT179" s="9" t="s">
        <v>710</v>
      </c>
      <c r="AU179" s="30">
        <f>+((AN179*I179)+(AO179*AE179)+(AQ179*AI179)+(AP179*AM179))/AR179</f>
        <v>92.978947368421046</v>
      </c>
    </row>
    <row r="180" spans="1:47" hidden="1" x14ac:dyDescent="0.25">
      <c r="A180" s="33" t="s">
        <v>46</v>
      </c>
      <c r="B180" s="32" t="s">
        <v>706</v>
      </c>
      <c r="C180" s="32" t="s">
        <v>707</v>
      </c>
      <c r="D180" s="32" t="s">
        <v>708</v>
      </c>
      <c r="E180" s="11">
        <v>20</v>
      </c>
      <c r="F180" s="11">
        <v>20</v>
      </c>
      <c r="G180" s="11">
        <v>44.4</v>
      </c>
      <c r="H180" s="11">
        <v>4</v>
      </c>
      <c r="I180" s="13">
        <f t="shared" si="22"/>
        <v>88.4</v>
      </c>
      <c r="J180" s="11">
        <v>0</v>
      </c>
      <c r="K180" s="11">
        <v>0</v>
      </c>
      <c r="L180" s="11">
        <v>0</v>
      </c>
      <c r="M180" s="13">
        <f t="shared" si="23"/>
        <v>0</v>
      </c>
      <c r="N180" s="11">
        <v>47.13</v>
      </c>
      <c r="O180" s="11">
        <v>4</v>
      </c>
      <c r="P180" s="11">
        <v>20</v>
      </c>
      <c r="Q180" s="11">
        <v>20</v>
      </c>
      <c r="R180" s="13">
        <f t="shared" si="24"/>
        <v>91.13</v>
      </c>
      <c r="S180">
        <v>0</v>
      </c>
      <c r="T180">
        <v>0</v>
      </c>
      <c r="U180" s="7">
        <f t="shared" si="25"/>
        <v>0</v>
      </c>
      <c r="V180">
        <v>0</v>
      </c>
      <c r="W180">
        <v>0</v>
      </c>
      <c r="X180">
        <v>0</v>
      </c>
      <c r="Y180">
        <v>0</v>
      </c>
      <c r="Z180" s="13">
        <f t="shared" si="26"/>
        <v>0</v>
      </c>
      <c r="AA180">
        <v>15</v>
      </c>
      <c r="AB180">
        <v>50</v>
      </c>
      <c r="AC180">
        <v>15</v>
      </c>
      <c r="AD180">
        <v>20</v>
      </c>
      <c r="AE180" s="7">
        <f t="shared" si="27"/>
        <v>100</v>
      </c>
      <c r="AF180">
        <v>0</v>
      </c>
      <c r="AG180">
        <v>0</v>
      </c>
      <c r="AH180">
        <v>0</v>
      </c>
      <c r="AI180" s="13">
        <f t="shared" si="28"/>
        <v>0</v>
      </c>
      <c r="AJ180" s="11" t="s">
        <v>51</v>
      </c>
      <c r="AK180" s="11" t="s">
        <v>51</v>
      </c>
      <c r="AL180" s="11" t="s">
        <v>51</v>
      </c>
      <c r="AM180" s="13">
        <f t="shared" si="29"/>
        <v>0</v>
      </c>
      <c r="AN180" s="18">
        <v>2</v>
      </c>
      <c r="AO180" s="18">
        <v>0</v>
      </c>
      <c r="AP180" s="18">
        <v>0</v>
      </c>
      <c r="AQ180" s="18">
        <v>0</v>
      </c>
      <c r="AR180" s="18">
        <f t="shared" si="30"/>
        <v>2</v>
      </c>
      <c r="AS180" t="s">
        <v>117</v>
      </c>
      <c r="AT180" s="9" t="s">
        <v>709</v>
      </c>
      <c r="AU180" s="11">
        <f>+((AN180*R180)+(AQ180*AI180)+(AP180*AM180))/AR180</f>
        <v>91.13</v>
      </c>
    </row>
    <row r="181" spans="1:47" hidden="1" x14ac:dyDescent="0.25">
      <c r="A181" t="s">
        <v>46</v>
      </c>
      <c r="B181" t="s">
        <v>711</v>
      </c>
      <c r="C181" t="s">
        <v>712</v>
      </c>
      <c r="D181" t="s">
        <v>713</v>
      </c>
      <c r="E181" s="11">
        <v>20</v>
      </c>
      <c r="F181" s="11">
        <v>18</v>
      </c>
      <c r="G181" s="11">
        <v>42.82</v>
      </c>
      <c r="H181" s="11">
        <v>3.5</v>
      </c>
      <c r="I181" s="13">
        <f t="shared" si="22"/>
        <v>84.32</v>
      </c>
      <c r="J181" s="11">
        <v>0</v>
      </c>
      <c r="K181" s="11">
        <v>0</v>
      </c>
      <c r="L181" s="11">
        <v>0</v>
      </c>
      <c r="M181" s="13">
        <f t="shared" si="23"/>
        <v>0</v>
      </c>
      <c r="N181" s="11">
        <v>0</v>
      </c>
      <c r="O181" s="11">
        <v>0</v>
      </c>
      <c r="P181" s="11">
        <v>0</v>
      </c>
      <c r="Q181" s="11">
        <v>0</v>
      </c>
      <c r="R181" s="13">
        <f t="shared" si="24"/>
        <v>0</v>
      </c>
      <c r="S181">
        <v>0</v>
      </c>
      <c r="T181">
        <v>0</v>
      </c>
      <c r="U181" s="7">
        <f t="shared" si="25"/>
        <v>0</v>
      </c>
      <c r="V181">
        <v>0</v>
      </c>
      <c r="W181">
        <v>0</v>
      </c>
      <c r="X181">
        <v>0</v>
      </c>
      <c r="Y181">
        <v>0</v>
      </c>
      <c r="Z181" s="13">
        <f t="shared" si="26"/>
        <v>0</v>
      </c>
      <c r="AA181">
        <v>0</v>
      </c>
      <c r="AB181">
        <v>0</v>
      </c>
      <c r="AC181">
        <v>0</v>
      </c>
      <c r="AD181">
        <v>0</v>
      </c>
      <c r="AE181" s="7">
        <f t="shared" si="27"/>
        <v>0</v>
      </c>
      <c r="AF181">
        <v>0</v>
      </c>
      <c r="AG181">
        <v>0</v>
      </c>
      <c r="AH181">
        <v>0</v>
      </c>
      <c r="AI181" s="13">
        <f t="shared" si="28"/>
        <v>0</v>
      </c>
      <c r="AJ181" s="11" t="s">
        <v>51</v>
      </c>
      <c r="AK181" s="11" t="s">
        <v>51</v>
      </c>
      <c r="AL181" s="11" t="s">
        <v>51</v>
      </c>
      <c r="AM181" s="13">
        <f t="shared" si="29"/>
        <v>0</v>
      </c>
      <c r="AN181" s="18">
        <v>40</v>
      </c>
      <c r="AO181" s="18">
        <v>0</v>
      </c>
      <c r="AP181" s="18">
        <v>0</v>
      </c>
      <c r="AQ181" s="18">
        <v>0</v>
      </c>
      <c r="AR181" s="18">
        <f t="shared" si="30"/>
        <v>40</v>
      </c>
      <c r="AS181" t="s">
        <v>52</v>
      </c>
      <c r="AT181" s="9" t="s">
        <v>714</v>
      </c>
      <c r="AU181" s="30">
        <f t="shared" ref="AU181:AU190" si="33">+((AN181*I181)+(AO181*AE181)+(AQ181*AI181)+(AP181*AM181))/AR181</f>
        <v>84.32</v>
      </c>
    </row>
    <row r="182" spans="1:47" hidden="1" x14ac:dyDescent="0.25">
      <c r="A182" t="s">
        <v>46</v>
      </c>
      <c r="B182" t="s">
        <v>715</v>
      </c>
      <c r="C182" t="s">
        <v>716</v>
      </c>
      <c r="D182" t="s">
        <v>717</v>
      </c>
      <c r="E182" s="11">
        <v>25</v>
      </c>
      <c r="F182" s="11">
        <v>0</v>
      </c>
      <c r="G182" s="11">
        <v>62.5</v>
      </c>
      <c r="H182" s="11">
        <v>6.25</v>
      </c>
      <c r="I182" s="13">
        <f t="shared" si="22"/>
        <v>93.75</v>
      </c>
      <c r="J182" s="11">
        <v>0</v>
      </c>
      <c r="K182" s="11">
        <v>0</v>
      </c>
      <c r="L182" s="11">
        <v>0</v>
      </c>
      <c r="M182" s="13">
        <f t="shared" si="23"/>
        <v>0</v>
      </c>
      <c r="N182" s="11">
        <v>0</v>
      </c>
      <c r="O182" s="11">
        <v>0</v>
      </c>
      <c r="P182" s="11">
        <v>0</v>
      </c>
      <c r="Q182" s="11">
        <v>0</v>
      </c>
      <c r="R182" s="13">
        <f t="shared" si="24"/>
        <v>0</v>
      </c>
      <c r="S182">
        <v>0</v>
      </c>
      <c r="T182">
        <v>0</v>
      </c>
      <c r="U182" s="7">
        <f t="shared" si="25"/>
        <v>0</v>
      </c>
      <c r="V182">
        <v>0</v>
      </c>
      <c r="W182">
        <v>0</v>
      </c>
      <c r="X182">
        <v>0</v>
      </c>
      <c r="Y182">
        <v>0</v>
      </c>
      <c r="Z182" s="13">
        <f t="shared" si="26"/>
        <v>0</v>
      </c>
      <c r="AA182">
        <v>0</v>
      </c>
      <c r="AB182">
        <v>0</v>
      </c>
      <c r="AC182">
        <v>0</v>
      </c>
      <c r="AD182">
        <v>0</v>
      </c>
      <c r="AE182" s="7">
        <f t="shared" si="27"/>
        <v>0</v>
      </c>
      <c r="AF182">
        <v>0</v>
      </c>
      <c r="AG182">
        <v>0</v>
      </c>
      <c r="AH182">
        <v>0</v>
      </c>
      <c r="AI182" s="13">
        <f t="shared" si="28"/>
        <v>0</v>
      </c>
      <c r="AJ182" s="11" t="s">
        <v>51</v>
      </c>
      <c r="AK182" s="11" t="s">
        <v>51</v>
      </c>
      <c r="AL182" s="11" t="s">
        <v>51</v>
      </c>
      <c r="AM182" s="13">
        <f t="shared" si="29"/>
        <v>0</v>
      </c>
      <c r="AN182" s="18">
        <v>7</v>
      </c>
      <c r="AO182" s="18">
        <v>0</v>
      </c>
      <c r="AP182" s="18">
        <v>0</v>
      </c>
      <c r="AQ182" s="18">
        <v>0</v>
      </c>
      <c r="AR182" s="18">
        <f t="shared" si="30"/>
        <v>7</v>
      </c>
      <c r="AS182" t="s">
        <v>52</v>
      </c>
      <c r="AT182" s="9" t="s">
        <v>718</v>
      </c>
      <c r="AU182" s="30">
        <f t="shared" si="33"/>
        <v>93.75</v>
      </c>
    </row>
    <row r="183" spans="1:47" hidden="1" x14ac:dyDescent="0.25">
      <c r="A183" t="s">
        <v>46</v>
      </c>
      <c r="B183" t="s">
        <v>719</v>
      </c>
      <c r="C183" t="s">
        <v>720</v>
      </c>
      <c r="D183" t="s">
        <v>721</v>
      </c>
      <c r="E183" s="11">
        <v>23.337499999999999</v>
      </c>
      <c r="F183" s="11">
        <v>0</v>
      </c>
      <c r="G183" s="11">
        <v>58.712499999999999</v>
      </c>
      <c r="H183" s="11">
        <v>3.75</v>
      </c>
      <c r="I183" s="13">
        <f t="shared" si="22"/>
        <v>85.8</v>
      </c>
      <c r="J183" s="11">
        <v>0</v>
      </c>
      <c r="K183" s="11">
        <v>0</v>
      </c>
      <c r="L183" s="11">
        <v>0</v>
      </c>
      <c r="M183" s="13">
        <f t="shared" si="23"/>
        <v>0</v>
      </c>
      <c r="N183" s="11">
        <v>0</v>
      </c>
      <c r="O183" s="11">
        <v>0</v>
      </c>
      <c r="P183" s="11">
        <v>0</v>
      </c>
      <c r="Q183" s="11">
        <v>0</v>
      </c>
      <c r="R183" s="13">
        <f t="shared" si="24"/>
        <v>0</v>
      </c>
      <c r="S183">
        <v>0</v>
      </c>
      <c r="T183">
        <v>0</v>
      </c>
      <c r="U183" s="7">
        <f t="shared" si="25"/>
        <v>0</v>
      </c>
      <c r="V183">
        <v>0</v>
      </c>
      <c r="W183">
        <v>0</v>
      </c>
      <c r="X183">
        <v>0</v>
      </c>
      <c r="Y183">
        <v>0</v>
      </c>
      <c r="Z183" s="13">
        <f t="shared" si="26"/>
        <v>0</v>
      </c>
      <c r="AA183">
        <v>0</v>
      </c>
      <c r="AB183">
        <v>0</v>
      </c>
      <c r="AC183">
        <v>0</v>
      </c>
      <c r="AD183">
        <v>0</v>
      </c>
      <c r="AE183" s="7">
        <f t="shared" si="27"/>
        <v>0</v>
      </c>
      <c r="AF183">
        <v>0</v>
      </c>
      <c r="AG183">
        <v>0</v>
      </c>
      <c r="AH183">
        <v>0</v>
      </c>
      <c r="AI183" s="13">
        <f t="shared" si="28"/>
        <v>0</v>
      </c>
      <c r="AJ183" s="11" t="s">
        <v>51</v>
      </c>
      <c r="AK183" s="11" t="s">
        <v>51</v>
      </c>
      <c r="AL183" s="11" t="s">
        <v>51</v>
      </c>
      <c r="AM183" s="13">
        <f t="shared" si="29"/>
        <v>0</v>
      </c>
      <c r="AN183" s="18">
        <v>8</v>
      </c>
      <c r="AO183" s="18">
        <v>0</v>
      </c>
      <c r="AP183" s="18">
        <v>0</v>
      </c>
      <c r="AQ183" s="18">
        <v>0</v>
      </c>
      <c r="AR183" s="18">
        <f t="shared" si="30"/>
        <v>8</v>
      </c>
      <c r="AS183" t="s">
        <v>52</v>
      </c>
      <c r="AT183" s="9" t="s">
        <v>722</v>
      </c>
      <c r="AU183" s="30">
        <f t="shared" si="33"/>
        <v>85.8</v>
      </c>
    </row>
    <row r="184" spans="1:47" hidden="1" x14ac:dyDescent="0.25">
      <c r="A184" t="s">
        <v>46</v>
      </c>
      <c r="B184" t="s">
        <v>723</v>
      </c>
      <c r="C184" t="s">
        <v>724</v>
      </c>
      <c r="D184" t="s">
        <v>725</v>
      </c>
      <c r="E184" s="11">
        <v>25</v>
      </c>
      <c r="F184" s="11">
        <v>0</v>
      </c>
      <c r="G184" s="11">
        <v>48.662500000000001</v>
      </c>
      <c r="H184" s="11">
        <v>3.125</v>
      </c>
      <c r="I184" s="13">
        <f t="shared" si="22"/>
        <v>76.787499999999994</v>
      </c>
      <c r="J184" s="11">
        <v>0</v>
      </c>
      <c r="K184" s="11">
        <v>0</v>
      </c>
      <c r="L184" s="11">
        <v>0</v>
      </c>
      <c r="M184" s="13">
        <f t="shared" si="23"/>
        <v>0</v>
      </c>
      <c r="N184" s="11">
        <v>0</v>
      </c>
      <c r="O184" s="11">
        <v>0</v>
      </c>
      <c r="P184" s="11">
        <v>0</v>
      </c>
      <c r="Q184" s="11">
        <v>0</v>
      </c>
      <c r="R184" s="13">
        <f t="shared" si="24"/>
        <v>0</v>
      </c>
      <c r="S184">
        <v>0</v>
      </c>
      <c r="T184">
        <v>0</v>
      </c>
      <c r="U184" s="7">
        <f t="shared" si="25"/>
        <v>0</v>
      </c>
      <c r="V184">
        <v>0</v>
      </c>
      <c r="W184">
        <v>0</v>
      </c>
      <c r="X184">
        <v>0</v>
      </c>
      <c r="Y184">
        <v>0</v>
      </c>
      <c r="Z184" s="13">
        <f t="shared" si="26"/>
        <v>0</v>
      </c>
      <c r="AA184">
        <v>0</v>
      </c>
      <c r="AB184">
        <v>0</v>
      </c>
      <c r="AC184">
        <v>0</v>
      </c>
      <c r="AD184">
        <v>0</v>
      </c>
      <c r="AE184" s="7">
        <f t="shared" si="27"/>
        <v>0</v>
      </c>
      <c r="AF184">
        <v>0</v>
      </c>
      <c r="AG184">
        <v>0</v>
      </c>
      <c r="AH184">
        <v>0</v>
      </c>
      <c r="AI184" s="13">
        <f t="shared" si="28"/>
        <v>0</v>
      </c>
      <c r="AJ184" s="11" t="s">
        <v>51</v>
      </c>
      <c r="AK184" s="11" t="s">
        <v>51</v>
      </c>
      <c r="AL184" s="11" t="s">
        <v>51</v>
      </c>
      <c r="AM184" s="13">
        <f t="shared" si="29"/>
        <v>0</v>
      </c>
      <c r="AN184" s="18">
        <v>3</v>
      </c>
      <c r="AO184" s="18">
        <v>0</v>
      </c>
      <c r="AP184" s="18">
        <v>0</v>
      </c>
      <c r="AQ184" s="18">
        <v>0</v>
      </c>
      <c r="AR184" s="18">
        <f t="shared" si="30"/>
        <v>3</v>
      </c>
      <c r="AS184" t="s">
        <v>52</v>
      </c>
      <c r="AT184" s="9" t="s">
        <v>726</v>
      </c>
      <c r="AU184" s="30">
        <f t="shared" si="33"/>
        <v>76.787499999999994</v>
      </c>
    </row>
    <row r="185" spans="1:47" hidden="1" x14ac:dyDescent="0.25">
      <c r="A185" t="s">
        <v>46</v>
      </c>
      <c r="B185" t="s">
        <v>727</v>
      </c>
      <c r="C185" t="s">
        <v>728</v>
      </c>
      <c r="D185" t="s">
        <v>729</v>
      </c>
      <c r="E185" s="11">
        <v>20</v>
      </c>
      <c r="F185" s="11">
        <v>20</v>
      </c>
      <c r="G185" s="11">
        <v>43.69</v>
      </c>
      <c r="H185" s="11">
        <v>2.5</v>
      </c>
      <c r="I185" s="13">
        <f t="shared" si="22"/>
        <v>86.19</v>
      </c>
      <c r="J185" s="11">
        <v>0</v>
      </c>
      <c r="K185" s="11">
        <v>0</v>
      </c>
      <c r="L185" s="11">
        <v>0</v>
      </c>
      <c r="M185" s="13">
        <f t="shared" si="23"/>
        <v>0</v>
      </c>
      <c r="N185" s="11">
        <v>0</v>
      </c>
      <c r="O185" s="11">
        <v>0</v>
      </c>
      <c r="P185" s="11">
        <v>0</v>
      </c>
      <c r="Q185" s="11">
        <v>0</v>
      </c>
      <c r="R185" s="13">
        <f t="shared" si="24"/>
        <v>0</v>
      </c>
      <c r="S185">
        <v>0</v>
      </c>
      <c r="T185">
        <v>0</v>
      </c>
      <c r="U185" s="7">
        <f t="shared" si="25"/>
        <v>0</v>
      </c>
      <c r="V185">
        <v>0</v>
      </c>
      <c r="W185">
        <v>0</v>
      </c>
      <c r="X185">
        <v>0</v>
      </c>
      <c r="Y185">
        <v>0</v>
      </c>
      <c r="Z185" s="13">
        <f t="shared" si="26"/>
        <v>0</v>
      </c>
      <c r="AA185">
        <v>0</v>
      </c>
      <c r="AB185">
        <v>0</v>
      </c>
      <c r="AC185">
        <v>0</v>
      </c>
      <c r="AD185">
        <v>0</v>
      </c>
      <c r="AE185" s="7">
        <f t="shared" si="27"/>
        <v>0</v>
      </c>
      <c r="AF185">
        <v>0</v>
      </c>
      <c r="AG185">
        <v>0</v>
      </c>
      <c r="AH185">
        <v>0</v>
      </c>
      <c r="AI185" s="13">
        <f t="shared" si="28"/>
        <v>0</v>
      </c>
      <c r="AJ185" s="11" t="s">
        <v>51</v>
      </c>
      <c r="AK185" s="11" t="s">
        <v>51</v>
      </c>
      <c r="AL185" s="11" t="s">
        <v>51</v>
      </c>
      <c r="AM185" s="13">
        <f t="shared" si="29"/>
        <v>0</v>
      </c>
      <c r="AN185" s="18">
        <v>6</v>
      </c>
      <c r="AO185" s="18">
        <v>0</v>
      </c>
      <c r="AP185" s="18">
        <v>0</v>
      </c>
      <c r="AQ185" s="18">
        <v>0</v>
      </c>
      <c r="AR185" s="18">
        <f t="shared" si="30"/>
        <v>6</v>
      </c>
      <c r="AS185" t="s">
        <v>52</v>
      </c>
      <c r="AT185" s="9" t="s">
        <v>730</v>
      </c>
      <c r="AU185" s="30">
        <f t="shared" si="33"/>
        <v>86.19</v>
      </c>
    </row>
    <row r="186" spans="1:47" hidden="1" x14ac:dyDescent="0.25">
      <c r="A186" t="s">
        <v>46</v>
      </c>
      <c r="B186" t="s">
        <v>731</v>
      </c>
      <c r="C186" t="s">
        <v>732</v>
      </c>
      <c r="D186" t="s">
        <v>733</v>
      </c>
      <c r="E186" s="11">
        <v>25</v>
      </c>
      <c r="F186" s="11">
        <v>0</v>
      </c>
      <c r="G186" s="11">
        <v>56.612499999999997</v>
      </c>
      <c r="H186" s="11">
        <v>3.125</v>
      </c>
      <c r="I186" s="13">
        <f t="shared" si="22"/>
        <v>84.737499999999997</v>
      </c>
      <c r="J186" s="11">
        <v>0</v>
      </c>
      <c r="K186" s="11">
        <v>0</v>
      </c>
      <c r="L186" s="11">
        <v>0</v>
      </c>
      <c r="M186" s="13">
        <f t="shared" si="23"/>
        <v>0</v>
      </c>
      <c r="N186" s="11">
        <v>0</v>
      </c>
      <c r="O186" s="11">
        <v>0</v>
      </c>
      <c r="P186" s="11">
        <v>0</v>
      </c>
      <c r="Q186" s="11">
        <v>0</v>
      </c>
      <c r="R186" s="13">
        <f t="shared" si="24"/>
        <v>0</v>
      </c>
      <c r="S186">
        <v>0</v>
      </c>
      <c r="T186">
        <v>0</v>
      </c>
      <c r="U186" s="7">
        <f t="shared" si="25"/>
        <v>0</v>
      </c>
      <c r="V186">
        <v>0</v>
      </c>
      <c r="W186">
        <v>0</v>
      </c>
      <c r="X186">
        <v>0</v>
      </c>
      <c r="Y186">
        <v>0</v>
      </c>
      <c r="Z186" s="13">
        <f t="shared" si="26"/>
        <v>0</v>
      </c>
      <c r="AA186">
        <v>0</v>
      </c>
      <c r="AB186">
        <v>0</v>
      </c>
      <c r="AC186">
        <v>0</v>
      </c>
      <c r="AD186">
        <v>0</v>
      </c>
      <c r="AE186" s="7">
        <f t="shared" si="27"/>
        <v>0</v>
      </c>
      <c r="AF186">
        <v>0</v>
      </c>
      <c r="AG186">
        <v>0</v>
      </c>
      <c r="AH186">
        <v>0</v>
      </c>
      <c r="AI186" s="13">
        <f t="shared" si="28"/>
        <v>0</v>
      </c>
      <c r="AJ186" s="11" t="s">
        <v>51</v>
      </c>
      <c r="AK186" s="11" t="s">
        <v>51</v>
      </c>
      <c r="AL186" s="11" t="s">
        <v>51</v>
      </c>
      <c r="AM186" s="13">
        <f t="shared" si="29"/>
        <v>0</v>
      </c>
      <c r="AN186" s="18">
        <v>7</v>
      </c>
      <c r="AO186" s="18">
        <v>0</v>
      </c>
      <c r="AP186" s="18">
        <v>0</v>
      </c>
      <c r="AQ186" s="18">
        <v>0</v>
      </c>
      <c r="AR186" s="18">
        <f t="shared" si="30"/>
        <v>7</v>
      </c>
      <c r="AS186" t="s">
        <v>52</v>
      </c>
      <c r="AT186" s="9" t="s">
        <v>734</v>
      </c>
      <c r="AU186" s="30">
        <f t="shared" si="33"/>
        <v>84.737499999999997</v>
      </c>
    </row>
    <row r="187" spans="1:47" s="6" customFormat="1" x14ac:dyDescent="0.25">
      <c r="A187" s="6" t="s">
        <v>46</v>
      </c>
      <c r="B187" s="6" t="s">
        <v>735</v>
      </c>
      <c r="C187" s="6" t="s">
        <v>736</v>
      </c>
      <c r="D187" s="6" t="s">
        <v>737</v>
      </c>
      <c r="E187" s="12"/>
      <c r="F187" s="12">
        <v>66.666666666666657</v>
      </c>
      <c r="G187" s="12"/>
      <c r="H187" s="12">
        <v>1.35</v>
      </c>
      <c r="I187" s="13">
        <f t="shared" si="22"/>
        <v>68.016666666666652</v>
      </c>
      <c r="J187" s="11">
        <v>0</v>
      </c>
      <c r="K187" s="11">
        <v>0</v>
      </c>
      <c r="L187" s="11">
        <v>0</v>
      </c>
      <c r="M187" s="13">
        <f t="shared" si="23"/>
        <v>0</v>
      </c>
      <c r="N187" s="12"/>
      <c r="O187" s="12"/>
      <c r="P187" s="12"/>
      <c r="Q187" s="12"/>
      <c r="R187" s="13">
        <f t="shared" si="24"/>
        <v>0</v>
      </c>
      <c r="U187" s="7">
        <f t="shared" si="25"/>
        <v>0</v>
      </c>
      <c r="Z187" s="13">
        <f t="shared" si="26"/>
        <v>0</v>
      </c>
      <c r="AA187" s="6">
        <v>0</v>
      </c>
      <c r="AB187" s="6">
        <v>0</v>
      </c>
      <c r="AC187" s="6">
        <v>0</v>
      </c>
      <c r="AD187" s="6">
        <v>0</v>
      </c>
      <c r="AE187" s="7">
        <f t="shared" si="27"/>
        <v>0</v>
      </c>
      <c r="AF187" s="6">
        <v>0</v>
      </c>
      <c r="AG187" s="6">
        <v>0</v>
      </c>
      <c r="AH187" s="6">
        <v>0</v>
      </c>
      <c r="AI187" s="13">
        <f t="shared" si="28"/>
        <v>0</v>
      </c>
      <c r="AJ187" s="12" t="s">
        <v>51</v>
      </c>
      <c r="AK187" s="12" t="s">
        <v>51</v>
      </c>
      <c r="AL187" s="12" t="s">
        <v>51</v>
      </c>
      <c r="AM187" s="13">
        <f t="shared" si="29"/>
        <v>0</v>
      </c>
      <c r="AN187" s="21">
        <v>6</v>
      </c>
      <c r="AO187" s="21">
        <v>0</v>
      </c>
      <c r="AP187" s="21">
        <v>0</v>
      </c>
      <c r="AQ187" s="21">
        <v>0</v>
      </c>
      <c r="AR187" s="18">
        <f t="shared" si="30"/>
        <v>6</v>
      </c>
      <c r="AS187" s="6" t="s">
        <v>52</v>
      </c>
      <c r="AT187" s="10" t="s">
        <v>704</v>
      </c>
      <c r="AU187" s="30">
        <f t="shared" si="33"/>
        <v>68.016666666666652</v>
      </c>
    </row>
    <row r="188" spans="1:47" x14ac:dyDescent="0.25">
      <c r="A188" t="s">
        <v>46</v>
      </c>
      <c r="B188" t="s">
        <v>738</v>
      </c>
      <c r="C188" t="s">
        <v>739</v>
      </c>
      <c r="D188" t="s">
        <v>740</v>
      </c>
      <c r="E188" s="11">
        <v>0</v>
      </c>
      <c r="F188" s="11">
        <v>18.100000000000001</v>
      </c>
      <c r="G188" s="11">
        <v>42.214285714285715</v>
      </c>
      <c r="H188" s="11">
        <v>0</v>
      </c>
      <c r="I188" s="13">
        <f t="shared" si="22"/>
        <v>60.314285714285717</v>
      </c>
      <c r="J188" s="11">
        <v>0</v>
      </c>
      <c r="K188" s="11">
        <v>0</v>
      </c>
      <c r="L188" s="11">
        <v>0</v>
      </c>
      <c r="M188" s="13">
        <f t="shared" si="23"/>
        <v>0</v>
      </c>
      <c r="N188" s="11">
        <v>0</v>
      </c>
      <c r="O188" s="11">
        <v>0</v>
      </c>
      <c r="P188" s="11">
        <v>0</v>
      </c>
      <c r="Q188" s="11">
        <v>0</v>
      </c>
      <c r="R188" s="13">
        <f t="shared" si="24"/>
        <v>0</v>
      </c>
      <c r="S188">
        <v>0</v>
      </c>
      <c r="T188">
        <v>0</v>
      </c>
      <c r="U188" s="7">
        <f t="shared" si="25"/>
        <v>0</v>
      </c>
      <c r="V188">
        <v>0</v>
      </c>
      <c r="W188">
        <v>0</v>
      </c>
      <c r="X188">
        <v>0</v>
      </c>
      <c r="Y188">
        <v>0</v>
      </c>
      <c r="Z188" s="13">
        <f t="shared" si="26"/>
        <v>0</v>
      </c>
      <c r="AA188">
        <v>0</v>
      </c>
      <c r="AB188">
        <v>0</v>
      </c>
      <c r="AC188">
        <v>0</v>
      </c>
      <c r="AD188">
        <v>0</v>
      </c>
      <c r="AE188" s="7">
        <f t="shared" si="27"/>
        <v>0</v>
      </c>
      <c r="AF188">
        <v>0</v>
      </c>
      <c r="AG188">
        <v>0</v>
      </c>
      <c r="AH188">
        <v>0</v>
      </c>
      <c r="AI188" s="13">
        <f t="shared" si="28"/>
        <v>0</v>
      </c>
      <c r="AJ188" s="11" t="s">
        <v>51</v>
      </c>
      <c r="AK188" s="11" t="s">
        <v>51</v>
      </c>
      <c r="AL188" s="11" t="s">
        <v>51</v>
      </c>
      <c r="AM188" s="13">
        <f t="shared" si="29"/>
        <v>0</v>
      </c>
      <c r="AN188" s="18">
        <v>4</v>
      </c>
      <c r="AO188" s="18">
        <v>0</v>
      </c>
      <c r="AP188" s="18">
        <v>0</v>
      </c>
      <c r="AQ188" s="18">
        <v>0</v>
      </c>
      <c r="AR188" s="18">
        <f t="shared" si="30"/>
        <v>4</v>
      </c>
      <c r="AS188" t="s">
        <v>52</v>
      </c>
      <c r="AT188" s="9" t="s">
        <v>741</v>
      </c>
      <c r="AU188" s="30">
        <f t="shared" si="33"/>
        <v>60.314285714285717</v>
      </c>
    </row>
    <row r="189" spans="1:47" hidden="1" x14ac:dyDescent="0.25">
      <c r="A189" t="s">
        <v>46</v>
      </c>
      <c r="B189" t="s">
        <v>742</v>
      </c>
      <c r="C189" t="s">
        <v>743</v>
      </c>
      <c r="D189" t="s">
        <v>744</v>
      </c>
      <c r="E189" s="11">
        <v>0</v>
      </c>
      <c r="F189" s="11">
        <v>25</v>
      </c>
      <c r="G189" s="11">
        <v>59.512500000000003</v>
      </c>
      <c r="H189" s="11">
        <v>3.125</v>
      </c>
      <c r="I189" s="13">
        <f t="shared" si="22"/>
        <v>87.637500000000003</v>
      </c>
      <c r="J189" s="11">
        <v>0</v>
      </c>
      <c r="K189" s="11">
        <v>0</v>
      </c>
      <c r="L189" s="11">
        <v>0</v>
      </c>
      <c r="M189" s="13">
        <f t="shared" si="23"/>
        <v>0</v>
      </c>
      <c r="N189" s="11">
        <v>0</v>
      </c>
      <c r="O189" s="11">
        <v>0</v>
      </c>
      <c r="P189" s="11">
        <v>0</v>
      </c>
      <c r="Q189" s="11">
        <v>0</v>
      </c>
      <c r="R189" s="13">
        <f t="shared" si="24"/>
        <v>0</v>
      </c>
      <c r="S189">
        <v>0</v>
      </c>
      <c r="T189">
        <v>0</v>
      </c>
      <c r="U189" s="7">
        <f t="shared" si="25"/>
        <v>0</v>
      </c>
      <c r="V189">
        <v>0</v>
      </c>
      <c r="W189">
        <v>0</v>
      </c>
      <c r="X189">
        <v>0</v>
      </c>
      <c r="Y189">
        <v>0</v>
      </c>
      <c r="Z189" s="13">
        <f t="shared" si="26"/>
        <v>0</v>
      </c>
      <c r="AA189">
        <v>0</v>
      </c>
      <c r="AB189">
        <v>0</v>
      </c>
      <c r="AC189">
        <v>0</v>
      </c>
      <c r="AD189">
        <v>0</v>
      </c>
      <c r="AE189" s="7">
        <f t="shared" si="27"/>
        <v>0</v>
      </c>
      <c r="AF189">
        <v>0</v>
      </c>
      <c r="AG189">
        <v>0</v>
      </c>
      <c r="AH189">
        <v>0</v>
      </c>
      <c r="AI189" s="13">
        <f t="shared" si="28"/>
        <v>0</v>
      </c>
      <c r="AJ189" s="11" t="s">
        <v>51</v>
      </c>
      <c r="AK189" s="11" t="s">
        <v>51</v>
      </c>
      <c r="AL189" s="11" t="s">
        <v>51</v>
      </c>
      <c r="AM189" s="13">
        <f t="shared" si="29"/>
        <v>0</v>
      </c>
      <c r="AN189" s="18">
        <v>40</v>
      </c>
      <c r="AO189" s="18">
        <v>0</v>
      </c>
      <c r="AP189" s="18">
        <v>0</v>
      </c>
      <c r="AQ189" s="18">
        <v>0</v>
      </c>
      <c r="AR189" s="18">
        <f t="shared" si="30"/>
        <v>40</v>
      </c>
      <c r="AS189" t="s">
        <v>52</v>
      </c>
      <c r="AT189" s="9" t="s">
        <v>745</v>
      </c>
      <c r="AU189" s="30">
        <f t="shared" si="33"/>
        <v>87.637500000000003</v>
      </c>
    </row>
    <row r="190" spans="1:47" hidden="1" x14ac:dyDescent="0.25">
      <c r="A190" t="s">
        <v>46</v>
      </c>
      <c r="B190" t="s">
        <v>746</v>
      </c>
      <c r="C190" t="s">
        <v>747</v>
      </c>
      <c r="D190" t="s">
        <v>748</v>
      </c>
      <c r="E190" s="11">
        <v>20</v>
      </c>
      <c r="F190" s="11">
        <v>20</v>
      </c>
      <c r="G190" s="11">
        <v>45.19</v>
      </c>
      <c r="H190" s="11">
        <v>9</v>
      </c>
      <c r="I190" s="13">
        <f t="shared" si="22"/>
        <v>94.19</v>
      </c>
      <c r="J190" s="11">
        <v>0</v>
      </c>
      <c r="K190" s="11">
        <v>0</v>
      </c>
      <c r="L190" s="11">
        <v>0</v>
      </c>
      <c r="M190" s="13">
        <f t="shared" si="23"/>
        <v>0</v>
      </c>
      <c r="N190" s="11">
        <v>0</v>
      </c>
      <c r="O190" s="11">
        <v>0</v>
      </c>
      <c r="P190" s="11">
        <v>0</v>
      </c>
      <c r="Q190" s="11">
        <v>0</v>
      </c>
      <c r="R190" s="13">
        <f t="shared" si="24"/>
        <v>0</v>
      </c>
      <c r="S190">
        <v>0</v>
      </c>
      <c r="T190">
        <v>0</v>
      </c>
      <c r="U190" s="7">
        <f t="shared" si="25"/>
        <v>0</v>
      </c>
      <c r="V190">
        <v>0</v>
      </c>
      <c r="W190">
        <v>0</v>
      </c>
      <c r="X190">
        <v>0</v>
      </c>
      <c r="Y190">
        <v>0</v>
      </c>
      <c r="Z190" s="13">
        <f t="shared" si="26"/>
        <v>0</v>
      </c>
      <c r="AA190">
        <v>15</v>
      </c>
      <c r="AB190">
        <v>50</v>
      </c>
      <c r="AC190">
        <v>10.5</v>
      </c>
      <c r="AD190">
        <v>20</v>
      </c>
      <c r="AE190" s="7">
        <f t="shared" si="27"/>
        <v>95.5</v>
      </c>
      <c r="AF190">
        <v>0</v>
      </c>
      <c r="AG190">
        <v>0</v>
      </c>
      <c r="AH190">
        <v>0</v>
      </c>
      <c r="AI190" s="13">
        <f t="shared" si="28"/>
        <v>0</v>
      </c>
      <c r="AJ190" s="11" t="s">
        <v>51</v>
      </c>
      <c r="AK190" s="11" t="s">
        <v>51</v>
      </c>
      <c r="AL190" s="11" t="s">
        <v>51</v>
      </c>
      <c r="AM190" s="13">
        <f t="shared" si="29"/>
        <v>0</v>
      </c>
      <c r="AN190" s="18">
        <v>27.5</v>
      </c>
      <c r="AO190" s="18">
        <v>12.5</v>
      </c>
      <c r="AP190" s="18">
        <v>0</v>
      </c>
      <c r="AQ190" s="18">
        <v>0</v>
      </c>
      <c r="AR190" s="18">
        <f t="shared" si="30"/>
        <v>40</v>
      </c>
      <c r="AS190" t="s">
        <v>52</v>
      </c>
      <c r="AT190" s="9" t="s">
        <v>749</v>
      </c>
      <c r="AU190" s="30">
        <f t="shared" si="33"/>
        <v>94.599374999999995</v>
      </c>
    </row>
    <row r="191" spans="1:47" s="6" customFormat="1" hidden="1" x14ac:dyDescent="0.25">
      <c r="A191" s="6" t="s">
        <v>46</v>
      </c>
      <c r="B191" s="6" t="s">
        <v>750</v>
      </c>
      <c r="C191" s="6" t="s">
        <v>751</v>
      </c>
      <c r="D191" s="6" t="s">
        <v>752</v>
      </c>
      <c r="E191" s="12">
        <v>0</v>
      </c>
      <c r="F191" s="12">
        <v>0</v>
      </c>
      <c r="G191" s="12">
        <v>0</v>
      </c>
      <c r="H191" s="12">
        <v>0</v>
      </c>
      <c r="I191" s="13">
        <f t="shared" si="22"/>
        <v>0</v>
      </c>
      <c r="J191" s="14">
        <v>64.377777777777766</v>
      </c>
      <c r="K191" s="14">
        <v>33.333333333333329</v>
      </c>
      <c r="L191" s="14">
        <v>0</v>
      </c>
      <c r="M191" s="13">
        <f t="shared" si="23"/>
        <v>97.711111111111094</v>
      </c>
      <c r="N191" s="12">
        <v>0</v>
      </c>
      <c r="O191" s="12">
        <v>0</v>
      </c>
      <c r="P191" s="12">
        <v>0</v>
      </c>
      <c r="Q191" s="12">
        <v>0</v>
      </c>
      <c r="R191" s="13">
        <f t="shared" si="24"/>
        <v>0</v>
      </c>
      <c r="S191" s="6">
        <v>0</v>
      </c>
      <c r="T191" s="6">
        <v>0</v>
      </c>
      <c r="U191" s="7">
        <f t="shared" si="25"/>
        <v>0</v>
      </c>
      <c r="V191" s="6">
        <v>0</v>
      </c>
      <c r="W191" s="6">
        <v>0</v>
      </c>
      <c r="X191" s="6">
        <v>0</v>
      </c>
      <c r="Y191" s="6">
        <v>0</v>
      </c>
      <c r="Z191" s="13">
        <f t="shared" si="26"/>
        <v>0</v>
      </c>
      <c r="AA191" s="6">
        <v>0</v>
      </c>
      <c r="AB191" s="6">
        <v>0</v>
      </c>
      <c r="AC191" s="6">
        <v>0</v>
      </c>
      <c r="AD191" s="6">
        <v>0</v>
      </c>
      <c r="AE191" s="7">
        <f t="shared" si="27"/>
        <v>0</v>
      </c>
      <c r="AF191" s="6">
        <v>0</v>
      </c>
      <c r="AG191" s="6">
        <v>0</v>
      </c>
      <c r="AH191" s="6">
        <v>0</v>
      </c>
      <c r="AI191" s="13">
        <f t="shared" si="28"/>
        <v>0</v>
      </c>
      <c r="AJ191" s="12" t="s">
        <v>51</v>
      </c>
      <c r="AK191" s="12" t="s">
        <v>51</v>
      </c>
      <c r="AL191" s="12" t="s">
        <v>51</v>
      </c>
      <c r="AM191" s="13">
        <f t="shared" si="29"/>
        <v>0</v>
      </c>
      <c r="AN191" s="21">
        <v>2.125</v>
      </c>
      <c r="AO191" s="21">
        <v>0</v>
      </c>
      <c r="AP191" s="21">
        <v>0</v>
      </c>
      <c r="AQ191" s="21">
        <v>0</v>
      </c>
      <c r="AR191" s="18">
        <f t="shared" si="30"/>
        <v>2.125</v>
      </c>
      <c r="AS191" s="6" t="s">
        <v>87</v>
      </c>
      <c r="AT191" s="10" t="s">
        <v>343</v>
      </c>
      <c r="AU191" s="30">
        <f>+((AN191*M191)/AR191)</f>
        <v>97.711111111111094</v>
      </c>
    </row>
    <row r="192" spans="1:47" hidden="1" x14ac:dyDescent="0.25">
      <c r="A192" t="s">
        <v>46</v>
      </c>
      <c r="B192" t="s">
        <v>753</v>
      </c>
      <c r="C192" t="s">
        <v>754</v>
      </c>
      <c r="D192" t="s">
        <v>755</v>
      </c>
      <c r="E192" s="11">
        <v>20</v>
      </c>
      <c r="F192" s="11">
        <v>16.670000000000002</v>
      </c>
      <c r="G192" s="11">
        <v>43.72</v>
      </c>
      <c r="H192" s="11">
        <v>3.5</v>
      </c>
      <c r="I192" s="13">
        <f t="shared" si="22"/>
        <v>83.89</v>
      </c>
      <c r="J192" s="11">
        <v>0</v>
      </c>
      <c r="K192" s="11">
        <v>0</v>
      </c>
      <c r="L192" s="11">
        <v>0</v>
      </c>
      <c r="M192" s="13">
        <f t="shared" si="23"/>
        <v>0</v>
      </c>
      <c r="N192" s="11">
        <v>0</v>
      </c>
      <c r="O192" s="11">
        <v>0</v>
      </c>
      <c r="P192" s="11">
        <v>0</v>
      </c>
      <c r="Q192" s="11">
        <v>0</v>
      </c>
      <c r="R192" s="13">
        <f t="shared" si="24"/>
        <v>0</v>
      </c>
      <c r="S192">
        <v>0</v>
      </c>
      <c r="T192">
        <v>0</v>
      </c>
      <c r="U192" s="7">
        <f t="shared" si="25"/>
        <v>0</v>
      </c>
      <c r="V192">
        <v>0</v>
      </c>
      <c r="W192">
        <v>0</v>
      </c>
      <c r="X192">
        <v>0</v>
      </c>
      <c r="Y192">
        <v>0</v>
      </c>
      <c r="Z192" s="13">
        <f t="shared" si="26"/>
        <v>0</v>
      </c>
      <c r="AA192">
        <v>0</v>
      </c>
      <c r="AB192">
        <v>0</v>
      </c>
      <c r="AC192">
        <v>0</v>
      </c>
      <c r="AD192">
        <v>0</v>
      </c>
      <c r="AE192" s="7">
        <f t="shared" si="27"/>
        <v>0</v>
      </c>
      <c r="AF192">
        <v>0</v>
      </c>
      <c r="AG192">
        <v>0</v>
      </c>
      <c r="AH192">
        <v>0</v>
      </c>
      <c r="AI192" s="13">
        <f t="shared" si="28"/>
        <v>0</v>
      </c>
      <c r="AJ192" s="11" t="s">
        <v>51</v>
      </c>
      <c r="AK192" s="11" t="s">
        <v>51</v>
      </c>
      <c r="AL192" s="11" t="s">
        <v>51</v>
      </c>
      <c r="AM192" s="13">
        <f t="shared" si="29"/>
        <v>0</v>
      </c>
      <c r="AN192" s="18">
        <v>40</v>
      </c>
      <c r="AO192" s="18">
        <v>0</v>
      </c>
      <c r="AP192" s="18">
        <v>0</v>
      </c>
      <c r="AQ192" s="18">
        <v>0</v>
      </c>
      <c r="AR192" s="18">
        <f t="shared" si="30"/>
        <v>40</v>
      </c>
      <c r="AS192" t="s">
        <v>52</v>
      </c>
      <c r="AT192" s="9" t="s">
        <v>756</v>
      </c>
      <c r="AU192" s="30">
        <f>+((AN192*I192)+(AO192*AE192)+(AQ192*AI192)+(AP192*AM192))/AR192</f>
        <v>83.89</v>
      </c>
    </row>
    <row r="193" spans="1:47" hidden="1" x14ac:dyDescent="0.25">
      <c r="A193" t="s">
        <v>46</v>
      </c>
      <c r="B193" t="s">
        <v>757</v>
      </c>
      <c r="C193" t="s">
        <v>758</v>
      </c>
      <c r="D193" t="s">
        <v>759</v>
      </c>
      <c r="E193" s="11">
        <v>18</v>
      </c>
      <c r="F193" s="11">
        <v>20</v>
      </c>
      <c r="G193" s="11">
        <v>45</v>
      </c>
      <c r="H193" s="11">
        <v>4.5</v>
      </c>
      <c r="I193" s="13">
        <f t="shared" si="22"/>
        <v>87.5</v>
      </c>
      <c r="J193" s="11">
        <v>0</v>
      </c>
      <c r="K193" s="11">
        <v>0</v>
      </c>
      <c r="L193" s="11">
        <v>0</v>
      </c>
      <c r="M193" s="13">
        <f t="shared" si="23"/>
        <v>0</v>
      </c>
      <c r="N193" s="11">
        <v>0</v>
      </c>
      <c r="O193" s="11">
        <v>0</v>
      </c>
      <c r="P193" s="11">
        <v>0</v>
      </c>
      <c r="Q193" s="11">
        <v>0</v>
      </c>
      <c r="R193" s="13">
        <f t="shared" si="24"/>
        <v>0</v>
      </c>
      <c r="S193">
        <v>0</v>
      </c>
      <c r="T193">
        <v>0</v>
      </c>
      <c r="U193" s="7">
        <f t="shared" si="25"/>
        <v>0</v>
      </c>
      <c r="V193">
        <v>0</v>
      </c>
      <c r="W193">
        <v>0</v>
      </c>
      <c r="X193">
        <v>0</v>
      </c>
      <c r="Y193">
        <v>0</v>
      </c>
      <c r="Z193" s="13">
        <f t="shared" si="26"/>
        <v>0</v>
      </c>
      <c r="AA193">
        <v>0</v>
      </c>
      <c r="AB193">
        <v>0</v>
      </c>
      <c r="AC193">
        <v>0</v>
      </c>
      <c r="AD193">
        <v>0</v>
      </c>
      <c r="AE193" s="7">
        <f t="shared" si="27"/>
        <v>0</v>
      </c>
      <c r="AF193">
        <v>0</v>
      </c>
      <c r="AG193">
        <v>0</v>
      </c>
      <c r="AH193">
        <v>0</v>
      </c>
      <c r="AI193" s="13">
        <f t="shared" si="28"/>
        <v>0</v>
      </c>
      <c r="AJ193" s="11" t="s">
        <v>51</v>
      </c>
      <c r="AK193" s="11" t="s">
        <v>51</v>
      </c>
      <c r="AL193" s="11" t="s">
        <v>51</v>
      </c>
      <c r="AM193" s="13">
        <f t="shared" si="29"/>
        <v>0</v>
      </c>
      <c r="AN193" s="18">
        <v>40</v>
      </c>
      <c r="AO193" s="18">
        <v>0</v>
      </c>
      <c r="AP193" s="18">
        <v>0</v>
      </c>
      <c r="AQ193" s="18">
        <v>0</v>
      </c>
      <c r="AR193" s="18">
        <f t="shared" si="30"/>
        <v>40</v>
      </c>
      <c r="AS193" t="s">
        <v>52</v>
      </c>
      <c r="AT193" s="9" t="s">
        <v>760</v>
      </c>
      <c r="AU193" s="30">
        <f>+((AN193*I193)+(AO193*AE193)+(AQ193*AI193)+(AP193*AM193))/AR193</f>
        <v>87.5</v>
      </c>
    </row>
    <row r="194" spans="1:47" s="6" customFormat="1" hidden="1" x14ac:dyDescent="0.25">
      <c r="A194" s="6" t="s">
        <v>46</v>
      </c>
      <c r="B194" s="6" t="s">
        <v>761</v>
      </c>
      <c r="C194" s="6" t="s">
        <v>762</v>
      </c>
      <c r="D194" s="6" t="s">
        <v>763</v>
      </c>
      <c r="E194" s="12">
        <v>20</v>
      </c>
      <c r="F194" s="12">
        <v>20</v>
      </c>
      <c r="G194" s="12">
        <v>39.42</v>
      </c>
      <c r="H194" s="12">
        <v>3</v>
      </c>
      <c r="I194" s="13">
        <f t="shared" si="22"/>
        <v>82.42</v>
      </c>
      <c r="J194" s="14">
        <v>0</v>
      </c>
      <c r="K194" s="14">
        <v>0</v>
      </c>
      <c r="L194" s="14">
        <v>0</v>
      </c>
      <c r="M194" s="13">
        <f t="shared" si="23"/>
        <v>0</v>
      </c>
      <c r="N194" s="12">
        <v>0</v>
      </c>
      <c r="O194" s="12">
        <v>0</v>
      </c>
      <c r="P194" s="12">
        <v>0</v>
      </c>
      <c r="Q194" s="12">
        <v>0</v>
      </c>
      <c r="R194" s="13">
        <f t="shared" si="24"/>
        <v>0</v>
      </c>
      <c r="S194" s="6">
        <v>0</v>
      </c>
      <c r="T194" s="6">
        <v>0</v>
      </c>
      <c r="U194" s="7">
        <f t="shared" si="25"/>
        <v>0</v>
      </c>
      <c r="V194" s="6">
        <v>0</v>
      </c>
      <c r="W194" s="6">
        <v>0</v>
      </c>
      <c r="X194" s="6">
        <v>0</v>
      </c>
      <c r="Y194" s="6">
        <v>0</v>
      </c>
      <c r="Z194" s="13">
        <f t="shared" si="26"/>
        <v>0</v>
      </c>
      <c r="AA194" s="6">
        <v>0</v>
      </c>
      <c r="AB194" s="6">
        <v>50</v>
      </c>
      <c r="AC194" s="6">
        <v>15</v>
      </c>
      <c r="AD194" s="6">
        <v>13.75</v>
      </c>
      <c r="AE194" s="7">
        <f t="shared" si="27"/>
        <v>78.75</v>
      </c>
      <c r="AF194" s="6">
        <v>0</v>
      </c>
      <c r="AG194" s="6">
        <v>0</v>
      </c>
      <c r="AH194" s="6">
        <v>0</v>
      </c>
      <c r="AI194" s="13">
        <f t="shared" si="28"/>
        <v>0</v>
      </c>
      <c r="AJ194" s="12" t="s">
        <v>51</v>
      </c>
      <c r="AK194" s="12" t="s">
        <v>51</v>
      </c>
      <c r="AL194" s="12" t="s">
        <v>51</v>
      </c>
      <c r="AM194" s="13">
        <f t="shared" si="29"/>
        <v>0</v>
      </c>
      <c r="AN194" s="21">
        <v>35</v>
      </c>
      <c r="AO194" s="21">
        <v>5</v>
      </c>
      <c r="AP194" s="21">
        <v>0</v>
      </c>
      <c r="AQ194" s="21">
        <v>0</v>
      </c>
      <c r="AR194" s="18">
        <f t="shared" si="30"/>
        <v>40</v>
      </c>
      <c r="AS194" s="6" t="s">
        <v>52</v>
      </c>
      <c r="AT194" s="10" t="s">
        <v>764</v>
      </c>
      <c r="AU194" s="30">
        <f>+((AN194*I194)+(AO194*AE194)+(AQ194*AI194)+(AP194*AM194))/AR194</f>
        <v>81.961250000000007</v>
      </c>
    </row>
    <row r="195" spans="1:47" x14ac:dyDescent="0.25">
      <c r="A195" t="s">
        <v>46</v>
      </c>
      <c r="B195" s="32" t="s">
        <v>765</v>
      </c>
      <c r="C195" s="32" t="s">
        <v>766</v>
      </c>
      <c r="D195" s="32" t="s">
        <v>767</v>
      </c>
      <c r="E195" s="11">
        <v>0</v>
      </c>
      <c r="F195" s="11">
        <v>0</v>
      </c>
      <c r="G195" s="11">
        <v>0</v>
      </c>
      <c r="H195" s="11">
        <v>0</v>
      </c>
      <c r="I195" s="13">
        <f t="shared" si="22"/>
        <v>0</v>
      </c>
      <c r="J195" s="11">
        <v>0</v>
      </c>
      <c r="K195" s="11">
        <v>0</v>
      </c>
      <c r="L195" s="11">
        <v>0</v>
      </c>
      <c r="M195" s="13">
        <f t="shared" si="23"/>
        <v>0</v>
      </c>
      <c r="N195" s="11">
        <v>40.777777777777786</v>
      </c>
      <c r="O195" s="11">
        <v>2.7777777777777777</v>
      </c>
      <c r="P195" s="11">
        <v>0</v>
      </c>
      <c r="Q195" s="11">
        <v>22.222222222222221</v>
      </c>
      <c r="R195" s="13">
        <f t="shared" si="24"/>
        <v>65.777777777777786</v>
      </c>
      <c r="S195">
        <v>0</v>
      </c>
      <c r="T195">
        <v>0</v>
      </c>
      <c r="U195" s="7">
        <f t="shared" si="25"/>
        <v>0</v>
      </c>
      <c r="V195">
        <v>0</v>
      </c>
      <c r="W195">
        <v>0</v>
      </c>
      <c r="X195">
        <v>0</v>
      </c>
      <c r="Y195">
        <v>0</v>
      </c>
      <c r="Z195" s="13">
        <f t="shared" si="26"/>
        <v>0</v>
      </c>
      <c r="AA195">
        <v>0</v>
      </c>
      <c r="AB195">
        <v>0</v>
      </c>
      <c r="AC195">
        <v>0</v>
      </c>
      <c r="AD195">
        <v>0</v>
      </c>
      <c r="AE195" s="7">
        <f t="shared" si="27"/>
        <v>0</v>
      </c>
      <c r="AF195">
        <v>0</v>
      </c>
      <c r="AG195">
        <v>0</v>
      </c>
      <c r="AH195">
        <v>0</v>
      </c>
      <c r="AI195" s="13">
        <f t="shared" si="28"/>
        <v>0</v>
      </c>
      <c r="AJ195" s="11" t="s">
        <v>51</v>
      </c>
      <c r="AK195" s="11" t="s">
        <v>51</v>
      </c>
      <c r="AL195" s="11" t="s">
        <v>51</v>
      </c>
      <c r="AM195" s="13">
        <f t="shared" si="29"/>
        <v>0</v>
      </c>
      <c r="AN195" s="18">
        <v>3</v>
      </c>
      <c r="AO195" s="18">
        <v>0</v>
      </c>
      <c r="AP195" s="18">
        <v>0</v>
      </c>
      <c r="AQ195" s="18">
        <v>0</v>
      </c>
      <c r="AR195" s="18">
        <f t="shared" si="30"/>
        <v>3</v>
      </c>
      <c r="AS195" t="s">
        <v>117</v>
      </c>
      <c r="AT195" s="9" t="s">
        <v>768</v>
      </c>
      <c r="AU195" s="11">
        <f>+((AN195*R195)+(AQ195*AI195)+(AP195*AM195))/AR195</f>
        <v>65.777777777777786</v>
      </c>
    </row>
    <row r="196" spans="1:47" hidden="1" x14ac:dyDescent="0.25">
      <c r="A196" t="s">
        <v>46</v>
      </c>
      <c r="B196" t="s">
        <v>769</v>
      </c>
      <c r="C196" t="s">
        <v>770</v>
      </c>
      <c r="D196" t="s">
        <v>771</v>
      </c>
      <c r="E196" s="11">
        <v>20</v>
      </c>
      <c r="F196" s="11">
        <v>20</v>
      </c>
      <c r="G196" s="11">
        <v>35.51</v>
      </c>
      <c r="H196" s="11">
        <v>4.5</v>
      </c>
      <c r="I196" s="13">
        <f t="shared" si="22"/>
        <v>80.009999999999991</v>
      </c>
      <c r="J196" s="11">
        <v>0</v>
      </c>
      <c r="K196" s="11">
        <v>0</v>
      </c>
      <c r="L196" s="11">
        <v>0</v>
      </c>
      <c r="M196" s="13">
        <f t="shared" si="23"/>
        <v>0</v>
      </c>
      <c r="N196" s="11">
        <v>0</v>
      </c>
      <c r="O196" s="11">
        <v>0</v>
      </c>
      <c r="P196" s="11">
        <v>0</v>
      </c>
      <c r="Q196" s="11">
        <v>0</v>
      </c>
      <c r="R196" s="13">
        <f t="shared" si="24"/>
        <v>0</v>
      </c>
      <c r="S196">
        <v>0</v>
      </c>
      <c r="T196">
        <v>0</v>
      </c>
      <c r="U196" s="7">
        <f t="shared" si="25"/>
        <v>0</v>
      </c>
      <c r="V196">
        <v>0</v>
      </c>
      <c r="W196">
        <v>0</v>
      </c>
      <c r="X196">
        <v>0</v>
      </c>
      <c r="Y196">
        <v>0</v>
      </c>
      <c r="Z196" s="13">
        <f t="shared" si="26"/>
        <v>0</v>
      </c>
      <c r="AA196">
        <v>0</v>
      </c>
      <c r="AB196">
        <v>0</v>
      </c>
      <c r="AC196">
        <v>0</v>
      </c>
      <c r="AD196">
        <v>0</v>
      </c>
      <c r="AE196" s="7">
        <f t="shared" si="27"/>
        <v>0</v>
      </c>
      <c r="AF196">
        <v>0</v>
      </c>
      <c r="AG196">
        <v>0</v>
      </c>
      <c r="AH196">
        <v>0</v>
      </c>
      <c r="AI196" s="13">
        <f t="shared" si="28"/>
        <v>0</v>
      </c>
      <c r="AJ196" s="11" t="s">
        <v>51</v>
      </c>
      <c r="AK196" s="11" t="s">
        <v>51</v>
      </c>
      <c r="AL196" s="11" t="s">
        <v>51</v>
      </c>
      <c r="AM196" s="13">
        <f t="shared" si="29"/>
        <v>0</v>
      </c>
      <c r="AN196" s="18">
        <v>40</v>
      </c>
      <c r="AO196" s="18">
        <v>0</v>
      </c>
      <c r="AP196" s="18">
        <v>0</v>
      </c>
      <c r="AQ196" s="18">
        <v>0</v>
      </c>
      <c r="AR196" s="18">
        <f t="shared" si="30"/>
        <v>40</v>
      </c>
      <c r="AS196" t="s">
        <v>52</v>
      </c>
      <c r="AT196" s="9" t="s">
        <v>772</v>
      </c>
      <c r="AU196" s="30">
        <f>+((AN196*I196)+(AO196*AE196)+(AQ196*AI196)+(AP196*AM196))/AR196</f>
        <v>80.009999999999991</v>
      </c>
    </row>
    <row r="197" spans="1:47" hidden="1" x14ac:dyDescent="0.25">
      <c r="A197" t="s">
        <v>46</v>
      </c>
      <c r="B197" t="s">
        <v>773</v>
      </c>
      <c r="C197" t="s">
        <v>774</v>
      </c>
      <c r="D197" t="s">
        <v>775</v>
      </c>
      <c r="E197" s="11">
        <v>20</v>
      </c>
      <c r="F197" s="11">
        <v>20</v>
      </c>
      <c r="G197" s="11">
        <v>38.020000000000003</v>
      </c>
      <c r="H197" s="11">
        <v>4.5</v>
      </c>
      <c r="I197" s="13">
        <f t="shared" si="22"/>
        <v>82.52000000000001</v>
      </c>
      <c r="J197" s="11">
        <v>0</v>
      </c>
      <c r="K197" s="11">
        <v>0</v>
      </c>
      <c r="L197" s="11">
        <v>0</v>
      </c>
      <c r="M197" s="13">
        <f t="shared" si="23"/>
        <v>0</v>
      </c>
      <c r="N197" s="11">
        <v>0</v>
      </c>
      <c r="O197" s="11">
        <v>0</v>
      </c>
      <c r="P197" s="11">
        <v>0</v>
      </c>
      <c r="Q197" s="11">
        <v>0</v>
      </c>
      <c r="R197" s="13">
        <f t="shared" si="24"/>
        <v>0</v>
      </c>
      <c r="S197">
        <v>0</v>
      </c>
      <c r="T197">
        <v>0</v>
      </c>
      <c r="U197" s="7">
        <f t="shared" si="25"/>
        <v>0</v>
      </c>
      <c r="V197">
        <v>0</v>
      </c>
      <c r="W197">
        <v>0</v>
      </c>
      <c r="X197">
        <v>0</v>
      </c>
      <c r="Y197">
        <v>0</v>
      </c>
      <c r="Z197" s="13">
        <f t="shared" si="26"/>
        <v>0</v>
      </c>
      <c r="AA197">
        <v>0</v>
      </c>
      <c r="AB197">
        <v>0</v>
      </c>
      <c r="AC197">
        <v>0</v>
      </c>
      <c r="AD197">
        <v>0</v>
      </c>
      <c r="AE197" s="7">
        <f t="shared" si="27"/>
        <v>0</v>
      </c>
      <c r="AF197">
        <v>0</v>
      </c>
      <c r="AG197">
        <v>0</v>
      </c>
      <c r="AH197">
        <v>0</v>
      </c>
      <c r="AI197" s="13">
        <f t="shared" si="28"/>
        <v>0</v>
      </c>
      <c r="AJ197" s="11" t="s">
        <v>51</v>
      </c>
      <c r="AK197" s="11" t="s">
        <v>51</v>
      </c>
      <c r="AL197" s="11" t="s">
        <v>51</v>
      </c>
      <c r="AM197" s="13">
        <f t="shared" si="29"/>
        <v>0</v>
      </c>
      <c r="AN197" s="18">
        <v>40</v>
      </c>
      <c r="AO197" s="18">
        <v>0</v>
      </c>
      <c r="AP197" s="18">
        <v>0</v>
      </c>
      <c r="AQ197" s="18">
        <v>0</v>
      </c>
      <c r="AR197" s="18">
        <f t="shared" si="30"/>
        <v>40</v>
      </c>
      <c r="AS197" t="s">
        <v>52</v>
      </c>
      <c r="AT197" s="9" t="s">
        <v>776</v>
      </c>
      <c r="AU197" s="30">
        <f>+((AN197*I197)+(AO197*AE197)+(AQ197*AI197)+(AP197*AM197))/AR197</f>
        <v>82.52000000000001</v>
      </c>
    </row>
    <row r="198" spans="1:47" hidden="1" x14ac:dyDescent="0.25">
      <c r="A198" t="s">
        <v>46</v>
      </c>
      <c r="B198" t="s">
        <v>777</v>
      </c>
      <c r="C198" t="s">
        <v>778</v>
      </c>
      <c r="D198" t="s">
        <v>779</v>
      </c>
      <c r="E198" s="11">
        <v>20</v>
      </c>
      <c r="F198" s="11">
        <v>18.670000000000002</v>
      </c>
      <c r="G198" s="11">
        <v>41.77</v>
      </c>
      <c r="H198" s="11">
        <v>6.5</v>
      </c>
      <c r="I198" s="13">
        <f t="shared" ref="I198:I237" si="34">+SUM(E198:H198)</f>
        <v>86.94</v>
      </c>
      <c r="J198" s="11">
        <v>0</v>
      </c>
      <c r="K198" s="11">
        <v>0</v>
      </c>
      <c r="L198" s="11">
        <v>0</v>
      </c>
      <c r="M198" s="13">
        <f t="shared" ref="M198:M237" si="35">+SUM(J198:L198)</f>
        <v>0</v>
      </c>
      <c r="N198" s="11">
        <v>0</v>
      </c>
      <c r="O198" s="11">
        <v>0</v>
      </c>
      <c r="P198" s="11">
        <v>0</v>
      </c>
      <c r="Q198" s="11">
        <v>0</v>
      </c>
      <c r="R198" s="13">
        <f t="shared" ref="R198:R237" si="36">+SUM(N198:Q198)</f>
        <v>0</v>
      </c>
      <c r="S198">
        <v>0</v>
      </c>
      <c r="T198">
        <v>0</v>
      </c>
      <c r="U198" s="7">
        <f t="shared" ref="U198:U237" si="37">+SUM(S198:T198)</f>
        <v>0</v>
      </c>
      <c r="V198">
        <v>0</v>
      </c>
      <c r="W198">
        <v>0</v>
      </c>
      <c r="X198">
        <v>0</v>
      </c>
      <c r="Y198">
        <v>0</v>
      </c>
      <c r="Z198" s="13">
        <f t="shared" ref="Z198:Z237" si="38">+SUM(V198:Y198)</f>
        <v>0</v>
      </c>
      <c r="AA198">
        <v>7.5</v>
      </c>
      <c r="AB198">
        <v>21.25</v>
      </c>
      <c r="AC198">
        <v>8.25</v>
      </c>
      <c r="AD198">
        <v>18.75</v>
      </c>
      <c r="AE198" s="7">
        <f t="shared" ref="AE198:AE237" si="39">+SUM(AA198:AD198)</f>
        <v>55.75</v>
      </c>
      <c r="AF198">
        <v>0</v>
      </c>
      <c r="AG198">
        <v>0</v>
      </c>
      <c r="AH198">
        <v>0</v>
      </c>
      <c r="AI198" s="13">
        <f t="shared" ref="AI198:AI237" si="40">+SUM(AF198:AH198)</f>
        <v>0</v>
      </c>
      <c r="AJ198" s="11" t="s">
        <v>51</v>
      </c>
      <c r="AK198" s="11" t="s">
        <v>51</v>
      </c>
      <c r="AL198" s="11" t="s">
        <v>51</v>
      </c>
      <c r="AM198" s="13">
        <f t="shared" ref="AM198:AM237" si="41">+SUM(AJ198:AL198)</f>
        <v>0</v>
      </c>
      <c r="AN198" s="18">
        <v>35</v>
      </c>
      <c r="AO198" s="18">
        <v>5</v>
      </c>
      <c r="AP198" s="18">
        <v>0</v>
      </c>
      <c r="AQ198" s="18">
        <v>0</v>
      </c>
      <c r="AR198" s="18">
        <f t="shared" ref="AR198:AR237" si="42">+SUM(AN198:AQ198)</f>
        <v>40</v>
      </c>
      <c r="AS198" t="s">
        <v>52</v>
      </c>
      <c r="AT198" s="9" t="s">
        <v>780</v>
      </c>
      <c r="AU198" s="30">
        <f>+((AN198*I198)+(AO198*AE198)+(AQ198*AI198)+(AP198*AM198))/AR198</f>
        <v>83.041250000000005</v>
      </c>
    </row>
    <row r="199" spans="1:47" hidden="1" x14ac:dyDescent="0.25">
      <c r="A199" t="s">
        <v>46</v>
      </c>
      <c r="B199" t="s">
        <v>781</v>
      </c>
      <c r="C199" t="s">
        <v>782</v>
      </c>
      <c r="D199" t="s">
        <v>783</v>
      </c>
      <c r="E199" s="11">
        <v>0</v>
      </c>
      <c r="F199" s="11">
        <v>0</v>
      </c>
      <c r="G199" s="11">
        <v>0</v>
      </c>
      <c r="H199" s="11">
        <v>0</v>
      </c>
      <c r="I199" s="13">
        <f t="shared" si="34"/>
        <v>0</v>
      </c>
      <c r="J199" s="11">
        <v>0</v>
      </c>
      <c r="K199" s="11">
        <v>0</v>
      </c>
      <c r="L199" s="11">
        <v>0</v>
      </c>
      <c r="M199" s="13">
        <f t="shared" si="35"/>
        <v>0</v>
      </c>
      <c r="N199" s="11">
        <v>0</v>
      </c>
      <c r="O199" s="11">
        <v>0</v>
      </c>
      <c r="P199" s="11">
        <v>0</v>
      </c>
      <c r="Q199" s="11">
        <v>0</v>
      </c>
      <c r="R199" s="13">
        <f t="shared" si="36"/>
        <v>0</v>
      </c>
      <c r="S199">
        <v>0</v>
      </c>
      <c r="T199">
        <v>0</v>
      </c>
      <c r="U199" s="7">
        <f t="shared" si="37"/>
        <v>0</v>
      </c>
      <c r="V199">
        <v>3.5</v>
      </c>
      <c r="W199">
        <v>20</v>
      </c>
      <c r="X199">
        <v>42.38</v>
      </c>
      <c r="Y199">
        <v>20</v>
      </c>
      <c r="Z199" s="13">
        <f t="shared" si="38"/>
        <v>85.88</v>
      </c>
      <c r="AA199">
        <v>15</v>
      </c>
      <c r="AB199">
        <v>50</v>
      </c>
      <c r="AC199">
        <v>15</v>
      </c>
      <c r="AD199">
        <v>17.5</v>
      </c>
      <c r="AE199" s="7">
        <f t="shared" si="39"/>
        <v>97.5</v>
      </c>
      <c r="AF199">
        <v>0</v>
      </c>
      <c r="AG199">
        <v>0</v>
      </c>
      <c r="AH199">
        <v>0</v>
      </c>
      <c r="AI199" s="13">
        <f t="shared" si="40"/>
        <v>0</v>
      </c>
      <c r="AJ199" s="11" t="s">
        <v>51</v>
      </c>
      <c r="AK199" s="11" t="s">
        <v>51</v>
      </c>
      <c r="AL199" s="11" t="s">
        <v>51</v>
      </c>
      <c r="AM199" s="13">
        <f t="shared" si="41"/>
        <v>0</v>
      </c>
      <c r="AN199" s="18">
        <v>26.25</v>
      </c>
      <c r="AO199" s="18">
        <v>13.75</v>
      </c>
      <c r="AP199" s="18">
        <v>0</v>
      </c>
      <c r="AQ199" s="18">
        <v>0</v>
      </c>
      <c r="AR199" s="18">
        <f t="shared" si="42"/>
        <v>40</v>
      </c>
      <c r="AS199" t="s">
        <v>52</v>
      </c>
      <c r="AT199" s="9" t="s">
        <v>784</v>
      </c>
      <c r="AU199" s="36">
        <f>+((AN199*Z199)+(AO199*AE199)+(AQ199*AI199)+(AP199*AM199))/AR199</f>
        <v>89.874375000000001</v>
      </c>
    </row>
    <row r="200" spans="1:47" hidden="1" x14ac:dyDescent="0.25">
      <c r="A200" t="s">
        <v>46</v>
      </c>
      <c r="B200" s="32" t="s">
        <v>785</v>
      </c>
      <c r="C200" s="32" t="s">
        <v>786</v>
      </c>
      <c r="D200" s="32" t="s">
        <v>787</v>
      </c>
      <c r="E200" s="11">
        <v>0</v>
      </c>
      <c r="F200" s="11">
        <v>0</v>
      </c>
      <c r="G200" s="11">
        <v>0</v>
      </c>
      <c r="H200" s="11">
        <v>0</v>
      </c>
      <c r="I200" s="13">
        <f t="shared" si="34"/>
        <v>0</v>
      </c>
      <c r="J200" s="11">
        <v>0</v>
      </c>
      <c r="K200" s="11">
        <v>0</v>
      </c>
      <c r="L200" s="11">
        <v>0</v>
      </c>
      <c r="M200" s="13">
        <f t="shared" si="35"/>
        <v>0</v>
      </c>
      <c r="N200" s="11">
        <v>57.475000000000001</v>
      </c>
      <c r="O200" s="11">
        <v>3.75</v>
      </c>
      <c r="P200" s="11">
        <v>0</v>
      </c>
      <c r="Q200" s="11">
        <v>23.337499999999999</v>
      </c>
      <c r="R200" s="13">
        <f t="shared" si="36"/>
        <v>84.5625</v>
      </c>
      <c r="S200">
        <v>0</v>
      </c>
      <c r="T200">
        <v>0</v>
      </c>
      <c r="U200" s="7">
        <f t="shared" si="37"/>
        <v>0</v>
      </c>
      <c r="V200">
        <v>0</v>
      </c>
      <c r="W200">
        <v>0</v>
      </c>
      <c r="X200">
        <v>0</v>
      </c>
      <c r="Y200">
        <v>0</v>
      </c>
      <c r="Z200" s="13">
        <f t="shared" si="38"/>
        <v>0</v>
      </c>
      <c r="AA200">
        <v>0</v>
      </c>
      <c r="AB200">
        <v>0</v>
      </c>
      <c r="AC200">
        <v>0</v>
      </c>
      <c r="AD200">
        <v>0</v>
      </c>
      <c r="AE200" s="7">
        <f t="shared" si="39"/>
        <v>0</v>
      </c>
      <c r="AF200">
        <v>0</v>
      </c>
      <c r="AG200">
        <v>0</v>
      </c>
      <c r="AH200">
        <v>0</v>
      </c>
      <c r="AI200" s="13">
        <f t="shared" si="40"/>
        <v>0</v>
      </c>
      <c r="AJ200" s="11" t="s">
        <v>51</v>
      </c>
      <c r="AK200" s="11" t="s">
        <v>51</v>
      </c>
      <c r="AL200" s="11" t="s">
        <v>51</v>
      </c>
      <c r="AM200" s="13">
        <f t="shared" si="41"/>
        <v>0</v>
      </c>
      <c r="AN200" s="18">
        <v>10</v>
      </c>
      <c r="AO200" s="18">
        <v>0</v>
      </c>
      <c r="AP200" s="18">
        <v>0</v>
      </c>
      <c r="AQ200" s="18">
        <v>0</v>
      </c>
      <c r="AR200" s="18">
        <f t="shared" si="42"/>
        <v>10</v>
      </c>
      <c r="AS200" t="s">
        <v>117</v>
      </c>
      <c r="AT200" s="9" t="s">
        <v>788</v>
      </c>
      <c r="AU200" s="11">
        <f>+((AN200*R200)+(AQ200*AI200)+(AP200*AM200))/AR200</f>
        <v>84.5625</v>
      </c>
    </row>
    <row r="201" spans="1:47" hidden="1" x14ac:dyDescent="0.25">
      <c r="A201" t="s">
        <v>46</v>
      </c>
      <c r="B201" t="s">
        <v>789</v>
      </c>
      <c r="C201" t="s">
        <v>790</v>
      </c>
      <c r="D201" t="s">
        <v>791</v>
      </c>
      <c r="E201" s="11">
        <v>25</v>
      </c>
      <c r="F201" s="11">
        <v>0</v>
      </c>
      <c r="G201" s="11">
        <v>54.6875</v>
      </c>
      <c r="H201" s="11">
        <v>7.5</v>
      </c>
      <c r="I201" s="13">
        <f t="shared" si="34"/>
        <v>87.1875</v>
      </c>
      <c r="J201" s="11">
        <v>0</v>
      </c>
      <c r="K201" s="11">
        <v>0</v>
      </c>
      <c r="L201" s="11">
        <v>0</v>
      </c>
      <c r="M201" s="13">
        <f t="shared" si="35"/>
        <v>0</v>
      </c>
      <c r="N201" s="11">
        <v>0</v>
      </c>
      <c r="O201" s="11">
        <v>0</v>
      </c>
      <c r="P201" s="11">
        <v>0</v>
      </c>
      <c r="Q201" s="11">
        <v>0</v>
      </c>
      <c r="R201" s="13">
        <f t="shared" si="36"/>
        <v>0</v>
      </c>
      <c r="S201">
        <v>0</v>
      </c>
      <c r="T201">
        <v>0</v>
      </c>
      <c r="U201" s="7">
        <f t="shared" si="37"/>
        <v>0</v>
      </c>
      <c r="V201">
        <v>0</v>
      </c>
      <c r="W201">
        <v>0</v>
      </c>
      <c r="X201">
        <v>0</v>
      </c>
      <c r="Y201">
        <v>0</v>
      </c>
      <c r="Z201" s="13">
        <f t="shared" si="38"/>
        <v>0</v>
      </c>
      <c r="AA201">
        <v>15</v>
      </c>
      <c r="AB201">
        <v>50</v>
      </c>
      <c r="AC201">
        <v>13.12</v>
      </c>
      <c r="AD201">
        <v>0</v>
      </c>
      <c r="AE201" s="7">
        <f t="shared" si="39"/>
        <v>78.12</v>
      </c>
      <c r="AF201">
        <v>0</v>
      </c>
      <c r="AG201">
        <v>0</v>
      </c>
      <c r="AH201">
        <v>0</v>
      </c>
      <c r="AI201" s="13">
        <f t="shared" si="40"/>
        <v>0</v>
      </c>
      <c r="AJ201" s="11" t="s">
        <v>51</v>
      </c>
      <c r="AK201" s="11" t="s">
        <v>51</v>
      </c>
      <c r="AL201" s="11" t="s">
        <v>51</v>
      </c>
      <c r="AM201" s="13">
        <f t="shared" si="41"/>
        <v>0</v>
      </c>
      <c r="AN201" s="18">
        <v>25</v>
      </c>
      <c r="AO201" s="18">
        <v>15</v>
      </c>
      <c r="AP201" s="18">
        <v>0</v>
      </c>
      <c r="AQ201" s="18">
        <v>0</v>
      </c>
      <c r="AR201" s="18">
        <f t="shared" si="42"/>
        <v>40</v>
      </c>
      <c r="AS201" t="s">
        <v>52</v>
      </c>
      <c r="AT201" s="9" t="s">
        <v>792</v>
      </c>
      <c r="AU201" s="30">
        <f>+((AN201*I201)+(AO201*AE201)+(AQ201*AI201)+(AP201*AM201))/AR201</f>
        <v>83.787187500000002</v>
      </c>
    </row>
    <row r="202" spans="1:47" hidden="1" x14ac:dyDescent="0.25">
      <c r="A202" t="s">
        <v>46</v>
      </c>
      <c r="B202" t="s">
        <v>793</v>
      </c>
      <c r="C202" t="s">
        <v>794</v>
      </c>
      <c r="D202" t="s">
        <v>629</v>
      </c>
      <c r="E202" s="11">
        <v>20</v>
      </c>
      <c r="F202" s="11">
        <v>18.670000000000002</v>
      </c>
      <c r="G202" s="11">
        <v>46.35</v>
      </c>
      <c r="H202" s="11">
        <v>3.5</v>
      </c>
      <c r="I202" s="13">
        <f t="shared" si="34"/>
        <v>88.52000000000001</v>
      </c>
      <c r="J202" s="11">
        <v>0</v>
      </c>
      <c r="K202" s="11">
        <v>0</v>
      </c>
      <c r="L202" s="11">
        <v>0</v>
      </c>
      <c r="M202" s="13">
        <f t="shared" si="35"/>
        <v>0</v>
      </c>
      <c r="N202" s="11">
        <v>0</v>
      </c>
      <c r="O202" s="11">
        <v>0</v>
      </c>
      <c r="P202" s="11">
        <v>0</v>
      </c>
      <c r="Q202" s="11">
        <v>0</v>
      </c>
      <c r="R202" s="13">
        <f t="shared" si="36"/>
        <v>0</v>
      </c>
      <c r="S202">
        <v>0</v>
      </c>
      <c r="T202">
        <v>0</v>
      </c>
      <c r="U202" s="7">
        <f t="shared" si="37"/>
        <v>0</v>
      </c>
      <c r="V202">
        <v>0</v>
      </c>
      <c r="W202">
        <v>0</v>
      </c>
      <c r="X202">
        <v>0</v>
      </c>
      <c r="Y202">
        <v>0</v>
      </c>
      <c r="Z202" s="13">
        <f t="shared" si="38"/>
        <v>0</v>
      </c>
      <c r="AA202">
        <v>15</v>
      </c>
      <c r="AB202">
        <v>50</v>
      </c>
      <c r="AC202">
        <v>15</v>
      </c>
      <c r="AD202">
        <v>20</v>
      </c>
      <c r="AE202" s="7">
        <f t="shared" si="39"/>
        <v>100</v>
      </c>
      <c r="AF202">
        <v>0</v>
      </c>
      <c r="AG202">
        <v>0</v>
      </c>
      <c r="AH202">
        <v>0</v>
      </c>
      <c r="AI202" s="13">
        <f t="shared" si="40"/>
        <v>0</v>
      </c>
      <c r="AJ202" s="11" t="s">
        <v>51</v>
      </c>
      <c r="AK202" s="11" t="s">
        <v>51</v>
      </c>
      <c r="AL202" s="11" t="s">
        <v>51</v>
      </c>
      <c r="AM202" s="13">
        <f t="shared" si="41"/>
        <v>0</v>
      </c>
      <c r="AN202" s="18">
        <v>25</v>
      </c>
      <c r="AO202" s="18">
        <v>15</v>
      </c>
      <c r="AP202" s="18">
        <v>0</v>
      </c>
      <c r="AQ202" s="18">
        <v>0</v>
      </c>
      <c r="AR202" s="18">
        <f t="shared" si="42"/>
        <v>40</v>
      </c>
      <c r="AS202" t="s">
        <v>52</v>
      </c>
      <c r="AT202" s="9" t="s">
        <v>795</v>
      </c>
      <c r="AU202" s="30">
        <f>+((AN202*I202)+(AO202*AE202)+(AQ202*AI202)+(AP202*AM202))/AR202</f>
        <v>92.825000000000017</v>
      </c>
    </row>
    <row r="203" spans="1:47" hidden="1" x14ac:dyDescent="0.25">
      <c r="A203" t="s">
        <v>46</v>
      </c>
      <c r="B203" t="s">
        <v>796</v>
      </c>
      <c r="C203" t="s">
        <v>797</v>
      </c>
      <c r="D203" t="s">
        <v>798</v>
      </c>
      <c r="E203" s="11">
        <v>24.024999999999999</v>
      </c>
      <c r="F203" s="11">
        <v>0</v>
      </c>
      <c r="G203" s="11">
        <v>55.674999999999997</v>
      </c>
      <c r="H203" s="11">
        <v>10</v>
      </c>
      <c r="I203" s="13">
        <f t="shared" si="34"/>
        <v>89.699999999999989</v>
      </c>
      <c r="J203" s="11">
        <v>0</v>
      </c>
      <c r="K203" s="11">
        <v>0</v>
      </c>
      <c r="L203" s="11">
        <v>0</v>
      </c>
      <c r="M203" s="13">
        <f t="shared" si="35"/>
        <v>0</v>
      </c>
      <c r="N203" s="11">
        <v>0</v>
      </c>
      <c r="O203" s="11">
        <v>0</v>
      </c>
      <c r="P203" s="11">
        <v>0</v>
      </c>
      <c r="Q203" s="11">
        <v>0</v>
      </c>
      <c r="R203" s="13">
        <f t="shared" si="36"/>
        <v>0</v>
      </c>
      <c r="S203">
        <v>0</v>
      </c>
      <c r="T203">
        <v>0</v>
      </c>
      <c r="U203" s="7">
        <f t="shared" si="37"/>
        <v>0</v>
      </c>
      <c r="V203">
        <v>0</v>
      </c>
      <c r="W203">
        <v>0</v>
      </c>
      <c r="X203">
        <v>0</v>
      </c>
      <c r="Y203">
        <v>0</v>
      </c>
      <c r="Z203" s="13">
        <f t="shared" si="38"/>
        <v>0</v>
      </c>
      <c r="AA203">
        <v>0</v>
      </c>
      <c r="AB203">
        <v>0</v>
      </c>
      <c r="AC203">
        <v>0</v>
      </c>
      <c r="AD203">
        <v>0</v>
      </c>
      <c r="AE203" s="7">
        <f t="shared" si="39"/>
        <v>0</v>
      </c>
      <c r="AF203">
        <v>0</v>
      </c>
      <c r="AG203">
        <v>0</v>
      </c>
      <c r="AH203">
        <v>0</v>
      </c>
      <c r="AI203" s="13">
        <f t="shared" si="40"/>
        <v>0</v>
      </c>
      <c r="AJ203" s="11" t="s">
        <v>51</v>
      </c>
      <c r="AK203" s="11" t="s">
        <v>51</v>
      </c>
      <c r="AL203" s="11" t="s">
        <v>51</v>
      </c>
      <c r="AM203" s="13">
        <f t="shared" si="41"/>
        <v>0</v>
      </c>
      <c r="AN203" s="18">
        <v>8</v>
      </c>
      <c r="AO203" s="18">
        <v>0</v>
      </c>
      <c r="AP203" s="18">
        <v>0</v>
      </c>
      <c r="AQ203" s="18">
        <v>0</v>
      </c>
      <c r="AR203" s="18">
        <f t="shared" si="42"/>
        <v>8</v>
      </c>
      <c r="AS203" t="s">
        <v>52</v>
      </c>
      <c r="AT203" s="9" t="s">
        <v>799</v>
      </c>
      <c r="AU203" s="30">
        <f>+((AN203*I203)+(AO203*AE203)+(AQ203*AI203)+(AP203*AM203))/AR203</f>
        <v>89.699999999999989</v>
      </c>
    </row>
    <row r="204" spans="1:47" hidden="1" x14ac:dyDescent="0.25">
      <c r="A204" t="s">
        <v>46</v>
      </c>
      <c r="B204" t="s">
        <v>800</v>
      </c>
      <c r="C204" t="s">
        <v>801</v>
      </c>
      <c r="D204" t="s">
        <v>802</v>
      </c>
      <c r="E204" s="11">
        <v>20</v>
      </c>
      <c r="F204" s="11">
        <v>20</v>
      </c>
      <c r="G204" s="11">
        <v>40.409999999999997</v>
      </c>
      <c r="H204" s="11">
        <v>7</v>
      </c>
      <c r="I204" s="13">
        <f t="shared" si="34"/>
        <v>87.41</v>
      </c>
      <c r="J204" s="11">
        <v>0</v>
      </c>
      <c r="K204" s="11">
        <v>0</v>
      </c>
      <c r="L204" s="11">
        <v>0</v>
      </c>
      <c r="M204" s="13">
        <f t="shared" si="35"/>
        <v>0</v>
      </c>
      <c r="N204" s="11">
        <v>47.45</v>
      </c>
      <c r="O204" s="11">
        <v>7</v>
      </c>
      <c r="P204" s="11">
        <v>20</v>
      </c>
      <c r="Q204" s="11">
        <v>20</v>
      </c>
      <c r="R204" s="13">
        <f t="shared" si="36"/>
        <v>94.45</v>
      </c>
      <c r="S204">
        <v>0</v>
      </c>
      <c r="T204">
        <v>0</v>
      </c>
      <c r="U204" s="7">
        <f t="shared" si="37"/>
        <v>0</v>
      </c>
      <c r="V204">
        <v>0</v>
      </c>
      <c r="W204">
        <v>0</v>
      </c>
      <c r="X204">
        <v>0</v>
      </c>
      <c r="Y204">
        <v>0</v>
      </c>
      <c r="Z204" s="13">
        <f t="shared" si="38"/>
        <v>0</v>
      </c>
      <c r="AA204">
        <v>15</v>
      </c>
      <c r="AB204">
        <v>12.5</v>
      </c>
      <c r="AC204">
        <v>15</v>
      </c>
      <c r="AD204">
        <v>20</v>
      </c>
      <c r="AE204" s="7">
        <f t="shared" si="39"/>
        <v>62.5</v>
      </c>
      <c r="AF204">
        <v>0</v>
      </c>
      <c r="AG204">
        <v>0</v>
      </c>
      <c r="AH204">
        <v>0</v>
      </c>
      <c r="AI204" s="13">
        <f t="shared" si="40"/>
        <v>0</v>
      </c>
      <c r="AJ204" s="11" t="s">
        <v>51</v>
      </c>
      <c r="AK204" s="11" t="s">
        <v>51</v>
      </c>
      <c r="AL204" s="11" t="s">
        <v>51</v>
      </c>
      <c r="AM204" s="13">
        <f t="shared" si="41"/>
        <v>0</v>
      </c>
      <c r="AN204" s="18">
        <v>33</v>
      </c>
      <c r="AO204" s="18">
        <v>5</v>
      </c>
      <c r="AP204" s="18">
        <v>0</v>
      </c>
      <c r="AQ204" s="18">
        <v>0</v>
      </c>
      <c r="AR204" s="18">
        <f t="shared" si="42"/>
        <v>38</v>
      </c>
      <c r="AS204" t="s">
        <v>52</v>
      </c>
      <c r="AT204" s="9" t="s">
        <v>804</v>
      </c>
      <c r="AU204" s="30">
        <f>+((AN204*I204)+(AO204*AE204)+(AQ204*AI204)+(AP204*AM204))/AR204</f>
        <v>84.132368421052618</v>
      </c>
    </row>
    <row r="205" spans="1:47" hidden="1" x14ac:dyDescent="0.25">
      <c r="A205" s="33" t="s">
        <v>46</v>
      </c>
      <c r="B205" s="32" t="s">
        <v>800</v>
      </c>
      <c r="C205" s="32" t="s">
        <v>801</v>
      </c>
      <c r="D205" s="32" t="s">
        <v>802</v>
      </c>
      <c r="E205" s="11">
        <v>20</v>
      </c>
      <c r="F205" s="11">
        <v>20</v>
      </c>
      <c r="G205" s="11">
        <v>40.409999999999997</v>
      </c>
      <c r="H205" s="11">
        <v>7</v>
      </c>
      <c r="I205" s="13">
        <f t="shared" si="34"/>
        <v>87.41</v>
      </c>
      <c r="J205" s="11">
        <v>0</v>
      </c>
      <c r="K205" s="11">
        <v>0</v>
      </c>
      <c r="L205" s="11">
        <v>0</v>
      </c>
      <c r="M205" s="13">
        <f t="shared" si="35"/>
        <v>0</v>
      </c>
      <c r="N205" s="11">
        <v>47.45</v>
      </c>
      <c r="O205" s="11">
        <v>7</v>
      </c>
      <c r="P205" s="11">
        <v>20</v>
      </c>
      <c r="Q205" s="11">
        <v>20</v>
      </c>
      <c r="R205" s="13">
        <f t="shared" si="36"/>
        <v>94.45</v>
      </c>
      <c r="S205">
        <v>0</v>
      </c>
      <c r="T205">
        <v>0</v>
      </c>
      <c r="U205" s="7">
        <f t="shared" si="37"/>
        <v>0</v>
      </c>
      <c r="V205">
        <v>0</v>
      </c>
      <c r="W205">
        <v>0</v>
      </c>
      <c r="X205">
        <v>0</v>
      </c>
      <c r="Y205">
        <v>0</v>
      </c>
      <c r="Z205" s="13">
        <f t="shared" si="38"/>
        <v>0</v>
      </c>
      <c r="AA205">
        <v>15</v>
      </c>
      <c r="AB205">
        <v>12.5</v>
      </c>
      <c r="AC205">
        <v>15</v>
      </c>
      <c r="AD205">
        <v>20</v>
      </c>
      <c r="AE205" s="7">
        <f t="shared" si="39"/>
        <v>62.5</v>
      </c>
      <c r="AF205">
        <v>0</v>
      </c>
      <c r="AG205">
        <v>0</v>
      </c>
      <c r="AH205">
        <v>0</v>
      </c>
      <c r="AI205" s="13">
        <f t="shared" si="40"/>
        <v>0</v>
      </c>
      <c r="AJ205" s="11" t="s">
        <v>51</v>
      </c>
      <c r="AK205" s="11" t="s">
        <v>51</v>
      </c>
      <c r="AL205" s="11" t="s">
        <v>51</v>
      </c>
      <c r="AM205" s="13">
        <f t="shared" si="41"/>
        <v>0</v>
      </c>
      <c r="AN205" s="18">
        <v>2</v>
      </c>
      <c r="AO205" s="18">
        <v>0</v>
      </c>
      <c r="AP205" s="18">
        <v>0</v>
      </c>
      <c r="AQ205" s="18">
        <v>0</v>
      </c>
      <c r="AR205" s="18">
        <f t="shared" si="42"/>
        <v>2</v>
      </c>
      <c r="AS205" t="s">
        <v>117</v>
      </c>
      <c r="AT205" s="24" t="s">
        <v>803</v>
      </c>
      <c r="AU205" s="11">
        <f>+((AN205*R205)+(AQ205*AI205)+(AP205*AM205))/AR205</f>
        <v>94.45</v>
      </c>
    </row>
    <row r="206" spans="1:47" hidden="1" x14ac:dyDescent="0.25">
      <c r="A206" t="s">
        <v>46</v>
      </c>
      <c r="B206" t="s">
        <v>805</v>
      </c>
      <c r="C206" t="s">
        <v>806</v>
      </c>
      <c r="D206" t="s">
        <v>807</v>
      </c>
      <c r="E206" s="11">
        <v>19.899999999999999</v>
      </c>
      <c r="F206" s="11">
        <v>20</v>
      </c>
      <c r="G206" s="11">
        <v>42.19</v>
      </c>
      <c r="H206" s="11">
        <v>4.75</v>
      </c>
      <c r="I206" s="13">
        <f t="shared" si="34"/>
        <v>86.84</v>
      </c>
      <c r="J206" s="11">
        <v>85.042857142857144</v>
      </c>
      <c r="K206" s="11">
        <v>0</v>
      </c>
      <c r="L206" s="11">
        <v>6.7857142857142856</v>
      </c>
      <c r="M206" s="13">
        <f t="shared" si="35"/>
        <v>91.828571428571436</v>
      </c>
      <c r="N206" s="11">
        <v>0</v>
      </c>
      <c r="O206" s="11">
        <v>0</v>
      </c>
      <c r="P206" s="11">
        <v>0</v>
      </c>
      <c r="Q206" s="11">
        <v>0</v>
      </c>
      <c r="R206" s="13">
        <f t="shared" si="36"/>
        <v>0</v>
      </c>
      <c r="S206">
        <v>0</v>
      </c>
      <c r="T206">
        <v>0</v>
      </c>
      <c r="U206" s="7">
        <f t="shared" si="37"/>
        <v>0</v>
      </c>
      <c r="V206">
        <v>0</v>
      </c>
      <c r="W206">
        <v>0</v>
      </c>
      <c r="X206">
        <v>0</v>
      </c>
      <c r="Y206">
        <v>0</v>
      </c>
      <c r="Z206" s="13">
        <f t="shared" si="38"/>
        <v>0</v>
      </c>
      <c r="AA206">
        <v>0</v>
      </c>
      <c r="AB206">
        <v>0</v>
      </c>
      <c r="AC206">
        <v>0</v>
      </c>
      <c r="AD206">
        <v>0</v>
      </c>
      <c r="AE206" s="7">
        <f t="shared" si="39"/>
        <v>0</v>
      </c>
      <c r="AF206">
        <v>0</v>
      </c>
      <c r="AG206">
        <v>0</v>
      </c>
      <c r="AH206">
        <v>0</v>
      </c>
      <c r="AI206" s="13">
        <f t="shared" si="40"/>
        <v>0</v>
      </c>
      <c r="AJ206" s="11">
        <v>20</v>
      </c>
      <c r="AK206" s="11">
        <v>25</v>
      </c>
      <c r="AL206" s="11">
        <v>41.26</v>
      </c>
      <c r="AM206" s="13">
        <f t="shared" si="41"/>
        <v>86.259999999999991</v>
      </c>
      <c r="AN206" s="18">
        <v>38</v>
      </c>
      <c r="AO206" s="18">
        <v>0</v>
      </c>
      <c r="AP206" s="18">
        <v>2</v>
      </c>
      <c r="AQ206" s="18">
        <v>0</v>
      </c>
      <c r="AR206" s="18">
        <f t="shared" si="42"/>
        <v>40</v>
      </c>
      <c r="AS206" t="s">
        <v>52</v>
      </c>
      <c r="AT206" s="9" t="s">
        <v>809</v>
      </c>
      <c r="AU206" s="30">
        <f>+((AN206*I206)+(AO206*AE206)+(AQ206*AI206)+(AP206*AM206))/AR206</f>
        <v>86.811000000000007</v>
      </c>
    </row>
    <row r="207" spans="1:47" hidden="1" x14ac:dyDescent="0.25">
      <c r="A207" t="s">
        <v>46</v>
      </c>
      <c r="B207" t="s">
        <v>805</v>
      </c>
      <c r="C207" t="s">
        <v>806</v>
      </c>
      <c r="D207" t="s">
        <v>807</v>
      </c>
      <c r="E207" s="11">
        <v>19.899999999999999</v>
      </c>
      <c r="F207" s="11">
        <v>20</v>
      </c>
      <c r="G207" s="11">
        <v>42.19</v>
      </c>
      <c r="H207" s="11">
        <v>4.75</v>
      </c>
      <c r="I207" s="13">
        <f t="shared" si="34"/>
        <v>86.84</v>
      </c>
      <c r="J207" s="11">
        <v>85.042857142857144</v>
      </c>
      <c r="K207" s="11">
        <v>0</v>
      </c>
      <c r="L207" s="11">
        <v>6.7857142857142856</v>
      </c>
      <c r="M207" s="13">
        <f t="shared" si="35"/>
        <v>91.828571428571436</v>
      </c>
      <c r="N207" s="11">
        <v>0</v>
      </c>
      <c r="O207" s="11">
        <v>0</v>
      </c>
      <c r="P207" s="11">
        <v>0</v>
      </c>
      <c r="Q207" s="11">
        <v>0</v>
      </c>
      <c r="R207" s="13">
        <f t="shared" si="36"/>
        <v>0</v>
      </c>
      <c r="S207">
        <v>0</v>
      </c>
      <c r="T207">
        <v>0</v>
      </c>
      <c r="U207" s="7">
        <f t="shared" si="37"/>
        <v>0</v>
      </c>
      <c r="V207">
        <v>0</v>
      </c>
      <c r="W207">
        <v>0</v>
      </c>
      <c r="X207">
        <v>0</v>
      </c>
      <c r="Y207">
        <v>0</v>
      </c>
      <c r="Z207" s="13">
        <f t="shared" si="38"/>
        <v>0</v>
      </c>
      <c r="AA207">
        <v>0</v>
      </c>
      <c r="AB207">
        <v>0</v>
      </c>
      <c r="AC207">
        <v>0</v>
      </c>
      <c r="AD207">
        <v>0</v>
      </c>
      <c r="AE207" s="7">
        <f t="shared" si="39"/>
        <v>0</v>
      </c>
      <c r="AF207">
        <v>0</v>
      </c>
      <c r="AG207">
        <v>0</v>
      </c>
      <c r="AH207">
        <v>0</v>
      </c>
      <c r="AI207" s="13">
        <f t="shared" si="40"/>
        <v>0</v>
      </c>
      <c r="AJ207" s="11">
        <v>20</v>
      </c>
      <c r="AK207" s="11">
        <v>25</v>
      </c>
      <c r="AL207" s="11">
        <v>41.26</v>
      </c>
      <c r="AM207" s="13">
        <f t="shared" si="41"/>
        <v>86.259999999999991</v>
      </c>
      <c r="AN207" s="18">
        <v>2</v>
      </c>
      <c r="AO207" s="18">
        <v>0</v>
      </c>
      <c r="AP207" s="18">
        <v>0</v>
      </c>
      <c r="AQ207" s="18">
        <v>0</v>
      </c>
      <c r="AR207" s="18">
        <f t="shared" si="42"/>
        <v>2</v>
      </c>
      <c r="AS207" t="s">
        <v>87</v>
      </c>
      <c r="AT207" s="9" t="s">
        <v>808</v>
      </c>
      <c r="AU207" s="30">
        <f>+M207*AN207/AR207</f>
        <v>91.828571428571436</v>
      </c>
    </row>
    <row r="208" spans="1:47" hidden="1" x14ac:dyDescent="0.25">
      <c r="A208" t="s">
        <v>46</v>
      </c>
      <c r="B208" t="s">
        <v>810</v>
      </c>
      <c r="C208" t="s">
        <v>811</v>
      </c>
      <c r="D208" t="s">
        <v>812</v>
      </c>
      <c r="E208" s="11">
        <v>20</v>
      </c>
      <c r="F208" s="11">
        <v>20</v>
      </c>
      <c r="G208" s="11">
        <v>46.8</v>
      </c>
      <c r="H208" s="11">
        <v>3</v>
      </c>
      <c r="I208" s="13">
        <f t="shared" si="34"/>
        <v>89.8</v>
      </c>
      <c r="J208" s="11">
        <v>0</v>
      </c>
      <c r="K208" s="11">
        <v>0</v>
      </c>
      <c r="L208" s="11">
        <v>0</v>
      </c>
      <c r="M208" s="13">
        <f t="shared" si="35"/>
        <v>0</v>
      </c>
      <c r="N208" s="11">
        <v>0</v>
      </c>
      <c r="O208" s="11">
        <v>0</v>
      </c>
      <c r="P208" s="11">
        <v>0</v>
      </c>
      <c r="Q208" s="11">
        <v>0</v>
      </c>
      <c r="R208" s="13">
        <f t="shared" si="36"/>
        <v>0</v>
      </c>
      <c r="S208">
        <v>0</v>
      </c>
      <c r="T208">
        <v>0</v>
      </c>
      <c r="U208" s="7">
        <f t="shared" si="37"/>
        <v>0</v>
      </c>
      <c r="V208">
        <v>0</v>
      </c>
      <c r="W208">
        <v>0</v>
      </c>
      <c r="X208">
        <v>0</v>
      </c>
      <c r="Y208">
        <v>0</v>
      </c>
      <c r="Z208" s="13">
        <f t="shared" si="38"/>
        <v>0</v>
      </c>
      <c r="AA208">
        <v>15</v>
      </c>
      <c r="AB208">
        <v>50</v>
      </c>
      <c r="AC208">
        <v>15</v>
      </c>
      <c r="AD208">
        <v>20</v>
      </c>
      <c r="AE208" s="7">
        <f t="shared" si="39"/>
        <v>100</v>
      </c>
      <c r="AF208">
        <v>0</v>
      </c>
      <c r="AG208">
        <v>0</v>
      </c>
      <c r="AH208">
        <v>0</v>
      </c>
      <c r="AI208" s="13">
        <f t="shared" si="40"/>
        <v>0</v>
      </c>
      <c r="AJ208" s="11" t="s">
        <v>51</v>
      </c>
      <c r="AK208" s="11" t="s">
        <v>51</v>
      </c>
      <c r="AL208" s="11" t="s">
        <v>51</v>
      </c>
      <c r="AM208" s="13">
        <f t="shared" si="41"/>
        <v>0</v>
      </c>
      <c r="AN208" s="18">
        <v>25</v>
      </c>
      <c r="AO208" s="18">
        <v>15</v>
      </c>
      <c r="AP208" s="18">
        <v>0</v>
      </c>
      <c r="AQ208" s="18">
        <v>0</v>
      </c>
      <c r="AR208" s="18">
        <f t="shared" si="42"/>
        <v>40</v>
      </c>
      <c r="AS208" t="s">
        <v>52</v>
      </c>
      <c r="AT208" s="9" t="s">
        <v>813</v>
      </c>
      <c r="AU208" s="30">
        <f>+((AN208*I208)+(AO208*AE208)+(AQ208*AI208)+(AP208*AM208))/AR208</f>
        <v>93.625</v>
      </c>
    </row>
    <row r="209" spans="1:47" hidden="1" x14ac:dyDescent="0.25">
      <c r="A209" t="s">
        <v>46</v>
      </c>
      <c r="B209" t="s">
        <v>814</v>
      </c>
      <c r="C209" t="s">
        <v>815</v>
      </c>
      <c r="D209" t="s">
        <v>816</v>
      </c>
      <c r="E209" s="11">
        <v>25</v>
      </c>
      <c r="F209" s="11">
        <v>0</v>
      </c>
      <c r="G209" s="11">
        <v>52.512500000000003</v>
      </c>
      <c r="H209" s="11">
        <v>3.125</v>
      </c>
      <c r="I209" s="13">
        <f t="shared" si="34"/>
        <v>80.637500000000003</v>
      </c>
      <c r="J209" s="11">
        <v>0</v>
      </c>
      <c r="K209" s="11">
        <v>0</v>
      </c>
      <c r="L209" s="11">
        <v>0</v>
      </c>
      <c r="M209" s="13">
        <f t="shared" si="35"/>
        <v>0</v>
      </c>
      <c r="N209" s="11">
        <v>0</v>
      </c>
      <c r="O209" s="11">
        <v>0</v>
      </c>
      <c r="P209" s="11">
        <v>0</v>
      </c>
      <c r="Q209" s="11">
        <v>0</v>
      </c>
      <c r="R209" s="13">
        <f t="shared" si="36"/>
        <v>0</v>
      </c>
      <c r="S209">
        <v>0</v>
      </c>
      <c r="T209">
        <v>0</v>
      </c>
      <c r="U209" s="7">
        <f t="shared" si="37"/>
        <v>0</v>
      </c>
      <c r="V209">
        <v>0</v>
      </c>
      <c r="W209">
        <v>0</v>
      </c>
      <c r="X209">
        <v>0</v>
      </c>
      <c r="Y209">
        <v>0</v>
      </c>
      <c r="Z209" s="13">
        <f t="shared" si="38"/>
        <v>0</v>
      </c>
      <c r="AA209">
        <v>0</v>
      </c>
      <c r="AB209">
        <v>0</v>
      </c>
      <c r="AC209">
        <v>0</v>
      </c>
      <c r="AD209">
        <v>0</v>
      </c>
      <c r="AE209" s="7">
        <f t="shared" si="39"/>
        <v>0</v>
      </c>
      <c r="AF209">
        <v>0</v>
      </c>
      <c r="AG209">
        <v>0</v>
      </c>
      <c r="AH209">
        <v>0</v>
      </c>
      <c r="AI209" s="13">
        <f t="shared" si="40"/>
        <v>0</v>
      </c>
      <c r="AJ209" s="11" t="s">
        <v>51</v>
      </c>
      <c r="AK209" s="11" t="s">
        <v>51</v>
      </c>
      <c r="AL209" s="11" t="s">
        <v>51</v>
      </c>
      <c r="AM209" s="13">
        <f t="shared" si="41"/>
        <v>0</v>
      </c>
      <c r="AN209" s="18">
        <v>10</v>
      </c>
      <c r="AO209" s="18">
        <v>0</v>
      </c>
      <c r="AP209" s="18">
        <v>0</v>
      </c>
      <c r="AQ209" s="18">
        <v>0</v>
      </c>
      <c r="AR209" s="18">
        <f t="shared" si="42"/>
        <v>10</v>
      </c>
      <c r="AS209" t="s">
        <v>52</v>
      </c>
      <c r="AT209" s="9" t="s">
        <v>817</v>
      </c>
      <c r="AU209" s="30">
        <f>+((AN209*I209)+(AO209*AE209)+(AQ209*AI209)+(AP209*AM209))/AR209</f>
        <v>80.637500000000003</v>
      </c>
    </row>
    <row r="210" spans="1:47" hidden="1" x14ac:dyDescent="0.25">
      <c r="A210" t="s">
        <v>46</v>
      </c>
      <c r="B210" t="s">
        <v>818</v>
      </c>
      <c r="C210" t="s">
        <v>819</v>
      </c>
      <c r="D210" t="s">
        <v>820</v>
      </c>
      <c r="E210" s="11">
        <v>0</v>
      </c>
      <c r="F210" s="11">
        <v>0</v>
      </c>
      <c r="G210" s="11">
        <v>74.7</v>
      </c>
      <c r="H210" s="11">
        <v>4.1666666666666661</v>
      </c>
      <c r="I210" s="13">
        <f t="shared" si="34"/>
        <v>78.866666666666674</v>
      </c>
      <c r="J210" s="11">
        <v>0</v>
      </c>
      <c r="K210" s="11">
        <v>0</v>
      </c>
      <c r="L210" s="11">
        <v>0</v>
      </c>
      <c r="M210" s="13">
        <f t="shared" si="35"/>
        <v>0</v>
      </c>
      <c r="N210" s="11">
        <v>0</v>
      </c>
      <c r="O210" s="11">
        <v>0</v>
      </c>
      <c r="P210" s="11">
        <v>0</v>
      </c>
      <c r="Q210" s="11">
        <v>0</v>
      </c>
      <c r="R210" s="13">
        <f t="shared" si="36"/>
        <v>0</v>
      </c>
      <c r="S210">
        <v>0</v>
      </c>
      <c r="T210">
        <v>0</v>
      </c>
      <c r="U210" s="7">
        <f t="shared" si="37"/>
        <v>0</v>
      </c>
      <c r="V210">
        <v>0</v>
      </c>
      <c r="W210">
        <v>0</v>
      </c>
      <c r="X210">
        <v>0</v>
      </c>
      <c r="Y210">
        <v>0</v>
      </c>
      <c r="Z210" s="13">
        <f t="shared" si="38"/>
        <v>0</v>
      </c>
      <c r="AA210">
        <v>0</v>
      </c>
      <c r="AB210">
        <v>0</v>
      </c>
      <c r="AC210">
        <v>0</v>
      </c>
      <c r="AD210">
        <v>0</v>
      </c>
      <c r="AE210" s="7">
        <f t="shared" si="39"/>
        <v>0</v>
      </c>
      <c r="AF210">
        <v>0</v>
      </c>
      <c r="AG210">
        <v>0</v>
      </c>
      <c r="AH210">
        <v>0</v>
      </c>
      <c r="AI210" s="13">
        <f t="shared" si="40"/>
        <v>0</v>
      </c>
      <c r="AJ210" s="11" t="s">
        <v>51</v>
      </c>
      <c r="AK210" s="11" t="s">
        <v>51</v>
      </c>
      <c r="AL210" s="11" t="s">
        <v>51</v>
      </c>
      <c r="AM210" s="13">
        <f t="shared" si="41"/>
        <v>0</v>
      </c>
      <c r="AN210" s="18">
        <v>2</v>
      </c>
      <c r="AO210" s="18">
        <v>0</v>
      </c>
      <c r="AP210" s="18">
        <v>0</v>
      </c>
      <c r="AQ210" s="18">
        <v>0</v>
      </c>
      <c r="AR210" s="18">
        <f t="shared" si="42"/>
        <v>2</v>
      </c>
      <c r="AS210" t="s">
        <v>52</v>
      </c>
      <c r="AT210" s="9" t="s">
        <v>412</v>
      </c>
      <c r="AU210" s="30">
        <f>+((AN210*I210)+(AO210*AE210)+(AQ210*AI210)+(AP210*AM210))/AR210</f>
        <v>78.866666666666674</v>
      </c>
    </row>
    <row r="211" spans="1:47" hidden="1" x14ac:dyDescent="0.25">
      <c r="A211" t="s">
        <v>46</v>
      </c>
      <c r="B211" s="32" t="s">
        <v>821</v>
      </c>
      <c r="C211" s="32" t="s">
        <v>822</v>
      </c>
      <c r="D211" s="32" t="s">
        <v>823</v>
      </c>
      <c r="E211" s="11">
        <v>0</v>
      </c>
      <c r="F211" s="11">
        <v>0</v>
      </c>
      <c r="G211" s="11">
        <v>0</v>
      </c>
      <c r="H211" s="11">
        <v>0</v>
      </c>
      <c r="I211" s="13">
        <f t="shared" si="34"/>
        <v>0</v>
      </c>
      <c r="J211" s="11">
        <v>0</v>
      </c>
      <c r="K211" s="11">
        <v>0</v>
      </c>
      <c r="L211" s="11">
        <v>0</v>
      </c>
      <c r="M211" s="13">
        <f t="shared" si="35"/>
        <v>0</v>
      </c>
      <c r="N211" s="11">
        <v>57.925000000000004</v>
      </c>
      <c r="O211" s="11">
        <v>3.125</v>
      </c>
      <c r="P211" s="11">
        <v>0</v>
      </c>
      <c r="Q211" s="11">
        <v>24.024999999999999</v>
      </c>
      <c r="R211" s="13">
        <f t="shared" si="36"/>
        <v>85.075000000000003</v>
      </c>
      <c r="S211">
        <v>0</v>
      </c>
      <c r="T211">
        <v>0</v>
      </c>
      <c r="U211" s="7">
        <f t="shared" si="37"/>
        <v>0</v>
      </c>
      <c r="V211">
        <v>0</v>
      </c>
      <c r="W211">
        <v>0</v>
      </c>
      <c r="X211">
        <v>0</v>
      </c>
      <c r="Y211">
        <v>0</v>
      </c>
      <c r="Z211" s="13">
        <f t="shared" si="38"/>
        <v>0</v>
      </c>
      <c r="AA211">
        <v>0</v>
      </c>
      <c r="AB211">
        <v>0</v>
      </c>
      <c r="AC211">
        <v>0</v>
      </c>
      <c r="AD211">
        <v>0</v>
      </c>
      <c r="AE211" s="7">
        <f t="shared" si="39"/>
        <v>0</v>
      </c>
      <c r="AF211">
        <v>0</v>
      </c>
      <c r="AG211">
        <v>0</v>
      </c>
      <c r="AH211">
        <v>0</v>
      </c>
      <c r="AI211" s="13">
        <f t="shared" si="40"/>
        <v>0</v>
      </c>
      <c r="AJ211" s="11" t="s">
        <v>51</v>
      </c>
      <c r="AK211" s="11" t="s">
        <v>51</v>
      </c>
      <c r="AL211" s="11" t="s">
        <v>51</v>
      </c>
      <c r="AM211" s="13">
        <f t="shared" si="41"/>
        <v>0</v>
      </c>
      <c r="AN211" s="18">
        <v>7</v>
      </c>
      <c r="AO211" s="18">
        <v>0</v>
      </c>
      <c r="AP211" s="18">
        <v>0</v>
      </c>
      <c r="AQ211" s="18">
        <v>0</v>
      </c>
      <c r="AR211" s="18">
        <f t="shared" si="42"/>
        <v>7</v>
      </c>
      <c r="AS211" t="s">
        <v>117</v>
      </c>
      <c r="AT211" s="9" t="s">
        <v>824</v>
      </c>
      <c r="AU211" s="11">
        <f>+((AN211*R211)+(AQ211*AI211)+(AP211*AM211))/AR211</f>
        <v>85.075000000000003</v>
      </c>
    </row>
    <row r="212" spans="1:47" hidden="1" x14ac:dyDescent="0.25">
      <c r="A212" t="s">
        <v>46</v>
      </c>
      <c r="B212" s="32" t="s">
        <v>825</v>
      </c>
      <c r="C212" s="32" t="s">
        <v>826</v>
      </c>
      <c r="D212" s="32" t="s">
        <v>827</v>
      </c>
      <c r="E212" s="11">
        <v>0</v>
      </c>
      <c r="F212" s="11">
        <v>0</v>
      </c>
      <c r="G212" s="11">
        <v>0</v>
      </c>
      <c r="H212" s="11">
        <v>0</v>
      </c>
      <c r="I212" s="13">
        <f t="shared" si="34"/>
        <v>0</v>
      </c>
      <c r="J212" s="11">
        <v>0</v>
      </c>
      <c r="K212" s="11">
        <v>0</v>
      </c>
      <c r="L212" s="11">
        <v>0</v>
      </c>
      <c r="M212" s="13">
        <f t="shared" si="35"/>
        <v>0</v>
      </c>
      <c r="N212" s="11">
        <v>59.95</v>
      </c>
      <c r="O212" s="11">
        <v>5.625</v>
      </c>
      <c r="P212" s="11">
        <v>0</v>
      </c>
      <c r="Q212" s="11">
        <v>23.75</v>
      </c>
      <c r="R212" s="13">
        <f t="shared" si="36"/>
        <v>89.325000000000003</v>
      </c>
      <c r="S212">
        <v>0</v>
      </c>
      <c r="T212">
        <v>0</v>
      </c>
      <c r="U212" s="7">
        <f t="shared" si="37"/>
        <v>0</v>
      </c>
      <c r="V212">
        <v>0</v>
      </c>
      <c r="W212">
        <v>0</v>
      </c>
      <c r="X212">
        <v>0</v>
      </c>
      <c r="Y212">
        <v>0</v>
      </c>
      <c r="Z212" s="13">
        <f t="shared" si="38"/>
        <v>0</v>
      </c>
      <c r="AA212">
        <v>0</v>
      </c>
      <c r="AB212">
        <v>0</v>
      </c>
      <c r="AC212">
        <v>0</v>
      </c>
      <c r="AD212">
        <v>0</v>
      </c>
      <c r="AE212" s="7">
        <f t="shared" si="39"/>
        <v>0</v>
      </c>
      <c r="AF212">
        <v>0</v>
      </c>
      <c r="AG212">
        <v>0</v>
      </c>
      <c r="AH212">
        <v>0</v>
      </c>
      <c r="AI212" s="13">
        <f t="shared" si="40"/>
        <v>0</v>
      </c>
      <c r="AJ212" s="11" t="s">
        <v>51</v>
      </c>
      <c r="AK212" s="11" t="s">
        <v>51</v>
      </c>
      <c r="AL212" s="11" t="s">
        <v>51</v>
      </c>
      <c r="AM212" s="13">
        <f t="shared" si="41"/>
        <v>0</v>
      </c>
      <c r="AN212" s="18">
        <v>4</v>
      </c>
      <c r="AO212" s="18">
        <v>0</v>
      </c>
      <c r="AP212" s="18">
        <v>0</v>
      </c>
      <c r="AQ212" s="18">
        <v>0</v>
      </c>
      <c r="AR212" s="18">
        <f t="shared" si="42"/>
        <v>4</v>
      </c>
      <c r="AS212" t="s">
        <v>117</v>
      </c>
      <c r="AT212" s="9" t="s">
        <v>828</v>
      </c>
      <c r="AU212" s="11">
        <f>+((AN212*R212)+(AQ212*AI212)+(AP212*AM212))/AR212</f>
        <v>89.325000000000003</v>
      </c>
    </row>
    <row r="213" spans="1:47" hidden="1" x14ac:dyDescent="0.25">
      <c r="A213" t="s">
        <v>46</v>
      </c>
      <c r="B213" t="s">
        <v>829</v>
      </c>
      <c r="C213" t="s">
        <v>830</v>
      </c>
      <c r="D213" t="s">
        <v>831</v>
      </c>
      <c r="E213" s="11">
        <v>24.162500000000001</v>
      </c>
      <c r="F213" s="11">
        <v>0</v>
      </c>
      <c r="G213" s="11">
        <v>59.174999999999997</v>
      </c>
      <c r="H213" s="11">
        <v>5.625</v>
      </c>
      <c r="I213" s="13">
        <f t="shared" si="34"/>
        <v>88.962500000000006</v>
      </c>
      <c r="J213" s="11">
        <v>0</v>
      </c>
      <c r="K213" s="11">
        <v>0</v>
      </c>
      <c r="L213" s="11">
        <v>0</v>
      </c>
      <c r="M213" s="13">
        <f t="shared" si="35"/>
        <v>0</v>
      </c>
      <c r="N213" s="11">
        <v>0</v>
      </c>
      <c r="O213" s="11">
        <v>0</v>
      </c>
      <c r="P213" s="11">
        <v>0</v>
      </c>
      <c r="Q213" s="11">
        <v>0</v>
      </c>
      <c r="R213" s="13">
        <f t="shared" si="36"/>
        <v>0</v>
      </c>
      <c r="S213">
        <v>0</v>
      </c>
      <c r="T213">
        <v>0</v>
      </c>
      <c r="U213" s="7">
        <f t="shared" si="37"/>
        <v>0</v>
      </c>
      <c r="V213">
        <v>0</v>
      </c>
      <c r="W213">
        <v>0</v>
      </c>
      <c r="X213">
        <v>0</v>
      </c>
      <c r="Y213">
        <v>0</v>
      </c>
      <c r="Z213" s="13">
        <f t="shared" si="38"/>
        <v>0</v>
      </c>
      <c r="AA213">
        <v>0</v>
      </c>
      <c r="AB213">
        <v>0</v>
      </c>
      <c r="AC213">
        <v>0</v>
      </c>
      <c r="AD213">
        <v>0</v>
      </c>
      <c r="AE213" s="7">
        <f t="shared" si="39"/>
        <v>0</v>
      </c>
      <c r="AF213">
        <v>0</v>
      </c>
      <c r="AG213">
        <v>0</v>
      </c>
      <c r="AH213">
        <v>0</v>
      </c>
      <c r="AI213" s="13">
        <f t="shared" si="40"/>
        <v>0</v>
      </c>
      <c r="AJ213" s="11" t="s">
        <v>51</v>
      </c>
      <c r="AK213" s="11" t="s">
        <v>51</v>
      </c>
      <c r="AL213" s="11" t="s">
        <v>51</v>
      </c>
      <c r="AM213" s="13">
        <f t="shared" si="41"/>
        <v>0</v>
      </c>
      <c r="AN213" s="18">
        <v>7</v>
      </c>
      <c r="AO213" s="18">
        <v>0</v>
      </c>
      <c r="AP213" s="18">
        <v>0</v>
      </c>
      <c r="AQ213" s="18">
        <v>0</v>
      </c>
      <c r="AR213" s="18">
        <f t="shared" si="42"/>
        <v>7</v>
      </c>
      <c r="AS213" t="s">
        <v>52</v>
      </c>
      <c r="AT213" s="9" t="s">
        <v>832</v>
      </c>
      <c r="AU213" s="30">
        <f>+((AN213*I213)+(AO213*AE213)+(AQ213*AI213)+(AP213*AM213))/AR213</f>
        <v>88.962500000000006</v>
      </c>
    </row>
    <row r="214" spans="1:47" hidden="1" x14ac:dyDescent="0.25">
      <c r="A214" t="s">
        <v>46</v>
      </c>
      <c r="B214" t="s">
        <v>833</v>
      </c>
      <c r="C214" t="s">
        <v>834</v>
      </c>
      <c r="D214" t="s">
        <v>835</v>
      </c>
      <c r="E214" s="11">
        <v>25</v>
      </c>
      <c r="F214" s="11">
        <v>0</v>
      </c>
      <c r="G214" s="11">
        <v>52.7</v>
      </c>
      <c r="H214" s="11">
        <v>6.25</v>
      </c>
      <c r="I214" s="13">
        <f t="shared" si="34"/>
        <v>83.95</v>
      </c>
      <c r="J214" s="11">
        <v>0</v>
      </c>
      <c r="K214" s="11">
        <v>0</v>
      </c>
      <c r="L214" s="11">
        <v>0</v>
      </c>
      <c r="M214" s="13">
        <f t="shared" si="35"/>
        <v>0</v>
      </c>
      <c r="N214" s="11">
        <v>0</v>
      </c>
      <c r="O214" s="11">
        <v>0</v>
      </c>
      <c r="P214" s="11">
        <v>0</v>
      </c>
      <c r="Q214" s="11">
        <v>0</v>
      </c>
      <c r="R214" s="13">
        <f t="shared" si="36"/>
        <v>0</v>
      </c>
      <c r="S214">
        <v>0</v>
      </c>
      <c r="T214">
        <v>0</v>
      </c>
      <c r="U214" s="7">
        <f t="shared" si="37"/>
        <v>0</v>
      </c>
      <c r="V214">
        <v>0</v>
      </c>
      <c r="W214">
        <v>0</v>
      </c>
      <c r="X214">
        <v>0</v>
      </c>
      <c r="Y214">
        <v>0</v>
      </c>
      <c r="Z214" s="13">
        <f t="shared" si="38"/>
        <v>0</v>
      </c>
      <c r="AA214">
        <v>0</v>
      </c>
      <c r="AB214">
        <v>0</v>
      </c>
      <c r="AC214">
        <v>0</v>
      </c>
      <c r="AD214">
        <v>0</v>
      </c>
      <c r="AE214" s="7">
        <f t="shared" si="39"/>
        <v>0</v>
      </c>
      <c r="AF214">
        <v>0</v>
      </c>
      <c r="AG214">
        <v>0</v>
      </c>
      <c r="AH214">
        <v>0</v>
      </c>
      <c r="AI214" s="13">
        <f t="shared" si="40"/>
        <v>0</v>
      </c>
      <c r="AJ214" s="11">
        <v>20</v>
      </c>
      <c r="AK214" s="11">
        <v>30</v>
      </c>
      <c r="AL214" s="11">
        <v>29.8</v>
      </c>
      <c r="AM214" s="13">
        <f t="shared" si="41"/>
        <v>79.8</v>
      </c>
      <c r="AN214" s="18">
        <v>36</v>
      </c>
      <c r="AO214" s="18">
        <v>0</v>
      </c>
      <c r="AP214" s="18">
        <v>4</v>
      </c>
      <c r="AQ214" s="18">
        <v>0</v>
      </c>
      <c r="AR214" s="18">
        <f t="shared" si="42"/>
        <v>40</v>
      </c>
      <c r="AS214" t="s">
        <v>52</v>
      </c>
      <c r="AT214" s="9" t="s">
        <v>836</v>
      </c>
      <c r="AU214" s="30">
        <f>+((AN214*I214)+(AO214*AE214)+(AQ214*AI214)+(AP214*AM214))/AR214</f>
        <v>83.534999999999997</v>
      </c>
    </row>
    <row r="215" spans="1:47" hidden="1" x14ac:dyDescent="0.25">
      <c r="A215" t="s">
        <v>46</v>
      </c>
      <c r="B215" t="s">
        <v>837</v>
      </c>
      <c r="C215" t="s">
        <v>838</v>
      </c>
      <c r="D215" t="s">
        <v>839</v>
      </c>
      <c r="E215" s="11">
        <v>0</v>
      </c>
      <c r="F215" s="11">
        <v>0</v>
      </c>
      <c r="G215" s="11">
        <v>0</v>
      </c>
      <c r="H215" s="11">
        <v>0</v>
      </c>
      <c r="I215" s="13">
        <f t="shared" si="34"/>
        <v>0</v>
      </c>
      <c r="J215" s="11">
        <v>70.871428571428567</v>
      </c>
      <c r="K215" s="11">
        <v>0</v>
      </c>
      <c r="L215" s="11">
        <v>3.5714285714285712</v>
      </c>
      <c r="M215" s="13">
        <f t="shared" si="35"/>
        <v>74.442857142857136</v>
      </c>
      <c r="N215" s="11">
        <v>0</v>
      </c>
      <c r="O215" s="11">
        <v>0</v>
      </c>
      <c r="P215" s="11">
        <v>0</v>
      </c>
      <c r="Q215" s="11">
        <v>0</v>
      </c>
      <c r="R215" s="13">
        <f t="shared" si="36"/>
        <v>0</v>
      </c>
      <c r="S215">
        <v>0</v>
      </c>
      <c r="T215">
        <v>0</v>
      </c>
      <c r="U215" s="7">
        <f t="shared" si="37"/>
        <v>0</v>
      </c>
      <c r="V215">
        <v>0</v>
      </c>
      <c r="W215">
        <v>0</v>
      </c>
      <c r="X215">
        <v>0</v>
      </c>
      <c r="Y215">
        <v>0</v>
      </c>
      <c r="Z215" s="13">
        <f t="shared" si="38"/>
        <v>0</v>
      </c>
      <c r="AA215">
        <v>0</v>
      </c>
      <c r="AB215">
        <v>0</v>
      </c>
      <c r="AC215">
        <v>0</v>
      </c>
      <c r="AD215">
        <v>0</v>
      </c>
      <c r="AE215" s="7">
        <f t="shared" si="39"/>
        <v>0</v>
      </c>
      <c r="AF215">
        <v>0</v>
      </c>
      <c r="AG215">
        <v>0</v>
      </c>
      <c r="AH215">
        <v>0</v>
      </c>
      <c r="AI215" s="13">
        <f t="shared" si="40"/>
        <v>0</v>
      </c>
      <c r="AJ215" s="11" t="s">
        <v>51</v>
      </c>
      <c r="AK215" s="11" t="s">
        <v>51</v>
      </c>
      <c r="AL215" s="11" t="s">
        <v>51</v>
      </c>
      <c r="AM215" s="13">
        <f t="shared" si="41"/>
        <v>0</v>
      </c>
      <c r="AN215" s="18">
        <v>2.125</v>
      </c>
      <c r="AO215" s="18">
        <v>0</v>
      </c>
      <c r="AP215" s="18">
        <v>0</v>
      </c>
      <c r="AQ215" s="18">
        <v>0</v>
      </c>
      <c r="AR215" s="18">
        <f t="shared" si="42"/>
        <v>2.125</v>
      </c>
      <c r="AS215" t="s">
        <v>87</v>
      </c>
      <c r="AT215" s="9" t="s">
        <v>840</v>
      </c>
      <c r="AU215" s="30">
        <f>+((AN215*M215)/AR215)</f>
        <v>74.442857142857136</v>
      </c>
    </row>
    <row r="216" spans="1:47" hidden="1" x14ac:dyDescent="0.25">
      <c r="A216" t="s">
        <v>46</v>
      </c>
      <c r="B216" t="s">
        <v>841</v>
      </c>
      <c r="C216" t="s">
        <v>842</v>
      </c>
      <c r="D216" t="s">
        <v>843</v>
      </c>
      <c r="E216" s="11">
        <v>24.024999999999999</v>
      </c>
      <c r="F216" s="11">
        <v>0</v>
      </c>
      <c r="G216" s="11">
        <v>57.3125</v>
      </c>
      <c r="H216" s="11">
        <v>8.75</v>
      </c>
      <c r="I216" s="13">
        <f t="shared" si="34"/>
        <v>90.087500000000006</v>
      </c>
      <c r="J216" s="11">
        <v>0</v>
      </c>
      <c r="K216" s="11">
        <v>0</v>
      </c>
      <c r="L216" s="11">
        <v>0</v>
      </c>
      <c r="M216" s="13">
        <f t="shared" si="35"/>
        <v>0</v>
      </c>
      <c r="N216" s="11">
        <v>0</v>
      </c>
      <c r="O216" s="11">
        <v>0</v>
      </c>
      <c r="P216" s="11">
        <v>0</v>
      </c>
      <c r="Q216" s="11">
        <v>0</v>
      </c>
      <c r="R216" s="13">
        <f t="shared" si="36"/>
        <v>0</v>
      </c>
      <c r="S216">
        <v>0</v>
      </c>
      <c r="T216">
        <v>0</v>
      </c>
      <c r="U216" s="7">
        <f t="shared" si="37"/>
        <v>0</v>
      </c>
      <c r="V216">
        <v>0</v>
      </c>
      <c r="W216">
        <v>0</v>
      </c>
      <c r="X216">
        <v>0</v>
      </c>
      <c r="Y216">
        <v>0</v>
      </c>
      <c r="Z216" s="13">
        <f t="shared" si="38"/>
        <v>0</v>
      </c>
      <c r="AA216">
        <v>0</v>
      </c>
      <c r="AB216">
        <v>0</v>
      </c>
      <c r="AC216">
        <v>0</v>
      </c>
      <c r="AD216">
        <v>0</v>
      </c>
      <c r="AE216" s="7">
        <f t="shared" si="39"/>
        <v>0</v>
      </c>
      <c r="AF216">
        <v>0</v>
      </c>
      <c r="AG216">
        <v>0</v>
      </c>
      <c r="AH216">
        <v>0</v>
      </c>
      <c r="AI216" s="13">
        <f t="shared" si="40"/>
        <v>0</v>
      </c>
      <c r="AJ216" s="11" t="s">
        <v>51</v>
      </c>
      <c r="AK216" s="11" t="s">
        <v>51</v>
      </c>
      <c r="AL216" s="11" t="s">
        <v>51</v>
      </c>
      <c r="AM216" s="13">
        <f t="shared" si="41"/>
        <v>0</v>
      </c>
      <c r="AN216" s="18">
        <v>9</v>
      </c>
      <c r="AO216" s="18">
        <v>0</v>
      </c>
      <c r="AP216" s="18">
        <v>0</v>
      </c>
      <c r="AQ216" s="18">
        <v>0</v>
      </c>
      <c r="AR216" s="18">
        <f t="shared" si="42"/>
        <v>9</v>
      </c>
      <c r="AS216" t="s">
        <v>52</v>
      </c>
      <c r="AT216" s="9" t="s">
        <v>844</v>
      </c>
      <c r="AU216" s="30">
        <f>+((AN216*I216)+(AO216*AE216)+(AQ216*AI216)+(AP216*AM216))/AR216</f>
        <v>90.087500000000006</v>
      </c>
    </row>
    <row r="217" spans="1:47" hidden="1" x14ac:dyDescent="0.25">
      <c r="A217" t="s">
        <v>46</v>
      </c>
      <c r="B217" t="s">
        <v>845</v>
      </c>
      <c r="C217" t="s">
        <v>846</v>
      </c>
      <c r="D217" t="s">
        <v>847</v>
      </c>
      <c r="E217" s="11">
        <v>0</v>
      </c>
      <c r="F217" s="11">
        <v>0</v>
      </c>
      <c r="G217" s="11">
        <v>0</v>
      </c>
      <c r="H217" s="11">
        <v>0</v>
      </c>
      <c r="I217" s="13">
        <f t="shared" si="34"/>
        <v>0</v>
      </c>
      <c r="J217" s="11">
        <v>0</v>
      </c>
      <c r="K217" s="11">
        <v>0</v>
      </c>
      <c r="L217" s="11">
        <v>0</v>
      </c>
      <c r="M217" s="13">
        <f t="shared" si="35"/>
        <v>0</v>
      </c>
      <c r="N217" s="11">
        <v>0</v>
      </c>
      <c r="O217" s="11">
        <v>0</v>
      </c>
      <c r="P217" s="11">
        <v>0</v>
      </c>
      <c r="Q217" s="11">
        <v>0</v>
      </c>
      <c r="R217" s="13">
        <f t="shared" si="36"/>
        <v>0</v>
      </c>
      <c r="S217">
        <v>0</v>
      </c>
      <c r="T217">
        <v>0</v>
      </c>
      <c r="U217" s="7">
        <f t="shared" si="37"/>
        <v>0</v>
      </c>
      <c r="V217">
        <v>2.5</v>
      </c>
      <c r="W217">
        <v>19.670000000000002</v>
      </c>
      <c r="X217">
        <v>40.229999999999997</v>
      </c>
      <c r="Y217">
        <v>17.329999999999998</v>
      </c>
      <c r="Z217" s="13">
        <f t="shared" si="38"/>
        <v>79.72999999999999</v>
      </c>
      <c r="AA217">
        <v>0</v>
      </c>
      <c r="AB217">
        <v>0</v>
      </c>
      <c r="AC217">
        <v>0</v>
      </c>
      <c r="AD217">
        <v>0</v>
      </c>
      <c r="AE217" s="7">
        <f t="shared" si="39"/>
        <v>0</v>
      </c>
      <c r="AF217">
        <v>0</v>
      </c>
      <c r="AG217">
        <v>0</v>
      </c>
      <c r="AH217">
        <v>0</v>
      </c>
      <c r="AI217" s="13">
        <f t="shared" si="40"/>
        <v>0</v>
      </c>
      <c r="AJ217" s="11" t="s">
        <v>51</v>
      </c>
      <c r="AK217" s="11" t="s">
        <v>51</v>
      </c>
      <c r="AL217" s="11" t="s">
        <v>51</v>
      </c>
      <c r="AM217" s="13">
        <f t="shared" si="41"/>
        <v>0</v>
      </c>
      <c r="AN217" s="18">
        <v>4</v>
      </c>
      <c r="AO217" s="18">
        <v>0</v>
      </c>
      <c r="AP217" s="18">
        <v>0</v>
      </c>
      <c r="AQ217" s="18">
        <v>0</v>
      </c>
      <c r="AR217" s="18">
        <f t="shared" si="42"/>
        <v>4</v>
      </c>
      <c r="AS217" t="s">
        <v>52</v>
      </c>
      <c r="AT217" s="9" t="s">
        <v>848</v>
      </c>
      <c r="AU217" s="30">
        <f>+((Z217*AN217)/AR217)</f>
        <v>79.72999999999999</v>
      </c>
    </row>
    <row r="218" spans="1:47" hidden="1" x14ac:dyDescent="0.25">
      <c r="A218" t="s">
        <v>46</v>
      </c>
      <c r="B218" t="s">
        <v>849</v>
      </c>
      <c r="C218" t="s">
        <v>850</v>
      </c>
      <c r="D218" t="s">
        <v>851</v>
      </c>
      <c r="E218" s="11">
        <v>20</v>
      </c>
      <c r="F218" s="11">
        <v>19.329999999999998</v>
      </c>
      <c r="G218" s="11">
        <v>47.2</v>
      </c>
      <c r="H218" s="11">
        <v>5.5</v>
      </c>
      <c r="I218" s="13">
        <f t="shared" si="34"/>
        <v>92.03</v>
      </c>
      <c r="J218" s="11">
        <v>0</v>
      </c>
      <c r="K218" s="11">
        <v>0</v>
      </c>
      <c r="L218" s="11">
        <v>0</v>
      </c>
      <c r="M218" s="13">
        <f t="shared" si="35"/>
        <v>0</v>
      </c>
      <c r="N218" s="11">
        <v>0</v>
      </c>
      <c r="O218" s="11">
        <v>0</v>
      </c>
      <c r="P218" s="11">
        <v>0</v>
      </c>
      <c r="Q218" s="11">
        <v>0</v>
      </c>
      <c r="R218" s="13">
        <f t="shared" si="36"/>
        <v>0</v>
      </c>
      <c r="S218">
        <v>0</v>
      </c>
      <c r="T218">
        <v>0</v>
      </c>
      <c r="U218" s="7">
        <f t="shared" si="37"/>
        <v>0</v>
      </c>
      <c r="V218">
        <v>0</v>
      </c>
      <c r="W218">
        <v>0</v>
      </c>
      <c r="X218">
        <v>0</v>
      </c>
      <c r="Y218">
        <v>0</v>
      </c>
      <c r="Z218" s="13">
        <f t="shared" si="38"/>
        <v>0</v>
      </c>
      <c r="AA218">
        <v>0</v>
      </c>
      <c r="AB218">
        <v>0</v>
      </c>
      <c r="AC218">
        <v>0</v>
      </c>
      <c r="AD218">
        <v>0</v>
      </c>
      <c r="AE218" s="7">
        <f t="shared" si="39"/>
        <v>0</v>
      </c>
      <c r="AF218">
        <v>0</v>
      </c>
      <c r="AG218">
        <v>0</v>
      </c>
      <c r="AH218">
        <v>0</v>
      </c>
      <c r="AI218" s="13">
        <f t="shared" si="40"/>
        <v>0</v>
      </c>
      <c r="AJ218" s="11" t="s">
        <v>51</v>
      </c>
      <c r="AK218" s="11" t="s">
        <v>51</v>
      </c>
      <c r="AL218" s="11" t="s">
        <v>51</v>
      </c>
      <c r="AM218" s="13">
        <f t="shared" si="41"/>
        <v>0</v>
      </c>
      <c r="AN218" s="18">
        <v>9</v>
      </c>
      <c r="AO218" s="18">
        <v>0</v>
      </c>
      <c r="AP218" s="18">
        <v>0</v>
      </c>
      <c r="AQ218" s="18">
        <v>0</v>
      </c>
      <c r="AR218" s="18">
        <f t="shared" si="42"/>
        <v>9</v>
      </c>
      <c r="AS218" t="s">
        <v>52</v>
      </c>
      <c r="AT218" s="9" t="s">
        <v>852</v>
      </c>
      <c r="AU218" s="30">
        <f>+((AN218*I218)+(AO218*AE218)+(AQ218*AI218)+(AP218*AM218))/AR218</f>
        <v>92.03</v>
      </c>
    </row>
    <row r="219" spans="1:47" hidden="1" x14ac:dyDescent="0.25">
      <c r="A219" t="s">
        <v>46</v>
      </c>
      <c r="B219" t="s">
        <v>853</v>
      </c>
      <c r="C219" t="s">
        <v>854</v>
      </c>
      <c r="D219" t="s">
        <v>855</v>
      </c>
      <c r="E219" s="11">
        <v>0</v>
      </c>
      <c r="F219" s="11">
        <v>25</v>
      </c>
      <c r="G219" s="11">
        <v>52.175000000000004</v>
      </c>
      <c r="H219" s="11">
        <v>3.125</v>
      </c>
      <c r="I219" s="13">
        <f t="shared" si="34"/>
        <v>80.300000000000011</v>
      </c>
      <c r="J219" s="11">
        <v>0</v>
      </c>
      <c r="K219" s="11">
        <v>0</v>
      </c>
      <c r="L219" s="11">
        <v>0</v>
      </c>
      <c r="M219" s="13">
        <f t="shared" si="35"/>
        <v>0</v>
      </c>
      <c r="N219" s="11">
        <v>55.5625</v>
      </c>
      <c r="O219" s="11">
        <v>3.125</v>
      </c>
      <c r="P219" s="11">
        <v>25</v>
      </c>
      <c r="Q219" s="11">
        <v>0</v>
      </c>
      <c r="R219" s="13">
        <f t="shared" si="36"/>
        <v>83.6875</v>
      </c>
      <c r="S219">
        <v>0</v>
      </c>
      <c r="T219">
        <v>0</v>
      </c>
      <c r="U219" s="7">
        <f t="shared" si="37"/>
        <v>0</v>
      </c>
      <c r="V219">
        <v>0</v>
      </c>
      <c r="W219">
        <v>0</v>
      </c>
      <c r="X219">
        <v>0</v>
      </c>
      <c r="Y219">
        <v>0</v>
      </c>
      <c r="Z219" s="13">
        <f t="shared" si="38"/>
        <v>0</v>
      </c>
      <c r="AA219">
        <v>15</v>
      </c>
      <c r="AB219">
        <v>21.25</v>
      </c>
      <c r="AC219">
        <v>13.12</v>
      </c>
      <c r="AD219">
        <v>18.75</v>
      </c>
      <c r="AE219" s="7">
        <f t="shared" si="39"/>
        <v>68.12</v>
      </c>
      <c r="AF219">
        <v>0</v>
      </c>
      <c r="AG219">
        <v>0</v>
      </c>
      <c r="AH219">
        <v>0</v>
      </c>
      <c r="AI219" s="13">
        <f t="shared" si="40"/>
        <v>0</v>
      </c>
      <c r="AJ219" s="11" t="s">
        <v>51</v>
      </c>
      <c r="AK219" s="11" t="s">
        <v>51</v>
      </c>
      <c r="AL219" s="11" t="s">
        <v>51</v>
      </c>
      <c r="AM219" s="13">
        <f t="shared" si="41"/>
        <v>0</v>
      </c>
      <c r="AN219" s="18">
        <v>32</v>
      </c>
      <c r="AO219" s="18">
        <v>5</v>
      </c>
      <c r="AP219" s="18">
        <v>0</v>
      </c>
      <c r="AQ219" s="18">
        <v>0</v>
      </c>
      <c r="AR219" s="18">
        <f t="shared" si="42"/>
        <v>37</v>
      </c>
      <c r="AS219" t="s">
        <v>52</v>
      </c>
      <c r="AT219" s="9" t="s">
        <v>856</v>
      </c>
      <c r="AU219" s="30">
        <f>+((AN219*I219)+(AO219*AE219)+(AQ219*AI219)+(AP219*AM219))/AR219</f>
        <v>78.654054054054058</v>
      </c>
    </row>
    <row r="220" spans="1:47" hidden="1" x14ac:dyDescent="0.25">
      <c r="A220" s="33" t="s">
        <v>46</v>
      </c>
      <c r="B220" s="32" t="s">
        <v>853</v>
      </c>
      <c r="C220" s="32" t="s">
        <v>854</v>
      </c>
      <c r="D220" s="32" t="s">
        <v>855</v>
      </c>
      <c r="E220" s="11">
        <v>0</v>
      </c>
      <c r="F220" s="11">
        <v>25</v>
      </c>
      <c r="G220" s="11">
        <v>52.175000000000004</v>
      </c>
      <c r="H220" s="11">
        <v>3.125</v>
      </c>
      <c r="I220" s="13">
        <f t="shared" si="34"/>
        <v>80.300000000000011</v>
      </c>
      <c r="J220" s="11">
        <v>0</v>
      </c>
      <c r="K220" s="11">
        <v>0</v>
      </c>
      <c r="L220" s="11">
        <v>0</v>
      </c>
      <c r="M220" s="13">
        <f t="shared" si="35"/>
        <v>0</v>
      </c>
      <c r="N220" s="11">
        <v>55.5625</v>
      </c>
      <c r="O220" s="11">
        <v>3.125</v>
      </c>
      <c r="P220" s="11">
        <v>25</v>
      </c>
      <c r="Q220" s="11">
        <v>0</v>
      </c>
      <c r="R220" s="13">
        <f t="shared" si="36"/>
        <v>83.6875</v>
      </c>
      <c r="S220">
        <v>0</v>
      </c>
      <c r="T220">
        <v>0</v>
      </c>
      <c r="U220" s="7">
        <f t="shared" si="37"/>
        <v>0</v>
      </c>
      <c r="V220">
        <v>0</v>
      </c>
      <c r="W220">
        <v>0</v>
      </c>
      <c r="X220">
        <v>0</v>
      </c>
      <c r="Y220">
        <v>0</v>
      </c>
      <c r="Z220" s="13">
        <f t="shared" si="38"/>
        <v>0</v>
      </c>
      <c r="AA220">
        <v>15</v>
      </c>
      <c r="AB220">
        <v>21.25</v>
      </c>
      <c r="AC220">
        <v>13.12</v>
      </c>
      <c r="AD220">
        <v>18.75</v>
      </c>
      <c r="AE220" s="7">
        <f t="shared" si="39"/>
        <v>68.12</v>
      </c>
      <c r="AF220">
        <v>0</v>
      </c>
      <c r="AG220">
        <v>0</v>
      </c>
      <c r="AH220">
        <v>0</v>
      </c>
      <c r="AI220" s="13">
        <f t="shared" si="40"/>
        <v>0</v>
      </c>
      <c r="AJ220" s="11" t="s">
        <v>51</v>
      </c>
      <c r="AK220" s="11" t="s">
        <v>51</v>
      </c>
      <c r="AL220" s="11" t="s">
        <v>51</v>
      </c>
      <c r="AM220" s="13">
        <f t="shared" si="41"/>
        <v>0</v>
      </c>
      <c r="AN220" s="18">
        <v>3</v>
      </c>
      <c r="AO220" s="18">
        <v>0</v>
      </c>
      <c r="AP220" s="18">
        <v>0</v>
      </c>
      <c r="AQ220" s="18">
        <v>0</v>
      </c>
      <c r="AR220" s="18">
        <f t="shared" si="42"/>
        <v>3</v>
      </c>
      <c r="AS220" t="s">
        <v>117</v>
      </c>
      <c r="AT220" s="9" t="s">
        <v>692</v>
      </c>
      <c r="AU220" s="11">
        <f>+((AN220*R220)+(AQ220*AI220)+(AP220*AM220))/AR220</f>
        <v>83.6875</v>
      </c>
    </row>
    <row r="221" spans="1:47" hidden="1" x14ac:dyDescent="0.25">
      <c r="A221" t="s">
        <v>46</v>
      </c>
      <c r="B221" t="s">
        <v>857</v>
      </c>
      <c r="C221" t="s">
        <v>858</v>
      </c>
      <c r="D221" t="s">
        <v>859</v>
      </c>
      <c r="E221" s="11">
        <v>18.670000000000002</v>
      </c>
      <c r="F221" s="11">
        <v>18</v>
      </c>
      <c r="G221" s="11">
        <v>45.08</v>
      </c>
      <c r="H221" s="11">
        <v>4.5</v>
      </c>
      <c r="I221" s="13">
        <f t="shared" si="34"/>
        <v>86.25</v>
      </c>
      <c r="J221" s="11">
        <v>0</v>
      </c>
      <c r="K221" s="11">
        <v>0</v>
      </c>
      <c r="L221" s="11">
        <v>0</v>
      </c>
      <c r="M221" s="13">
        <f t="shared" si="35"/>
        <v>0</v>
      </c>
      <c r="N221" s="11">
        <v>0</v>
      </c>
      <c r="O221" s="11">
        <v>0</v>
      </c>
      <c r="P221" s="11">
        <v>0</v>
      </c>
      <c r="Q221" s="11">
        <v>0</v>
      </c>
      <c r="R221" s="13">
        <f t="shared" si="36"/>
        <v>0</v>
      </c>
      <c r="S221">
        <v>0</v>
      </c>
      <c r="T221">
        <v>0</v>
      </c>
      <c r="U221" s="7">
        <f t="shared" si="37"/>
        <v>0</v>
      </c>
      <c r="V221">
        <v>0</v>
      </c>
      <c r="W221">
        <v>0</v>
      </c>
      <c r="X221">
        <v>0</v>
      </c>
      <c r="Y221">
        <v>0</v>
      </c>
      <c r="Z221" s="13">
        <f t="shared" si="38"/>
        <v>0</v>
      </c>
      <c r="AA221">
        <v>3.75</v>
      </c>
      <c r="AB221">
        <v>21.25</v>
      </c>
      <c r="AC221">
        <v>13.5</v>
      </c>
      <c r="AD221">
        <v>8.75</v>
      </c>
      <c r="AE221" s="7">
        <f t="shared" si="39"/>
        <v>47.25</v>
      </c>
      <c r="AF221">
        <v>0</v>
      </c>
      <c r="AG221">
        <v>0</v>
      </c>
      <c r="AH221">
        <v>0</v>
      </c>
      <c r="AI221" s="13">
        <f t="shared" si="40"/>
        <v>0</v>
      </c>
      <c r="AJ221" s="11" t="s">
        <v>51</v>
      </c>
      <c r="AK221" s="11" t="s">
        <v>51</v>
      </c>
      <c r="AL221" s="11" t="s">
        <v>51</v>
      </c>
      <c r="AM221" s="13">
        <f t="shared" si="41"/>
        <v>0</v>
      </c>
      <c r="AN221" s="18">
        <v>35</v>
      </c>
      <c r="AO221" s="18">
        <v>5</v>
      </c>
      <c r="AP221" s="18">
        <v>0</v>
      </c>
      <c r="AQ221" s="18">
        <v>0</v>
      </c>
      <c r="AR221" s="18">
        <f t="shared" si="42"/>
        <v>40</v>
      </c>
      <c r="AS221" t="s">
        <v>52</v>
      </c>
      <c r="AT221" s="9" t="s">
        <v>860</v>
      </c>
      <c r="AU221" s="30">
        <f>+((AN221*I221)+(AO221*AE221)+(AQ221*AI221)+(AP221*AM221))/AR221</f>
        <v>81.375</v>
      </c>
    </row>
    <row r="222" spans="1:47" hidden="1" x14ac:dyDescent="0.25">
      <c r="A222" t="s">
        <v>46</v>
      </c>
      <c r="B222" t="s">
        <v>861</v>
      </c>
      <c r="C222" t="s">
        <v>862</v>
      </c>
      <c r="D222" t="s">
        <v>863</v>
      </c>
      <c r="E222" s="11">
        <v>20</v>
      </c>
      <c r="F222" s="11">
        <v>20</v>
      </c>
      <c r="G222" s="11">
        <v>47.88</v>
      </c>
      <c r="H222" s="11">
        <v>5</v>
      </c>
      <c r="I222" s="13">
        <f t="shared" si="34"/>
        <v>92.88</v>
      </c>
      <c r="J222" s="11">
        <v>0</v>
      </c>
      <c r="K222" s="11">
        <v>0</v>
      </c>
      <c r="L222" s="11">
        <v>0</v>
      </c>
      <c r="M222" s="13">
        <f t="shared" si="35"/>
        <v>0</v>
      </c>
      <c r="N222" s="11">
        <v>0</v>
      </c>
      <c r="O222" s="11">
        <v>0</v>
      </c>
      <c r="P222" s="11">
        <v>0</v>
      </c>
      <c r="Q222" s="11">
        <v>0</v>
      </c>
      <c r="R222" s="13">
        <f t="shared" si="36"/>
        <v>0</v>
      </c>
      <c r="S222">
        <v>0</v>
      </c>
      <c r="T222">
        <v>0</v>
      </c>
      <c r="U222" s="7">
        <f t="shared" si="37"/>
        <v>0</v>
      </c>
      <c r="V222">
        <v>0</v>
      </c>
      <c r="W222">
        <v>0</v>
      </c>
      <c r="X222">
        <v>0</v>
      </c>
      <c r="Y222">
        <v>0</v>
      </c>
      <c r="Z222" s="13">
        <f t="shared" si="38"/>
        <v>0</v>
      </c>
      <c r="AA222">
        <v>0</v>
      </c>
      <c r="AB222">
        <v>0</v>
      </c>
      <c r="AC222">
        <v>0</v>
      </c>
      <c r="AD222">
        <v>0</v>
      </c>
      <c r="AE222" s="7">
        <f t="shared" si="39"/>
        <v>0</v>
      </c>
      <c r="AF222">
        <v>50</v>
      </c>
      <c r="AG222">
        <v>20</v>
      </c>
      <c r="AH222">
        <v>24.56</v>
      </c>
      <c r="AI222" s="13">
        <f t="shared" si="40"/>
        <v>94.56</v>
      </c>
      <c r="AJ222" s="11" t="s">
        <v>51</v>
      </c>
      <c r="AK222" s="11" t="s">
        <v>51</v>
      </c>
      <c r="AL222" s="11" t="s">
        <v>51</v>
      </c>
      <c r="AM222" s="13">
        <f t="shared" si="41"/>
        <v>0</v>
      </c>
      <c r="AN222" s="18">
        <v>32</v>
      </c>
      <c r="AO222" s="18">
        <v>0</v>
      </c>
      <c r="AP222" s="18">
        <v>0</v>
      </c>
      <c r="AQ222" s="18">
        <v>8</v>
      </c>
      <c r="AR222" s="18">
        <f t="shared" si="42"/>
        <v>40</v>
      </c>
      <c r="AS222" t="s">
        <v>52</v>
      </c>
      <c r="AT222" s="9" t="s">
        <v>864</v>
      </c>
      <c r="AU222" s="30">
        <f>+((AN222*I222)+(AO222*AE222)+(AQ222*AI222)+(AP222*AM222))/AR222</f>
        <v>93.215999999999994</v>
      </c>
    </row>
    <row r="223" spans="1:47" hidden="1" x14ac:dyDescent="0.25">
      <c r="A223" t="s">
        <v>46</v>
      </c>
      <c r="B223" t="s">
        <v>865</v>
      </c>
      <c r="C223" t="s">
        <v>866</v>
      </c>
      <c r="D223" t="s">
        <v>867</v>
      </c>
      <c r="E223" s="11">
        <v>22.087499999999999</v>
      </c>
      <c r="F223" s="11">
        <v>0</v>
      </c>
      <c r="G223" s="11">
        <v>59.3125</v>
      </c>
      <c r="H223" s="11">
        <v>7.5</v>
      </c>
      <c r="I223" s="13">
        <f t="shared" si="34"/>
        <v>88.9</v>
      </c>
      <c r="J223" s="11">
        <v>0</v>
      </c>
      <c r="K223" s="11">
        <v>0</v>
      </c>
      <c r="L223" s="11">
        <v>0</v>
      </c>
      <c r="M223" s="13">
        <f t="shared" si="35"/>
        <v>0</v>
      </c>
      <c r="N223" s="11">
        <v>0</v>
      </c>
      <c r="O223" s="11">
        <v>0</v>
      </c>
      <c r="P223" s="11">
        <v>0</v>
      </c>
      <c r="Q223" s="11">
        <v>0</v>
      </c>
      <c r="R223" s="13">
        <f t="shared" si="36"/>
        <v>0</v>
      </c>
      <c r="S223">
        <v>0</v>
      </c>
      <c r="T223">
        <v>0</v>
      </c>
      <c r="U223" s="7">
        <f t="shared" si="37"/>
        <v>0</v>
      </c>
      <c r="V223">
        <v>0</v>
      </c>
      <c r="W223">
        <v>0</v>
      </c>
      <c r="X223">
        <v>0</v>
      </c>
      <c r="Y223">
        <v>0</v>
      </c>
      <c r="Z223" s="13">
        <f t="shared" si="38"/>
        <v>0</v>
      </c>
      <c r="AA223" s="35">
        <v>0</v>
      </c>
      <c r="AB223" s="35">
        <v>58.82352941176471</v>
      </c>
      <c r="AC223" s="35">
        <v>17.647058823529413</v>
      </c>
      <c r="AD223" s="35">
        <v>23.529411764705877</v>
      </c>
      <c r="AE223" s="7">
        <f t="shared" si="39"/>
        <v>100</v>
      </c>
      <c r="AF223">
        <v>41.66</v>
      </c>
      <c r="AG223">
        <v>18</v>
      </c>
      <c r="AH223">
        <v>26.04</v>
      </c>
      <c r="AI223" s="13">
        <f t="shared" si="40"/>
        <v>85.699999999999989</v>
      </c>
      <c r="AJ223" s="11" t="s">
        <v>51</v>
      </c>
      <c r="AK223" s="11" t="s">
        <v>51</v>
      </c>
      <c r="AL223" s="11" t="s">
        <v>51</v>
      </c>
      <c r="AM223" s="13">
        <f t="shared" si="41"/>
        <v>0</v>
      </c>
      <c r="AN223" s="18">
        <v>27</v>
      </c>
      <c r="AO223" s="18">
        <v>5</v>
      </c>
      <c r="AP223" s="18">
        <v>0</v>
      </c>
      <c r="AQ223" s="18">
        <v>8</v>
      </c>
      <c r="AR223" s="18">
        <f t="shared" si="42"/>
        <v>40</v>
      </c>
      <c r="AS223" t="s">
        <v>52</v>
      </c>
      <c r="AT223" s="9" t="s">
        <v>868</v>
      </c>
      <c r="AU223" s="30">
        <f>+((AN223*I223)+(AO223*AE223)+(AQ223*AI223)+(AP223*AM223))/AR223</f>
        <v>89.647500000000008</v>
      </c>
    </row>
    <row r="224" spans="1:47" s="25" customFormat="1" hidden="1" x14ac:dyDescent="0.25">
      <c r="A224" s="25" t="s">
        <v>46</v>
      </c>
      <c r="B224" s="25" t="s">
        <v>869</v>
      </c>
      <c r="C224" s="25" t="s">
        <v>870</v>
      </c>
      <c r="D224" s="25" t="s">
        <v>871</v>
      </c>
      <c r="E224" s="26">
        <v>0</v>
      </c>
      <c r="F224" s="26">
        <v>0</v>
      </c>
      <c r="G224" s="26">
        <v>0</v>
      </c>
      <c r="H224" s="26">
        <v>0</v>
      </c>
      <c r="I224" s="13">
        <f t="shared" si="34"/>
        <v>0</v>
      </c>
      <c r="J224" s="26">
        <v>0</v>
      </c>
      <c r="K224" s="26">
        <v>0</v>
      </c>
      <c r="L224" s="26">
        <v>0</v>
      </c>
      <c r="M224" s="13">
        <f t="shared" si="35"/>
        <v>0</v>
      </c>
      <c r="N224" s="26">
        <v>0</v>
      </c>
      <c r="O224" s="26">
        <v>0</v>
      </c>
      <c r="P224" s="26">
        <v>0</v>
      </c>
      <c r="Q224" s="26">
        <v>0</v>
      </c>
      <c r="R224" s="13">
        <f t="shared" si="36"/>
        <v>0</v>
      </c>
      <c r="S224" s="25">
        <v>48.73</v>
      </c>
      <c r="T224" s="25">
        <v>30</v>
      </c>
      <c r="U224" s="7">
        <f t="shared" si="37"/>
        <v>78.72999999999999</v>
      </c>
      <c r="V224" s="25">
        <v>4</v>
      </c>
      <c r="W224" s="25">
        <v>19.670000000000002</v>
      </c>
      <c r="X224" s="25">
        <v>37.159999999999997</v>
      </c>
      <c r="Y224" s="25">
        <v>20</v>
      </c>
      <c r="Z224" s="13">
        <f t="shared" si="38"/>
        <v>80.83</v>
      </c>
      <c r="AA224" s="25">
        <v>0</v>
      </c>
      <c r="AB224" s="25">
        <v>0</v>
      </c>
      <c r="AC224" s="25">
        <v>0</v>
      </c>
      <c r="AD224" s="25">
        <v>0</v>
      </c>
      <c r="AE224" s="7">
        <f t="shared" si="39"/>
        <v>0</v>
      </c>
      <c r="AF224" s="25">
        <v>0</v>
      </c>
      <c r="AG224" s="25">
        <v>0</v>
      </c>
      <c r="AH224" s="25">
        <v>0</v>
      </c>
      <c r="AI224" s="13">
        <f t="shared" si="40"/>
        <v>0</v>
      </c>
      <c r="AJ224" s="26" t="s">
        <v>51</v>
      </c>
      <c r="AK224" s="26" t="s">
        <v>51</v>
      </c>
      <c r="AL224" s="26" t="s">
        <v>51</v>
      </c>
      <c r="AM224" s="13">
        <f t="shared" si="41"/>
        <v>0</v>
      </c>
      <c r="AN224" s="23">
        <v>8</v>
      </c>
      <c r="AO224" s="23">
        <v>0</v>
      </c>
      <c r="AP224" s="23">
        <v>0</v>
      </c>
      <c r="AQ224" s="23">
        <v>0</v>
      </c>
      <c r="AR224" s="18">
        <f t="shared" si="42"/>
        <v>8</v>
      </c>
      <c r="AS224" s="25" t="s">
        <v>52</v>
      </c>
      <c r="AT224" s="29" t="s">
        <v>872</v>
      </c>
      <c r="AU224" s="37">
        <f>+(((4*U224)+(Z224*4))/AN224)</f>
        <v>79.78</v>
      </c>
    </row>
    <row r="225" spans="1:47" hidden="1" x14ac:dyDescent="0.25">
      <c r="A225" t="s">
        <v>46</v>
      </c>
      <c r="B225" t="s">
        <v>873</v>
      </c>
      <c r="C225" t="s">
        <v>874</v>
      </c>
      <c r="D225" t="s">
        <v>875</v>
      </c>
      <c r="E225" s="11">
        <v>20</v>
      </c>
      <c r="F225" s="11">
        <v>20</v>
      </c>
      <c r="G225" s="11">
        <v>44.52</v>
      </c>
      <c r="H225" s="11">
        <v>4.5</v>
      </c>
      <c r="I225" s="13">
        <f t="shared" si="34"/>
        <v>89.02000000000001</v>
      </c>
      <c r="J225" s="11">
        <v>0</v>
      </c>
      <c r="K225" s="11">
        <v>0</v>
      </c>
      <c r="L225" s="11">
        <v>0</v>
      </c>
      <c r="M225" s="13">
        <f t="shared" si="35"/>
        <v>0</v>
      </c>
      <c r="N225" s="11">
        <v>0</v>
      </c>
      <c r="O225" s="11">
        <v>0</v>
      </c>
      <c r="P225" s="11">
        <v>0</v>
      </c>
      <c r="Q225" s="11">
        <v>0</v>
      </c>
      <c r="R225" s="13">
        <f t="shared" si="36"/>
        <v>0</v>
      </c>
      <c r="S225">
        <v>0</v>
      </c>
      <c r="T225">
        <v>0</v>
      </c>
      <c r="U225" s="7">
        <f t="shared" si="37"/>
        <v>0</v>
      </c>
      <c r="V225">
        <v>0</v>
      </c>
      <c r="W225">
        <v>0</v>
      </c>
      <c r="X225">
        <v>0</v>
      </c>
      <c r="Y225">
        <v>0</v>
      </c>
      <c r="Z225" s="13">
        <f t="shared" si="38"/>
        <v>0</v>
      </c>
      <c r="AA225">
        <v>15</v>
      </c>
      <c r="AB225">
        <v>50</v>
      </c>
      <c r="AC225">
        <v>15</v>
      </c>
      <c r="AD225">
        <v>13.75</v>
      </c>
      <c r="AE225" s="7">
        <f t="shared" si="39"/>
        <v>93.75</v>
      </c>
      <c r="AF225">
        <v>0</v>
      </c>
      <c r="AG225">
        <v>0</v>
      </c>
      <c r="AH225">
        <v>0</v>
      </c>
      <c r="AI225" s="13">
        <f t="shared" si="40"/>
        <v>0</v>
      </c>
      <c r="AJ225" s="11" t="s">
        <v>51</v>
      </c>
      <c r="AK225" s="11" t="s">
        <v>51</v>
      </c>
      <c r="AL225" s="11" t="s">
        <v>51</v>
      </c>
      <c r="AM225" s="13">
        <f t="shared" si="41"/>
        <v>0</v>
      </c>
      <c r="AN225" s="18">
        <v>15</v>
      </c>
      <c r="AO225" s="18">
        <v>5</v>
      </c>
      <c r="AP225" s="18">
        <v>0</v>
      </c>
      <c r="AQ225" s="18">
        <v>0</v>
      </c>
      <c r="AR225" s="18">
        <f t="shared" si="42"/>
        <v>20</v>
      </c>
      <c r="AS225" t="s">
        <v>52</v>
      </c>
      <c r="AT225" s="9" t="s">
        <v>876</v>
      </c>
      <c r="AU225" s="30">
        <f>+((AN225*I225)+(AO225*AE225)+(AQ225*AI225)+(AP225*AM225))/AR225</f>
        <v>90.202500000000015</v>
      </c>
    </row>
    <row r="226" spans="1:47" hidden="1" x14ac:dyDescent="0.25">
      <c r="A226" t="s">
        <v>46</v>
      </c>
      <c r="B226" t="s">
        <v>877</v>
      </c>
      <c r="C226" t="s">
        <v>878</v>
      </c>
      <c r="D226" t="s">
        <v>879</v>
      </c>
      <c r="E226" s="11">
        <v>0</v>
      </c>
      <c r="F226" s="11">
        <v>21.25</v>
      </c>
      <c r="G226" s="11">
        <v>48.274999999999999</v>
      </c>
      <c r="H226" s="11">
        <v>3.75</v>
      </c>
      <c r="I226" s="13">
        <f t="shared" si="34"/>
        <v>73.275000000000006</v>
      </c>
      <c r="J226" s="11">
        <v>0</v>
      </c>
      <c r="K226" s="11">
        <v>0</v>
      </c>
      <c r="L226" s="11">
        <v>0</v>
      </c>
      <c r="M226" s="13">
        <f t="shared" si="35"/>
        <v>0</v>
      </c>
      <c r="N226" s="11">
        <v>0</v>
      </c>
      <c r="O226" s="11">
        <v>0</v>
      </c>
      <c r="P226" s="11">
        <v>0</v>
      </c>
      <c r="Q226" s="11">
        <v>0</v>
      </c>
      <c r="R226" s="13">
        <f t="shared" si="36"/>
        <v>0</v>
      </c>
      <c r="S226">
        <v>0</v>
      </c>
      <c r="T226">
        <v>0</v>
      </c>
      <c r="U226" s="7">
        <f t="shared" si="37"/>
        <v>0</v>
      </c>
      <c r="V226">
        <v>0</v>
      </c>
      <c r="W226">
        <v>0</v>
      </c>
      <c r="X226">
        <v>0</v>
      </c>
      <c r="Y226">
        <v>0</v>
      </c>
      <c r="Z226" s="13">
        <f t="shared" si="38"/>
        <v>0</v>
      </c>
      <c r="AA226">
        <v>0</v>
      </c>
      <c r="AB226">
        <v>0</v>
      </c>
      <c r="AC226">
        <v>0</v>
      </c>
      <c r="AD226">
        <v>0</v>
      </c>
      <c r="AE226" s="7">
        <f t="shared" si="39"/>
        <v>0</v>
      </c>
      <c r="AF226">
        <v>0</v>
      </c>
      <c r="AG226">
        <v>0</v>
      </c>
      <c r="AH226">
        <v>0</v>
      </c>
      <c r="AI226" s="13">
        <f t="shared" si="40"/>
        <v>0</v>
      </c>
      <c r="AJ226" s="11" t="s">
        <v>51</v>
      </c>
      <c r="AK226" s="11" t="s">
        <v>51</v>
      </c>
      <c r="AL226" s="11" t="s">
        <v>51</v>
      </c>
      <c r="AM226" s="13">
        <f t="shared" si="41"/>
        <v>0</v>
      </c>
      <c r="AN226" s="18">
        <v>10</v>
      </c>
      <c r="AO226" s="18">
        <v>0</v>
      </c>
      <c r="AP226" s="18">
        <v>0</v>
      </c>
      <c r="AQ226" s="18">
        <v>0</v>
      </c>
      <c r="AR226" s="18">
        <f t="shared" si="42"/>
        <v>10</v>
      </c>
      <c r="AS226" t="s">
        <v>52</v>
      </c>
      <c r="AT226" s="9" t="s">
        <v>880</v>
      </c>
      <c r="AU226" s="30">
        <f>+((AN226*I226)+(AO226*AE226)+(AQ226*AI226)+(AP226*AM226))/AR226</f>
        <v>73.275000000000006</v>
      </c>
    </row>
    <row r="227" spans="1:47" hidden="1" x14ac:dyDescent="0.25">
      <c r="A227" t="s">
        <v>46</v>
      </c>
      <c r="B227" t="s">
        <v>881</v>
      </c>
      <c r="C227" t="s">
        <v>878</v>
      </c>
      <c r="D227" t="s">
        <v>882</v>
      </c>
      <c r="E227" s="11">
        <v>24.285714285714285</v>
      </c>
      <c r="F227" s="11">
        <v>0</v>
      </c>
      <c r="G227" s="11">
        <v>62.5</v>
      </c>
      <c r="H227" s="11">
        <v>0</v>
      </c>
      <c r="I227" s="13">
        <f t="shared" si="34"/>
        <v>86.785714285714278</v>
      </c>
      <c r="J227" s="11">
        <v>0</v>
      </c>
      <c r="K227" s="11">
        <v>0</v>
      </c>
      <c r="L227" s="11">
        <v>0</v>
      </c>
      <c r="M227" s="13">
        <f t="shared" si="35"/>
        <v>0</v>
      </c>
      <c r="N227" s="11">
        <v>0</v>
      </c>
      <c r="O227" s="11">
        <v>0</v>
      </c>
      <c r="P227" s="11">
        <v>0</v>
      </c>
      <c r="Q227" s="11">
        <v>0</v>
      </c>
      <c r="R227" s="13">
        <f t="shared" si="36"/>
        <v>0</v>
      </c>
      <c r="S227">
        <v>0</v>
      </c>
      <c r="T227">
        <v>0</v>
      </c>
      <c r="U227" s="7">
        <f t="shared" si="37"/>
        <v>0</v>
      </c>
      <c r="V227">
        <v>0</v>
      </c>
      <c r="W227">
        <v>0</v>
      </c>
      <c r="X227">
        <v>0</v>
      </c>
      <c r="Y227">
        <v>0</v>
      </c>
      <c r="Z227" s="13">
        <f t="shared" si="38"/>
        <v>0</v>
      </c>
      <c r="AA227">
        <v>0</v>
      </c>
      <c r="AB227">
        <v>0</v>
      </c>
      <c r="AC227">
        <v>0</v>
      </c>
      <c r="AD227">
        <v>0</v>
      </c>
      <c r="AE227" s="7">
        <f t="shared" si="39"/>
        <v>0</v>
      </c>
      <c r="AF227">
        <v>0</v>
      </c>
      <c r="AG227">
        <v>0</v>
      </c>
      <c r="AH227">
        <v>0</v>
      </c>
      <c r="AI227" s="13">
        <f t="shared" si="40"/>
        <v>0</v>
      </c>
      <c r="AJ227" s="11" t="s">
        <v>51</v>
      </c>
      <c r="AK227" s="11" t="s">
        <v>51</v>
      </c>
      <c r="AL227" s="11" t="s">
        <v>51</v>
      </c>
      <c r="AM227" s="13">
        <f t="shared" si="41"/>
        <v>0</v>
      </c>
      <c r="AN227" s="18">
        <v>7</v>
      </c>
      <c r="AO227" s="18">
        <v>0</v>
      </c>
      <c r="AP227" s="18">
        <v>0</v>
      </c>
      <c r="AQ227" s="18">
        <v>0</v>
      </c>
      <c r="AR227" s="18">
        <f t="shared" si="42"/>
        <v>7</v>
      </c>
      <c r="AS227" t="s">
        <v>52</v>
      </c>
      <c r="AT227" s="9" t="s">
        <v>883</v>
      </c>
      <c r="AU227" s="30">
        <f>+((AN227*I227)+(AO227*AE227)+(AQ227*AI227)+(AP227*AM227))/AR227</f>
        <v>86.785714285714292</v>
      </c>
    </row>
    <row r="228" spans="1:47" hidden="1" x14ac:dyDescent="0.25">
      <c r="A228" t="s">
        <v>46</v>
      </c>
      <c r="B228" t="s">
        <v>884</v>
      </c>
      <c r="C228" t="s">
        <v>878</v>
      </c>
      <c r="D228" t="s">
        <v>885</v>
      </c>
      <c r="E228" s="11">
        <v>0</v>
      </c>
      <c r="F228" s="11">
        <v>0</v>
      </c>
      <c r="G228" s="11">
        <v>0</v>
      </c>
      <c r="H228" s="11">
        <v>0</v>
      </c>
      <c r="I228" s="13">
        <f t="shared" si="34"/>
        <v>0</v>
      </c>
      <c r="J228" s="11">
        <v>46.98</v>
      </c>
      <c r="K228" s="11">
        <v>29.5</v>
      </c>
      <c r="L228" s="11">
        <v>4.5</v>
      </c>
      <c r="M228" s="13">
        <f t="shared" si="35"/>
        <v>80.97999999999999</v>
      </c>
      <c r="N228" s="11">
        <v>0</v>
      </c>
      <c r="O228" s="11">
        <v>0</v>
      </c>
      <c r="P228" s="11">
        <v>0</v>
      </c>
      <c r="Q228" s="11">
        <v>0</v>
      </c>
      <c r="R228" s="13">
        <f t="shared" si="36"/>
        <v>0</v>
      </c>
      <c r="S228">
        <v>0</v>
      </c>
      <c r="T228">
        <v>0</v>
      </c>
      <c r="U228" s="7">
        <f t="shared" si="37"/>
        <v>0</v>
      </c>
      <c r="V228">
        <v>0</v>
      </c>
      <c r="W228">
        <v>0</v>
      </c>
      <c r="X228">
        <v>0</v>
      </c>
      <c r="Y228">
        <v>0</v>
      </c>
      <c r="Z228" s="13">
        <f t="shared" si="38"/>
        <v>0</v>
      </c>
      <c r="AA228">
        <v>0</v>
      </c>
      <c r="AB228">
        <v>0</v>
      </c>
      <c r="AC228">
        <v>0</v>
      </c>
      <c r="AD228">
        <v>0</v>
      </c>
      <c r="AE228" s="7">
        <f t="shared" si="39"/>
        <v>0</v>
      </c>
      <c r="AF228">
        <v>0</v>
      </c>
      <c r="AG228">
        <v>0</v>
      </c>
      <c r="AH228">
        <v>0</v>
      </c>
      <c r="AI228" s="13">
        <f t="shared" si="40"/>
        <v>0</v>
      </c>
      <c r="AJ228" s="11" t="s">
        <v>51</v>
      </c>
      <c r="AK228" s="11" t="s">
        <v>51</v>
      </c>
      <c r="AL228" s="11" t="s">
        <v>51</v>
      </c>
      <c r="AM228" s="13">
        <f t="shared" si="41"/>
        <v>0</v>
      </c>
      <c r="AN228" s="18">
        <v>2</v>
      </c>
      <c r="AO228" s="18">
        <v>0</v>
      </c>
      <c r="AP228" s="18">
        <v>0</v>
      </c>
      <c r="AQ228" s="18">
        <v>0</v>
      </c>
      <c r="AR228" s="18">
        <f t="shared" si="42"/>
        <v>2</v>
      </c>
      <c r="AS228" t="s">
        <v>87</v>
      </c>
      <c r="AT228" s="9" t="s">
        <v>886</v>
      </c>
      <c r="AU228" s="30">
        <f>+((AN228*M228)/AR228)</f>
        <v>80.97999999999999</v>
      </c>
    </row>
    <row r="229" spans="1:47" hidden="1" x14ac:dyDescent="0.25">
      <c r="A229" t="s">
        <v>46</v>
      </c>
      <c r="B229" t="s">
        <v>887</v>
      </c>
      <c r="C229" t="s">
        <v>888</v>
      </c>
      <c r="D229" t="s">
        <v>889</v>
      </c>
      <c r="E229" s="11">
        <v>20</v>
      </c>
      <c r="F229" s="11">
        <v>20</v>
      </c>
      <c r="G229" s="11">
        <v>42.41</v>
      </c>
      <c r="H229" s="11">
        <v>4.5</v>
      </c>
      <c r="I229" s="13">
        <f t="shared" si="34"/>
        <v>86.91</v>
      </c>
      <c r="J229" s="11">
        <v>0</v>
      </c>
      <c r="K229" s="11">
        <v>0</v>
      </c>
      <c r="L229" s="11">
        <v>0</v>
      </c>
      <c r="M229" s="13">
        <f t="shared" si="35"/>
        <v>0</v>
      </c>
      <c r="N229" s="11">
        <v>0</v>
      </c>
      <c r="O229" s="11">
        <v>0</v>
      </c>
      <c r="P229" s="11">
        <v>0</v>
      </c>
      <c r="Q229" s="11">
        <v>0</v>
      </c>
      <c r="R229" s="13">
        <f t="shared" si="36"/>
        <v>0</v>
      </c>
      <c r="S229">
        <v>0</v>
      </c>
      <c r="T229">
        <v>0</v>
      </c>
      <c r="U229" s="7">
        <f t="shared" si="37"/>
        <v>0</v>
      </c>
      <c r="V229">
        <v>0</v>
      </c>
      <c r="W229">
        <v>0</v>
      </c>
      <c r="X229">
        <v>0</v>
      </c>
      <c r="Y229">
        <v>0</v>
      </c>
      <c r="Z229" s="13">
        <f t="shared" si="38"/>
        <v>0</v>
      </c>
      <c r="AA229">
        <v>7.5</v>
      </c>
      <c r="AB229">
        <v>20</v>
      </c>
      <c r="AC229">
        <v>15</v>
      </c>
      <c r="AD229">
        <v>20</v>
      </c>
      <c r="AE229" s="7">
        <f t="shared" si="39"/>
        <v>62.5</v>
      </c>
      <c r="AF229">
        <v>0</v>
      </c>
      <c r="AG229">
        <v>0</v>
      </c>
      <c r="AH229">
        <v>0</v>
      </c>
      <c r="AI229" s="13">
        <f t="shared" si="40"/>
        <v>0</v>
      </c>
      <c r="AJ229" s="11" t="s">
        <v>51</v>
      </c>
      <c r="AK229" s="11" t="s">
        <v>51</v>
      </c>
      <c r="AL229" s="11" t="s">
        <v>51</v>
      </c>
      <c r="AM229" s="13">
        <f t="shared" si="41"/>
        <v>0</v>
      </c>
      <c r="AN229" s="18">
        <v>33.75</v>
      </c>
      <c r="AO229" s="18">
        <v>6.25</v>
      </c>
      <c r="AP229" s="18">
        <v>0</v>
      </c>
      <c r="AQ229" s="18">
        <v>0</v>
      </c>
      <c r="AR229" s="18">
        <f t="shared" si="42"/>
        <v>40</v>
      </c>
      <c r="AS229" t="s">
        <v>52</v>
      </c>
      <c r="AT229" s="9" t="s">
        <v>890</v>
      </c>
      <c r="AU229" s="30">
        <f>+((AN229*I229)+(AO229*AE229)+(AQ229*AI229)+(AP229*AM229))/AR229</f>
        <v>83.095937500000005</v>
      </c>
    </row>
    <row r="230" spans="1:47" s="6" customFormat="1" hidden="1" x14ac:dyDescent="0.25">
      <c r="A230" s="6" t="s">
        <v>46</v>
      </c>
      <c r="B230" s="6" t="s">
        <v>891</v>
      </c>
      <c r="C230" s="6" t="s">
        <v>892</v>
      </c>
      <c r="D230" s="6" t="s">
        <v>893</v>
      </c>
      <c r="E230" s="12"/>
      <c r="F230" s="12"/>
      <c r="G230" s="12"/>
      <c r="H230" s="12"/>
      <c r="I230" s="13">
        <f t="shared" si="34"/>
        <v>0</v>
      </c>
      <c r="J230" s="14">
        <v>79.614285714285714</v>
      </c>
      <c r="K230" s="14"/>
      <c r="L230" s="14">
        <v>3.5714285714285712</v>
      </c>
      <c r="M230" s="13">
        <f t="shared" si="35"/>
        <v>83.185714285714283</v>
      </c>
      <c r="N230" s="12"/>
      <c r="O230" s="12"/>
      <c r="P230" s="12"/>
      <c r="Q230" s="12"/>
      <c r="R230" s="13">
        <f t="shared" si="36"/>
        <v>0</v>
      </c>
      <c r="U230" s="7">
        <f t="shared" si="37"/>
        <v>0</v>
      </c>
      <c r="Z230" s="13">
        <f t="shared" si="38"/>
        <v>0</v>
      </c>
      <c r="AA230" s="6">
        <v>0</v>
      </c>
      <c r="AB230" s="6">
        <v>0</v>
      </c>
      <c r="AC230" s="6">
        <v>0</v>
      </c>
      <c r="AD230" s="6">
        <v>0</v>
      </c>
      <c r="AE230" s="7">
        <f t="shared" si="39"/>
        <v>0</v>
      </c>
      <c r="AF230" s="6">
        <v>0</v>
      </c>
      <c r="AG230" s="6">
        <v>0</v>
      </c>
      <c r="AH230" s="6">
        <v>0</v>
      </c>
      <c r="AI230" s="13">
        <f t="shared" si="40"/>
        <v>0</v>
      </c>
      <c r="AJ230" s="12" t="s">
        <v>51</v>
      </c>
      <c r="AK230" s="12" t="s">
        <v>51</v>
      </c>
      <c r="AL230" s="12" t="s">
        <v>51</v>
      </c>
      <c r="AM230" s="13">
        <f t="shared" si="41"/>
        <v>0</v>
      </c>
      <c r="AN230" s="21">
        <v>1.69</v>
      </c>
      <c r="AO230" s="21">
        <v>0</v>
      </c>
      <c r="AP230" s="21">
        <v>0</v>
      </c>
      <c r="AQ230" s="21">
        <v>0</v>
      </c>
      <c r="AR230" s="18">
        <f t="shared" si="42"/>
        <v>1.69</v>
      </c>
      <c r="AS230" s="6" t="s">
        <v>87</v>
      </c>
      <c r="AT230" s="10" t="s">
        <v>894</v>
      </c>
      <c r="AU230" s="30">
        <f>+((AN230*M230)/AR230)</f>
        <v>83.185714285714283</v>
      </c>
    </row>
    <row r="231" spans="1:47" hidden="1" x14ac:dyDescent="0.25">
      <c r="A231" t="s">
        <v>46</v>
      </c>
      <c r="B231" t="s">
        <v>895</v>
      </c>
      <c r="C231" t="s">
        <v>896</v>
      </c>
      <c r="D231" t="s">
        <v>897</v>
      </c>
      <c r="E231" s="11">
        <v>20</v>
      </c>
      <c r="F231" s="11">
        <v>16.670000000000002</v>
      </c>
      <c r="G231" s="11">
        <v>39.92</v>
      </c>
      <c r="H231" s="11">
        <v>2.5</v>
      </c>
      <c r="I231" s="13">
        <f t="shared" si="34"/>
        <v>79.09</v>
      </c>
      <c r="J231" s="11">
        <v>0</v>
      </c>
      <c r="K231" s="11">
        <v>0</v>
      </c>
      <c r="L231" s="11">
        <v>0</v>
      </c>
      <c r="M231" s="13">
        <f t="shared" si="35"/>
        <v>0</v>
      </c>
      <c r="N231" s="11">
        <v>0</v>
      </c>
      <c r="O231" s="11">
        <v>0</v>
      </c>
      <c r="P231" s="11">
        <v>0</v>
      </c>
      <c r="Q231" s="11">
        <v>0</v>
      </c>
      <c r="R231" s="13">
        <f t="shared" si="36"/>
        <v>0</v>
      </c>
      <c r="S231">
        <v>0</v>
      </c>
      <c r="T231">
        <v>0</v>
      </c>
      <c r="U231" s="7">
        <f t="shared" si="37"/>
        <v>0</v>
      </c>
      <c r="V231">
        <v>0</v>
      </c>
      <c r="W231">
        <v>0</v>
      </c>
      <c r="X231">
        <v>0</v>
      </c>
      <c r="Y231">
        <v>0</v>
      </c>
      <c r="Z231" s="13">
        <f t="shared" si="38"/>
        <v>0</v>
      </c>
      <c r="AA231">
        <v>0</v>
      </c>
      <c r="AB231">
        <v>0</v>
      </c>
      <c r="AC231">
        <v>0</v>
      </c>
      <c r="AD231">
        <v>0</v>
      </c>
      <c r="AE231" s="7">
        <f t="shared" si="39"/>
        <v>0</v>
      </c>
      <c r="AF231">
        <v>0</v>
      </c>
      <c r="AG231">
        <v>0</v>
      </c>
      <c r="AH231">
        <v>0</v>
      </c>
      <c r="AI231" s="13">
        <f t="shared" si="40"/>
        <v>0</v>
      </c>
      <c r="AJ231" s="11" t="s">
        <v>51</v>
      </c>
      <c r="AK231" s="11" t="s">
        <v>51</v>
      </c>
      <c r="AL231" s="11" t="s">
        <v>51</v>
      </c>
      <c r="AM231" s="13">
        <f t="shared" si="41"/>
        <v>0</v>
      </c>
      <c r="AN231" s="18">
        <v>4</v>
      </c>
      <c r="AO231" s="18">
        <v>0</v>
      </c>
      <c r="AP231" s="18">
        <v>0</v>
      </c>
      <c r="AQ231" s="18">
        <v>0</v>
      </c>
      <c r="AR231" s="18">
        <f t="shared" si="42"/>
        <v>4</v>
      </c>
      <c r="AS231" t="s">
        <v>52</v>
      </c>
      <c r="AT231" s="9" t="s">
        <v>898</v>
      </c>
      <c r="AU231" s="30">
        <f t="shared" ref="AU231:AU237" si="43">+((AN231*I231)+(AO231*AE231)+(AQ231*AI231)+(AP231*AM231))/AR231</f>
        <v>79.09</v>
      </c>
    </row>
    <row r="232" spans="1:47" s="6" customFormat="1" hidden="1" x14ac:dyDescent="0.25">
      <c r="A232" s="6" t="s">
        <v>46</v>
      </c>
      <c r="B232" s="6" t="s">
        <v>899</v>
      </c>
      <c r="C232" s="6" t="s">
        <v>900</v>
      </c>
      <c r="D232" s="6" t="s">
        <v>901</v>
      </c>
      <c r="E232" s="12">
        <v>25</v>
      </c>
      <c r="F232" s="12">
        <v>0</v>
      </c>
      <c r="G232" s="12">
        <v>49.387500000000003</v>
      </c>
      <c r="H232" s="12">
        <v>5</v>
      </c>
      <c r="I232" s="13">
        <f t="shared" si="34"/>
        <v>79.387500000000003</v>
      </c>
      <c r="J232" s="14">
        <v>0</v>
      </c>
      <c r="K232" s="14">
        <v>0</v>
      </c>
      <c r="L232" s="14">
        <v>0</v>
      </c>
      <c r="M232" s="13">
        <f t="shared" si="35"/>
        <v>0</v>
      </c>
      <c r="N232" s="12">
        <v>0</v>
      </c>
      <c r="O232" s="12">
        <v>0</v>
      </c>
      <c r="P232" s="12">
        <v>0</v>
      </c>
      <c r="Q232" s="12">
        <v>0</v>
      </c>
      <c r="R232" s="13">
        <f t="shared" si="36"/>
        <v>0</v>
      </c>
      <c r="S232" s="6">
        <v>0</v>
      </c>
      <c r="T232" s="6">
        <v>0</v>
      </c>
      <c r="U232" s="7">
        <f t="shared" si="37"/>
        <v>0</v>
      </c>
      <c r="V232" s="6">
        <v>0</v>
      </c>
      <c r="W232" s="6">
        <v>0</v>
      </c>
      <c r="X232" s="6">
        <v>0</v>
      </c>
      <c r="Y232" s="6">
        <v>0</v>
      </c>
      <c r="Z232" s="13">
        <f t="shared" si="38"/>
        <v>0</v>
      </c>
      <c r="AA232" s="6">
        <v>0</v>
      </c>
      <c r="AB232" s="6">
        <v>0</v>
      </c>
      <c r="AC232" s="6">
        <v>0</v>
      </c>
      <c r="AD232" s="6">
        <v>0</v>
      </c>
      <c r="AE232" s="7">
        <f t="shared" si="39"/>
        <v>0</v>
      </c>
      <c r="AF232" s="6">
        <v>0</v>
      </c>
      <c r="AG232" s="6">
        <v>0</v>
      </c>
      <c r="AH232" s="6">
        <v>0</v>
      </c>
      <c r="AI232" s="13">
        <f t="shared" si="40"/>
        <v>0</v>
      </c>
      <c r="AJ232" s="12" t="s">
        <v>51</v>
      </c>
      <c r="AK232" s="12" t="s">
        <v>51</v>
      </c>
      <c r="AL232" s="12" t="s">
        <v>51</v>
      </c>
      <c r="AM232" s="13">
        <f t="shared" si="41"/>
        <v>0</v>
      </c>
      <c r="AN232" s="21">
        <v>20</v>
      </c>
      <c r="AO232" s="21">
        <v>0</v>
      </c>
      <c r="AP232" s="21">
        <v>0</v>
      </c>
      <c r="AQ232" s="21">
        <v>0</v>
      </c>
      <c r="AR232" s="18">
        <f t="shared" si="42"/>
        <v>20</v>
      </c>
      <c r="AS232" s="6" t="s">
        <v>52</v>
      </c>
      <c r="AT232" s="10" t="s">
        <v>902</v>
      </c>
      <c r="AU232" s="30">
        <f t="shared" si="43"/>
        <v>79.387500000000003</v>
      </c>
    </row>
    <row r="233" spans="1:47" hidden="1" x14ac:dyDescent="0.25">
      <c r="A233" t="s">
        <v>46</v>
      </c>
      <c r="B233" t="s">
        <v>903</v>
      </c>
      <c r="C233" t="s">
        <v>904</v>
      </c>
      <c r="D233" t="s">
        <v>905</v>
      </c>
      <c r="E233" s="11">
        <v>0</v>
      </c>
      <c r="F233" s="11">
        <v>0</v>
      </c>
      <c r="G233" s="11">
        <v>83.066666666666677</v>
      </c>
      <c r="H233" s="11">
        <v>4.1666666666666661</v>
      </c>
      <c r="I233" s="13">
        <f t="shared" si="34"/>
        <v>87.233333333333348</v>
      </c>
      <c r="J233" s="11">
        <v>0</v>
      </c>
      <c r="K233" s="11">
        <v>0</v>
      </c>
      <c r="L233" s="11">
        <v>0</v>
      </c>
      <c r="M233" s="13">
        <f t="shared" si="35"/>
        <v>0</v>
      </c>
      <c r="N233" s="11">
        <v>0</v>
      </c>
      <c r="O233" s="11">
        <v>0</v>
      </c>
      <c r="P233" s="11">
        <v>0</v>
      </c>
      <c r="Q233" s="11">
        <v>0</v>
      </c>
      <c r="R233" s="13">
        <f t="shared" si="36"/>
        <v>0</v>
      </c>
      <c r="S233">
        <v>0</v>
      </c>
      <c r="T233">
        <v>0</v>
      </c>
      <c r="U233" s="7">
        <f t="shared" si="37"/>
        <v>0</v>
      </c>
      <c r="V233">
        <v>0</v>
      </c>
      <c r="W233">
        <v>0</v>
      </c>
      <c r="X233">
        <v>0</v>
      </c>
      <c r="Y233">
        <v>0</v>
      </c>
      <c r="Z233" s="13">
        <f t="shared" si="38"/>
        <v>0</v>
      </c>
      <c r="AA233">
        <v>0</v>
      </c>
      <c r="AB233">
        <v>0</v>
      </c>
      <c r="AC233">
        <v>0</v>
      </c>
      <c r="AD233">
        <v>0</v>
      </c>
      <c r="AE233" s="7">
        <f t="shared" si="39"/>
        <v>0</v>
      </c>
      <c r="AF233">
        <v>0</v>
      </c>
      <c r="AG233">
        <v>0</v>
      </c>
      <c r="AH233">
        <v>0</v>
      </c>
      <c r="AI233" s="13">
        <f t="shared" si="40"/>
        <v>0</v>
      </c>
      <c r="AJ233" s="11" t="s">
        <v>51</v>
      </c>
      <c r="AK233" s="11" t="s">
        <v>51</v>
      </c>
      <c r="AL233" s="11" t="s">
        <v>51</v>
      </c>
      <c r="AM233" s="13">
        <f t="shared" si="41"/>
        <v>0</v>
      </c>
      <c r="AN233" s="18">
        <v>20</v>
      </c>
      <c r="AO233" s="18">
        <v>0</v>
      </c>
      <c r="AP233" s="18">
        <v>0</v>
      </c>
      <c r="AQ233" s="18">
        <v>0</v>
      </c>
      <c r="AR233" s="18">
        <f t="shared" si="42"/>
        <v>20</v>
      </c>
      <c r="AS233" t="s">
        <v>52</v>
      </c>
      <c r="AT233" s="9" t="s">
        <v>906</v>
      </c>
      <c r="AU233" s="30">
        <f t="shared" si="43"/>
        <v>87.233333333333348</v>
      </c>
    </row>
    <row r="234" spans="1:47" hidden="1" x14ac:dyDescent="0.25">
      <c r="A234" t="s">
        <v>46</v>
      </c>
      <c r="B234" t="s">
        <v>907</v>
      </c>
      <c r="C234" t="s">
        <v>908</v>
      </c>
      <c r="D234" t="s">
        <v>909</v>
      </c>
      <c r="E234" s="11">
        <v>19.670000000000002</v>
      </c>
      <c r="F234" s="11">
        <v>20</v>
      </c>
      <c r="G234" s="11">
        <v>44.1</v>
      </c>
      <c r="H234" s="11">
        <v>2.5</v>
      </c>
      <c r="I234" s="13">
        <f t="shared" si="34"/>
        <v>86.27000000000001</v>
      </c>
      <c r="J234" s="11">
        <v>0</v>
      </c>
      <c r="K234" s="11">
        <v>0</v>
      </c>
      <c r="L234" s="11">
        <v>0</v>
      </c>
      <c r="M234" s="13">
        <f t="shared" si="35"/>
        <v>0</v>
      </c>
      <c r="N234" s="11">
        <v>0</v>
      </c>
      <c r="O234" s="11">
        <v>0</v>
      </c>
      <c r="P234" s="11">
        <v>0</v>
      </c>
      <c r="Q234" s="11">
        <v>0</v>
      </c>
      <c r="R234" s="13">
        <f t="shared" si="36"/>
        <v>0</v>
      </c>
      <c r="S234">
        <v>0</v>
      </c>
      <c r="T234">
        <v>0</v>
      </c>
      <c r="U234" s="7">
        <f t="shared" si="37"/>
        <v>0</v>
      </c>
      <c r="V234">
        <v>0</v>
      </c>
      <c r="W234">
        <v>0</v>
      </c>
      <c r="X234">
        <v>0</v>
      </c>
      <c r="Y234">
        <v>0</v>
      </c>
      <c r="Z234" s="13">
        <f t="shared" si="38"/>
        <v>0</v>
      </c>
      <c r="AA234">
        <v>0</v>
      </c>
      <c r="AB234">
        <v>0</v>
      </c>
      <c r="AC234">
        <v>0</v>
      </c>
      <c r="AD234">
        <v>0</v>
      </c>
      <c r="AE234" s="7">
        <f t="shared" si="39"/>
        <v>0</v>
      </c>
      <c r="AF234">
        <v>0</v>
      </c>
      <c r="AG234">
        <v>0</v>
      </c>
      <c r="AH234">
        <v>0</v>
      </c>
      <c r="AI234" s="13">
        <f t="shared" si="40"/>
        <v>0</v>
      </c>
      <c r="AJ234" s="11" t="s">
        <v>51</v>
      </c>
      <c r="AK234" s="11" t="s">
        <v>51</v>
      </c>
      <c r="AL234" s="11" t="s">
        <v>51</v>
      </c>
      <c r="AM234" s="13">
        <f t="shared" si="41"/>
        <v>0</v>
      </c>
      <c r="AN234" s="18">
        <v>40</v>
      </c>
      <c r="AO234" s="18">
        <v>0</v>
      </c>
      <c r="AP234" s="18">
        <v>0</v>
      </c>
      <c r="AQ234" s="18">
        <v>0</v>
      </c>
      <c r="AR234" s="18">
        <f t="shared" si="42"/>
        <v>40</v>
      </c>
      <c r="AS234" t="s">
        <v>52</v>
      </c>
      <c r="AT234" s="9" t="s">
        <v>910</v>
      </c>
      <c r="AU234" s="30">
        <f t="shared" si="43"/>
        <v>86.27000000000001</v>
      </c>
    </row>
    <row r="235" spans="1:47" hidden="1" x14ac:dyDescent="0.25">
      <c r="A235" t="s">
        <v>46</v>
      </c>
      <c r="B235" t="s">
        <v>911</v>
      </c>
      <c r="C235" t="s">
        <v>912</v>
      </c>
      <c r="D235" t="s">
        <v>913</v>
      </c>
      <c r="E235" s="11">
        <v>15.67</v>
      </c>
      <c r="F235" s="11">
        <v>18.670000000000002</v>
      </c>
      <c r="G235" s="11">
        <v>39.44</v>
      </c>
      <c r="H235" s="11">
        <v>4.5</v>
      </c>
      <c r="I235" s="13">
        <f t="shared" si="34"/>
        <v>78.28</v>
      </c>
      <c r="J235" s="11">
        <v>0</v>
      </c>
      <c r="K235" s="11">
        <v>0</v>
      </c>
      <c r="L235" s="11">
        <v>0</v>
      </c>
      <c r="M235" s="13">
        <f t="shared" si="35"/>
        <v>0</v>
      </c>
      <c r="N235" s="11">
        <v>0</v>
      </c>
      <c r="O235" s="11">
        <v>0</v>
      </c>
      <c r="P235" s="11">
        <v>0</v>
      </c>
      <c r="Q235" s="11">
        <v>0</v>
      </c>
      <c r="R235" s="13">
        <f t="shared" si="36"/>
        <v>0</v>
      </c>
      <c r="S235">
        <v>0</v>
      </c>
      <c r="T235">
        <v>0</v>
      </c>
      <c r="U235" s="7">
        <f t="shared" si="37"/>
        <v>0</v>
      </c>
      <c r="V235">
        <v>0</v>
      </c>
      <c r="W235">
        <v>0</v>
      </c>
      <c r="X235">
        <v>0</v>
      </c>
      <c r="Y235">
        <v>0</v>
      </c>
      <c r="Z235" s="13">
        <f t="shared" si="38"/>
        <v>0</v>
      </c>
      <c r="AA235">
        <v>0</v>
      </c>
      <c r="AB235">
        <v>0</v>
      </c>
      <c r="AC235">
        <v>0</v>
      </c>
      <c r="AD235">
        <v>0</v>
      </c>
      <c r="AE235" s="7">
        <f t="shared" si="39"/>
        <v>0</v>
      </c>
      <c r="AF235">
        <v>0</v>
      </c>
      <c r="AG235">
        <v>0</v>
      </c>
      <c r="AH235">
        <v>0</v>
      </c>
      <c r="AI235" s="13">
        <f t="shared" si="40"/>
        <v>0</v>
      </c>
      <c r="AJ235" s="11" t="s">
        <v>51</v>
      </c>
      <c r="AK235" s="11" t="s">
        <v>51</v>
      </c>
      <c r="AL235" s="11" t="s">
        <v>51</v>
      </c>
      <c r="AM235" s="13">
        <f t="shared" si="41"/>
        <v>0</v>
      </c>
      <c r="AN235" s="18">
        <v>10.5</v>
      </c>
      <c r="AO235" s="18">
        <v>0</v>
      </c>
      <c r="AP235" s="18">
        <v>0</v>
      </c>
      <c r="AQ235" s="18">
        <v>0</v>
      </c>
      <c r="AR235" s="18">
        <f t="shared" si="42"/>
        <v>10.5</v>
      </c>
      <c r="AS235" t="s">
        <v>52</v>
      </c>
      <c r="AT235" s="9" t="s">
        <v>914</v>
      </c>
      <c r="AU235" s="30">
        <f t="shared" si="43"/>
        <v>78.28</v>
      </c>
    </row>
    <row r="236" spans="1:47" hidden="1" x14ac:dyDescent="0.25">
      <c r="A236" t="s">
        <v>46</v>
      </c>
      <c r="B236" t="s">
        <v>915</v>
      </c>
      <c r="C236" t="s">
        <v>916</v>
      </c>
      <c r="D236" t="s">
        <v>917</v>
      </c>
      <c r="E236" s="11">
        <v>17.170000000000002</v>
      </c>
      <c r="F236" s="11">
        <v>18.670000000000002</v>
      </c>
      <c r="G236" s="11">
        <v>44.91</v>
      </c>
      <c r="H236" s="11">
        <v>3</v>
      </c>
      <c r="I236" s="13">
        <f t="shared" si="34"/>
        <v>83.75</v>
      </c>
      <c r="J236" s="11">
        <v>0</v>
      </c>
      <c r="K236" s="11">
        <v>0</v>
      </c>
      <c r="L236" s="11">
        <v>0</v>
      </c>
      <c r="M236" s="13">
        <f t="shared" si="35"/>
        <v>0</v>
      </c>
      <c r="N236" s="11">
        <v>0</v>
      </c>
      <c r="O236" s="11">
        <v>0</v>
      </c>
      <c r="P236" s="11">
        <v>0</v>
      </c>
      <c r="Q236" s="11">
        <v>0</v>
      </c>
      <c r="R236" s="13">
        <f t="shared" si="36"/>
        <v>0</v>
      </c>
      <c r="S236">
        <v>0</v>
      </c>
      <c r="T236">
        <v>0</v>
      </c>
      <c r="U236" s="7">
        <f t="shared" si="37"/>
        <v>0</v>
      </c>
      <c r="V236">
        <v>0</v>
      </c>
      <c r="W236">
        <v>0</v>
      </c>
      <c r="X236">
        <v>0</v>
      </c>
      <c r="Y236">
        <v>0</v>
      </c>
      <c r="Z236" s="13">
        <f t="shared" si="38"/>
        <v>0</v>
      </c>
      <c r="AA236">
        <v>3.75</v>
      </c>
      <c r="AB236">
        <v>12.5</v>
      </c>
      <c r="AC236">
        <v>15</v>
      </c>
      <c r="AD236">
        <v>17.5</v>
      </c>
      <c r="AE236" s="7">
        <f t="shared" si="39"/>
        <v>48.75</v>
      </c>
      <c r="AF236">
        <v>0</v>
      </c>
      <c r="AG236">
        <v>0</v>
      </c>
      <c r="AH236">
        <v>0</v>
      </c>
      <c r="AI236" s="13">
        <f t="shared" si="40"/>
        <v>0</v>
      </c>
      <c r="AJ236" s="11" t="s">
        <v>51</v>
      </c>
      <c r="AK236" s="11" t="s">
        <v>51</v>
      </c>
      <c r="AL236" s="11" t="s">
        <v>51</v>
      </c>
      <c r="AM236" s="13">
        <f t="shared" si="41"/>
        <v>0</v>
      </c>
      <c r="AN236" s="18">
        <v>35</v>
      </c>
      <c r="AO236" s="18">
        <v>5</v>
      </c>
      <c r="AP236" s="18">
        <v>0</v>
      </c>
      <c r="AQ236" s="18">
        <v>0</v>
      </c>
      <c r="AR236" s="18">
        <f t="shared" si="42"/>
        <v>40</v>
      </c>
      <c r="AS236" t="s">
        <v>52</v>
      </c>
      <c r="AT236" s="9" t="s">
        <v>918</v>
      </c>
      <c r="AU236" s="30">
        <f t="shared" si="43"/>
        <v>79.375</v>
      </c>
    </row>
    <row r="237" spans="1:47" hidden="1" x14ac:dyDescent="0.25">
      <c r="A237" t="s">
        <v>46</v>
      </c>
      <c r="B237" t="s">
        <v>919</v>
      </c>
      <c r="C237" t="s">
        <v>920</v>
      </c>
      <c r="D237" t="s">
        <v>921</v>
      </c>
      <c r="E237" s="11">
        <v>20</v>
      </c>
      <c r="F237" s="11">
        <v>20</v>
      </c>
      <c r="G237" s="11">
        <v>43.62</v>
      </c>
      <c r="H237" s="11">
        <v>7</v>
      </c>
      <c r="I237" s="13">
        <f t="shared" si="34"/>
        <v>90.62</v>
      </c>
      <c r="J237" s="11">
        <v>0</v>
      </c>
      <c r="K237" s="11">
        <v>0</v>
      </c>
      <c r="L237" s="11">
        <v>0</v>
      </c>
      <c r="M237" s="13">
        <f t="shared" si="35"/>
        <v>0</v>
      </c>
      <c r="N237" s="11">
        <v>0</v>
      </c>
      <c r="O237" s="11">
        <v>0</v>
      </c>
      <c r="P237" s="11">
        <v>0</v>
      </c>
      <c r="Q237" s="11">
        <v>0</v>
      </c>
      <c r="R237" s="13">
        <f t="shared" si="36"/>
        <v>0</v>
      </c>
      <c r="S237">
        <v>0</v>
      </c>
      <c r="T237">
        <v>0</v>
      </c>
      <c r="U237" s="7">
        <f t="shared" si="37"/>
        <v>0</v>
      </c>
      <c r="V237">
        <v>0</v>
      </c>
      <c r="W237">
        <v>0</v>
      </c>
      <c r="X237">
        <v>0</v>
      </c>
      <c r="Y237">
        <v>0</v>
      </c>
      <c r="Z237" s="13">
        <f t="shared" si="38"/>
        <v>0</v>
      </c>
      <c r="AA237">
        <v>15</v>
      </c>
      <c r="AB237">
        <v>50</v>
      </c>
      <c r="AC237">
        <v>15</v>
      </c>
      <c r="AD237">
        <v>20</v>
      </c>
      <c r="AE237" s="7">
        <f t="shared" si="39"/>
        <v>100</v>
      </c>
      <c r="AF237">
        <v>0</v>
      </c>
      <c r="AG237">
        <v>0</v>
      </c>
      <c r="AH237">
        <v>0</v>
      </c>
      <c r="AI237" s="13">
        <f t="shared" si="40"/>
        <v>0</v>
      </c>
      <c r="AJ237" s="11" t="s">
        <v>51</v>
      </c>
      <c r="AK237" s="11" t="s">
        <v>51</v>
      </c>
      <c r="AL237" s="11" t="s">
        <v>51</v>
      </c>
      <c r="AM237" s="13">
        <f t="shared" si="41"/>
        <v>0</v>
      </c>
      <c r="AN237" s="18">
        <v>29.75</v>
      </c>
      <c r="AO237" s="18">
        <v>10.25</v>
      </c>
      <c r="AP237" s="18">
        <v>0</v>
      </c>
      <c r="AQ237" s="18">
        <v>0</v>
      </c>
      <c r="AR237" s="18">
        <f t="shared" si="42"/>
        <v>40</v>
      </c>
      <c r="AS237" t="s">
        <v>52</v>
      </c>
      <c r="AT237" s="9" t="s">
        <v>922</v>
      </c>
      <c r="AU237" s="30">
        <f t="shared" si="43"/>
        <v>93.02362500000001</v>
      </c>
    </row>
    <row r="247" spans="9:9" x14ac:dyDescent="0.25">
      <c r="I247" s="11"/>
    </row>
    <row r="251" spans="9:9" x14ac:dyDescent="0.25">
      <c r="I251" s="13"/>
    </row>
    <row r="252" spans="9:9" x14ac:dyDescent="0.25">
      <c r="I252" s="7"/>
    </row>
  </sheetData>
  <autoFilter ref="A4:AU237" xr:uid="{00000000-0001-0000-0000-000000000000}">
    <filterColumn colId="46">
      <filters>
        <filter val="2,500"/>
        <filter val="22,500"/>
        <filter val="58,105"/>
        <filter val="60,000"/>
        <filter val="60,314"/>
        <filter val="63,967"/>
        <filter val="64,340"/>
        <filter val="64,74"/>
        <filter val="65,200"/>
        <filter val="65,78"/>
        <filter val="66,100"/>
        <filter val="66,530"/>
        <filter val="68,017"/>
        <filter val="68,924"/>
      </filters>
    </filterColumn>
  </autoFilter>
  <mergeCells count="9">
    <mergeCell ref="AF3:AI3"/>
    <mergeCell ref="AJ3:AM3"/>
    <mergeCell ref="AN3:AR3"/>
    <mergeCell ref="E3:I3"/>
    <mergeCell ref="J3:M3"/>
    <mergeCell ref="N3:R3"/>
    <mergeCell ref="S3:U3"/>
    <mergeCell ref="V3:Z3"/>
    <mergeCell ref="AA3:AE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9CC8-FA60-4FE5-A335-B162EA48119F}">
  <dimension ref="A1:AU250"/>
  <sheetViews>
    <sheetView topLeftCell="AA1" zoomScale="70" zoomScaleNormal="70" workbookViewId="0">
      <selection activeCell="AF4" sqref="AF4"/>
    </sheetView>
  </sheetViews>
  <sheetFormatPr baseColWidth="10" defaultRowHeight="15.75" x14ac:dyDescent="0.25"/>
  <cols>
    <col min="1" max="1" width="16.875" customWidth="1"/>
    <col min="3" max="3" width="22" customWidth="1"/>
    <col min="4" max="4" width="19.75" customWidth="1"/>
    <col min="10" max="10" width="9" customWidth="1"/>
    <col min="27" max="35" width="11" customWidth="1"/>
    <col min="36" max="38" width="11" style="11" customWidth="1"/>
    <col min="39" max="39" width="11" customWidth="1"/>
    <col min="47" max="47" width="11" style="11"/>
  </cols>
  <sheetData>
    <row r="1" spans="1:47" x14ac:dyDescent="0.25">
      <c r="V1">
        <v>10</v>
      </c>
      <c r="W1">
        <v>20</v>
      </c>
      <c r="X1">
        <v>50</v>
      </c>
      <c r="Y1">
        <v>20</v>
      </c>
    </row>
    <row r="3" spans="1:47" x14ac:dyDescent="0.25">
      <c r="E3" s="60" t="s">
        <v>52</v>
      </c>
      <c r="F3" s="61"/>
      <c r="G3" s="61"/>
      <c r="H3" s="61"/>
      <c r="I3" s="62"/>
      <c r="J3" s="60" t="s">
        <v>923</v>
      </c>
      <c r="K3" s="61"/>
      <c r="L3" s="61"/>
      <c r="M3" s="62"/>
      <c r="N3" s="60" t="s">
        <v>924</v>
      </c>
      <c r="O3" s="61"/>
      <c r="P3" s="61"/>
      <c r="Q3" s="61"/>
      <c r="R3" s="62"/>
      <c r="S3" s="60" t="s">
        <v>925</v>
      </c>
      <c r="T3" s="61"/>
      <c r="U3" s="62"/>
      <c r="V3" s="60" t="s">
        <v>926</v>
      </c>
      <c r="W3" s="61"/>
      <c r="X3" s="61"/>
      <c r="Y3" s="61"/>
      <c r="Z3" s="62"/>
      <c r="AA3" s="60" t="s">
        <v>927</v>
      </c>
      <c r="AB3" s="61"/>
      <c r="AC3" s="61"/>
      <c r="AD3" s="61"/>
      <c r="AE3" s="62"/>
      <c r="AF3" s="60" t="s">
        <v>928</v>
      </c>
      <c r="AG3" s="61"/>
      <c r="AH3" s="61"/>
      <c r="AI3" s="62"/>
      <c r="AJ3" s="60" t="s">
        <v>929</v>
      </c>
      <c r="AK3" s="61"/>
      <c r="AL3" s="61"/>
      <c r="AM3" s="62"/>
      <c r="AN3" s="60" t="s">
        <v>930</v>
      </c>
      <c r="AO3" s="61"/>
      <c r="AP3" s="61"/>
      <c r="AQ3" s="61"/>
      <c r="AR3" s="62"/>
      <c r="AT3" s="1"/>
    </row>
    <row r="4" spans="1:47" s="2" customFormat="1" ht="31.5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4" t="s">
        <v>8</v>
      </c>
      <c r="J4" s="3" t="s">
        <v>9</v>
      </c>
      <c r="K4" s="3" t="s">
        <v>10</v>
      </c>
      <c r="L4" s="3" t="s">
        <v>11</v>
      </c>
      <c r="M4" s="4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5" t="s">
        <v>17</v>
      </c>
      <c r="S4" s="2" t="s">
        <v>18</v>
      </c>
      <c r="T4" s="2" t="s">
        <v>19</v>
      </c>
      <c r="U4" s="5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5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5" t="s">
        <v>30</v>
      </c>
      <c r="AF4" s="2" t="s">
        <v>31</v>
      </c>
      <c r="AG4" s="2" t="s">
        <v>32</v>
      </c>
      <c r="AH4" s="2" t="s">
        <v>33</v>
      </c>
      <c r="AI4" s="5" t="s">
        <v>34</v>
      </c>
      <c r="AJ4" s="20" t="s">
        <v>35</v>
      </c>
      <c r="AK4" s="20" t="s">
        <v>36</v>
      </c>
      <c r="AL4" s="20" t="s">
        <v>37</v>
      </c>
      <c r="AM4" s="5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8" t="s">
        <v>45</v>
      </c>
      <c r="AU4" s="20" t="s">
        <v>934</v>
      </c>
    </row>
    <row r="5" spans="1:47" x14ac:dyDescent="0.25">
      <c r="A5" t="s">
        <v>46</v>
      </c>
      <c r="B5" t="s">
        <v>47</v>
      </c>
      <c r="C5" t="s">
        <v>48</v>
      </c>
      <c r="D5" t="s">
        <v>49</v>
      </c>
      <c r="E5" s="11">
        <v>19.670000000000002</v>
      </c>
      <c r="F5" s="11">
        <v>20</v>
      </c>
      <c r="G5" s="11">
        <v>48.16</v>
      </c>
      <c r="H5" s="11">
        <v>9</v>
      </c>
      <c r="I5" s="13">
        <f>+SUM(E5:H5)</f>
        <v>96.83</v>
      </c>
      <c r="J5" s="11">
        <v>0</v>
      </c>
      <c r="K5" s="11">
        <v>0</v>
      </c>
      <c r="L5" s="11">
        <v>0</v>
      </c>
      <c r="M5" s="13">
        <f>+SUM(J5:L5)</f>
        <v>0</v>
      </c>
      <c r="N5" s="11">
        <v>0</v>
      </c>
      <c r="O5" s="11">
        <v>0</v>
      </c>
      <c r="P5" s="11">
        <v>0</v>
      </c>
      <c r="Q5" s="11">
        <v>0</v>
      </c>
      <c r="R5" s="13">
        <f>+SUM(N5:Q5)</f>
        <v>0</v>
      </c>
      <c r="S5">
        <v>0</v>
      </c>
      <c r="T5">
        <v>0</v>
      </c>
      <c r="U5" s="7">
        <f>+SUM(S5:T5)</f>
        <v>0</v>
      </c>
      <c r="V5">
        <v>0</v>
      </c>
      <c r="W5">
        <v>0</v>
      </c>
      <c r="X5">
        <v>0</v>
      </c>
      <c r="Y5">
        <v>0</v>
      </c>
      <c r="Z5" s="13">
        <f>+SUM(V5:Y5)</f>
        <v>0</v>
      </c>
      <c r="AA5">
        <v>3.75</v>
      </c>
      <c r="AB5">
        <v>12.5</v>
      </c>
      <c r="AC5">
        <v>9</v>
      </c>
      <c r="AD5">
        <v>20</v>
      </c>
      <c r="AE5" s="7">
        <f>+SUM(AA5:AD5)</f>
        <v>45.25</v>
      </c>
      <c r="AF5">
        <v>0</v>
      </c>
      <c r="AG5">
        <v>0</v>
      </c>
      <c r="AH5">
        <v>0</v>
      </c>
      <c r="AI5" s="13">
        <f>+SUM(AF5:AH5)</f>
        <v>0</v>
      </c>
      <c r="AJ5" s="11" t="s">
        <v>51</v>
      </c>
      <c r="AK5" s="11" t="s">
        <v>51</v>
      </c>
      <c r="AL5" s="11" t="s">
        <v>51</v>
      </c>
      <c r="AM5" s="13">
        <f>+SUM(AJ5:AL5)</f>
        <v>0</v>
      </c>
      <c r="AN5" s="18">
        <v>30.5</v>
      </c>
      <c r="AO5" s="18">
        <v>9.5</v>
      </c>
      <c r="AP5" s="23">
        <v>0</v>
      </c>
      <c r="AQ5" s="23">
        <v>0</v>
      </c>
      <c r="AR5" s="18">
        <f>+SUM(AN5:AQ5)</f>
        <v>40</v>
      </c>
      <c r="AS5" t="s">
        <v>52</v>
      </c>
      <c r="AT5" s="9">
        <v>84.579750000000004</v>
      </c>
      <c r="AU5" s="30">
        <f t="shared" ref="AU5:AU11" si="0">+((AN5*I5)+(AO5*AE5)+(AQ5*AI5)+(AP5*AM5))/AR5</f>
        <v>84.579750000000004</v>
      </c>
    </row>
    <row r="6" spans="1:47" x14ac:dyDescent="0.25">
      <c r="A6" t="s">
        <v>46</v>
      </c>
      <c r="B6" t="s">
        <v>54</v>
      </c>
      <c r="C6" t="s">
        <v>55</v>
      </c>
      <c r="D6" t="s">
        <v>56</v>
      </c>
      <c r="E6" s="11">
        <v>20</v>
      </c>
      <c r="F6" s="11">
        <v>20</v>
      </c>
      <c r="G6" s="11">
        <v>42.66</v>
      </c>
      <c r="H6" s="11">
        <v>5.5</v>
      </c>
      <c r="I6" s="13">
        <f t="shared" ref="I6:I69" si="1">+SUM(E6:H6)</f>
        <v>88.16</v>
      </c>
      <c r="J6" s="11">
        <v>0</v>
      </c>
      <c r="K6" s="11">
        <v>0</v>
      </c>
      <c r="L6" s="11">
        <v>0</v>
      </c>
      <c r="M6" s="13">
        <f t="shared" ref="M6:M69" si="2">+SUM(J6:L6)</f>
        <v>0</v>
      </c>
      <c r="N6" s="11">
        <v>0</v>
      </c>
      <c r="O6" s="11">
        <v>0</v>
      </c>
      <c r="P6" s="11">
        <v>0</v>
      </c>
      <c r="Q6" s="11">
        <v>0</v>
      </c>
      <c r="R6" s="13">
        <f t="shared" ref="R6:R69" si="3">+SUM(N6:Q6)</f>
        <v>0</v>
      </c>
      <c r="S6">
        <v>0</v>
      </c>
      <c r="T6">
        <v>0</v>
      </c>
      <c r="U6" s="7">
        <f t="shared" ref="U6:U69" si="4">+SUM(S6:T6)</f>
        <v>0</v>
      </c>
      <c r="V6">
        <v>0</v>
      </c>
      <c r="W6">
        <v>0</v>
      </c>
      <c r="X6">
        <v>0</v>
      </c>
      <c r="Y6">
        <v>0</v>
      </c>
      <c r="Z6" s="13">
        <f t="shared" ref="Z6:Z69" si="5">+SUM(V6:Y6)</f>
        <v>0</v>
      </c>
      <c r="AA6">
        <v>0</v>
      </c>
      <c r="AB6">
        <v>0</v>
      </c>
      <c r="AC6">
        <v>0</v>
      </c>
      <c r="AD6">
        <v>0</v>
      </c>
      <c r="AE6" s="7">
        <f t="shared" ref="AE6:AE69" si="6">+SUM(AA6:AD6)</f>
        <v>0</v>
      </c>
      <c r="AF6">
        <v>0</v>
      </c>
      <c r="AG6">
        <v>0</v>
      </c>
      <c r="AH6">
        <v>0</v>
      </c>
      <c r="AI6" s="13">
        <f t="shared" ref="AI6:AI69" si="7">+SUM(AF6:AH6)</f>
        <v>0</v>
      </c>
      <c r="AJ6" s="11" t="s">
        <v>51</v>
      </c>
      <c r="AK6" s="11" t="s">
        <v>51</v>
      </c>
      <c r="AL6" s="11" t="s">
        <v>51</v>
      </c>
      <c r="AM6" s="13">
        <f t="shared" ref="AM6:AM69" si="8">+SUM(AJ6:AL6)</f>
        <v>0</v>
      </c>
      <c r="AN6" s="18">
        <v>40</v>
      </c>
      <c r="AO6" s="18">
        <v>0</v>
      </c>
      <c r="AP6" s="18">
        <v>0</v>
      </c>
      <c r="AQ6" s="18">
        <v>0</v>
      </c>
      <c r="AR6" s="18">
        <f t="shared" ref="AR6:AR69" si="9">+SUM(AN6:AQ6)</f>
        <v>40</v>
      </c>
      <c r="AS6" t="s">
        <v>52</v>
      </c>
      <c r="AT6" s="9">
        <v>88.16</v>
      </c>
      <c r="AU6" s="30">
        <f t="shared" si="0"/>
        <v>88.16</v>
      </c>
    </row>
    <row r="7" spans="1:47" x14ac:dyDescent="0.25">
      <c r="A7" t="s">
        <v>46</v>
      </c>
      <c r="B7" t="s">
        <v>58</v>
      </c>
      <c r="C7" t="s">
        <v>59</v>
      </c>
      <c r="D7" t="s">
        <v>60</v>
      </c>
      <c r="E7" s="11">
        <v>20</v>
      </c>
      <c r="F7" s="11">
        <v>20</v>
      </c>
      <c r="G7" s="11">
        <v>45.28</v>
      </c>
      <c r="H7" s="11">
        <v>4</v>
      </c>
      <c r="I7" s="13">
        <f t="shared" si="1"/>
        <v>89.28</v>
      </c>
      <c r="J7" s="11">
        <v>0</v>
      </c>
      <c r="K7" s="11">
        <v>0</v>
      </c>
      <c r="L7" s="11">
        <v>0</v>
      </c>
      <c r="M7" s="13">
        <f t="shared" si="2"/>
        <v>0</v>
      </c>
      <c r="N7" s="11">
        <v>0</v>
      </c>
      <c r="O7" s="11">
        <v>0</v>
      </c>
      <c r="P7" s="11">
        <v>0</v>
      </c>
      <c r="Q7" s="11">
        <v>0</v>
      </c>
      <c r="R7" s="13">
        <f t="shared" si="3"/>
        <v>0</v>
      </c>
      <c r="S7">
        <v>0</v>
      </c>
      <c r="T7">
        <v>0</v>
      </c>
      <c r="U7" s="7">
        <f t="shared" si="4"/>
        <v>0</v>
      </c>
      <c r="V7">
        <v>0</v>
      </c>
      <c r="W7">
        <v>0</v>
      </c>
      <c r="X7">
        <v>0</v>
      </c>
      <c r="Y7">
        <v>0</v>
      </c>
      <c r="Z7" s="13">
        <f t="shared" si="5"/>
        <v>0</v>
      </c>
      <c r="AA7">
        <v>0</v>
      </c>
      <c r="AB7">
        <v>0</v>
      </c>
      <c r="AC7">
        <v>0</v>
      </c>
      <c r="AD7">
        <v>0</v>
      </c>
      <c r="AE7" s="7">
        <f t="shared" si="6"/>
        <v>0</v>
      </c>
      <c r="AF7">
        <v>50</v>
      </c>
      <c r="AG7">
        <v>20</v>
      </c>
      <c r="AH7">
        <v>26</v>
      </c>
      <c r="AI7" s="13">
        <f t="shared" si="7"/>
        <v>96</v>
      </c>
      <c r="AJ7" s="11" t="s">
        <v>51</v>
      </c>
      <c r="AK7" s="11" t="s">
        <v>51</v>
      </c>
      <c r="AL7" s="11" t="s">
        <v>51</v>
      </c>
      <c r="AM7" s="13">
        <f t="shared" si="8"/>
        <v>0</v>
      </c>
      <c r="AN7" s="18">
        <v>28</v>
      </c>
      <c r="AO7" s="18">
        <v>0</v>
      </c>
      <c r="AP7" s="18">
        <v>0</v>
      </c>
      <c r="AQ7" s="18">
        <v>12</v>
      </c>
      <c r="AR7" s="18">
        <f t="shared" si="9"/>
        <v>40</v>
      </c>
      <c r="AS7" t="s">
        <v>52</v>
      </c>
      <c r="AT7" s="9">
        <v>91.296000000000006</v>
      </c>
      <c r="AU7" s="30">
        <f t="shared" si="0"/>
        <v>91.296000000000006</v>
      </c>
    </row>
    <row r="8" spans="1:47" x14ac:dyDescent="0.25">
      <c r="A8" t="s">
        <v>46</v>
      </c>
      <c r="B8" t="s">
        <v>63</v>
      </c>
      <c r="C8" t="s">
        <v>64</v>
      </c>
      <c r="D8" t="s">
        <v>65</v>
      </c>
      <c r="E8" s="11">
        <v>17.670000000000002</v>
      </c>
      <c r="F8" s="11">
        <v>20</v>
      </c>
      <c r="G8" s="11">
        <v>41.38</v>
      </c>
      <c r="H8" s="11">
        <v>2.5</v>
      </c>
      <c r="I8" s="13">
        <f t="shared" si="1"/>
        <v>81.550000000000011</v>
      </c>
      <c r="J8" s="11">
        <v>0</v>
      </c>
      <c r="K8" s="11">
        <v>0</v>
      </c>
      <c r="L8" s="11">
        <v>0</v>
      </c>
      <c r="M8" s="13">
        <f t="shared" si="2"/>
        <v>0</v>
      </c>
      <c r="N8" s="11">
        <v>0</v>
      </c>
      <c r="O8" s="11">
        <v>0</v>
      </c>
      <c r="P8" s="11">
        <v>0</v>
      </c>
      <c r="Q8" s="11">
        <v>0</v>
      </c>
      <c r="R8" s="13">
        <f t="shared" si="3"/>
        <v>0</v>
      </c>
      <c r="S8">
        <v>0</v>
      </c>
      <c r="T8">
        <v>0</v>
      </c>
      <c r="U8" s="7">
        <f t="shared" si="4"/>
        <v>0</v>
      </c>
      <c r="V8">
        <v>0</v>
      </c>
      <c r="W8">
        <v>0</v>
      </c>
      <c r="X8">
        <v>0</v>
      </c>
      <c r="Y8">
        <v>0</v>
      </c>
      <c r="Z8" s="13">
        <f t="shared" si="5"/>
        <v>0</v>
      </c>
      <c r="AA8">
        <v>0</v>
      </c>
      <c r="AB8">
        <v>0</v>
      </c>
      <c r="AC8">
        <v>0</v>
      </c>
      <c r="AD8">
        <v>0</v>
      </c>
      <c r="AE8" s="7">
        <f t="shared" si="6"/>
        <v>0</v>
      </c>
      <c r="AF8">
        <v>0</v>
      </c>
      <c r="AG8">
        <v>0</v>
      </c>
      <c r="AH8">
        <v>0</v>
      </c>
      <c r="AI8" s="13">
        <f t="shared" si="7"/>
        <v>0</v>
      </c>
      <c r="AJ8" s="11" t="s">
        <v>51</v>
      </c>
      <c r="AK8" s="11" t="s">
        <v>51</v>
      </c>
      <c r="AL8" s="11" t="s">
        <v>51</v>
      </c>
      <c r="AM8" s="13">
        <f t="shared" si="8"/>
        <v>0</v>
      </c>
      <c r="AN8" s="18">
        <v>40</v>
      </c>
      <c r="AO8" s="18">
        <v>0</v>
      </c>
      <c r="AP8" s="18">
        <v>0</v>
      </c>
      <c r="AQ8" s="18">
        <v>0</v>
      </c>
      <c r="AR8" s="18">
        <f t="shared" si="9"/>
        <v>40</v>
      </c>
      <c r="AS8" t="s">
        <v>52</v>
      </c>
      <c r="AT8" s="9">
        <v>81.550000000000011</v>
      </c>
      <c r="AU8" s="30">
        <f t="shared" si="0"/>
        <v>81.550000000000011</v>
      </c>
    </row>
    <row r="9" spans="1:47" x14ac:dyDescent="0.25">
      <c r="A9" t="s">
        <v>46</v>
      </c>
      <c r="B9" t="s">
        <v>68</v>
      </c>
      <c r="C9" t="s">
        <v>69</v>
      </c>
      <c r="D9" t="s">
        <v>70</v>
      </c>
      <c r="E9" s="11">
        <v>20</v>
      </c>
      <c r="F9" s="11">
        <v>19</v>
      </c>
      <c r="G9" s="11">
        <v>44.95</v>
      </c>
      <c r="H9" s="11">
        <v>5</v>
      </c>
      <c r="I9" s="13">
        <f t="shared" si="1"/>
        <v>88.95</v>
      </c>
      <c r="J9" s="11">
        <v>0</v>
      </c>
      <c r="K9" s="11">
        <v>0</v>
      </c>
      <c r="L9" s="11">
        <v>0</v>
      </c>
      <c r="M9" s="13">
        <f t="shared" si="2"/>
        <v>0</v>
      </c>
      <c r="N9" s="11">
        <v>0</v>
      </c>
      <c r="O9" s="11">
        <v>0</v>
      </c>
      <c r="P9" s="11">
        <v>0</v>
      </c>
      <c r="Q9" s="11">
        <v>0</v>
      </c>
      <c r="R9" s="13">
        <f t="shared" si="3"/>
        <v>0</v>
      </c>
      <c r="S9">
        <v>0</v>
      </c>
      <c r="T9">
        <v>0</v>
      </c>
      <c r="U9" s="7">
        <f t="shared" si="4"/>
        <v>0</v>
      </c>
      <c r="V9">
        <v>0</v>
      </c>
      <c r="W9">
        <v>0</v>
      </c>
      <c r="X9">
        <v>0</v>
      </c>
      <c r="Y9">
        <v>0</v>
      </c>
      <c r="Z9" s="13">
        <f t="shared" si="5"/>
        <v>0</v>
      </c>
      <c r="AA9">
        <v>0</v>
      </c>
      <c r="AB9">
        <v>0</v>
      </c>
      <c r="AC9">
        <v>0</v>
      </c>
      <c r="AD9">
        <v>0</v>
      </c>
      <c r="AE9" s="7">
        <f t="shared" si="6"/>
        <v>0</v>
      </c>
      <c r="AF9">
        <v>50</v>
      </c>
      <c r="AG9">
        <v>20</v>
      </c>
      <c r="AH9">
        <v>29</v>
      </c>
      <c r="AI9" s="13">
        <f t="shared" si="7"/>
        <v>99</v>
      </c>
      <c r="AJ9" s="11" t="s">
        <v>51</v>
      </c>
      <c r="AK9" s="11" t="s">
        <v>51</v>
      </c>
      <c r="AL9" s="11" t="s">
        <v>51</v>
      </c>
      <c r="AM9" s="13">
        <f t="shared" si="8"/>
        <v>0</v>
      </c>
      <c r="AN9" s="18">
        <v>32</v>
      </c>
      <c r="AO9" s="18">
        <v>0</v>
      </c>
      <c r="AP9" s="18">
        <v>0</v>
      </c>
      <c r="AQ9" s="18">
        <v>8</v>
      </c>
      <c r="AR9" s="18">
        <f t="shared" si="9"/>
        <v>40</v>
      </c>
      <c r="AS9" t="s">
        <v>52</v>
      </c>
      <c r="AT9" s="9">
        <v>90.960000000000008</v>
      </c>
      <c r="AU9" s="11">
        <f>+((AN9*I9)+(AQ9*AI9))/AR9</f>
        <v>90.960000000000008</v>
      </c>
    </row>
    <row r="10" spans="1:47" x14ac:dyDescent="0.25">
      <c r="A10" t="s">
        <v>46</v>
      </c>
      <c r="B10" t="s">
        <v>74</v>
      </c>
      <c r="C10" t="s">
        <v>75</v>
      </c>
      <c r="D10" t="s">
        <v>76</v>
      </c>
      <c r="E10" s="11">
        <v>20</v>
      </c>
      <c r="F10" s="11">
        <v>18.329999999999998</v>
      </c>
      <c r="G10" s="11">
        <v>46.05</v>
      </c>
      <c r="H10" s="11">
        <v>5.5</v>
      </c>
      <c r="I10" s="13">
        <f t="shared" si="1"/>
        <v>89.88</v>
      </c>
      <c r="J10" s="11">
        <v>0</v>
      </c>
      <c r="K10" s="11">
        <v>0</v>
      </c>
      <c r="L10" s="11">
        <v>0</v>
      </c>
      <c r="M10" s="13">
        <f t="shared" si="2"/>
        <v>0</v>
      </c>
      <c r="N10" s="11">
        <v>0</v>
      </c>
      <c r="O10" s="11">
        <v>0</v>
      </c>
      <c r="P10" s="11">
        <v>0</v>
      </c>
      <c r="Q10" s="11">
        <v>0</v>
      </c>
      <c r="R10" s="13">
        <f t="shared" si="3"/>
        <v>0</v>
      </c>
      <c r="S10">
        <v>0</v>
      </c>
      <c r="T10">
        <v>0</v>
      </c>
      <c r="U10" s="7">
        <f t="shared" si="4"/>
        <v>0</v>
      </c>
      <c r="V10">
        <v>0</v>
      </c>
      <c r="W10">
        <v>0</v>
      </c>
      <c r="X10">
        <v>0</v>
      </c>
      <c r="Y10">
        <v>0</v>
      </c>
      <c r="Z10" s="13">
        <f t="shared" si="5"/>
        <v>0</v>
      </c>
      <c r="AA10">
        <v>0</v>
      </c>
      <c r="AB10">
        <v>0</v>
      </c>
      <c r="AC10">
        <v>0</v>
      </c>
      <c r="AD10">
        <v>0</v>
      </c>
      <c r="AE10" s="7">
        <f t="shared" si="6"/>
        <v>0</v>
      </c>
      <c r="AF10">
        <v>0</v>
      </c>
      <c r="AG10">
        <v>0</v>
      </c>
      <c r="AH10">
        <v>0</v>
      </c>
      <c r="AI10" s="13">
        <f t="shared" si="7"/>
        <v>0</v>
      </c>
      <c r="AJ10" s="11" t="s">
        <v>51</v>
      </c>
      <c r="AK10" s="11" t="s">
        <v>51</v>
      </c>
      <c r="AL10" s="11" t="s">
        <v>51</v>
      </c>
      <c r="AM10" s="13">
        <f t="shared" si="8"/>
        <v>0</v>
      </c>
      <c r="AN10" s="18">
        <v>2</v>
      </c>
      <c r="AO10" s="18">
        <v>0</v>
      </c>
      <c r="AP10" s="18">
        <v>0</v>
      </c>
      <c r="AQ10" s="18">
        <v>0</v>
      </c>
      <c r="AR10" s="18">
        <f t="shared" si="9"/>
        <v>2</v>
      </c>
      <c r="AS10" t="s">
        <v>52</v>
      </c>
      <c r="AT10" s="9">
        <v>89.88</v>
      </c>
      <c r="AU10" s="30">
        <f t="shared" si="0"/>
        <v>89.88</v>
      </c>
    </row>
    <row r="11" spans="1:47" x14ac:dyDescent="0.25">
      <c r="A11" t="s">
        <v>46</v>
      </c>
      <c r="B11" t="s">
        <v>78</v>
      </c>
      <c r="C11" t="s">
        <v>79</v>
      </c>
      <c r="D11" t="s">
        <v>80</v>
      </c>
      <c r="E11" s="11">
        <v>20</v>
      </c>
      <c r="F11" s="11">
        <v>19.329999999999998</v>
      </c>
      <c r="G11" s="11">
        <v>47.25</v>
      </c>
      <c r="H11" s="11">
        <v>2.5</v>
      </c>
      <c r="I11" s="13">
        <f t="shared" si="1"/>
        <v>89.08</v>
      </c>
      <c r="J11" s="11">
        <v>0</v>
      </c>
      <c r="K11" s="11">
        <v>0</v>
      </c>
      <c r="L11" s="11">
        <v>0</v>
      </c>
      <c r="M11" s="13">
        <f t="shared" si="2"/>
        <v>0</v>
      </c>
      <c r="N11" s="11">
        <v>0</v>
      </c>
      <c r="O11" s="11">
        <v>0</v>
      </c>
      <c r="P11" s="11">
        <v>0</v>
      </c>
      <c r="Q11" s="11">
        <v>0</v>
      </c>
      <c r="R11" s="13">
        <f t="shared" si="3"/>
        <v>0</v>
      </c>
      <c r="S11">
        <v>0</v>
      </c>
      <c r="T11">
        <v>0</v>
      </c>
      <c r="U11" s="7">
        <f t="shared" si="4"/>
        <v>0</v>
      </c>
      <c r="V11">
        <v>0</v>
      </c>
      <c r="W11">
        <v>0</v>
      </c>
      <c r="X11">
        <v>0</v>
      </c>
      <c r="Y11">
        <v>0</v>
      </c>
      <c r="Z11" s="13">
        <f t="shared" si="5"/>
        <v>0</v>
      </c>
      <c r="AA11">
        <v>0</v>
      </c>
      <c r="AB11">
        <v>0</v>
      </c>
      <c r="AC11">
        <v>0</v>
      </c>
      <c r="AD11">
        <v>0</v>
      </c>
      <c r="AE11" s="7">
        <f t="shared" si="6"/>
        <v>0</v>
      </c>
      <c r="AF11">
        <v>0</v>
      </c>
      <c r="AG11">
        <v>0</v>
      </c>
      <c r="AH11">
        <v>0</v>
      </c>
      <c r="AI11" s="13">
        <f t="shared" si="7"/>
        <v>0</v>
      </c>
      <c r="AJ11" s="11" t="s">
        <v>51</v>
      </c>
      <c r="AK11" s="11" t="s">
        <v>51</v>
      </c>
      <c r="AL11" s="11" t="s">
        <v>51</v>
      </c>
      <c r="AM11" s="13">
        <f t="shared" si="8"/>
        <v>0</v>
      </c>
      <c r="AN11" s="18">
        <v>3</v>
      </c>
      <c r="AO11" s="18">
        <v>0</v>
      </c>
      <c r="AP11" s="18">
        <v>0</v>
      </c>
      <c r="AQ11" s="18">
        <v>0</v>
      </c>
      <c r="AR11" s="18">
        <f t="shared" si="9"/>
        <v>3</v>
      </c>
      <c r="AS11" t="s">
        <v>52</v>
      </c>
      <c r="AT11" s="9">
        <v>89.08</v>
      </c>
      <c r="AU11" s="30">
        <f t="shared" si="0"/>
        <v>89.08</v>
      </c>
    </row>
    <row r="12" spans="1:47" x14ac:dyDescent="0.25">
      <c r="A12" t="s">
        <v>46</v>
      </c>
      <c r="B12" t="s">
        <v>82</v>
      </c>
      <c r="C12" t="s">
        <v>83</v>
      </c>
      <c r="D12" t="s">
        <v>84</v>
      </c>
      <c r="E12" s="11">
        <v>0</v>
      </c>
      <c r="F12" s="11">
        <v>0</v>
      </c>
      <c r="G12" s="11">
        <v>0</v>
      </c>
      <c r="H12" s="11">
        <v>0</v>
      </c>
      <c r="I12" s="13">
        <f t="shared" si="1"/>
        <v>0</v>
      </c>
      <c r="J12" s="11">
        <v>56.08</v>
      </c>
      <c r="K12" s="11">
        <v>29</v>
      </c>
      <c r="L12" s="11">
        <v>2.5</v>
      </c>
      <c r="M12" s="13">
        <f t="shared" si="2"/>
        <v>87.58</v>
      </c>
      <c r="N12" s="11">
        <v>0</v>
      </c>
      <c r="O12" s="11">
        <v>0</v>
      </c>
      <c r="P12" s="11">
        <v>0</v>
      </c>
      <c r="Q12" s="11">
        <v>0</v>
      </c>
      <c r="R12" s="13">
        <f t="shared" si="3"/>
        <v>0</v>
      </c>
      <c r="S12">
        <v>0</v>
      </c>
      <c r="T12">
        <v>0</v>
      </c>
      <c r="U12" s="7">
        <f t="shared" si="4"/>
        <v>0</v>
      </c>
      <c r="V12">
        <v>0</v>
      </c>
      <c r="W12">
        <v>0</v>
      </c>
      <c r="X12">
        <v>0</v>
      </c>
      <c r="Y12">
        <v>0</v>
      </c>
      <c r="Z12" s="13">
        <f t="shared" si="5"/>
        <v>0</v>
      </c>
      <c r="AA12">
        <v>0</v>
      </c>
      <c r="AB12">
        <v>0</v>
      </c>
      <c r="AC12">
        <v>0</v>
      </c>
      <c r="AD12">
        <v>0</v>
      </c>
      <c r="AE12" s="7">
        <f t="shared" si="6"/>
        <v>0</v>
      </c>
      <c r="AF12">
        <v>0</v>
      </c>
      <c r="AG12">
        <v>0</v>
      </c>
      <c r="AH12">
        <v>0</v>
      </c>
      <c r="AI12" s="13">
        <f t="shared" si="7"/>
        <v>0</v>
      </c>
      <c r="AJ12" s="11" t="s">
        <v>51</v>
      </c>
      <c r="AK12" s="11" t="s">
        <v>51</v>
      </c>
      <c r="AL12" s="11" t="s">
        <v>51</v>
      </c>
      <c r="AM12" s="13">
        <f t="shared" si="8"/>
        <v>0</v>
      </c>
      <c r="AN12" s="18">
        <v>1.69</v>
      </c>
      <c r="AO12" s="18">
        <v>0</v>
      </c>
      <c r="AP12" s="18">
        <v>0</v>
      </c>
      <c r="AQ12" s="18">
        <v>0</v>
      </c>
      <c r="AR12" s="18">
        <f t="shared" si="9"/>
        <v>1.69</v>
      </c>
      <c r="AS12" t="s">
        <v>87</v>
      </c>
      <c r="AT12" s="9">
        <v>87.58</v>
      </c>
      <c r="AU12" s="30">
        <f>+((AN12*M12)/AR12)</f>
        <v>87.58</v>
      </c>
    </row>
    <row r="13" spans="1:47" x14ac:dyDescent="0.25">
      <c r="A13" t="s">
        <v>46</v>
      </c>
      <c r="B13" t="s">
        <v>88</v>
      </c>
      <c r="C13" t="s">
        <v>89</v>
      </c>
      <c r="D13" t="s">
        <v>90</v>
      </c>
      <c r="E13" s="11">
        <v>20</v>
      </c>
      <c r="F13" s="11">
        <v>18.329999999999998</v>
      </c>
      <c r="G13" s="11">
        <v>45.72</v>
      </c>
      <c r="H13" s="11">
        <v>3.5</v>
      </c>
      <c r="I13" s="13">
        <f t="shared" si="1"/>
        <v>87.55</v>
      </c>
      <c r="J13" s="11">
        <v>0</v>
      </c>
      <c r="K13" s="11">
        <v>0</v>
      </c>
      <c r="L13" s="11">
        <v>0</v>
      </c>
      <c r="M13" s="13">
        <f t="shared" si="2"/>
        <v>0</v>
      </c>
      <c r="N13" s="11">
        <v>0</v>
      </c>
      <c r="O13" s="11">
        <v>0</v>
      </c>
      <c r="P13" s="11">
        <v>0</v>
      </c>
      <c r="Q13" s="11">
        <v>0</v>
      </c>
      <c r="R13" s="13">
        <f t="shared" si="3"/>
        <v>0</v>
      </c>
      <c r="S13">
        <v>0</v>
      </c>
      <c r="T13">
        <v>0</v>
      </c>
      <c r="U13" s="7">
        <f t="shared" si="4"/>
        <v>0</v>
      </c>
      <c r="V13">
        <v>0</v>
      </c>
      <c r="W13">
        <v>0</v>
      </c>
      <c r="X13">
        <v>0</v>
      </c>
      <c r="Y13">
        <v>0</v>
      </c>
      <c r="Z13" s="13">
        <f t="shared" si="5"/>
        <v>0</v>
      </c>
      <c r="AA13">
        <v>0</v>
      </c>
      <c r="AB13">
        <v>0</v>
      </c>
      <c r="AC13">
        <v>0</v>
      </c>
      <c r="AD13">
        <v>0</v>
      </c>
      <c r="AE13" s="7">
        <f t="shared" si="6"/>
        <v>0</v>
      </c>
      <c r="AF13">
        <v>0</v>
      </c>
      <c r="AG13">
        <v>0</v>
      </c>
      <c r="AH13">
        <v>0</v>
      </c>
      <c r="AI13" s="13">
        <f t="shared" si="7"/>
        <v>0</v>
      </c>
      <c r="AJ13" s="11" t="s">
        <v>51</v>
      </c>
      <c r="AK13" s="11" t="s">
        <v>51</v>
      </c>
      <c r="AL13" s="11" t="s">
        <v>51</v>
      </c>
      <c r="AM13" s="13">
        <f t="shared" si="8"/>
        <v>0</v>
      </c>
      <c r="AN13" s="18">
        <v>20</v>
      </c>
      <c r="AO13" s="18">
        <v>0</v>
      </c>
      <c r="AP13" s="18">
        <v>0</v>
      </c>
      <c r="AQ13" s="18">
        <v>0</v>
      </c>
      <c r="AR13" s="18">
        <f t="shared" si="9"/>
        <v>20</v>
      </c>
      <c r="AS13" t="s">
        <v>52</v>
      </c>
      <c r="AT13" s="9">
        <v>87.55</v>
      </c>
      <c r="AU13" s="30">
        <f>+((AN13*I13)+(AO13*AE13)+(AQ13*AI13)+(AP13*AM13))/AR13</f>
        <v>87.55</v>
      </c>
    </row>
    <row r="14" spans="1:47" x14ac:dyDescent="0.25">
      <c r="A14" t="s">
        <v>46</v>
      </c>
      <c r="B14" t="s">
        <v>92</v>
      </c>
      <c r="C14" t="s">
        <v>93</v>
      </c>
      <c r="D14" t="s">
        <v>94</v>
      </c>
      <c r="E14" s="11">
        <v>0</v>
      </c>
      <c r="F14" s="11">
        <v>0</v>
      </c>
      <c r="G14" s="11">
        <v>0</v>
      </c>
      <c r="H14" s="11">
        <v>0</v>
      </c>
      <c r="I14" s="13">
        <f t="shared" si="1"/>
        <v>0</v>
      </c>
      <c r="J14" s="11">
        <v>56.65</v>
      </c>
      <c r="K14" s="11">
        <v>28.5</v>
      </c>
      <c r="L14" s="11">
        <v>2.5</v>
      </c>
      <c r="M14" s="13">
        <f t="shared" si="2"/>
        <v>87.65</v>
      </c>
      <c r="N14" s="11">
        <v>0</v>
      </c>
      <c r="O14" s="11">
        <v>0</v>
      </c>
      <c r="P14" s="11">
        <v>0</v>
      </c>
      <c r="Q14" s="11">
        <v>0</v>
      </c>
      <c r="R14" s="13">
        <f t="shared" si="3"/>
        <v>0</v>
      </c>
      <c r="S14">
        <v>0</v>
      </c>
      <c r="T14">
        <v>0</v>
      </c>
      <c r="U14" s="7">
        <f t="shared" si="4"/>
        <v>0</v>
      </c>
      <c r="V14">
        <v>0</v>
      </c>
      <c r="W14">
        <v>0</v>
      </c>
      <c r="X14">
        <v>0</v>
      </c>
      <c r="Y14">
        <v>0</v>
      </c>
      <c r="Z14" s="13">
        <f t="shared" si="5"/>
        <v>0</v>
      </c>
      <c r="AA14">
        <v>0</v>
      </c>
      <c r="AB14">
        <v>0</v>
      </c>
      <c r="AC14">
        <v>0</v>
      </c>
      <c r="AD14">
        <v>0</v>
      </c>
      <c r="AE14" s="7">
        <f t="shared" si="6"/>
        <v>0</v>
      </c>
      <c r="AF14">
        <v>0</v>
      </c>
      <c r="AG14">
        <v>0</v>
      </c>
      <c r="AH14">
        <v>0</v>
      </c>
      <c r="AI14" s="13">
        <f t="shared" si="7"/>
        <v>0</v>
      </c>
      <c r="AJ14" s="11" t="s">
        <v>51</v>
      </c>
      <c r="AK14" s="11" t="s">
        <v>51</v>
      </c>
      <c r="AL14" s="11" t="s">
        <v>51</v>
      </c>
      <c r="AM14" s="13">
        <f t="shared" si="8"/>
        <v>0</v>
      </c>
      <c r="AN14" s="18">
        <v>1.1299999999999999</v>
      </c>
      <c r="AO14" s="18">
        <v>0</v>
      </c>
      <c r="AP14" s="18">
        <v>0</v>
      </c>
      <c r="AQ14" s="18">
        <v>0</v>
      </c>
      <c r="AR14" s="18">
        <f t="shared" si="9"/>
        <v>1.1299999999999999</v>
      </c>
      <c r="AS14" t="s">
        <v>87</v>
      </c>
      <c r="AT14" s="9">
        <v>87.65</v>
      </c>
      <c r="AU14" s="30">
        <f>+((AN14*M14)/AR14)</f>
        <v>87.65</v>
      </c>
    </row>
    <row r="15" spans="1:47" x14ac:dyDescent="0.25">
      <c r="A15" t="s">
        <v>46</v>
      </c>
      <c r="B15" t="s">
        <v>96</v>
      </c>
      <c r="C15" t="s">
        <v>97</v>
      </c>
      <c r="D15" t="s">
        <v>98</v>
      </c>
      <c r="E15" s="11">
        <v>17.47</v>
      </c>
      <c r="F15" s="11">
        <v>20</v>
      </c>
      <c r="G15" s="11">
        <v>42.71</v>
      </c>
      <c r="H15" s="11">
        <v>4</v>
      </c>
      <c r="I15" s="13">
        <f t="shared" si="1"/>
        <v>84.18</v>
      </c>
      <c r="J15" s="11">
        <v>0</v>
      </c>
      <c r="K15" s="11">
        <v>0</v>
      </c>
      <c r="L15" s="11">
        <v>0</v>
      </c>
      <c r="M15" s="13">
        <f t="shared" si="2"/>
        <v>0</v>
      </c>
      <c r="N15" s="11">
        <v>0</v>
      </c>
      <c r="O15" s="11">
        <v>0</v>
      </c>
      <c r="P15" s="11">
        <v>0</v>
      </c>
      <c r="Q15" s="11">
        <v>0</v>
      </c>
      <c r="R15" s="13">
        <f t="shared" si="3"/>
        <v>0</v>
      </c>
      <c r="S15">
        <v>0</v>
      </c>
      <c r="T15">
        <v>0</v>
      </c>
      <c r="U15" s="7">
        <f t="shared" si="4"/>
        <v>0</v>
      </c>
      <c r="V15">
        <v>0</v>
      </c>
      <c r="W15">
        <v>0</v>
      </c>
      <c r="X15">
        <v>0</v>
      </c>
      <c r="Y15">
        <v>0</v>
      </c>
      <c r="Z15" s="13">
        <f t="shared" si="5"/>
        <v>0</v>
      </c>
      <c r="AA15">
        <v>0</v>
      </c>
      <c r="AB15">
        <v>0</v>
      </c>
      <c r="AC15">
        <v>0</v>
      </c>
      <c r="AD15">
        <v>0</v>
      </c>
      <c r="AE15" s="7">
        <f t="shared" si="6"/>
        <v>0</v>
      </c>
      <c r="AF15">
        <v>0</v>
      </c>
      <c r="AG15">
        <v>0</v>
      </c>
      <c r="AH15">
        <v>0</v>
      </c>
      <c r="AI15" s="13">
        <f t="shared" si="7"/>
        <v>0</v>
      </c>
      <c r="AJ15" s="11" t="s">
        <v>51</v>
      </c>
      <c r="AK15" s="11" t="s">
        <v>51</v>
      </c>
      <c r="AL15" s="11" t="s">
        <v>51</v>
      </c>
      <c r="AM15" s="13">
        <f t="shared" si="8"/>
        <v>0</v>
      </c>
      <c r="AN15" s="18">
        <v>40</v>
      </c>
      <c r="AO15" s="18">
        <v>0</v>
      </c>
      <c r="AP15" s="18">
        <v>0</v>
      </c>
      <c r="AQ15" s="18">
        <v>0</v>
      </c>
      <c r="AR15" s="18">
        <f t="shared" si="9"/>
        <v>40</v>
      </c>
      <c r="AS15" t="s">
        <v>52</v>
      </c>
      <c r="AT15" s="9">
        <v>84.18</v>
      </c>
      <c r="AU15" s="30">
        <f>+((AN15*I15)+(AO15*AE15)+(AQ15*AI15)+(AP15*AM15))/AR15</f>
        <v>84.18</v>
      </c>
    </row>
    <row r="16" spans="1:47" x14ac:dyDescent="0.25">
      <c r="A16" t="s">
        <v>46</v>
      </c>
      <c r="B16" t="s">
        <v>100</v>
      </c>
      <c r="C16" t="s">
        <v>101</v>
      </c>
      <c r="D16" t="s">
        <v>102</v>
      </c>
      <c r="E16" s="11">
        <v>20</v>
      </c>
      <c r="F16" s="11">
        <v>20</v>
      </c>
      <c r="G16" s="11">
        <v>45.8</v>
      </c>
      <c r="H16" s="11">
        <v>5.5</v>
      </c>
      <c r="I16" s="13">
        <f t="shared" si="1"/>
        <v>91.3</v>
      </c>
      <c r="J16" s="11">
        <v>0</v>
      </c>
      <c r="K16" s="11">
        <v>0</v>
      </c>
      <c r="L16" s="11">
        <v>0</v>
      </c>
      <c r="M16" s="13">
        <f t="shared" si="2"/>
        <v>0</v>
      </c>
      <c r="N16" s="11">
        <v>0</v>
      </c>
      <c r="O16" s="11">
        <v>0</v>
      </c>
      <c r="P16" s="11">
        <v>0</v>
      </c>
      <c r="Q16" s="11">
        <v>0</v>
      </c>
      <c r="R16" s="13">
        <f t="shared" si="3"/>
        <v>0</v>
      </c>
      <c r="S16">
        <v>0</v>
      </c>
      <c r="T16">
        <v>0</v>
      </c>
      <c r="U16" s="7">
        <f t="shared" si="4"/>
        <v>0</v>
      </c>
      <c r="V16">
        <v>0</v>
      </c>
      <c r="W16">
        <v>0</v>
      </c>
      <c r="X16">
        <v>0</v>
      </c>
      <c r="Y16">
        <v>0</v>
      </c>
      <c r="Z16" s="13">
        <f t="shared" si="5"/>
        <v>0</v>
      </c>
      <c r="AA16">
        <v>0</v>
      </c>
      <c r="AB16">
        <v>0</v>
      </c>
      <c r="AC16">
        <v>0</v>
      </c>
      <c r="AD16">
        <v>0</v>
      </c>
      <c r="AE16" s="7">
        <f t="shared" si="6"/>
        <v>0</v>
      </c>
      <c r="AF16">
        <v>45</v>
      </c>
      <c r="AG16">
        <v>20</v>
      </c>
      <c r="AH16">
        <v>28.25</v>
      </c>
      <c r="AI16" s="13">
        <f t="shared" si="7"/>
        <v>93.25</v>
      </c>
      <c r="AJ16" s="11" t="s">
        <v>51</v>
      </c>
      <c r="AK16" s="11" t="s">
        <v>51</v>
      </c>
      <c r="AL16" s="11" t="s">
        <v>51</v>
      </c>
      <c r="AM16" s="13">
        <f t="shared" si="8"/>
        <v>0</v>
      </c>
      <c r="AN16" s="18">
        <v>32</v>
      </c>
      <c r="AO16" s="18">
        <v>0</v>
      </c>
      <c r="AP16" s="18">
        <v>0</v>
      </c>
      <c r="AQ16" s="18">
        <v>8</v>
      </c>
      <c r="AR16" s="18">
        <f t="shared" si="9"/>
        <v>40</v>
      </c>
      <c r="AS16" t="s">
        <v>52</v>
      </c>
      <c r="AT16" s="9">
        <v>91.69</v>
      </c>
      <c r="AU16" s="30">
        <f>+((AN16*I16)+(AO16*AE16)+(AQ16*AI16)+(AP16*AM16))/AR16</f>
        <v>91.69</v>
      </c>
    </row>
    <row r="17" spans="1:47" x14ac:dyDescent="0.25">
      <c r="A17" t="s">
        <v>46</v>
      </c>
      <c r="B17" t="s">
        <v>104</v>
      </c>
      <c r="C17" t="s">
        <v>105</v>
      </c>
      <c r="D17" t="s">
        <v>106</v>
      </c>
      <c r="E17" s="11">
        <v>20</v>
      </c>
      <c r="F17" s="11">
        <v>20</v>
      </c>
      <c r="G17" s="11">
        <v>46.28</v>
      </c>
      <c r="H17" s="11">
        <v>5.5</v>
      </c>
      <c r="I17" s="13">
        <f t="shared" si="1"/>
        <v>91.78</v>
      </c>
      <c r="J17" s="11">
        <v>0</v>
      </c>
      <c r="K17" s="11">
        <v>0</v>
      </c>
      <c r="L17" s="11">
        <v>0</v>
      </c>
      <c r="M17" s="13">
        <f t="shared" si="2"/>
        <v>0</v>
      </c>
      <c r="N17" s="11">
        <v>0</v>
      </c>
      <c r="O17" s="11">
        <v>0</v>
      </c>
      <c r="P17" s="11">
        <v>0</v>
      </c>
      <c r="Q17" s="11">
        <v>0</v>
      </c>
      <c r="R17" s="13">
        <f t="shared" si="3"/>
        <v>0</v>
      </c>
      <c r="S17">
        <v>0</v>
      </c>
      <c r="T17">
        <v>0</v>
      </c>
      <c r="U17" s="7">
        <f t="shared" si="4"/>
        <v>0</v>
      </c>
      <c r="V17">
        <v>0</v>
      </c>
      <c r="W17">
        <v>0</v>
      </c>
      <c r="X17">
        <v>0</v>
      </c>
      <c r="Y17">
        <v>0</v>
      </c>
      <c r="Z17" s="13">
        <f t="shared" si="5"/>
        <v>0</v>
      </c>
      <c r="AA17">
        <v>0</v>
      </c>
      <c r="AB17">
        <v>0</v>
      </c>
      <c r="AC17">
        <v>0</v>
      </c>
      <c r="AD17">
        <v>0</v>
      </c>
      <c r="AE17" s="7">
        <f t="shared" si="6"/>
        <v>0</v>
      </c>
      <c r="AF17">
        <v>0</v>
      </c>
      <c r="AG17">
        <v>0</v>
      </c>
      <c r="AH17">
        <v>0</v>
      </c>
      <c r="AI17" s="13">
        <f t="shared" si="7"/>
        <v>0</v>
      </c>
      <c r="AJ17" s="11" t="s">
        <v>51</v>
      </c>
      <c r="AK17" s="11" t="s">
        <v>51</v>
      </c>
      <c r="AL17" s="11" t="s">
        <v>51</v>
      </c>
      <c r="AM17" s="13">
        <f t="shared" si="8"/>
        <v>0</v>
      </c>
      <c r="AN17" s="18">
        <v>20</v>
      </c>
      <c r="AO17" s="18">
        <v>0</v>
      </c>
      <c r="AP17" s="18">
        <v>0</v>
      </c>
      <c r="AQ17" s="18">
        <v>0</v>
      </c>
      <c r="AR17" s="18">
        <f t="shared" si="9"/>
        <v>20</v>
      </c>
      <c r="AS17" t="s">
        <v>52</v>
      </c>
      <c r="AT17" s="9">
        <v>91.78</v>
      </c>
      <c r="AU17" s="30">
        <f>+((AN17*I17)+(AO17*AE17)+(AQ17*AI17)+(AP17*AM17))/AR17</f>
        <v>91.78</v>
      </c>
    </row>
    <row r="18" spans="1:47" x14ac:dyDescent="0.25">
      <c r="A18" t="s">
        <v>46</v>
      </c>
      <c r="B18" t="s">
        <v>108</v>
      </c>
      <c r="C18" t="s">
        <v>109</v>
      </c>
      <c r="D18" t="s">
        <v>110</v>
      </c>
      <c r="E18" s="11">
        <v>18.329999999999998</v>
      </c>
      <c r="F18" s="11">
        <v>13.330000000000002</v>
      </c>
      <c r="G18" s="11">
        <v>50</v>
      </c>
      <c r="H18" s="11">
        <v>6.5</v>
      </c>
      <c r="I18" s="13">
        <f t="shared" si="1"/>
        <v>88.16</v>
      </c>
      <c r="J18" s="11">
        <v>0</v>
      </c>
      <c r="K18" s="11">
        <v>0</v>
      </c>
      <c r="L18" s="11">
        <v>0</v>
      </c>
      <c r="M18" s="13">
        <f t="shared" si="2"/>
        <v>0</v>
      </c>
      <c r="N18" s="11">
        <v>0</v>
      </c>
      <c r="O18" s="11">
        <v>0</v>
      </c>
      <c r="P18" s="11">
        <v>0</v>
      </c>
      <c r="Q18" s="11">
        <v>0</v>
      </c>
      <c r="R18" s="13">
        <f t="shared" si="3"/>
        <v>0</v>
      </c>
      <c r="S18">
        <v>0</v>
      </c>
      <c r="T18">
        <v>0</v>
      </c>
      <c r="U18" s="7">
        <f t="shared" si="4"/>
        <v>0</v>
      </c>
      <c r="V18">
        <v>0</v>
      </c>
      <c r="W18">
        <v>0</v>
      </c>
      <c r="X18">
        <v>0</v>
      </c>
      <c r="Y18">
        <v>0</v>
      </c>
      <c r="Z18" s="13">
        <f t="shared" si="5"/>
        <v>0</v>
      </c>
      <c r="AA18">
        <v>0</v>
      </c>
      <c r="AB18">
        <v>0</v>
      </c>
      <c r="AC18">
        <v>0</v>
      </c>
      <c r="AD18">
        <v>0</v>
      </c>
      <c r="AE18" s="7">
        <f t="shared" si="6"/>
        <v>0</v>
      </c>
      <c r="AF18">
        <v>0</v>
      </c>
      <c r="AG18">
        <v>0</v>
      </c>
      <c r="AH18">
        <v>0</v>
      </c>
      <c r="AI18" s="13">
        <f t="shared" si="7"/>
        <v>0</v>
      </c>
      <c r="AJ18" s="11" t="s">
        <v>51</v>
      </c>
      <c r="AK18" s="11" t="s">
        <v>51</v>
      </c>
      <c r="AL18" s="11" t="s">
        <v>51</v>
      </c>
      <c r="AM18" s="13">
        <f t="shared" si="8"/>
        <v>0</v>
      </c>
      <c r="AN18" s="18">
        <v>3</v>
      </c>
      <c r="AO18" s="18">
        <v>0</v>
      </c>
      <c r="AP18" s="18">
        <v>0</v>
      </c>
      <c r="AQ18" s="18">
        <v>0</v>
      </c>
      <c r="AR18" s="18">
        <f t="shared" si="9"/>
        <v>3</v>
      </c>
      <c r="AS18" t="s">
        <v>52</v>
      </c>
      <c r="AT18" s="9">
        <v>88.160000000000011</v>
      </c>
      <c r="AU18" s="30">
        <f>+((AN18*I18)+(AO18*AE18)+(AQ18*AI18)+(AP18*AM18))/AR18</f>
        <v>88.160000000000011</v>
      </c>
    </row>
    <row r="19" spans="1:47" x14ac:dyDescent="0.25">
      <c r="A19" t="s">
        <v>46</v>
      </c>
      <c r="B19" s="32" t="s">
        <v>112</v>
      </c>
      <c r="C19" s="32" t="s">
        <v>113</v>
      </c>
      <c r="D19" s="32" t="s">
        <v>114</v>
      </c>
      <c r="E19" s="11">
        <v>0</v>
      </c>
      <c r="F19" s="11">
        <v>0</v>
      </c>
      <c r="G19" s="11">
        <v>0</v>
      </c>
      <c r="H19" s="11">
        <v>0</v>
      </c>
      <c r="I19" s="13">
        <f t="shared" si="1"/>
        <v>0</v>
      </c>
      <c r="J19" s="11">
        <v>0</v>
      </c>
      <c r="K19" s="11">
        <v>0</v>
      </c>
      <c r="L19" s="11">
        <v>0</v>
      </c>
      <c r="M19" s="13">
        <f t="shared" si="2"/>
        <v>0</v>
      </c>
      <c r="N19" s="11">
        <v>59.462499999999999</v>
      </c>
      <c r="O19" s="11">
        <v>3.125</v>
      </c>
      <c r="P19" s="11">
        <v>10.4125</v>
      </c>
      <c r="Q19" s="11">
        <v>0</v>
      </c>
      <c r="R19" s="13">
        <f t="shared" si="3"/>
        <v>73</v>
      </c>
      <c r="S19">
        <v>0</v>
      </c>
      <c r="T19">
        <v>0</v>
      </c>
      <c r="U19" s="7">
        <f t="shared" si="4"/>
        <v>0</v>
      </c>
      <c r="V19">
        <v>0</v>
      </c>
      <c r="W19">
        <v>0</v>
      </c>
      <c r="X19">
        <v>0</v>
      </c>
      <c r="Y19">
        <v>0</v>
      </c>
      <c r="Z19" s="13">
        <f t="shared" si="5"/>
        <v>0</v>
      </c>
      <c r="AA19">
        <v>0</v>
      </c>
      <c r="AB19">
        <v>0</v>
      </c>
      <c r="AC19">
        <v>0</v>
      </c>
      <c r="AD19">
        <v>0</v>
      </c>
      <c r="AE19" s="7">
        <f t="shared" si="6"/>
        <v>0</v>
      </c>
      <c r="AF19">
        <v>0</v>
      </c>
      <c r="AG19">
        <v>0</v>
      </c>
      <c r="AH19">
        <v>0</v>
      </c>
      <c r="AI19" s="13">
        <f t="shared" si="7"/>
        <v>0</v>
      </c>
      <c r="AJ19" s="11" t="s">
        <v>51</v>
      </c>
      <c r="AK19" s="11" t="s">
        <v>51</v>
      </c>
      <c r="AL19" s="11" t="s">
        <v>51</v>
      </c>
      <c r="AM19" s="13">
        <f t="shared" si="8"/>
        <v>0</v>
      </c>
      <c r="AN19" s="18">
        <v>6</v>
      </c>
      <c r="AO19" s="18">
        <v>0</v>
      </c>
      <c r="AP19" s="18">
        <v>0</v>
      </c>
      <c r="AQ19" s="18">
        <v>0</v>
      </c>
      <c r="AR19" s="18">
        <f t="shared" si="9"/>
        <v>6</v>
      </c>
      <c r="AS19" t="s">
        <v>117</v>
      </c>
      <c r="AT19" s="9">
        <v>73</v>
      </c>
      <c r="AU19" s="11">
        <f>+((AN19*R19)+(AQ19*AI19)+(AP19*AM19))/AR19</f>
        <v>73</v>
      </c>
    </row>
    <row r="20" spans="1:47" x14ac:dyDescent="0.25">
      <c r="A20" t="s">
        <v>46</v>
      </c>
      <c r="B20" s="32" t="s">
        <v>118</v>
      </c>
      <c r="C20" s="32" t="s">
        <v>119</v>
      </c>
      <c r="D20" s="32" t="s">
        <v>120</v>
      </c>
      <c r="E20" s="11">
        <v>0</v>
      </c>
      <c r="F20" s="11">
        <v>0</v>
      </c>
      <c r="G20" s="11">
        <v>0</v>
      </c>
      <c r="H20" s="11">
        <v>0</v>
      </c>
      <c r="I20" s="13">
        <f t="shared" si="1"/>
        <v>0</v>
      </c>
      <c r="J20" s="11">
        <v>0</v>
      </c>
      <c r="K20" s="11">
        <v>0</v>
      </c>
      <c r="L20" s="11">
        <v>0</v>
      </c>
      <c r="M20" s="13">
        <f t="shared" si="2"/>
        <v>0</v>
      </c>
      <c r="N20" s="11">
        <v>56.15</v>
      </c>
      <c r="O20" s="11">
        <v>6.25</v>
      </c>
      <c r="P20" s="11">
        <v>0</v>
      </c>
      <c r="Q20" s="11">
        <v>25</v>
      </c>
      <c r="R20" s="13">
        <f t="shared" si="3"/>
        <v>87.4</v>
      </c>
      <c r="S20">
        <v>0</v>
      </c>
      <c r="T20">
        <v>0</v>
      </c>
      <c r="U20" s="7">
        <f t="shared" si="4"/>
        <v>0</v>
      </c>
      <c r="V20">
        <v>0</v>
      </c>
      <c r="W20">
        <v>0</v>
      </c>
      <c r="X20">
        <v>0</v>
      </c>
      <c r="Y20">
        <v>0</v>
      </c>
      <c r="Z20" s="13">
        <f t="shared" si="5"/>
        <v>0</v>
      </c>
      <c r="AA20">
        <v>0</v>
      </c>
      <c r="AB20">
        <v>0</v>
      </c>
      <c r="AC20">
        <v>0</v>
      </c>
      <c r="AD20">
        <v>0</v>
      </c>
      <c r="AE20" s="7">
        <f t="shared" si="6"/>
        <v>0</v>
      </c>
      <c r="AF20">
        <v>0</v>
      </c>
      <c r="AG20">
        <v>0</v>
      </c>
      <c r="AH20">
        <v>0</v>
      </c>
      <c r="AI20" s="13">
        <f t="shared" si="7"/>
        <v>0</v>
      </c>
      <c r="AJ20" s="11" t="s">
        <v>51</v>
      </c>
      <c r="AK20" s="11" t="s">
        <v>51</v>
      </c>
      <c r="AL20" s="11" t="s">
        <v>51</v>
      </c>
      <c r="AM20" s="13">
        <f t="shared" si="8"/>
        <v>0</v>
      </c>
      <c r="AN20" s="18">
        <v>40</v>
      </c>
      <c r="AO20" s="18">
        <v>0</v>
      </c>
      <c r="AP20" s="18">
        <v>0</v>
      </c>
      <c r="AQ20" s="18">
        <v>0</v>
      </c>
      <c r="AR20" s="18">
        <f t="shared" si="9"/>
        <v>40</v>
      </c>
      <c r="AS20" t="s">
        <v>117</v>
      </c>
      <c r="AT20" s="9">
        <v>87.4</v>
      </c>
      <c r="AU20" s="11">
        <f>+((AN20*R20)+(AQ20*AI20)+(AP20*AM20))/AR20</f>
        <v>87.4</v>
      </c>
    </row>
    <row r="21" spans="1:47" x14ac:dyDescent="0.25">
      <c r="A21" t="s">
        <v>46</v>
      </c>
      <c r="B21" s="32" t="s">
        <v>122</v>
      </c>
      <c r="C21" s="32" t="s">
        <v>123</v>
      </c>
      <c r="D21" s="32" t="s">
        <v>124</v>
      </c>
      <c r="E21" s="11">
        <v>0</v>
      </c>
      <c r="F21" s="11">
        <v>0</v>
      </c>
      <c r="G21" s="11">
        <v>0</v>
      </c>
      <c r="H21" s="11">
        <v>0</v>
      </c>
      <c r="I21" s="13">
        <f t="shared" si="1"/>
        <v>0</v>
      </c>
      <c r="J21" s="11">
        <v>0</v>
      </c>
      <c r="K21" s="11">
        <v>0</v>
      </c>
      <c r="L21" s="11">
        <v>0</v>
      </c>
      <c r="M21" s="13">
        <f t="shared" si="2"/>
        <v>0</v>
      </c>
      <c r="N21" s="11">
        <v>48.012500000000003</v>
      </c>
      <c r="O21" s="11">
        <v>5</v>
      </c>
      <c r="P21" s="11">
        <v>0</v>
      </c>
      <c r="Q21" s="11">
        <v>23.75</v>
      </c>
      <c r="R21" s="13">
        <f t="shared" si="3"/>
        <v>76.762500000000003</v>
      </c>
      <c r="S21">
        <v>0</v>
      </c>
      <c r="T21">
        <v>0</v>
      </c>
      <c r="U21" s="7">
        <f t="shared" si="4"/>
        <v>0</v>
      </c>
      <c r="V21">
        <v>0</v>
      </c>
      <c r="W21">
        <v>0</v>
      </c>
      <c r="X21">
        <v>0</v>
      </c>
      <c r="Y21">
        <v>0</v>
      </c>
      <c r="Z21" s="13">
        <f t="shared" si="5"/>
        <v>0</v>
      </c>
      <c r="AA21">
        <v>0</v>
      </c>
      <c r="AB21">
        <v>0</v>
      </c>
      <c r="AC21">
        <v>0</v>
      </c>
      <c r="AD21">
        <v>0</v>
      </c>
      <c r="AE21" s="7">
        <f t="shared" si="6"/>
        <v>0</v>
      </c>
      <c r="AF21">
        <v>0</v>
      </c>
      <c r="AG21">
        <v>0</v>
      </c>
      <c r="AH21">
        <v>0</v>
      </c>
      <c r="AI21" s="13">
        <f t="shared" si="7"/>
        <v>0</v>
      </c>
      <c r="AJ21" s="11" t="s">
        <v>51</v>
      </c>
      <c r="AK21" s="11" t="s">
        <v>51</v>
      </c>
      <c r="AL21" s="11" t="s">
        <v>51</v>
      </c>
      <c r="AM21" s="13">
        <f t="shared" si="8"/>
        <v>0</v>
      </c>
      <c r="AN21" s="18">
        <v>8</v>
      </c>
      <c r="AO21" s="18">
        <v>0</v>
      </c>
      <c r="AP21" s="18">
        <v>0</v>
      </c>
      <c r="AQ21" s="18">
        <v>0</v>
      </c>
      <c r="AR21" s="18">
        <f t="shared" si="9"/>
        <v>8</v>
      </c>
      <c r="AS21" t="s">
        <v>117</v>
      </c>
      <c r="AT21" s="9">
        <v>76.762500000000003</v>
      </c>
      <c r="AU21" s="11">
        <f>+((AN21*R21)+(AQ21*AI21)+(AP21*AM21))/AR21</f>
        <v>76.762500000000003</v>
      </c>
    </row>
    <row r="22" spans="1:47" s="25" customFormat="1" x14ac:dyDescent="0.25">
      <c r="A22" s="25" t="s">
        <v>46</v>
      </c>
      <c r="B22" s="25" t="s">
        <v>126</v>
      </c>
      <c r="C22" s="25" t="s">
        <v>127</v>
      </c>
      <c r="D22" s="25" t="s">
        <v>128</v>
      </c>
      <c r="E22" s="26">
        <v>18.07</v>
      </c>
      <c r="F22" s="26">
        <v>20</v>
      </c>
      <c r="G22" s="26">
        <v>44.59</v>
      </c>
      <c r="H22" s="26">
        <v>2.5</v>
      </c>
      <c r="I22" s="13">
        <f t="shared" si="1"/>
        <v>85.16</v>
      </c>
      <c r="J22" s="26">
        <v>0</v>
      </c>
      <c r="K22" s="26">
        <v>0</v>
      </c>
      <c r="L22" s="26">
        <v>0</v>
      </c>
      <c r="M22" s="13">
        <f t="shared" si="2"/>
        <v>0</v>
      </c>
      <c r="N22" s="26">
        <v>0</v>
      </c>
      <c r="O22" s="26">
        <v>0</v>
      </c>
      <c r="P22" s="26">
        <v>0</v>
      </c>
      <c r="Q22" s="26">
        <v>0</v>
      </c>
      <c r="R22" s="13">
        <f t="shared" si="3"/>
        <v>0</v>
      </c>
      <c r="S22" s="25">
        <v>0</v>
      </c>
      <c r="T22" s="25">
        <v>0</v>
      </c>
      <c r="U22" s="7">
        <f t="shared" si="4"/>
        <v>0</v>
      </c>
      <c r="V22" s="25">
        <v>0</v>
      </c>
      <c r="W22" s="25">
        <v>0</v>
      </c>
      <c r="X22" s="25">
        <v>0</v>
      </c>
      <c r="Y22" s="25">
        <v>0</v>
      </c>
      <c r="Z22" s="13">
        <f t="shared" si="5"/>
        <v>0</v>
      </c>
      <c r="AA22" s="26">
        <v>17.647058823529413</v>
      </c>
      <c r="AB22" s="26">
        <v>58.82352941176471</v>
      </c>
      <c r="AC22" s="26">
        <v>0</v>
      </c>
      <c r="AD22" s="26">
        <v>22.058823529411761</v>
      </c>
      <c r="AE22" s="7">
        <f t="shared" si="6"/>
        <v>98.529411764705884</v>
      </c>
      <c r="AF22" s="25">
        <v>35</v>
      </c>
      <c r="AG22" s="25">
        <v>20</v>
      </c>
      <c r="AH22" s="25">
        <v>25.14</v>
      </c>
      <c r="AI22" s="13">
        <f t="shared" si="7"/>
        <v>80.14</v>
      </c>
      <c r="AJ22" s="26">
        <v>0</v>
      </c>
      <c r="AK22" s="26" t="s">
        <v>51</v>
      </c>
      <c r="AL22" s="26" t="s">
        <v>51</v>
      </c>
      <c r="AM22" s="13">
        <f t="shared" si="8"/>
        <v>0</v>
      </c>
      <c r="AN22" s="23">
        <v>26.25</v>
      </c>
      <c r="AO22" s="23">
        <v>5</v>
      </c>
      <c r="AP22" s="23">
        <v>0</v>
      </c>
      <c r="AQ22" s="23">
        <v>6.75</v>
      </c>
      <c r="AR22" s="18">
        <f t="shared" si="9"/>
        <v>38</v>
      </c>
      <c r="AS22" s="25" t="s">
        <v>52</v>
      </c>
      <c r="AT22" s="29">
        <v>86.02742260061919</v>
      </c>
      <c r="AU22" s="30">
        <f>+((AN22*I22)+(AO22*AE22)+(AQ22*AI22)+(AP22*AM22))/AR22</f>
        <v>86.02742260061919</v>
      </c>
    </row>
    <row r="23" spans="1:47" x14ac:dyDescent="0.25">
      <c r="A23" t="s">
        <v>46</v>
      </c>
      <c r="B23" t="s">
        <v>130</v>
      </c>
      <c r="C23" t="s">
        <v>131</v>
      </c>
      <c r="D23" t="s">
        <v>132</v>
      </c>
      <c r="E23" s="11">
        <v>19.670000000000002</v>
      </c>
      <c r="F23" s="11">
        <v>20</v>
      </c>
      <c r="G23" s="11">
        <v>47.38</v>
      </c>
      <c r="H23" s="11">
        <v>4.5</v>
      </c>
      <c r="I23" s="13">
        <f t="shared" si="1"/>
        <v>91.550000000000011</v>
      </c>
      <c r="J23" s="11">
        <v>0</v>
      </c>
      <c r="K23" s="11">
        <v>0</v>
      </c>
      <c r="L23" s="11">
        <v>0</v>
      </c>
      <c r="M23" s="13">
        <f t="shared" si="2"/>
        <v>0</v>
      </c>
      <c r="N23" s="11">
        <v>0</v>
      </c>
      <c r="O23" s="11">
        <v>0</v>
      </c>
      <c r="P23" s="11">
        <v>0</v>
      </c>
      <c r="Q23" s="11">
        <v>0</v>
      </c>
      <c r="R23" s="13">
        <f t="shared" si="3"/>
        <v>0</v>
      </c>
      <c r="S23">
        <v>0</v>
      </c>
      <c r="T23">
        <v>0</v>
      </c>
      <c r="U23" s="7">
        <f t="shared" si="4"/>
        <v>0</v>
      </c>
      <c r="V23">
        <v>0</v>
      </c>
      <c r="W23">
        <v>0</v>
      </c>
      <c r="X23">
        <v>0</v>
      </c>
      <c r="Y23">
        <v>0</v>
      </c>
      <c r="Z23" s="13">
        <f t="shared" si="5"/>
        <v>0</v>
      </c>
      <c r="AA23">
        <v>0</v>
      </c>
      <c r="AB23">
        <v>0</v>
      </c>
      <c r="AC23">
        <v>0</v>
      </c>
      <c r="AD23">
        <v>0</v>
      </c>
      <c r="AE23" s="7">
        <f t="shared" si="6"/>
        <v>0</v>
      </c>
      <c r="AF23">
        <v>0</v>
      </c>
      <c r="AG23">
        <v>0</v>
      </c>
      <c r="AH23">
        <v>0</v>
      </c>
      <c r="AI23" s="13">
        <f t="shared" si="7"/>
        <v>0</v>
      </c>
      <c r="AJ23" s="11" t="s">
        <v>51</v>
      </c>
      <c r="AK23" s="11" t="s">
        <v>51</v>
      </c>
      <c r="AL23" s="11" t="s">
        <v>51</v>
      </c>
      <c r="AM23" s="13">
        <f t="shared" si="8"/>
        <v>0</v>
      </c>
      <c r="AN23" s="18">
        <v>40</v>
      </c>
      <c r="AO23" s="18">
        <v>0</v>
      </c>
      <c r="AP23" s="18">
        <v>0</v>
      </c>
      <c r="AQ23" s="18">
        <v>0</v>
      </c>
      <c r="AR23" s="18">
        <f t="shared" si="9"/>
        <v>40</v>
      </c>
      <c r="AS23" t="s">
        <v>52</v>
      </c>
      <c r="AT23" s="9">
        <v>91.550000000000011</v>
      </c>
      <c r="AU23" s="30">
        <f>+((AN23*I23)+(AO23*AE23)+(AQ23*AI23)+(AP23*AM23))/AR23</f>
        <v>91.550000000000011</v>
      </c>
    </row>
    <row r="24" spans="1:47" x14ac:dyDescent="0.25">
      <c r="A24" t="s">
        <v>46</v>
      </c>
      <c r="B24" t="s">
        <v>134</v>
      </c>
      <c r="C24" t="s">
        <v>135</v>
      </c>
      <c r="D24" t="s">
        <v>136</v>
      </c>
      <c r="E24" s="11">
        <v>20</v>
      </c>
      <c r="F24" s="11">
        <v>20</v>
      </c>
      <c r="G24" s="11">
        <v>44.73</v>
      </c>
      <c r="H24" s="11">
        <v>5.5</v>
      </c>
      <c r="I24" s="13">
        <f t="shared" si="1"/>
        <v>90.22999999999999</v>
      </c>
      <c r="J24" s="11">
        <v>0</v>
      </c>
      <c r="K24" s="11">
        <v>0</v>
      </c>
      <c r="L24" s="11">
        <v>0</v>
      </c>
      <c r="M24" s="13">
        <f t="shared" si="2"/>
        <v>0</v>
      </c>
      <c r="N24" s="11">
        <v>0</v>
      </c>
      <c r="O24" s="11">
        <v>0</v>
      </c>
      <c r="P24" s="11">
        <v>0</v>
      </c>
      <c r="Q24" s="11">
        <v>0</v>
      </c>
      <c r="R24" s="13">
        <f t="shared" si="3"/>
        <v>0</v>
      </c>
      <c r="S24">
        <v>0</v>
      </c>
      <c r="T24">
        <v>0</v>
      </c>
      <c r="U24" s="7">
        <f t="shared" si="4"/>
        <v>0</v>
      </c>
      <c r="V24">
        <v>0</v>
      </c>
      <c r="W24">
        <v>0</v>
      </c>
      <c r="X24">
        <v>0</v>
      </c>
      <c r="Y24">
        <v>0</v>
      </c>
      <c r="Z24" s="13">
        <f t="shared" si="5"/>
        <v>0</v>
      </c>
      <c r="AA24">
        <v>15</v>
      </c>
      <c r="AB24">
        <v>50</v>
      </c>
      <c r="AC24">
        <v>15</v>
      </c>
      <c r="AD24">
        <v>20</v>
      </c>
      <c r="AE24" s="7">
        <f t="shared" si="6"/>
        <v>100</v>
      </c>
      <c r="AF24">
        <v>0</v>
      </c>
      <c r="AG24">
        <v>0</v>
      </c>
      <c r="AH24">
        <v>0</v>
      </c>
      <c r="AI24" s="13">
        <f t="shared" si="7"/>
        <v>0</v>
      </c>
      <c r="AJ24" s="11" t="s">
        <v>51</v>
      </c>
      <c r="AK24" s="11" t="s">
        <v>51</v>
      </c>
      <c r="AL24" s="11" t="s">
        <v>51</v>
      </c>
      <c r="AM24" s="13">
        <f t="shared" si="8"/>
        <v>0</v>
      </c>
      <c r="AN24" s="18">
        <v>35</v>
      </c>
      <c r="AO24" s="18">
        <v>5</v>
      </c>
      <c r="AP24" s="18">
        <v>0</v>
      </c>
      <c r="AQ24" s="18">
        <v>0</v>
      </c>
      <c r="AR24" s="18">
        <f t="shared" si="9"/>
        <v>40</v>
      </c>
      <c r="AS24" t="s">
        <v>52</v>
      </c>
      <c r="AT24" s="9">
        <v>91.451249999999987</v>
      </c>
      <c r="AU24" s="30">
        <f>+((AN24*I24)+(AO24*AE24)+(AQ24*AI24)+(AP24*AM24))/AR24</f>
        <v>91.451249999999987</v>
      </c>
    </row>
    <row r="25" spans="1:47" x14ac:dyDescent="0.25">
      <c r="A25" t="s">
        <v>46</v>
      </c>
      <c r="B25" t="s">
        <v>138</v>
      </c>
      <c r="C25" t="s">
        <v>139</v>
      </c>
      <c r="D25" t="s">
        <v>140</v>
      </c>
      <c r="E25" s="11">
        <v>0</v>
      </c>
      <c r="F25" s="11">
        <v>22.912500000000001</v>
      </c>
      <c r="G25" s="11">
        <v>55.962499999999999</v>
      </c>
      <c r="H25" s="11">
        <v>5</v>
      </c>
      <c r="I25" s="13">
        <f t="shared" si="1"/>
        <v>83.875</v>
      </c>
      <c r="J25" s="11">
        <v>0</v>
      </c>
      <c r="K25" s="11">
        <v>0</v>
      </c>
      <c r="L25" s="11">
        <v>0</v>
      </c>
      <c r="M25" s="13">
        <f t="shared" si="2"/>
        <v>0</v>
      </c>
      <c r="N25" s="11">
        <v>0</v>
      </c>
      <c r="O25" s="11">
        <v>0</v>
      </c>
      <c r="P25" s="11">
        <v>0</v>
      </c>
      <c r="Q25" s="11">
        <v>0</v>
      </c>
      <c r="R25" s="13">
        <f t="shared" si="3"/>
        <v>0</v>
      </c>
      <c r="S25">
        <v>0</v>
      </c>
      <c r="T25">
        <v>0</v>
      </c>
      <c r="U25" s="7">
        <f t="shared" si="4"/>
        <v>0</v>
      </c>
      <c r="V25">
        <v>0</v>
      </c>
      <c r="W25">
        <v>0</v>
      </c>
      <c r="X25">
        <v>0</v>
      </c>
      <c r="Y25">
        <v>0</v>
      </c>
      <c r="Z25" s="13">
        <f t="shared" si="5"/>
        <v>0</v>
      </c>
      <c r="AA25">
        <v>0</v>
      </c>
      <c r="AB25">
        <v>0</v>
      </c>
      <c r="AC25">
        <v>0</v>
      </c>
      <c r="AD25">
        <v>0</v>
      </c>
      <c r="AE25" s="7">
        <f t="shared" si="6"/>
        <v>0</v>
      </c>
      <c r="AF25">
        <v>0</v>
      </c>
      <c r="AG25">
        <v>0</v>
      </c>
      <c r="AH25">
        <v>0</v>
      </c>
      <c r="AI25" s="13">
        <f t="shared" si="7"/>
        <v>0</v>
      </c>
      <c r="AJ25" s="11" t="s">
        <v>51</v>
      </c>
      <c r="AK25" s="11" t="s">
        <v>51</v>
      </c>
      <c r="AL25" s="11" t="s">
        <v>51</v>
      </c>
      <c r="AM25" s="13">
        <f t="shared" si="8"/>
        <v>0</v>
      </c>
      <c r="AN25" s="18">
        <v>10</v>
      </c>
      <c r="AO25" s="18">
        <v>0</v>
      </c>
      <c r="AP25" s="18">
        <v>0</v>
      </c>
      <c r="AQ25" s="18">
        <v>0</v>
      </c>
      <c r="AR25" s="18">
        <f t="shared" si="9"/>
        <v>10</v>
      </c>
      <c r="AS25" t="s">
        <v>52</v>
      </c>
      <c r="AT25" s="9">
        <v>83.875</v>
      </c>
      <c r="AU25" s="30">
        <f>+((AN25*I25)+(AO25*AE25)+(AQ25*AI25)+(AP25*AM25))/AR25</f>
        <v>83.875</v>
      </c>
    </row>
    <row r="26" spans="1:47" x14ac:dyDescent="0.25">
      <c r="A26" t="s">
        <v>46</v>
      </c>
      <c r="B26" t="s">
        <v>142</v>
      </c>
      <c r="C26" t="s">
        <v>143</v>
      </c>
      <c r="D26" t="s">
        <v>144</v>
      </c>
      <c r="E26" s="11">
        <v>20</v>
      </c>
      <c r="F26" s="11">
        <v>13.330000000000002</v>
      </c>
      <c r="G26" s="11">
        <v>47.3</v>
      </c>
      <c r="H26" s="11">
        <v>3</v>
      </c>
      <c r="I26" s="13">
        <f t="shared" si="1"/>
        <v>83.63</v>
      </c>
      <c r="J26" s="11">
        <v>0</v>
      </c>
      <c r="K26" s="11">
        <v>0</v>
      </c>
      <c r="L26" s="11">
        <v>0</v>
      </c>
      <c r="M26" s="13">
        <f t="shared" si="2"/>
        <v>0</v>
      </c>
      <c r="N26" s="11">
        <v>0</v>
      </c>
      <c r="O26" s="11">
        <v>0</v>
      </c>
      <c r="P26" s="11">
        <v>0</v>
      </c>
      <c r="Q26" s="11">
        <v>0</v>
      </c>
      <c r="R26" s="13">
        <f t="shared" si="3"/>
        <v>0</v>
      </c>
      <c r="S26">
        <v>0</v>
      </c>
      <c r="T26">
        <v>0</v>
      </c>
      <c r="U26" s="7">
        <f t="shared" si="4"/>
        <v>0</v>
      </c>
      <c r="V26">
        <v>0</v>
      </c>
      <c r="W26">
        <v>0</v>
      </c>
      <c r="X26">
        <v>0</v>
      </c>
      <c r="Y26">
        <v>0</v>
      </c>
      <c r="Z26" s="13">
        <f t="shared" si="5"/>
        <v>0</v>
      </c>
      <c r="AA26">
        <v>0</v>
      </c>
      <c r="AB26">
        <v>0</v>
      </c>
      <c r="AC26">
        <v>0</v>
      </c>
      <c r="AD26">
        <v>0</v>
      </c>
      <c r="AE26" s="7">
        <f t="shared" si="6"/>
        <v>0</v>
      </c>
      <c r="AF26">
        <v>0</v>
      </c>
      <c r="AG26">
        <v>0</v>
      </c>
      <c r="AH26">
        <v>0</v>
      </c>
      <c r="AI26" s="13">
        <f t="shared" si="7"/>
        <v>0</v>
      </c>
      <c r="AJ26" s="11" t="s">
        <v>51</v>
      </c>
      <c r="AK26" s="11" t="s">
        <v>51</v>
      </c>
      <c r="AL26" s="11" t="s">
        <v>51</v>
      </c>
      <c r="AM26" s="13">
        <f t="shared" si="8"/>
        <v>0</v>
      </c>
      <c r="AN26" s="18">
        <v>40</v>
      </c>
      <c r="AO26" s="18">
        <v>0</v>
      </c>
      <c r="AP26" s="18">
        <v>0</v>
      </c>
      <c r="AQ26" s="18">
        <v>0</v>
      </c>
      <c r="AR26" s="18">
        <f t="shared" si="9"/>
        <v>40</v>
      </c>
      <c r="AS26" t="s">
        <v>52</v>
      </c>
      <c r="AT26" s="9">
        <v>83.63</v>
      </c>
      <c r="AU26" s="30">
        <f>+((AN26*I26)+(AO26*AE26)+(AQ26*AI26)+(AP26*AM26))/AR26</f>
        <v>83.63</v>
      </c>
    </row>
    <row r="27" spans="1:47" x14ac:dyDescent="0.25">
      <c r="A27" t="s">
        <v>46</v>
      </c>
      <c r="B27" t="s">
        <v>146</v>
      </c>
      <c r="C27" t="s">
        <v>147</v>
      </c>
      <c r="D27" t="s">
        <v>148</v>
      </c>
      <c r="E27" s="11">
        <v>0</v>
      </c>
      <c r="F27" s="11">
        <v>0</v>
      </c>
      <c r="G27" s="11">
        <v>0</v>
      </c>
      <c r="H27" s="11">
        <v>0</v>
      </c>
      <c r="I27" s="13">
        <f t="shared" si="1"/>
        <v>0</v>
      </c>
      <c r="J27" s="11">
        <v>54.92</v>
      </c>
      <c r="K27" s="11">
        <v>29</v>
      </c>
      <c r="L27" s="11">
        <v>7</v>
      </c>
      <c r="M27" s="13">
        <f t="shared" si="2"/>
        <v>90.92</v>
      </c>
      <c r="N27" s="11">
        <v>0</v>
      </c>
      <c r="O27" s="11">
        <v>0</v>
      </c>
      <c r="P27" s="11">
        <v>0</v>
      </c>
      <c r="Q27" s="11">
        <v>0</v>
      </c>
      <c r="R27" s="13">
        <f t="shared" si="3"/>
        <v>0</v>
      </c>
      <c r="S27">
        <v>0</v>
      </c>
      <c r="T27">
        <v>0</v>
      </c>
      <c r="U27" s="7">
        <f t="shared" si="4"/>
        <v>0</v>
      </c>
      <c r="V27">
        <v>0</v>
      </c>
      <c r="W27">
        <v>0</v>
      </c>
      <c r="X27">
        <v>0</v>
      </c>
      <c r="Y27">
        <v>0</v>
      </c>
      <c r="Z27" s="13">
        <f t="shared" si="5"/>
        <v>0</v>
      </c>
      <c r="AA27">
        <v>0</v>
      </c>
      <c r="AB27">
        <v>0</v>
      </c>
      <c r="AC27">
        <v>0</v>
      </c>
      <c r="AD27">
        <v>0</v>
      </c>
      <c r="AE27" s="7">
        <f t="shared" si="6"/>
        <v>0</v>
      </c>
      <c r="AF27">
        <v>0</v>
      </c>
      <c r="AG27">
        <v>0</v>
      </c>
      <c r="AH27">
        <v>0</v>
      </c>
      <c r="AI27" s="13">
        <f t="shared" si="7"/>
        <v>0</v>
      </c>
      <c r="AJ27" s="11" t="s">
        <v>51</v>
      </c>
      <c r="AK27" s="11" t="s">
        <v>51</v>
      </c>
      <c r="AL27" s="11" t="s">
        <v>51</v>
      </c>
      <c r="AM27" s="13">
        <f t="shared" si="8"/>
        <v>0</v>
      </c>
      <c r="AN27" s="18">
        <v>1.1299999999999999</v>
      </c>
      <c r="AO27" s="18">
        <v>0</v>
      </c>
      <c r="AP27" s="18">
        <v>0</v>
      </c>
      <c r="AQ27" s="18">
        <v>0</v>
      </c>
      <c r="AR27" s="18">
        <f t="shared" si="9"/>
        <v>1.1299999999999999</v>
      </c>
      <c r="AS27" t="s">
        <v>87</v>
      </c>
      <c r="AT27" s="9">
        <v>90.92</v>
      </c>
      <c r="AU27" s="30">
        <f>+((AN27*M27)/AR27)</f>
        <v>90.92</v>
      </c>
    </row>
    <row r="28" spans="1:47" x14ac:dyDescent="0.25">
      <c r="A28" t="s">
        <v>46</v>
      </c>
      <c r="B28" s="32" t="s">
        <v>150</v>
      </c>
      <c r="C28" s="32" t="s">
        <v>151</v>
      </c>
      <c r="D28" s="32" t="s">
        <v>152</v>
      </c>
      <c r="E28" s="11">
        <v>0</v>
      </c>
      <c r="F28" s="11">
        <v>0</v>
      </c>
      <c r="G28" s="11">
        <v>0</v>
      </c>
      <c r="H28" s="11">
        <v>0</v>
      </c>
      <c r="I28" s="13">
        <f t="shared" si="1"/>
        <v>0</v>
      </c>
      <c r="J28" s="11">
        <v>0</v>
      </c>
      <c r="K28" s="11">
        <v>0</v>
      </c>
      <c r="L28" s="11">
        <v>0</v>
      </c>
      <c r="M28" s="13">
        <f t="shared" si="2"/>
        <v>0</v>
      </c>
      <c r="N28" s="11">
        <v>57.737499999999997</v>
      </c>
      <c r="O28" s="11">
        <v>3.125</v>
      </c>
      <c r="P28" s="11">
        <v>25</v>
      </c>
      <c r="Q28" s="11">
        <v>0</v>
      </c>
      <c r="R28" s="13">
        <f t="shared" si="3"/>
        <v>85.862499999999997</v>
      </c>
      <c r="S28">
        <v>0</v>
      </c>
      <c r="T28">
        <v>0</v>
      </c>
      <c r="U28" s="7">
        <f t="shared" si="4"/>
        <v>0</v>
      </c>
      <c r="V28">
        <v>0</v>
      </c>
      <c r="W28">
        <v>0</v>
      </c>
      <c r="X28">
        <v>0</v>
      </c>
      <c r="Y28">
        <v>0</v>
      </c>
      <c r="Z28" s="13">
        <f t="shared" si="5"/>
        <v>0</v>
      </c>
      <c r="AA28">
        <v>0</v>
      </c>
      <c r="AB28">
        <v>0</v>
      </c>
      <c r="AC28">
        <v>0</v>
      </c>
      <c r="AD28">
        <v>0</v>
      </c>
      <c r="AE28" s="7">
        <f t="shared" si="6"/>
        <v>0</v>
      </c>
      <c r="AF28">
        <v>0</v>
      </c>
      <c r="AG28">
        <v>0</v>
      </c>
      <c r="AH28">
        <v>0</v>
      </c>
      <c r="AI28" s="13">
        <f t="shared" si="7"/>
        <v>0</v>
      </c>
      <c r="AJ28" s="11" t="s">
        <v>51</v>
      </c>
      <c r="AK28" s="11" t="s">
        <v>51</v>
      </c>
      <c r="AL28" s="11" t="s">
        <v>51</v>
      </c>
      <c r="AM28" s="13">
        <f t="shared" si="8"/>
        <v>0</v>
      </c>
      <c r="AN28" s="18">
        <v>11</v>
      </c>
      <c r="AO28" s="18">
        <v>0</v>
      </c>
      <c r="AP28" s="18">
        <v>0</v>
      </c>
      <c r="AQ28" s="18">
        <v>0</v>
      </c>
      <c r="AR28" s="18">
        <f t="shared" si="9"/>
        <v>11</v>
      </c>
      <c r="AS28" t="s">
        <v>117</v>
      </c>
      <c r="AT28" s="9">
        <v>85.862499999999997</v>
      </c>
      <c r="AU28" s="11">
        <f>+((AN28*R28)+(AQ28*AI28)+(AP28*AM28))/AR28</f>
        <v>85.862499999999997</v>
      </c>
    </row>
    <row r="29" spans="1:47" x14ac:dyDescent="0.25">
      <c r="A29" t="s">
        <v>46</v>
      </c>
      <c r="B29" t="s">
        <v>154</v>
      </c>
      <c r="C29" t="s">
        <v>155</v>
      </c>
      <c r="D29" t="s">
        <v>156</v>
      </c>
      <c r="E29" s="11">
        <v>0</v>
      </c>
      <c r="F29" s="11">
        <v>0</v>
      </c>
      <c r="G29" s="11">
        <v>0</v>
      </c>
      <c r="H29" s="11">
        <v>0</v>
      </c>
      <c r="I29" s="13">
        <f t="shared" si="1"/>
        <v>0</v>
      </c>
      <c r="J29" s="11">
        <v>76.614285714285714</v>
      </c>
      <c r="K29" s="11">
        <v>0</v>
      </c>
      <c r="L29" s="11">
        <v>3.5714285714285712</v>
      </c>
      <c r="M29" s="13">
        <f t="shared" si="2"/>
        <v>80.185714285714283</v>
      </c>
      <c r="N29" s="11">
        <v>0</v>
      </c>
      <c r="O29" s="11">
        <v>0</v>
      </c>
      <c r="P29" s="11">
        <v>0</v>
      </c>
      <c r="Q29" s="11">
        <v>0</v>
      </c>
      <c r="R29" s="13">
        <f t="shared" si="3"/>
        <v>0</v>
      </c>
      <c r="S29">
        <v>0</v>
      </c>
      <c r="T29">
        <v>0</v>
      </c>
      <c r="U29" s="7">
        <f t="shared" si="4"/>
        <v>0</v>
      </c>
      <c r="V29">
        <v>0</v>
      </c>
      <c r="W29">
        <v>0</v>
      </c>
      <c r="X29">
        <v>0</v>
      </c>
      <c r="Y29">
        <v>0</v>
      </c>
      <c r="Z29" s="13">
        <f t="shared" si="5"/>
        <v>0</v>
      </c>
      <c r="AA29">
        <v>0</v>
      </c>
      <c r="AB29">
        <v>0</v>
      </c>
      <c r="AC29">
        <v>0</v>
      </c>
      <c r="AD29">
        <v>0</v>
      </c>
      <c r="AE29" s="7">
        <f t="shared" si="6"/>
        <v>0</v>
      </c>
      <c r="AF29">
        <v>0</v>
      </c>
      <c r="AG29">
        <v>0</v>
      </c>
      <c r="AH29">
        <v>0</v>
      </c>
      <c r="AI29" s="13">
        <f t="shared" si="7"/>
        <v>0</v>
      </c>
      <c r="AJ29" s="11" t="s">
        <v>51</v>
      </c>
      <c r="AK29" s="11" t="s">
        <v>51</v>
      </c>
      <c r="AL29" s="11" t="s">
        <v>51</v>
      </c>
      <c r="AM29" s="13">
        <f t="shared" si="8"/>
        <v>0</v>
      </c>
      <c r="AN29" s="18">
        <v>2.375</v>
      </c>
      <c r="AO29" s="18">
        <v>0</v>
      </c>
      <c r="AP29" s="18">
        <v>0</v>
      </c>
      <c r="AQ29" s="18">
        <v>0</v>
      </c>
      <c r="AR29" s="18">
        <f t="shared" si="9"/>
        <v>2.375</v>
      </c>
      <c r="AS29" t="s">
        <v>87</v>
      </c>
      <c r="AT29" s="9">
        <v>80.185714285714283</v>
      </c>
      <c r="AU29" s="30">
        <f>+((AN29*M29)/AR29)</f>
        <v>80.185714285714283</v>
      </c>
    </row>
    <row r="30" spans="1:47" x14ac:dyDescent="0.25">
      <c r="A30" t="s">
        <v>46</v>
      </c>
      <c r="B30" t="s">
        <v>158</v>
      </c>
      <c r="C30" t="s">
        <v>159</v>
      </c>
      <c r="D30" t="s">
        <v>160</v>
      </c>
      <c r="E30" s="11">
        <v>0</v>
      </c>
      <c r="F30" s="11">
        <v>0</v>
      </c>
      <c r="G30" s="11">
        <v>74.783333333333346</v>
      </c>
      <c r="H30" s="11">
        <v>5.8333333333333321</v>
      </c>
      <c r="I30" s="13">
        <f t="shared" si="1"/>
        <v>80.616666666666674</v>
      </c>
      <c r="J30" s="11">
        <v>0</v>
      </c>
      <c r="K30" s="11">
        <v>0</v>
      </c>
      <c r="L30" s="11">
        <v>0</v>
      </c>
      <c r="M30" s="13">
        <f t="shared" si="2"/>
        <v>0</v>
      </c>
      <c r="N30" s="11">
        <v>0</v>
      </c>
      <c r="O30" s="11">
        <v>0</v>
      </c>
      <c r="P30" s="11">
        <v>0</v>
      </c>
      <c r="Q30" s="11">
        <v>0</v>
      </c>
      <c r="R30" s="13">
        <f t="shared" si="3"/>
        <v>0</v>
      </c>
      <c r="S30">
        <v>0</v>
      </c>
      <c r="T30">
        <v>0</v>
      </c>
      <c r="U30" s="7">
        <f t="shared" si="4"/>
        <v>0</v>
      </c>
      <c r="V30">
        <v>0</v>
      </c>
      <c r="W30">
        <v>0</v>
      </c>
      <c r="X30">
        <v>0</v>
      </c>
      <c r="Y30">
        <v>0</v>
      </c>
      <c r="Z30" s="13">
        <f t="shared" si="5"/>
        <v>0</v>
      </c>
      <c r="AA30">
        <v>0</v>
      </c>
      <c r="AB30">
        <v>0</v>
      </c>
      <c r="AC30">
        <v>0</v>
      </c>
      <c r="AD30">
        <v>0</v>
      </c>
      <c r="AE30" s="7">
        <f t="shared" si="6"/>
        <v>0</v>
      </c>
      <c r="AF30">
        <v>0</v>
      </c>
      <c r="AG30">
        <v>0</v>
      </c>
      <c r="AH30">
        <v>0</v>
      </c>
      <c r="AI30" s="13">
        <f t="shared" si="7"/>
        <v>0</v>
      </c>
      <c r="AJ30" s="11" t="s">
        <v>51</v>
      </c>
      <c r="AK30" s="11" t="s">
        <v>51</v>
      </c>
      <c r="AL30" s="11" t="s">
        <v>51</v>
      </c>
      <c r="AM30" s="13">
        <f t="shared" si="8"/>
        <v>0</v>
      </c>
      <c r="AN30" s="18">
        <v>6</v>
      </c>
      <c r="AO30" s="18">
        <v>0</v>
      </c>
      <c r="AP30" s="18">
        <v>0</v>
      </c>
      <c r="AQ30" s="18">
        <v>0</v>
      </c>
      <c r="AR30" s="18">
        <f t="shared" si="9"/>
        <v>6</v>
      </c>
      <c r="AS30" t="s">
        <v>52</v>
      </c>
      <c r="AT30" s="9">
        <v>80.616666666666674</v>
      </c>
      <c r="AU30" s="30">
        <f>+((AN30*I30)+(AO30*AE30)+(AQ30*AI30)+(AP30*AM30))/AR30</f>
        <v>80.616666666666674</v>
      </c>
    </row>
    <row r="31" spans="1:47" x14ac:dyDescent="0.25">
      <c r="A31" t="s">
        <v>46</v>
      </c>
      <c r="B31" t="s">
        <v>162</v>
      </c>
      <c r="C31" t="s">
        <v>163</v>
      </c>
      <c r="D31" t="s">
        <v>164</v>
      </c>
      <c r="E31" s="11">
        <v>25</v>
      </c>
      <c r="F31" s="11">
        <v>0</v>
      </c>
      <c r="G31" s="11">
        <v>53.55</v>
      </c>
      <c r="H31" s="11">
        <v>10</v>
      </c>
      <c r="I31" s="13">
        <f t="shared" si="1"/>
        <v>88.55</v>
      </c>
      <c r="J31" s="11">
        <v>0</v>
      </c>
      <c r="K31" s="11">
        <v>0</v>
      </c>
      <c r="L31" s="11">
        <v>0</v>
      </c>
      <c r="M31" s="13">
        <f t="shared" si="2"/>
        <v>0</v>
      </c>
      <c r="N31" s="11">
        <v>0</v>
      </c>
      <c r="O31" s="11">
        <v>0</v>
      </c>
      <c r="P31" s="11">
        <v>0</v>
      </c>
      <c r="Q31" s="11">
        <v>0</v>
      </c>
      <c r="R31" s="13">
        <f t="shared" si="3"/>
        <v>0</v>
      </c>
      <c r="S31">
        <v>0</v>
      </c>
      <c r="T31">
        <v>0</v>
      </c>
      <c r="U31" s="7">
        <f t="shared" si="4"/>
        <v>0</v>
      </c>
      <c r="V31">
        <v>0</v>
      </c>
      <c r="W31">
        <v>0</v>
      </c>
      <c r="X31">
        <v>0</v>
      </c>
      <c r="Y31">
        <v>0</v>
      </c>
      <c r="Z31" s="13">
        <f t="shared" si="5"/>
        <v>0</v>
      </c>
      <c r="AA31">
        <v>0</v>
      </c>
      <c r="AB31">
        <v>0</v>
      </c>
      <c r="AC31">
        <v>0</v>
      </c>
      <c r="AD31">
        <v>0</v>
      </c>
      <c r="AE31" s="7">
        <f t="shared" si="6"/>
        <v>0</v>
      </c>
      <c r="AF31">
        <v>0</v>
      </c>
      <c r="AG31">
        <v>0</v>
      </c>
      <c r="AH31">
        <v>0</v>
      </c>
      <c r="AI31" s="13">
        <f t="shared" si="7"/>
        <v>0</v>
      </c>
      <c r="AJ31" s="11" t="s">
        <v>51</v>
      </c>
      <c r="AK31" s="11" t="s">
        <v>51</v>
      </c>
      <c r="AL31" s="11" t="s">
        <v>51</v>
      </c>
      <c r="AM31" s="13">
        <f t="shared" si="8"/>
        <v>0</v>
      </c>
      <c r="AN31" s="18">
        <v>8</v>
      </c>
      <c r="AO31" s="18">
        <v>0</v>
      </c>
      <c r="AP31" s="18">
        <v>0</v>
      </c>
      <c r="AQ31" s="18">
        <v>0</v>
      </c>
      <c r="AR31" s="18">
        <f t="shared" si="9"/>
        <v>8</v>
      </c>
      <c r="AS31" t="s">
        <v>52</v>
      </c>
      <c r="AT31" s="9">
        <v>88.55</v>
      </c>
      <c r="AU31" s="30">
        <f>+((AN31*I31)+(AO31*AE31)+(AQ31*AI31)+(AP31*AM31))/AR31</f>
        <v>88.55</v>
      </c>
    </row>
    <row r="32" spans="1:47" x14ac:dyDescent="0.25">
      <c r="A32" t="s">
        <v>46</v>
      </c>
      <c r="B32" s="32" t="s">
        <v>166</v>
      </c>
      <c r="C32" s="32" t="s">
        <v>167</v>
      </c>
      <c r="D32" s="32" t="s">
        <v>168</v>
      </c>
      <c r="E32" s="11">
        <v>0</v>
      </c>
      <c r="F32" s="11">
        <v>0</v>
      </c>
      <c r="G32" s="11">
        <v>0</v>
      </c>
      <c r="H32" s="11">
        <v>0</v>
      </c>
      <c r="I32" s="13">
        <f t="shared" si="1"/>
        <v>0</v>
      </c>
      <c r="J32" s="11">
        <v>0</v>
      </c>
      <c r="K32" s="11">
        <v>0</v>
      </c>
      <c r="L32" s="11">
        <v>0</v>
      </c>
      <c r="M32" s="13">
        <f t="shared" si="2"/>
        <v>0</v>
      </c>
      <c r="N32" s="11">
        <v>54.65</v>
      </c>
      <c r="O32" s="11">
        <v>3.125</v>
      </c>
      <c r="P32" s="11">
        <v>0</v>
      </c>
      <c r="Q32" s="11">
        <v>25</v>
      </c>
      <c r="R32" s="13">
        <f t="shared" si="3"/>
        <v>82.775000000000006</v>
      </c>
      <c r="S32">
        <v>0</v>
      </c>
      <c r="T32">
        <v>0</v>
      </c>
      <c r="U32" s="7">
        <f t="shared" si="4"/>
        <v>0</v>
      </c>
      <c r="V32">
        <v>0</v>
      </c>
      <c r="W32">
        <v>0</v>
      </c>
      <c r="X32">
        <v>0</v>
      </c>
      <c r="Y32">
        <v>0</v>
      </c>
      <c r="Z32" s="13">
        <f t="shared" si="5"/>
        <v>0</v>
      </c>
      <c r="AA32">
        <v>0</v>
      </c>
      <c r="AB32">
        <v>0</v>
      </c>
      <c r="AC32">
        <v>0</v>
      </c>
      <c r="AD32">
        <v>0</v>
      </c>
      <c r="AE32" s="7">
        <f t="shared" si="6"/>
        <v>0</v>
      </c>
      <c r="AF32">
        <v>0</v>
      </c>
      <c r="AG32">
        <v>0</v>
      </c>
      <c r="AH32">
        <v>0</v>
      </c>
      <c r="AI32" s="13">
        <f t="shared" si="7"/>
        <v>0</v>
      </c>
      <c r="AJ32" s="11" t="s">
        <v>51</v>
      </c>
      <c r="AK32" s="11" t="s">
        <v>51</v>
      </c>
      <c r="AL32" s="11" t="s">
        <v>51</v>
      </c>
      <c r="AM32" s="13">
        <f t="shared" si="8"/>
        <v>0</v>
      </c>
      <c r="AN32" s="18">
        <v>4</v>
      </c>
      <c r="AO32" s="18">
        <v>0</v>
      </c>
      <c r="AP32" s="18">
        <v>0</v>
      </c>
      <c r="AQ32" s="18">
        <v>0</v>
      </c>
      <c r="AR32" s="18">
        <f t="shared" si="9"/>
        <v>4</v>
      </c>
      <c r="AS32" t="s">
        <v>117</v>
      </c>
      <c r="AT32" s="9">
        <v>82.775000000000006</v>
      </c>
      <c r="AU32" s="11">
        <f>+((AN32*R32)+(AQ32*AI32)+(AP32*AM32))/AR32</f>
        <v>82.775000000000006</v>
      </c>
    </row>
    <row r="33" spans="1:47" x14ac:dyDescent="0.25">
      <c r="A33" t="s">
        <v>46</v>
      </c>
      <c r="B33" t="s">
        <v>170</v>
      </c>
      <c r="C33" t="s">
        <v>171</v>
      </c>
      <c r="D33" t="s">
        <v>172</v>
      </c>
      <c r="E33" s="11">
        <v>20</v>
      </c>
      <c r="F33" s="11">
        <v>16.670000000000002</v>
      </c>
      <c r="G33" s="11">
        <v>47.3</v>
      </c>
      <c r="H33" s="11">
        <v>5</v>
      </c>
      <c r="I33" s="13">
        <f t="shared" si="1"/>
        <v>88.97</v>
      </c>
      <c r="J33" s="11">
        <v>0</v>
      </c>
      <c r="K33" s="11">
        <v>0</v>
      </c>
      <c r="L33" s="11">
        <v>0</v>
      </c>
      <c r="M33" s="13">
        <f t="shared" si="2"/>
        <v>0</v>
      </c>
      <c r="N33" s="11">
        <v>0</v>
      </c>
      <c r="O33" s="11">
        <v>0</v>
      </c>
      <c r="P33" s="11">
        <v>0</v>
      </c>
      <c r="Q33" s="11">
        <v>0</v>
      </c>
      <c r="R33" s="13">
        <f t="shared" si="3"/>
        <v>0</v>
      </c>
      <c r="S33">
        <v>0</v>
      </c>
      <c r="T33">
        <v>0</v>
      </c>
      <c r="U33" s="7">
        <f t="shared" si="4"/>
        <v>0</v>
      </c>
      <c r="V33">
        <v>0</v>
      </c>
      <c r="W33">
        <v>0</v>
      </c>
      <c r="X33">
        <v>0</v>
      </c>
      <c r="Y33">
        <v>0</v>
      </c>
      <c r="Z33" s="13">
        <f t="shared" si="5"/>
        <v>0</v>
      </c>
      <c r="AA33">
        <v>0</v>
      </c>
      <c r="AB33">
        <v>0</v>
      </c>
      <c r="AC33">
        <v>0</v>
      </c>
      <c r="AD33">
        <v>0</v>
      </c>
      <c r="AE33" s="7">
        <f t="shared" si="6"/>
        <v>0</v>
      </c>
      <c r="AF33">
        <v>0</v>
      </c>
      <c r="AG33">
        <v>0</v>
      </c>
      <c r="AH33">
        <v>0</v>
      </c>
      <c r="AI33" s="13">
        <f t="shared" si="7"/>
        <v>0</v>
      </c>
      <c r="AJ33" s="11" t="s">
        <v>51</v>
      </c>
      <c r="AK33" s="11" t="s">
        <v>51</v>
      </c>
      <c r="AL33" s="11" t="s">
        <v>51</v>
      </c>
      <c r="AM33" s="13">
        <f t="shared" si="8"/>
        <v>0</v>
      </c>
      <c r="AN33" s="18">
        <v>8</v>
      </c>
      <c r="AO33" s="18">
        <v>0</v>
      </c>
      <c r="AP33" s="18">
        <v>0</v>
      </c>
      <c r="AQ33" s="18">
        <v>0</v>
      </c>
      <c r="AR33" s="18">
        <f t="shared" si="9"/>
        <v>8</v>
      </c>
      <c r="AS33" t="s">
        <v>52</v>
      </c>
      <c r="AT33" s="9">
        <v>88.97</v>
      </c>
      <c r="AU33" s="30">
        <f>+((AN33*I33)+(AO33*AE33)+(AQ33*AI33)+(AP33*AM33))/AR33</f>
        <v>88.97</v>
      </c>
    </row>
    <row r="34" spans="1:47" x14ac:dyDescent="0.25">
      <c r="A34" t="s">
        <v>46</v>
      </c>
      <c r="B34" t="s">
        <v>174</v>
      </c>
      <c r="C34" t="s">
        <v>175</v>
      </c>
      <c r="D34" t="s">
        <v>176</v>
      </c>
      <c r="E34" s="11">
        <v>0</v>
      </c>
      <c r="F34" s="11">
        <v>0</v>
      </c>
      <c r="G34" s="11">
        <v>0</v>
      </c>
      <c r="H34" s="11">
        <v>0</v>
      </c>
      <c r="I34" s="13">
        <f t="shared" si="1"/>
        <v>0</v>
      </c>
      <c r="J34" s="11">
        <v>0</v>
      </c>
      <c r="K34" s="11">
        <v>0</v>
      </c>
      <c r="L34" s="11">
        <v>0</v>
      </c>
      <c r="M34" s="13">
        <f t="shared" si="2"/>
        <v>0</v>
      </c>
      <c r="N34" s="11">
        <v>0</v>
      </c>
      <c r="O34" s="11">
        <v>0</v>
      </c>
      <c r="P34" s="11">
        <v>0</v>
      </c>
      <c r="Q34" s="11">
        <v>0</v>
      </c>
      <c r="R34" s="13">
        <f t="shared" si="3"/>
        <v>0</v>
      </c>
      <c r="S34">
        <v>0</v>
      </c>
      <c r="T34">
        <v>0</v>
      </c>
      <c r="U34" s="7">
        <f t="shared" si="4"/>
        <v>0</v>
      </c>
      <c r="V34">
        <v>2.5</v>
      </c>
      <c r="W34">
        <v>19.329999999999998</v>
      </c>
      <c r="X34">
        <v>37.6</v>
      </c>
      <c r="Y34">
        <v>18.670000000000002</v>
      </c>
      <c r="Z34" s="13">
        <f t="shared" si="5"/>
        <v>78.099999999999994</v>
      </c>
      <c r="AA34">
        <v>0</v>
      </c>
      <c r="AB34">
        <v>0</v>
      </c>
      <c r="AC34">
        <v>0</v>
      </c>
      <c r="AD34">
        <v>0</v>
      </c>
      <c r="AE34" s="7">
        <f t="shared" si="6"/>
        <v>0</v>
      </c>
      <c r="AF34">
        <v>0</v>
      </c>
      <c r="AG34">
        <v>0</v>
      </c>
      <c r="AH34">
        <v>0</v>
      </c>
      <c r="AI34" s="13">
        <f t="shared" si="7"/>
        <v>0</v>
      </c>
      <c r="AJ34" s="11" t="s">
        <v>51</v>
      </c>
      <c r="AK34" s="11" t="s">
        <v>51</v>
      </c>
      <c r="AL34" s="11" t="s">
        <v>51</v>
      </c>
      <c r="AM34" s="13">
        <f t="shared" si="8"/>
        <v>0</v>
      </c>
      <c r="AN34" s="18">
        <v>8</v>
      </c>
      <c r="AO34" s="18">
        <v>0</v>
      </c>
      <c r="AP34" s="18">
        <v>0</v>
      </c>
      <c r="AQ34" s="18">
        <v>0</v>
      </c>
      <c r="AR34" s="18">
        <f t="shared" si="9"/>
        <v>8</v>
      </c>
      <c r="AS34" t="s">
        <v>52</v>
      </c>
      <c r="AT34" s="9">
        <v>78.099999999999994</v>
      </c>
      <c r="AU34" s="30">
        <f>+((Z34*AN34)/AR34)</f>
        <v>78.099999999999994</v>
      </c>
    </row>
    <row r="35" spans="1:47" x14ac:dyDescent="0.25">
      <c r="A35" t="s">
        <v>46</v>
      </c>
      <c r="B35" t="s">
        <v>178</v>
      </c>
      <c r="C35" t="s">
        <v>179</v>
      </c>
      <c r="D35" t="s">
        <v>180</v>
      </c>
      <c r="E35" s="11">
        <v>20.274999999999999</v>
      </c>
      <c r="F35" s="11">
        <v>0</v>
      </c>
      <c r="G35" s="11">
        <v>56.987499999999997</v>
      </c>
      <c r="H35" s="11">
        <v>6.875</v>
      </c>
      <c r="I35" s="13">
        <f t="shared" si="1"/>
        <v>84.137499999999989</v>
      </c>
      <c r="J35" s="11">
        <v>0</v>
      </c>
      <c r="K35" s="11">
        <v>0</v>
      </c>
      <c r="L35" s="11">
        <v>0</v>
      </c>
      <c r="M35" s="13">
        <f t="shared" si="2"/>
        <v>0</v>
      </c>
      <c r="N35" s="11">
        <v>0</v>
      </c>
      <c r="O35" s="11">
        <v>0</v>
      </c>
      <c r="P35" s="11">
        <v>0</v>
      </c>
      <c r="Q35" s="11">
        <v>0</v>
      </c>
      <c r="R35" s="13">
        <f t="shared" si="3"/>
        <v>0</v>
      </c>
      <c r="S35">
        <v>0</v>
      </c>
      <c r="T35">
        <v>0</v>
      </c>
      <c r="U35" s="7">
        <f t="shared" si="4"/>
        <v>0</v>
      </c>
      <c r="V35">
        <v>0</v>
      </c>
      <c r="W35">
        <v>0</v>
      </c>
      <c r="X35">
        <v>0</v>
      </c>
      <c r="Y35">
        <v>0</v>
      </c>
      <c r="Z35" s="13">
        <f t="shared" si="5"/>
        <v>0</v>
      </c>
      <c r="AA35" s="35">
        <v>0</v>
      </c>
      <c r="AB35" s="35">
        <v>71.428571428571431</v>
      </c>
      <c r="AC35" s="35">
        <v>0</v>
      </c>
      <c r="AD35" s="35">
        <v>28.571428571428569</v>
      </c>
      <c r="AE35" s="7">
        <f t="shared" si="6"/>
        <v>100</v>
      </c>
      <c r="AF35">
        <v>0</v>
      </c>
      <c r="AG35">
        <v>0</v>
      </c>
      <c r="AH35">
        <v>0</v>
      </c>
      <c r="AI35" s="13">
        <f t="shared" si="7"/>
        <v>0</v>
      </c>
      <c r="AJ35" s="11" t="s">
        <v>51</v>
      </c>
      <c r="AK35" s="11" t="s">
        <v>51</v>
      </c>
      <c r="AL35" s="11" t="s">
        <v>51</v>
      </c>
      <c r="AM35" s="13">
        <f t="shared" si="8"/>
        <v>0</v>
      </c>
      <c r="AN35" s="18">
        <v>32</v>
      </c>
      <c r="AO35" s="18">
        <v>8</v>
      </c>
      <c r="AP35" s="18">
        <v>0</v>
      </c>
      <c r="AQ35" s="18">
        <v>0</v>
      </c>
      <c r="AR35" s="18">
        <f t="shared" si="9"/>
        <v>40</v>
      </c>
      <c r="AS35" t="s">
        <v>52</v>
      </c>
      <c r="AT35" s="9">
        <v>87.309999999999988</v>
      </c>
      <c r="AU35" s="30">
        <f>+((AN35*I35)+(AO35*AE35)+(AQ35*AI35)+(AP35*AM35))/AR35</f>
        <v>87.309999999999988</v>
      </c>
    </row>
    <row r="36" spans="1:47" x14ac:dyDescent="0.25">
      <c r="A36" t="s">
        <v>46</v>
      </c>
      <c r="B36" t="s">
        <v>182</v>
      </c>
      <c r="C36" t="s">
        <v>183</v>
      </c>
      <c r="D36" t="s">
        <v>184</v>
      </c>
      <c r="E36" s="11">
        <v>17.75</v>
      </c>
      <c r="F36" s="11">
        <v>18</v>
      </c>
      <c r="G36" s="11">
        <v>45.5</v>
      </c>
      <c r="H36" s="11">
        <v>4.5</v>
      </c>
      <c r="I36" s="13">
        <f t="shared" si="1"/>
        <v>85.75</v>
      </c>
      <c r="J36" s="11">
        <v>0</v>
      </c>
      <c r="K36" s="11">
        <v>0</v>
      </c>
      <c r="L36" s="11">
        <v>0</v>
      </c>
      <c r="M36" s="13">
        <f t="shared" si="2"/>
        <v>0</v>
      </c>
      <c r="N36" s="11">
        <v>46.97</v>
      </c>
      <c r="O36" s="11">
        <v>4.5</v>
      </c>
      <c r="P36" s="11">
        <v>18</v>
      </c>
      <c r="Q36" s="11">
        <v>18.170000000000002</v>
      </c>
      <c r="R36" s="13">
        <f t="shared" si="3"/>
        <v>87.64</v>
      </c>
      <c r="S36">
        <v>0</v>
      </c>
      <c r="T36">
        <v>0</v>
      </c>
      <c r="U36" s="7">
        <f t="shared" si="4"/>
        <v>0</v>
      </c>
      <c r="V36">
        <v>0</v>
      </c>
      <c r="W36">
        <v>0</v>
      </c>
      <c r="X36">
        <v>0</v>
      </c>
      <c r="Y36">
        <v>0</v>
      </c>
      <c r="Z36" s="13">
        <f t="shared" si="5"/>
        <v>0</v>
      </c>
      <c r="AA36">
        <v>0</v>
      </c>
      <c r="AB36">
        <v>0</v>
      </c>
      <c r="AC36">
        <v>0</v>
      </c>
      <c r="AD36">
        <v>0</v>
      </c>
      <c r="AE36" s="7">
        <f t="shared" si="6"/>
        <v>0</v>
      </c>
      <c r="AF36">
        <v>0</v>
      </c>
      <c r="AG36">
        <v>0</v>
      </c>
      <c r="AH36">
        <v>0</v>
      </c>
      <c r="AI36" s="13">
        <f t="shared" si="7"/>
        <v>0</v>
      </c>
      <c r="AJ36" s="11">
        <v>19.329999999999998</v>
      </c>
      <c r="AK36" s="11">
        <v>18</v>
      </c>
      <c r="AL36" s="11">
        <v>45.94</v>
      </c>
      <c r="AM36" s="13">
        <f t="shared" si="8"/>
        <v>83.27</v>
      </c>
      <c r="AN36" s="18">
        <v>34</v>
      </c>
      <c r="AO36" s="18">
        <v>0</v>
      </c>
      <c r="AP36" s="18">
        <v>3</v>
      </c>
      <c r="AQ36" s="18">
        <v>0</v>
      </c>
      <c r="AR36" s="18">
        <f t="shared" si="9"/>
        <v>37</v>
      </c>
      <c r="AS36" t="s">
        <v>52</v>
      </c>
      <c r="AT36" s="9">
        <v>85.548918918918915</v>
      </c>
      <c r="AU36" s="30">
        <f>+((AN36*I36)+(AO36*AE36)+(AQ36*AI36)+(AP36*AM36))/AR36</f>
        <v>85.548918918918915</v>
      </c>
    </row>
    <row r="37" spans="1:47" x14ac:dyDescent="0.25">
      <c r="A37" s="33" t="s">
        <v>46</v>
      </c>
      <c r="B37" s="32" t="s">
        <v>182</v>
      </c>
      <c r="C37" s="32" t="s">
        <v>183</v>
      </c>
      <c r="D37" s="32" t="s">
        <v>184</v>
      </c>
      <c r="E37" s="11">
        <v>17.75</v>
      </c>
      <c r="F37" s="11">
        <v>18</v>
      </c>
      <c r="G37" s="11">
        <v>45.5</v>
      </c>
      <c r="H37" s="11">
        <v>4.5</v>
      </c>
      <c r="I37" s="13">
        <f t="shared" si="1"/>
        <v>85.75</v>
      </c>
      <c r="J37" s="11">
        <v>0</v>
      </c>
      <c r="K37" s="11">
        <v>0</v>
      </c>
      <c r="L37" s="11">
        <v>0</v>
      </c>
      <c r="M37" s="13">
        <f t="shared" si="2"/>
        <v>0</v>
      </c>
      <c r="N37" s="11">
        <v>46.97</v>
      </c>
      <c r="O37" s="11">
        <v>4.5</v>
      </c>
      <c r="P37" s="11">
        <v>18</v>
      </c>
      <c r="Q37" s="11">
        <v>18.170000000000002</v>
      </c>
      <c r="R37" s="13">
        <f t="shared" si="3"/>
        <v>87.64</v>
      </c>
      <c r="S37">
        <v>0</v>
      </c>
      <c r="T37">
        <v>0</v>
      </c>
      <c r="U37" s="7">
        <f t="shared" si="4"/>
        <v>0</v>
      </c>
      <c r="V37">
        <v>0</v>
      </c>
      <c r="W37">
        <v>0</v>
      </c>
      <c r="X37">
        <v>0</v>
      </c>
      <c r="Y37">
        <v>0</v>
      </c>
      <c r="Z37" s="13">
        <f t="shared" si="5"/>
        <v>0</v>
      </c>
      <c r="AA37">
        <v>0</v>
      </c>
      <c r="AB37">
        <v>0</v>
      </c>
      <c r="AC37">
        <v>0</v>
      </c>
      <c r="AD37">
        <v>0</v>
      </c>
      <c r="AE37" s="7">
        <f t="shared" si="6"/>
        <v>0</v>
      </c>
      <c r="AF37">
        <v>0</v>
      </c>
      <c r="AG37">
        <v>0</v>
      </c>
      <c r="AH37">
        <v>0</v>
      </c>
      <c r="AI37" s="13">
        <f t="shared" si="7"/>
        <v>0</v>
      </c>
      <c r="AJ37" s="11">
        <v>19.329999999999998</v>
      </c>
      <c r="AK37" s="11">
        <v>18</v>
      </c>
      <c r="AL37" s="11">
        <v>45.94</v>
      </c>
      <c r="AM37" s="13">
        <f t="shared" si="8"/>
        <v>83.27</v>
      </c>
      <c r="AN37" s="18">
        <v>3</v>
      </c>
      <c r="AO37" s="18">
        <v>0</v>
      </c>
      <c r="AP37" s="18">
        <v>0</v>
      </c>
      <c r="AQ37" s="18">
        <v>0</v>
      </c>
      <c r="AR37" s="18">
        <f t="shared" si="9"/>
        <v>3</v>
      </c>
      <c r="AS37" t="s">
        <v>117</v>
      </c>
      <c r="AT37" s="9">
        <v>87.64</v>
      </c>
      <c r="AU37" s="11">
        <f>+((AN37*R37)+(AQ37*AI37))/AR37</f>
        <v>87.64</v>
      </c>
    </row>
    <row r="38" spans="1:47" x14ac:dyDescent="0.25">
      <c r="A38" t="s">
        <v>46</v>
      </c>
      <c r="B38" t="s">
        <v>188</v>
      </c>
      <c r="C38" t="s">
        <v>189</v>
      </c>
      <c r="D38" t="s">
        <v>190</v>
      </c>
      <c r="E38" s="11">
        <v>20</v>
      </c>
      <c r="F38" s="11">
        <v>18.670000000000002</v>
      </c>
      <c r="G38" s="11">
        <v>45.01</v>
      </c>
      <c r="H38" s="11">
        <v>4</v>
      </c>
      <c r="I38" s="13">
        <f t="shared" si="1"/>
        <v>87.68</v>
      </c>
      <c r="J38" s="11">
        <v>0</v>
      </c>
      <c r="K38" s="11">
        <v>0</v>
      </c>
      <c r="L38" s="11">
        <v>0</v>
      </c>
      <c r="M38" s="13">
        <f t="shared" si="2"/>
        <v>0</v>
      </c>
      <c r="N38">
        <v>48.5</v>
      </c>
      <c r="O38">
        <v>4</v>
      </c>
      <c r="P38">
        <v>18.670000000000002</v>
      </c>
      <c r="Q38">
        <v>20</v>
      </c>
      <c r="R38" s="13">
        <f t="shared" si="3"/>
        <v>91.17</v>
      </c>
      <c r="S38">
        <v>0</v>
      </c>
      <c r="T38">
        <v>0</v>
      </c>
      <c r="U38" s="7">
        <f t="shared" si="4"/>
        <v>0</v>
      </c>
      <c r="V38">
        <v>0</v>
      </c>
      <c r="W38">
        <v>0</v>
      </c>
      <c r="X38">
        <v>0</v>
      </c>
      <c r="Y38">
        <v>0</v>
      </c>
      <c r="Z38" s="13">
        <f t="shared" si="5"/>
        <v>0</v>
      </c>
      <c r="AA38">
        <v>0</v>
      </c>
      <c r="AB38">
        <v>0</v>
      </c>
      <c r="AC38">
        <v>0</v>
      </c>
      <c r="AD38">
        <v>0</v>
      </c>
      <c r="AE38" s="7">
        <f t="shared" si="6"/>
        <v>0</v>
      </c>
      <c r="AF38">
        <v>0</v>
      </c>
      <c r="AG38">
        <v>0</v>
      </c>
      <c r="AH38">
        <v>0</v>
      </c>
      <c r="AI38" s="13">
        <f t="shared" si="7"/>
        <v>0</v>
      </c>
      <c r="AJ38" s="11" t="s">
        <v>51</v>
      </c>
      <c r="AK38" s="11" t="s">
        <v>51</v>
      </c>
      <c r="AL38" s="11" t="s">
        <v>51</v>
      </c>
      <c r="AM38" s="13">
        <f t="shared" si="8"/>
        <v>0</v>
      </c>
      <c r="AN38" s="18">
        <v>8</v>
      </c>
      <c r="AO38" s="18">
        <v>0</v>
      </c>
      <c r="AP38" s="18">
        <v>0</v>
      </c>
      <c r="AQ38" s="18">
        <v>0</v>
      </c>
      <c r="AR38" s="18">
        <f t="shared" si="9"/>
        <v>8</v>
      </c>
      <c r="AS38" t="s">
        <v>52</v>
      </c>
      <c r="AT38" s="9">
        <v>87.68</v>
      </c>
      <c r="AU38" s="30">
        <f>+((AN38*I38)+(AO38*AE38)+(AQ38*AI38)+(AP38*AM38))/AR38</f>
        <v>87.68</v>
      </c>
    </row>
    <row r="39" spans="1:47" x14ac:dyDescent="0.25">
      <c r="A39" s="33" t="s">
        <v>46</v>
      </c>
      <c r="B39" s="32" t="s">
        <v>188</v>
      </c>
      <c r="C39" s="32" t="s">
        <v>189</v>
      </c>
      <c r="D39" s="32" t="s">
        <v>190</v>
      </c>
      <c r="E39" s="11">
        <v>20</v>
      </c>
      <c r="F39" s="11">
        <v>18.670000000000002</v>
      </c>
      <c r="G39" s="11">
        <v>45.01</v>
      </c>
      <c r="H39" s="11">
        <v>4</v>
      </c>
      <c r="I39" s="13">
        <f t="shared" si="1"/>
        <v>87.68</v>
      </c>
      <c r="J39" s="11">
        <v>0</v>
      </c>
      <c r="K39" s="11">
        <v>0</v>
      </c>
      <c r="L39" s="11">
        <v>0</v>
      </c>
      <c r="M39" s="13">
        <f t="shared" si="2"/>
        <v>0</v>
      </c>
      <c r="N39">
        <v>48.5</v>
      </c>
      <c r="O39">
        <v>4</v>
      </c>
      <c r="P39">
        <v>18.670000000000002</v>
      </c>
      <c r="Q39">
        <v>20</v>
      </c>
      <c r="R39" s="13">
        <f t="shared" si="3"/>
        <v>91.17</v>
      </c>
      <c r="S39">
        <v>0</v>
      </c>
      <c r="T39">
        <v>0</v>
      </c>
      <c r="U39" s="7">
        <f t="shared" si="4"/>
        <v>0</v>
      </c>
      <c r="V39">
        <v>0</v>
      </c>
      <c r="W39">
        <v>0</v>
      </c>
      <c r="X39">
        <v>0</v>
      </c>
      <c r="Y39">
        <v>0</v>
      </c>
      <c r="Z39" s="13">
        <f t="shared" si="5"/>
        <v>0</v>
      </c>
      <c r="AA39">
        <v>0</v>
      </c>
      <c r="AB39">
        <v>0</v>
      </c>
      <c r="AC39">
        <v>0</v>
      </c>
      <c r="AD39">
        <v>0</v>
      </c>
      <c r="AE39" s="7">
        <f t="shared" si="6"/>
        <v>0</v>
      </c>
      <c r="AF39">
        <v>0</v>
      </c>
      <c r="AG39">
        <v>0</v>
      </c>
      <c r="AH39">
        <v>0</v>
      </c>
      <c r="AI39" s="13">
        <f t="shared" si="7"/>
        <v>0</v>
      </c>
      <c r="AJ39" s="11" t="s">
        <v>51</v>
      </c>
      <c r="AK39" s="11" t="s">
        <v>51</v>
      </c>
      <c r="AL39" s="11" t="s">
        <v>51</v>
      </c>
      <c r="AM39" s="13">
        <f t="shared" si="8"/>
        <v>0</v>
      </c>
      <c r="AN39" s="18">
        <v>2</v>
      </c>
      <c r="AO39" s="18">
        <v>0</v>
      </c>
      <c r="AP39" s="18">
        <v>0</v>
      </c>
      <c r="AQ39" s="18">
        <v>0</v>
      </c>
      <c r="AR39" s="18">
        <f t="shared" si="9"/>
        <v>2</v>
      </c>
      <c r="AS39" t="s">
        <v>117</v>
      </c>
      <c r="AT39" s="9">
        <v>91.17</v>
      </c>
      <c r="AU39" s="11">
        <f>+((AN39*R39)+(AQ39*AI39)+(AP39*AM39))/AR39</f>
        <v>91.17</v>
      </c>
    </row>
    <row r="40" spans="1:47" x14ac:dyDescent="0.25">
      <c r="A40" t="s">
        <v>46</v>
      </c>
      <c r="B40" t="s">
        <v>192</v>
      </c>
      <c r="C40" t="s">
        <v>193</v>
      </c>
      <c r="D40" t="s">
        <v>194</v>
      </c>
      <c r="E40" s="11">
        <v>0</v>
      </c>
      <c r="F40" s="11">
        <v>20</v>
      </c>
      <c r="G40" s="11">
        <v>60.35</v>
      </c>
      <c r="H40" s="11">
        <v>5.625</v>
      </c>
      <c r="I40" s="13">
        <f t="shared" si="1"/>
        <v>85.974999999999994</v>
      </c>
      <c r="J40" s="11">
        <v>0</v>
      </c>
      <c r="K40" s="11">
        <v>0</v>
      </c>
      <c r="L40" s="11">
        <v>0</v>
      </c>
      <c r="M40" s="13">
        <f t="shared" si="2"/>
        <v>0</v>
      </c>
      <c r="N40" s="11">
        <v>0</v>
      </c>
      <c r="O40" s="11">
        <v>0</v>
      </c>
      <c r="P40" s="11">
        <v>0</v>
      </c>
      <c r="Q40" s="11">
        <v>0</v>
      </c>
      <c r="R40" s="13">
        <f t="shared" si="3"/>
        <v>0</v>
      </c>
      <c r="S40">
        <v>0</v>
      </c>
      <c r="T40">
        <v>0</v>
      </c>
      <c r="U40" s="7">
        <f t="shared" si="4"/>
        <v>0</v>
      </c>
      <c r="V40">
        <v>0</v>
      </c>
      <c r="W40">
        <v>0</v>
      </c>
      <c r="X40">
        <v>0</v>
      </c>
      <c r="Y40">
        <v>0</v>
      </c>
      <c r="Z40" s="13">
        <f t="shared" si="5"/>
        <v>0</v>
      </c>
      <c r="AA40">
        <v>0</v>
      </c>
      <c r="AB40">
        <v>0</v>
      </c>
      <c r="AC40">
        <v>0</v>
      </c>
      <c r="AD40">
        <v>0</v>
      </c>
      <c r="AE40" s="7">
        <f t="shared" si="6"/>
        <v>0</v>
      </c>
      <c r="AF40">
        <v>0</v>
      </c>
      <c r="AG40">
        <v>0</v>
      </c>
      <c r="AH40">
        <v>0</v>
      </c>
      <c r="AI40" s="13">
        <f t="shared" si="7"/>
        <v>0</v>
      </c>
      <c r="AJ40" s="11" t="s">
        <v>51</v>
      </c>
      <c r="AK40" s="11" t="s">
        <v>51</v>
      </c>
      <c r="AL40" s="11" t="s">
        <v>51</v>
      </c>
      <c r="AM40" s="13">
        <f t="shared" si="8"/>
        <v>0</v>
      </c>
      <c r="AN40" s="18">
        <v>3</v>
      </c>
      <c r="AO40" s="18">
        <v>0</v>
      </c>
      <c r="AP40" s="18">
        <v>0</v>
      </c>
      <c r="AQ40" s="18">
        <v>0</v>
      </c>
      <c r="AR40" s="18">
        <f t="shared" si="9"/>
        <v>3</v>
      </c>
      <c r="AS40" t="s">
        <v>52</v>
      </c>
      <c r="AT40" s="9">
        <v>85.97499999999998</v>
      </c>
      <c r="AU40" s="30">
        <f>+((AN40*I40)+(AO40*AE40)+(AQ40*AI40)+(AP40*AM40))/AR40</f>
        <v>85.97499999999998</v>
      </c>
    </row>
    <row r="41" spans="1:47" x14ac:dyDescent="0.25">
      <c r="A41" t="s">
        <v>46</v>
      </c>
      <c r="B41" t="s">
        <v>196</v>
      </c>
      <c r="C41" t="s">
        <v>197</v>
      </c>
      <c r="D41" t="s">
        <v>198</v>
      </c>
      <c r="E41" s="11">
        <v>20</v>
      </c>
      <c r="F41" s="11">
        <v>17.329999999999998</v>
      </c>
      <c r="G41" s="11">
        <v>43.88</v>
      </c>
      <c r="H41" s="11">
        <v>6</v>
      </c>
      <c r="I41" s="13">
        <f t="shared" si="1"/>
        <v>87.210000000000008</v>
      </c>
      <c r="J41" s="11">
        <v>0</v>
      </c>
      <c r="K41" s="11">
        <v>0</v>
      </c>
      <c r="L41" s="11">
        <v>0</v>
      </c>
      <c r="M41" s="13">
        <f t="shared" si="2"/>
        <v>0</v>
      </c>
      <c r="N41" s="11">
        <v>0</v>
      </c>
      <c r="O41" s="11">
        <v>0</v>
      </c>
      <c r="P41" s="11">
        <v>0</v>
      </c>
      <c r="Q41" s="11">
        <v>0</v>
      </c>
      <c r="R41" s="13">
        <f t="shared" si="3"/>
        <v>0</v>
      </c>
      <c r="S41">
        <v>0</v>
      </c>
      <c r="T41">
        <v>0</v>
      </c>
      <c r="U41" s="7">
        <f t="shared" si="4"/>
        <v>0</v>
      </c>
      <c r="V41">
        <v>0</v>
      </c>
      <c r="W41">
        <v>0</v>
      </c>
      <c r="X41">
        <v>0</v>
      </c>
      <c r="Y41">
        <v>0</v>
      </c>
      <c r="Z41" s="13">
        <f t="shared" si="5"/>
        <v>0</v>
      </c>
      <c r="AA41">
        <v>0</v>
      </c>
      <c r="AB41">
        <v>0</v>
      </c>
      <c r="AC41">
        <v>0</v>
      </c>
      <c r="AD41">
        <v>0</v>
      </c>
      <c r="AE41" s="7">
        <f t="shared" si="6"/>
        <v>0</v>
      </c>
      <c r="AF41">
        <v>0</v>
      </c>
      <c r="AG41">
        <v>0</v>
      </c>
      <c r="AH41">
        <v>0</v>
      </c>
      <c r="AI41" s="13">
        <f t="shared" si="7"/>
        <v>0</v>
      </c>
      <c r="AJ41" s="11" t="s">
        <v>51</v>
      </c>
      <c r="AK41" s="11" t="s">
        <v>51</v>
      </c>
      <c r="AL41" s="11" t="s">
        <v>51</v>
      </c>
      <c r="AM41" s="13">
        <f t="shared" si="8"/>
        <v>0</v>
      </c>
      <c r="AN41" s="18">
        <v>4</v>
      </c>
      <c r="AO41" s="18">
        <v>0</v>
      </c>
      <c r="AP41" s="18">
        <v>0</v>
      </c>
      <c r="AQ41" s="18">
        <v>0</v>
      </c>
      <c r="AR41" s="18">
        <f t="shared" si="9"/>
        <v>4</v>
      </c>
      <c r="AS41" t="s">
        <v>52</v>
      </c>
      <c r="AT41" s="9">
        <v>87.210000000000008</v>
      </c>
      <c r="AU41" s="30">
        <f>+((AN41*I41)+(AO41*AE41)+(AQ41*AI41)+(AP41*AM41))/AR41</f>
        <v>87.210000000000008</v>
      </c>
    </row>
    <row r="42" spans="1:47" x14ac:dyDescent="0.25">
      <c r="A42" t="s">
        <v>46</v>
      </c>
      <c r="B42" s="32" t="s">
        <v>200</v>
      </c>
      <c r="C42" s="32" t="s">
        <v>201</v>
      </c>
      <c r="D42" s="32" t="s">
        <v>202</v>
      </c>
      <c r="E42" s="11">
        <v>0</v>
      </c>
      <c r="F42" s="11">
        <v>0</v>
      </c>
      <c r="G42" s="11">
        <v>0</v>
      </c>
      <c r="H42" s="11">
        <v>0</v>
      </c>
      <c r="I42" s="13">
        <f t="shared" si="1"/>
        <v>0</v>
      </c>
      <c r="J42" s="11">
        <v>0</v>
      </c>
      <c r="K42" s="11">
        <v>0</v>
      </c>
      <c r="L42" s="11">
        <v>0</v>
      </c>
      <c r="M42" s="13">
        <f t="shared" si="2"/>
        <v>0</v>
      </c>
      <c r="N42" s="11">
        <v>60.337499999999999</v>
      </c>
      <c r="O42" s="11">
        <v>6.25</v>
      </c>
      <c r="P42" s="11">
        <v>0</v>
      </c>
      <c r="Q42" s="11">
        <v>24.162500000000001</v>
      </c>
      <c r="R42" s="13">
        <f t="shared" si="3"/>
        <v>90.75</v>
      </c>
      <c r="S42">
        <v>0</v>
      </c>
      <c r="T42">
        <v>0</v>
      </c>
      <c r="U42" s="7">
        <f t="shared" si="4"/>
        <v>0</v>
      </c>
      <c r="V42">
        <v>0</v>
      </c>
      <c r="W42">
        <v>0</v>
      </c>
      <c r="X42">
        <v>0</v>
      </c>
      <c r="Y42">
        <v>0</v>
      </c>
      <c r="Z42" s="13">
        <f t="shared" si="5"/>
        <v>0</v>
      </c>
      <c r="AA42">
        <v>0</v>
      </c>
      <c r="AB42">
        <v>0</v>
      </c>
      <c r="AC42">
        <v>0</v>
      </c>
      <c r="AD42">
        <v>0</v>
      </c>
      <c r="AE42" s="7">
        <f t="shared" si="6"/>
        <v>0</v>
      </c>
      <c r="AF42">
        <v>0</v>
      </c>
      <c r="AG42">
        <v>0</v>
      </c>
      <c r="AH42">
        <v>0</v>
      </c>
      <c r="AI42" s="13">
        <f t="shared" si="7"/>
        <v>0</v>
      </c>
      <c r="AJ42" s="11" t="s">
        <v>51</v>
      </c>
      <c r="AK42" s="11">
        <v>33.75</v>
      </c>
      <c r="AL42" s="11">
        <v>57.7</v>
      </c>
      <c r="AM42" s="13">
        <f t="shared" si="8"/>
        <v>91.45</v>
      </c>
      <c r="AN42" s="18">
        <v>7</v>
      </c>
      <c r="AO42" s="18">
        <v>0</v>
      </c>
      <c r="AP42" s="18">
        <v>3</v>
      </c>
      <c r="AQ42" s="18">
        <v>0</v>
      </c>
      <c r="AR42" s="18">
        <f t="shared" si="9"/>
        <v>10</v>
      </c>
      <c r="AS42" t="s">
        <v>117</v>
      </c>
      <c r="AT42" s="9">
        <v>90.960000000000008</v>
      </c>
      <c r="AU42" s="11">
        <f>+((AN42*R42)+(AQ42*AI42)+(AP42*AM42))/AR42</f>
        <v>90.960000000000008</v>
      </c>
    </row>
    <row r="43" spans="1:47" x14ac:dyDescent="0.25">
      <c r="A43" t="s">
        <v>46</v>
      </c>
      <c r="B43" t="s">
        <v>204</v>
      </c>
      <c r="C43" t="s">
        <v>205</v>
      </c>
      <c r="D43" t="s">
        <v>206</v>
      </c>
      <c r="E43" s="11">
        <v>20</v>
      </c>
      <c r="F43" s="11">
        <v>20</v>
      </c>
      <c r="G43" s="11">
        <v>42.49</v>
      </c>
      <c r="H43" s="11">
        <v>5.5</v>
      </c>
      <c r="I43" s="13">
        <f t="shared" si="1"/>
        <v>87.990000000000009</v>
      </c>
      <c r="J43" s="11">
        <v>0</v>
      </c>
      <c r="K43" s="11">
        <v>0</v>
      </c>
      <c r="L43" s="11">
        <v>0</v>
      </c>
      <c r="M43" s="13">
        <f t="shared" si="2"/>
        <v>0</v>
      </c>
      <c r="N43" s="11">
        <v>0</v>
      </c>
      <c r="O43" s="11">
        <v>0</v>
      </c>
      <c r="P43" s="11">
        <v>0</v>
      </c>
      <c r="Q43" s="11">
        <v>0</v>
      </c>
      <c r="R43" s="13">
        <f t="shared" si="3"/>
        <v>0</v>
      </c>
      <c r="S43">
        <v>0</v>
      </c>
      <c r="T43">
        <v>0</v>
      </c>
      <c r="U43" s="7">
        <f t="shared" si="4"/>
        <v>0</v>
      </c>
      <c r="V43">
        <v>0</v>
      </c>
      <c r="W43">
        <v>0</v>
      </c>
      <c r="X43">
        <v>0</v>
      </c>
      <c r="Y43">
        <v>0</v>
      </c>
      <c r="Z43" s="13">
        <f t="shared" si="5"/>
        <v>0</v>
      </c>
      <c r="AA43">
        <v>0</v>
      </c>
      <c r="AB43">
        <v>0</v>
      </c>
      <c r="AC43">
        <v>0</v>
      </c>
      <c r="AD43">
        <v>0</v>
      </c>
      <c r="AE43" s="7">
        <f t="shared" si="6"/>
        <v>0</v>
      </c>
      <c r="AF43">
        <v>0</v>
      </c>
      <c r="AG43">
        <v>0</v>
      </c>
      <c r="AH43">
        <v>0</v>
      </c>
      <c r="AI43" s="13">
        <f t="shared" si="7"/>
        <v>0</v>
      </c>
      <c r="AJ43" s="11" t="s">
        <v>51</v>
      </c>
      <c r="AK43" s="11" t="s">
        <v>51</v>
      </c>
      <c r="AL43" s="11" t="s">
        <v>51</v>
      </c>
      <c r="AM43" s="13">
        <f t="shared" si="8"/>
        <v>0</v>
      </c>
      <c r="AN43" s="18">
        <v>8</v>
      </c>
      <c r="AO43" s="18">
        <v>0</v>
      </c>
      <c r="AP43" s="18">
        <v>0</v>
      </c>
      <c r="AQ43" s="18">
        <v>0</v>
      </c>
      <c r="AR43" s="18">
        <f t="shared" si="9"/>
        <v>8</v>
      </c>
      <c r="AS43" t="s">
        <v>52</v>
      </c>
      <c r="AT43" s="9">
        <v>87.990000000000009</v>
      </c>
      <c r="AU43" s="30">
        <f>+((AN43*I43)+(AO43*AE43)+(AQ43*AI43)+(AP43*AM43))/AR43</f>
        <v>87.990000000000009</v>
      </c>
    </row>
    <row r="44" spans="1:47" x14ac:dyDescent="0.25">
      <c r="A44" t="s">
        <v>46</v>
      </c>
      <c r="B44" t="s">
        <v>208</v>
      </c>
      <c r="C44" t="s">
        <v>209</v>
      </c>
      <c r="D44" t="s">
        <v>210</v>
      </c>
      <c r="E44" s="11">
        <v>0</v>
      </c>
      <c r="F44" s="11">
        <v>25</v>
      </c>
      <c r="G44" s="11">
        <v>55.8</v>
      </c>
      <c r="H44" s="11">
        <v>3.125</v>
      </c>
      <c r="I44" s="13">
        <f t="shared" si="1"/>
        <v>83.924999999999997</v>
      </c>
      <c r="J44" s="11">
        <v>0</v>
      </c>
      <c r="K44" s="11">
        <v>0</v>
      </c>
      <c r="L44" s="11">
        <v>0</v>
      </c>
      <c r="M44" s="13">
        <f t="shared" si="2"/>
        <v>0</v>
      </c>
      <c r="N44" s="11">
        <v>0</v>
      </c>
      <c r="O44" s="11">
        <v>0</v>
      </c>
      <c r="P44" s="11">
        <v>0</v>
      </c>
      <c r="Q44" s="11">
        <v>0</v>
      </c>
      <c r="R44" s="13">
        <f t="shared" si="3"/>
        <v>0</v>
      </c>
      <c r="S44">
        <v>0</v>
      </c>
      <c r="T44">
        <v>0</v>
      </c>
      <c r="U44" s="7">
        <f t="shared" si="4"/>
        <v>0</v>
      </c>
      <c r="V44">
        <v>0</v>
      </c>
      <c r="W44">
        <v>0</v>
      </c>
      <c r="X44">
        <v>0</v>
      </c>
      <c r="Y44">
        <v>0</v>
      </c>
      <c r="Z44" s="13">
        <f t="shared" si="5"/>
        <v>0</v>
      </c>
      <c r="AA44">
        <v>0</v>
      </c>
      <c r="AB44">
        <v>0</v>
      </c>
      <c r="AC44">
        <v>0</v>
      </c>
      <c r="AD44">
        <v>0</v>
      </c>
      <c r="AE44" s="7">
        <f t="shared" si="6"/>
        <v>0</v>
      </c>
      <c r="AF44">
        <v>0</v>
      </c>
      <c r="AG44">
        <v>0</v>
      </c>
      <c r="AH44">
        <v>0</v>
      </c>
      <c r="AI44" s="13">
        <f t="shared" si="7"/>
        <v>0</v>
      </c>
      <c r="AJ44" s="11" t="s">
        <v>51</v>
      </c>
      <c r="AK44" s="11" t="s">
        <v>51</v>
      </c>
      <c r="AL44" s="11" t="s">
        <v>51</v>
      </c>
      <c r="AM44" s="13">
        <f t="shared" si="8"/>
        <v>0</v>
      </c>
      <c r="AN44" s="18">
        <v>2</v>
      </c>
      <c r="AO44" s="18">
        <v>0</v>
      </c>
      <c r="AP44" s="18">
        <v>0</v>
      </c>
      <c r="AQ44" s="18">
        <v>0</v>
      </c>
      <c r="AR44" s="18">
        <f t="shared" si="9"/>
        <v>2</v>
      </c>
      <c r="AS44" t="s">
        <v>52</v>
      </c>
      <c r="AT44" s="9">
        <v>83.924999999999997</v>
      </c>
      <c r="AU44" s="30">
        <f>+((AN44*I44)+(AO44*AE44)+(AQ44*AI44)+(AP44*AM44))/AR44</f>
        <v>83.924999999999997</v>
      </c>
    </row>
    <row r="45" spans="1:47" x14ac:dyDescent="0.25">
      <c r="A45" t="s">
        <v>46</v>
      </c>
      <c r="B45" t="s">
        <v>212</v>
      </c>
      <c r="C45" t="s">
        <v>213</v>
      </c>
      <c r="D45" t="s">
        <v>214</v>
      </c>
      <c r="E45" s="11">
        <v>0</v>
      </c>
      <c r="F45" s="11">
        <v>0</v>
      </c>
      <c r="G45" s="11">
        <v>0</v>
      </c>
      <c r="H45" s="11">
        <v>0</v>
      </c>
      <c r="I45" s="13">
        <f t="shared" si="1"/>
        <v>0</v>
      </c>
      <c r="J45" s="11">
        <v>0</v>
      </c>
      <c r="K45" s="11">
        <v>0</v>
      </c>
      <c r="L45" s="11">
        <v>0</v>
      </c>
      <c r="M45" s="13">
        <f t="shared" si="2"/>
        <v>0</v>
      </c>
      <c r="N45" s="11">
        <v>0</v>
      </c>
      <c r="O45" s="11">
        <v>0</v>
      </c>
      <c r="P45" s="11">
        <v>0</v>
      </c>
      <c r="Q45" s="11">
        <v>0</v>
      </c>
      <c r="R45" s="13">
        <f t="shared" si="3"/>
        <v>0</v>
      </c>
      <c r="S45">
        <v>0</v>
      </c>
      <c r="T45">
        <v>0</v>
      </c>
      <c r="U45" s="7">
        <f t="shared" si="4"/>
        <v>0</v>
      </c>
      <c r="V45" s="11">
        <v>3.125</v>
      </c>
      <c r="W45">
        <v>25</v>
      </c>
      <c r="X45">
        <v>57.1</v>
      </c>
      <c r="Y45">
        <v>0</v>
      </c>
      <c r="Z45" s="13">
        <f t="shared" si="5"/>
        <v>85.224999999999994</v>
      </c>
      <c r="AA45">
        <v>0</v>
      </c>
      <c r="AB45">
        <v>0</v>
      </c>
      <c r="AC45">
        <v>0</v>
      </c>
      <c r="AD45">
        <v>0</v>
      </c>
      <c r="AE45" s="7">
        <f t="shared" si="6"/>
        <v>0</v>
      </c>
      <c r="AF45">
        <v>0</v>
      </c>
      <c r="AG45">
        <v>0</v>
      </c>
      <c r="AH45">
        <v>0</v>
      </c>
      <c r="AI45" s="13">
        <f t="shared" si="7"/>
        <v>0</v>
      </c>
      <c r="AJ45" s="11" t="s">
        <v>51</v>
      </c>
      <c r="AK45" s="11" t="s">
        <v>51</v>
      </c>
      <c r="AL45" s="11" t="s">
        <v>51</v>
      </c>
      <c r="AM45" s="13">
        <f t="shared" si="8"/>
        <v>0</v>
      </c>
      <c r="AN45" s="18">
        <v>10</v>
      </c>
      <c r="AO45" s="18">
        <v>0</v>
      </c>
      <c r="AP45" s="18">
        <v>0</v>
      </c>
      <c r="AQ45" s="18">
        <v>0</v>
      </c>
      <c r="AR45" s="18">
        <f t="shared" si="9"/>
        <v>10</v>
      </c>
      <c r="AS45" t="s">
        <v>52</v>
      </c>
      <c r="AT45" s="9">
        <v>85.224999999999994</v>
      </c>
      <c r="AU45" s="30">
        <f>+((Z45*AN45)/AR45)</f>
        <v>85.224999999999994</v>
      </c>
    </row>
    <row r="46" spans="1:47" x14ac:dyDescent="0.25">
      <c r="A46" t="s">
        <v>46</v>
      </c>
      <c r="B46" t="s">
        <v>216</v>
      </c>
      <c r="C46" t="s">
        <v>217</v>
      </c>
      <c r="D46" t="s">
        <v>218</v>
      </c>
      <c r="E46" s="11">
        <v>0</v>
      </c>
      <c r="F46" s="11">
        <v>0</v>
      </c>
      <c r="G46" s="11">
        <v>0</v>
      </c>
      <c r="H46" s="11">
        <v>0</v>
      </c>
      <c r="I46" s="13">
        <f t="shared" si="1"/>
        <v>0</v>
      </c>
      <c r="J46" s="11">
        <v>57.82</v>
      </c>
      <c r="K46" s="11">
        <v>28.5</v>
      </c>
      <c r="L46" s="11">
        <v>4.5</v>
      </c>
      <c r="M46" s="13">
        <f t="shared" si="2"/>
        <v>90.82</v>
      </c>
      <c r="N46" s="11">
        <v>0</v>
      </c>
      <c r="O46" s="11">
        <v>0</v>
      </c>
      <c r="P46" s="11">
        <v>0</v>
      </c>
      <c r="Q46" s="11">
        <v>0</v>
      </c>
      <c r="R46" s="13">
        <f t="shared" si="3"/>
        <v>0</v>
      </c>
      <c r="S46">
        <v>0</v>
      </c>
      <c r="T46">
        <v>0</v>
      </c>
      <c r="U46" s="7">
        <f t="shared" si="4"/>
        <v>0</v>
      </c>
      <c r="V46">
        <v>0</v>
      </c>
      <c r="W46">
        <v>0</v>
      </c>
      <c r="X46">
        <v>0</v>
      </c>
      <c r="Y46">
        <v>0</v>
      </c>
      <c r="Z46" s="13">
        <f t="shared" si="5"/>
        <v>0</v>
      </c>
      <c r="AA46">
        <v>0</v>
      </c>
      <c r="AB46">
        <v>0</v>
      </c>
      <c r="AC46">
        <v>0</v>
      </c>
      <c r="AD46">
        <v>0</v>
      </c>
      <c r="AE46" s="7">
        <f t="shared" si="6"/>
        <v>0</v>
      </c>
      <c r="AF46">
        <v>0</v>
      </c>
      <c r="AG46">
        <v>0</v>
      </c>
      <c r="AH46">
        <v>0</v>
      </c>
      <c r="AI46" s="13">
        <f t="shared" si="7"/>
        <v>0</v>
      </c>
      <c r="AJ46" s="11" t="s">
        <v>51</v>
      </c>
      <c r="AK46" s="11" t="s">
        <v>51</v>
      </c>
      <c r="AL46" s="11" t="s">
        <v>51</v>
      </c>
      <c r="AM46" s="13">
        <f t="shared" si="8"/>
        <v>0</v>
      </c>
      <c r="AN46" s="18">
        <v>2.625</v>
      </c>
      <c r="AO46" s="18">
        <v>0</v>
      </c>
      <c r="AP46" s="18">
        <v>0</v>
      </c>
      <c r="AQ46" s="18">
        <v>0</v>
      </c>
      <c r="AR46" s="18">
        <f t="shared" si="9"/>
        <v>2.625</v>
      </c>
      <c r="AS46" t="s">
        <v>87</v>
      </c>
      <c r="AT46" s="9">
        <v>90.82</v>
      </c>
      <c r="AU46" s="30">
        <f>+((AN46*M46)/AR46)</f>
        <v>90.82</v>
      </c>
    </row>
    <row r="47" spans="1:47" x14ac:dyDescent="0.25">
      <c r="A47" t="s">
        <v>46</v>
      </c>
      <c r="B47" t="s">
        <v>220</v>
      </c>
      <c r="C47" t="s">
        <v>221</v>
      </c>
      <c r="D47" t="s">
        <v>222</v>
      </c>
      <c r="E47" s="11">
        <v>20</v>
      </c>
      <c r="F47" s="11">
        <v>18</v>
      </c>
      <c r="G47" s="11">
        <v>38.89</v>
      </c>
      <c r="H47" s="11">
        <v>5.5</v>
      </c>
      <c r="I47" s="13">
        <f t="shared" si="1"/>
        <v>82.39</v>
      </c>
      <c r="J47" s="11">
        <v>0</v>
      </c>
      <c r="K47" s="11">
        <v>0</v>
      </c>
      <c r="L47" s="11">
        <v>0</v>
      </c>
      <c r="M47" s="13">
        <f t="shared" si="2"/>
        <v>0</v>
      </c>
      <c r="N47" s="11">
        <v>39.47</v>
      </c>
      <c r="O47" s="11">
        <v>5.5</v>
      </c>
      <c r="P47" s="11">
        <v>18</v>
      </c>
      <c r="Q47" s="11">
        <v>20</v>
      </c>
      <c r="R47" s="13">
        <f t="shared" si="3"/>
        <v>82.97</v>
      </c>
      <c r="S47">
        <v>0</v>
      </c>
      <c r="T47">
        <v>0</v>
      </c>
      <c r="U47" s="7">
        <f t="shared" si="4"/>
        <v>0</v>
      </c>
      <c r="V47">
        <v>0</v>
      </c>
      <c r="W47">
        <v>0</v>
      </c>
      <c r="X47">
        <v>0</v>
      </c>
      <c r="Y47">
        <v>0</v>
      </c>
      <c r="Z47" s="13">
        <f t="shared" si="5"/>
        <v>0</v>
      </c>
      <c r="AA47">
        <v>0</v>
      </c>
      <c r="AB47">
        <v>0</v>
      </c>
      <c r="AC47">
        <v>0</v>
      </c>
      <c r="AD47">
        <v>0</v>
      </c>
      <c r="AE47" s="7">
        <f t="shared" si="6"/>
        <v>0</v>
      </c>
      <c r="AF47">
        <v>0</v>
      </c>
      <c r="AG47">
        <v>0</v>
      </c>
      <c r="AH47">
        <v>0</v>
      </c>
      <c r="AI47" s="13">
        <f t="shared" si="7"/>
        <v>0</v>
      </c>
      <c r="AJ47" s="11" t="s">
        <v>51</v>
      </c>
      <c r="AK47" s="11" t="s">
        <v>51</v>
      </c>
      <c r="AL47" s="11" t="s">
        <v>51</v>
      </c>
      <c r="AM47" s="13">
        <f t="shared" si="8"/>
        <v>0</v>
      </c>
      <c r="AN47" s="18">
        <v>36.836874999999999</v>
      </c>
      <c r="AO47" s="18">
        <v>0</v>
      </c>
      <c r="AP47" s="18">
        <v>0</v>
      </c>
      <c r="AQ47" s="18">
        <v>0</v>
      </c>
      <c r="AR47" s="18">
        <f t="shared" si="9"/>
        <v>36.836874999999999</v>
      </c>
      <c r="AS47" t="s">
        <v>52</v>
      </c>
      <c r="AT47" s="9">
        <v>82.39</v>
      </c>
      <c r="AU47" s="30">
        <f>+((AN47*I47)+(AO47*AE47)+(AQ47*AI47)+(AP47*AM47))/AR47</f>
        <v>82.39</v>
      </c>
    </row>
    <row r="48" spans="1:47" x14ac:dyDescent="0.25">
      <c r="A48" s="33" t="s">
        <v>46</v>
      </c>
      <c r="B48" s="32" t="s">
        <v>220</v>
      </c>
      <c r="C48" s="32" t="s">
        <v>221</v>
      </c>
      <c r="D48" s="32" t="s">
        <v>222</v>
      </c>
      <c r="E48" s="11">
        <v>20</v>
      </c>
      <c r="F48" s="11">
        <v>18</v>
      </c>
      <c r="G48" s="11">
        <v>38.89</v>
      </c>
      <c r="H48" s="11">
        <v>5.5</v>
      </c>
      <c r="I48" s="13">
        <f t="shared" si="1"/>
        <v>82.39</v>
      </c>
      <c r="J48" s="11">
        <v>0</v>
      </c>
      <c r="K48" s="11">
        <v>0</v>
      </c>
      <c r="L48" s="11">
        <v>0</v>
      </c>
      <c r="M48" s="13">
        <f t="shared" si="2"/>
        <v>0</v>
      </c>
      <c r="N48" s="11">
        <v>39.47</v>
      </c>
      <c r="O48" s="11">
        <v>5.5</v>
      </c>
      <c r="P48" s="11">
        <v>18</v>
      </c>
      <c r="Q48" s="11">
        <v>20</v>
      </c>
      <c r="R48" s="13">
        <f t="shared" si="3"/>
        <v>82.97</v>
      </c>
      <c r="S48">
        <v>0</v>
      </c>
      <c r="T48">
        <v>0</v>
      </c>
      <c r="U48" s="7">
        <f t="shared" si="4"/>
        <v>0</v>
      </c>
      <c r="V48">
        <v>0</v>
      </c>
      <c r="W48">
        <v>0</v>
      </c>
      <c r="X48">
        <v>0</v>
      </c>
      <c r="Y48">
        <v>0</v>
      </c>
      <c r="Z48" s="13">
        <f t="shared" si="5"/>
        <v>0</v>
      </c>
      <c r="AA48">
        <v>0</v>
      </c>
      <c r="AB48">
        <v>0</v>
      </c>
      <c r="AC48">
        <v>0</v>
      </c>
      <c r="AD48">
        <v>0</v>
      </c>
      <c r="AE48" s="7">
        <f t="shared" si="6"/>
        <v>0</v>
      </c>
      <c r="AF48">
        <v>0</v>
      </c>
      <c r="AG48">
        <v>0</v>
      </c>
      <c r="AH48">
        <v>0</v>
      </c>
      <c r="AI48" s="13">
        <f t="shared" si="7"/>
        <v>0</v>
      </c>
      <c r="AJ48" s="11" t="s">
        <v>51</v>
      </c>
      <c r="AK48" s="11" t="s">
        <v>51</v>
      </c>
      <c r="AL48" s="11" t="s">
        <v>51</v>
      </c>
      <c r="AM48" s="13">
        <f t="shared" si="8"/>
        <v>0</v>
      </c>
      <c r="AN48" s="18">
        <v>3</v>
      </c>
      <c r="AO48" s="18">
        <v>0</v>
      </c>
      <c r="AP48" s="18">
        <v>0</v>
      </c>
      <c r="AQ48" s="18">
        <v>0</v>
      </c>
      <c r="AR48" s="18">
        <f t="shared" si="9"/>
        <v>3</v>
      </c>
      <c r="AS48" t="s">
        <v>117</v>
      </c>
      <c r="AT48" s="9">
        <v>82.97</v>
      </c>
      <c r="AU48" s="11">
        <f>+((AN48*R48)+(AQ48*AI48)+(AP48*AM48))/AR48</f>
        <v>82.97</v>
      </c>
    </row>
    <row r="49" spans="1:47" x14ac:dyDescent="0.25">
      <c r="A49" t="s">
        <v>46</v>
      </c>
      <c r="B49" t="s">
        <v>224</v>
      </c>
      <c r="C49" t="s">
        <v>225</v>
      </c>
      <c r="D49" t="s">
        <v>226</v>
      </c>
      <c r="E49" s="11">
        <v>0</v>
      </c>
      <c r="F49" s="11">
        <v>0</v>
      </c>
      <c r="G49" s="11">
        <v>0</v>
      </c>
      <c r="H49" s="11">
        <v>0</v>
      </c>
      <c r="I49" s="13">
        <f t="shared" si="1"/>
        <v>0</v>
      </c>
      <c r="J49" s="11">
        <v>52.49</v>
      </c>
      <c r="K49" s="11">
        <v>29.5</v>
      </c>
      <c r="L49" s="11">
        <v>4</v>
      </c>
      <c r="M49" s="13">
        <f t="shared" si="2"/>
        <v>85.990000000000009</v>
      </c>
      <c r="N49" s="11">
        <v>0</v>
      </c>
      <c r="O49" s="11">
        <v>0</v>
      </c>
      <c r="P49" s="11">
        <v>0</v>
      </c>
      <c r="Q49" s="11">
        <v>0</v>
      </c>
      <c r="R49" s="13">
        <f t="shared" si="3"/>
        <v>0</v>
      </c>
      <c r="S49">
        <v>0</v>
      </c>
      <c r="T49">
        <v>0</v>
      </c>
      <c r="U49" s="7">
        <f t="shared" si="4"/>
        <v>0</v>
      </c>
      <c r="V49">
        <v>0</v>
      </c>
      <c r="W49">
        <v>0</v>
      </c>
      <c r="X49">
        <v>0</v>
      </c>
      <c r="Y49">
        <v>0</v>
      </c>
      <c r="Z49" s="13">
        <f t="shared" si="5"/>
        <v>0</v>
      </c>
      <c r="AA49">
        <v>0</v>
      </c>
      <c r="AB49">
        <v>0</v>
      </c>
      <c r="AC49">
        <v>0</v>
      </c>
      <c r="AD49">
        <v>0</v>
      </c>
      <c r="AE49" s="7">
        <f t="shared" si="6"/>
        <v>0</v>
      </c>
      <c r="AF49">
        <v>0</v>
      </c>
      <c r="AG49">
        <v>0</v>
      </c>
      <c r="AH49">
        <v>0</v>
      </c>
      <c r="AI49" s="13">
        <f t="shared" si="7"/>
        <v>0</v>
      </c>
      <c r="AJ49" s="11" t="s">
        <v>51</v>
      </c>
      <c r="AK49" s="11" t="s">
        <v>51</v>
      </c>
      <c r="AL49" s="11" t="s">
        <v>51</v>
      </c>
      <c r="AM49" s="13">
        <f t="shared" si="8"/>
        <v>0</v>
      </c>
      <c r="AN49" s="18">
        <v>2</v>
      </c>
      <c r="AO49" s="18">
        <v>0</v>
      </c>
      <c r="AP49" s="18">
        <v>0</v>
      </c>
      <c r="AQ49" s="18">
        <v>0</v>
      </c>
      <c r="AR49" s="18">
        <f t="shared" si="9"/>
        <v>2</v>
      </c>
      <c r="AS49" t="s">
        <v>87</v>
      </c>
      <c r="AT49" s="9">
        <v>85.990000000000009</v>
      </c>
      <c r="AU49" s="30">
        <f>+((AN49*M49)/AR49)</f>
        <v>85.990000000000009</v>
      </c>
    </row>
    <row r="50" spans="1:47" x14ac:dyDescent="0.25">
      <c r="A50" t="s">
        <v>46</v>
      </c>
      <c r="B50" t="s">
        <v>228</v>
      </c>
      <c r="C50" t="s">
        <v>229</v>
      </c>
      <c r="D50" t="s">
        <v>230</v>
      </c>
      <c r="E50" s="11">
        <v>20</v>
      </c>
      <c r="F50" s="11">
        <v>12</v>
      </c>
      <c r="G50" s="11">
        <v>46.18</v>
      </c>
      <c r="H50" s="11">
        <v>6.5</v>
      </c>
      <c r="I50" s="13">
        <f t="shared" si="1"/>
        <v>84.68</v>
      </c>
      <c r="J50" s="11">
        <v>0</v>
      </c>
      <c r="K50" s="11">
        <v>0</v>
      </c>
      <c r="L50" s="11">
        <v>0</v>
      </c>
      <c r="M50" s="13">
        <f t="shared" si="2"/>
        <v>0</v>
      </c>
      <c r="N50" s="11">
        <v>0</v>
      </c>
      <c r="O50" s="11">
        <v>0</v>
      </c>
      <c r="P50" s="11">
        <v>0</v>
      </c>
      <c r="Q50" s="11">
        <v>0</v>
      </c>
      <c r="R50" s="13">
        <f t="shared" si="3"/>
        <v>0</v>
      </c>
      <c r="S50">
        <v>0</v>
      </c>
      <c r="T50">
        <v>0</v>
      </c>
      <c r="U50" s="7">
        <f t="shared" si="4"/>
        <v>0</v>
      </c>
      <c r="V50">
        <v>0</v>
      </c>
      <c r="W50">
        <v>0</v>
      </c>
      <c r="X50">
        <v>0</v>
      </c>
      <c r="Y50">
        <v>0</v>
      </c>
      <c r="Z50" s="13">
        <f t="shared" si="5"/>
        <v>0</v>
      </c>
      <c r="AA50">
        <v>0</v>
      </c>
      <c r="AB50">
        <v>0</v>
      </c>
      <c r="AC50">
        <v>0</v>
      </c>
      <c r="AD50">
        <v>0</v>
      </c>
      <c r="AE50" s="7">
        <f t="shared" si="6"/>
        <v>0</v>
      </c>
      <c r="AF50">
        <v>0</v>
      </c>
      <c r="AG50">
        <v>0</v>
      </c>
      <c r="AH50">
        <v>0</v>
      </c>
      <c r="AI50" s="13">
        <f t="shared" si="7"/>
        <v>0</v>
      </c>
      <c r="AJ50" s="11" t="s">
        <v>51</v>
      </c>
      <c r="AK50" s="11" t="s">
        <v>51</v>
      </c>
      <c r="AL50" s="11" t="s">
        <v>51</v>
      </c>
      <c r="AM50" s="13">
        <f t="shared" si="8"/>
        <v>0</v>
      </c>
      <c r="AN50" s="18">
        <v>6</v>
      </c>
      <c r="AO50" s="18">
        <v>0</v>
      </c>
      <c r="AP50" s="18">
        <v>0</v>
      </c>
      <c r="AQ50" s="18">
        <v>0</v>
      </c>
      <c r="AR50" s="18">
        <f t="shared" si="9"/>
        <v>6</v>
      </c>
      <c r="AS50" t="s">
        <v>52</v>
      </c>
      <c r="AT50" s="9">
        <v>84.68</v>
      </c>
      <c r="AU50" s="30">
        <f t="shared" ref="AU50:AU56" si="10">+((AN50*I50)+(AO50*AE50)+(AQ50*AI50)+(AP50*AM50))/AR50</f>
        <v>84.68</v>
      </c>
    </row>
    <row r="51" spans="1:47" x14ac:dyDescent="0.25">
      <c r="A51" t="s">
        <v>46</v>
      </c>
      <c r="B51" t="s">
        <v>232</v>
      </c>
      <c r="C51" t="s">
        <v>233</v>
      </c>
      <c r="D51" t="s">
        <v>234</v>
      </c>
      <c r="E51" s="11">
        <v>25</v>
      </c>
      <c r="F51" s="11">
        <v>0</v>
      </c>
      <c r="G51" s="11">
        <v>53.3</v>
      </c>
      <c r="H51" s="11">
        <v>4.375</v>
      </c>
      <c r="I51" s="13">
        <f t="shared" si="1"/>
        <v>82.674999999999997</v>
      </c>
      <c r="J51" s="11">
        <v>0</v>
      </c>
      <c r="K51" s="11">
        <v>0</v>
      </c>
      <c r="L51" s="11">
        <v>0</v>
      </c>
      <c r="M51" s="13">
        <f t="shared" si="2"/>
        <v>0</v>
      </c>
      <c r="N51" s="11">
        <v>0</v>
      </c>
      <c r="O51" s="11">
        <v>0</v>
      </c>
      <c r="P51" s="11">
        <v>0</v>
      </c>
      <c r="Q51" s="11">
        <v>0</v>
      </c>
      <c r="R51" s="13">
        <f t="shared" si="3"/>
        <v>0</v>
      </c>
      <c r="S51">
        <v>0</v>
      </c>
      <c r="T51">
        <v>0</v>
      </c>
      <c r="U51" s="7">
        <f t="shared" si="4"/>
        <v>0</v>
      </c>
      <c r="V51">
        <v>0</v>
      </c>
      <c r="W51">
        <v>0</v>
      </c>
      <c r="X51">
        <v>0</v>
      </c>
      <c r="Y51">
        <v>0</v>
      </c>
      <c r="Z51" s="13">
        <f t="shared" si="5"/>
        <v>0</v>
      </c>
      <c r="AA51">
        <v>0</v>
      </c>
      <c r="AB51">
        <v>0</v>
      </c>
      <c r="AC51">
        <v>0</v>
      </c>
      <c r="AD51">
        <v>0</v>
      </c>
      <c r="AE51" s="7">
        <f t="shared" si="6"/>
        <v>0</v>
      </c>
      <c r="AF51">
        <v>41.66</v>
      </c>
      <c r="AG51">
        <v>20</v>
      </c>
      <c r="AH51">
        <v>23.04</v>
      </c>
      <c r="AI51" s="13">
        <f t="shared" si="7"/>
        <v>84.699999999999989</v>
      </c>
      <c r="AJ51" s="11" t="s">
        <v>51</v>
      </c>
      <c r="AK51" s="11" t="s">
        <v>51</v>
      </c>
      <c r="AL51" s="11" t="s">
        <v>51</v>
      </c>
      <c r="AM51" s="13">
        <f t="shared" si="8"/>
        <v>0</v>
      </c>
      <c r="AN51" s="18">
        <v>28</v>
      </c>
      <c r="AO51" s="18">
        <v>0</v>
      </c>
      <c r="AP51" s="18">
        <v>0</v>
      </c>
      <c r="AQ51" s="18">
        <v>12</v>
      </c>
      <c r="AR51" s="18">
        <f t="shared" si="9"/>
        <v>40</v>
      </c>
      <c r="AS51" t="s">
        <v>52</v>
      </c>
      <c r="AT51" s="9">
        <v>83.282499999999999</v>
      </c>
      <c r="AU51" s="30">
        <f t="shared" si="10"/>
        <v>83.282499999999999</v>
      </c>
    </row>
    <row r="52" spans="1:47" x14ac:dyDescent="0.25">
      <c r="A52" t="s">
        <v>46</v>
      </c>
      <c r="B52" t="s">
        <v>236</v>
      </c>
      <c r="C52" t="s">
        <v>237</v>
      </c>
      <c r="D52" t="s">
        <v>238</v>
      </c>
      <c r="E52" s="11">
        <v>22.5</v>
      </c>
      <c r="F52" s="11">
        <v>0</v>
      </c>
      <c r="G52" s="11">
        <v>59.85</v>
      </c>
      <c r="H52" s="11">
        <v>3.75</v>
      </c>
      <c r="I52" s="13">
        <f t="shared" si="1"/>
        <v>86.1</v>
      </c>
      <c r="J52" s="11">
        <v>0</v>
      </c>
      <c r="K52" s="11">
        <v>0</v>
      </c>
      <c r="L52" s="11">
        <v>0</v>
      </c>
      <c r="M52" s="13">
        <f t="shared" si="2"/>
        <v>0</v>
      </c>
      <c r="N52" s="11">
        <v>0</v>
      </c>
      <c r="O52" s="11">
        <v>0</v>
      </c>
      <c r="P52" s="11">
        <v>0</v>
      </c>
      <c r="Q52" s="11">
        <v>0</v>
      </c>
      <c r="R52" s="13">
        <f t="shared" si="3"/>
        <v>0</v>
      </c>
      <c r="S52">
        <v>0</v>
      </c>
      <c r="T52">
        <v>0</v>
      </c>
      <c r="U52" s="7">
        <f t="shared" si="4"/>
        <v>0</v>
      </c>
      <c r="V52">
        <v>0</v>
      </c>
      <c r="W52">
        <v>0</v>
      </c>
      <c r="X52">
        <v>0</v>
      </c>
      <c r="Y52">
        <v>0</v>
      </c>
      <c r="Z52" s="13">
        <f t="shared" si="5"/>
        <v>0</v>
      </c>
      <c r="AA52">
        <v>0</v>
      </c>
      <c r="AB52">
        <v>0</v>
      </c>
      <c r="AC52">
        <v>0</v>
      </c>
      <c r="AD52">
        <v>0</v>
      </c>
      <c r="AE52" s="7">
        <f t="shared" si="6"/>
        <v>0</v>
      </c>
      <c r="AF52">
        <v>0</v>
      </c>
      <c r="AG52">
        <v>0</v>
      </c>
      <c r="AH52">
        <v>0</v>
      </c>
      <c r="AI52" s="13">
        <f t="shared" si="7"/>
        <v>0</v>
      </c>
      <c r="AJ52" s="11" t="s">
        <v>51</v>
      </c>
      <c r="AK52" s="11" t="s">
        <v>51</v>
      </c>
      <c r="AL52" s="11" t="s">
        <v>51</v>
      </c>
      <c r="AM52" s="13">
        <f t="shared" si="8"/>
        <v>0</v>
      </c>
      <c r="AN52" s="18">
        <v>8</v>
      </c>
      <c r="AO52" s="18">
        <v>0</v>
      </c>
      <c r="AP52" s="18">
        <v>0</v>
      </c>
      <c r="AQ52" s="18">
        <v>0</v>
      </c>
      <c r="AR52" s="18">
        <f t="shared" si="9"/>
        <v>8</v>
      </c>
      <c r="AS52" t="s">
        <v>52</v>
      </c>
      <c r="AT52" s="9">
        <v>86.1</v>
      </c>
      <c r="AU52" s="30">
        <f t="shared" si="10"/>
        <v>86.1</v>
      </c>
    </row>
    <row r="53" spans="1:47" x14ac:dyDescent="0.25">
      <c r="A53" t="s">
        <v>46</v>
      </c>
      <c r="B53" t="s">
        <v>240</v>
      </c>
      <c r="C53" t="s">
        <v>241</v>
      </c>
      <c r="D53" t="s">
        <v>242</v>
      </c>
      <c r="E53" s="11">
        <v>19.329999999999998</v>
      </c>
      <c r="F53" s="11">
        <v>18.329999999999998</v>
      </c>
      <c r="G53" s="11">
        <v>46.91</v>
      </c>
      <c r="H53" s="11">
        <v>3</v>
      </c>
      <c r="I53" s="13">
        <f t="shared" si="1"/>
        <v>87.57</v>
      </c>
      <c r="J53" s="11">
        <v>0</v>
      </c>
      <c r="K53" s="11">
        <v>0</v>
      </c>
      <c r="L53" s="11">
        <v>0</v>
      </c>
      <c r="M53" s="13">
        <f t="shared" si="2"/>
        <v>0</v>
      </c>
      <c r="N53" s="11">
        <v>0</v>
      </c>
      <c r="O53" s="11">
        <v>0</v>
      </c>
      <c r="P53" s="11">
        <v>0</v>
      </c>
      <c r="Q53" s="11">
        <v>0</v>
      </c>
      <c r="R53" s="13">
        <f t="shared" si="3"/>
        <v>0</v>
      </c>
      <c r="S53">
        <v>0</v>
      </c>
      <c r="T53">
        <v>0</v>
      </c>
      <c r="U53" s="7">
        <f t="shared" si="4"/>
        <v>0</v>
      </c>
      <c r="V53">
        <v>0</v>
      </c>
      <c r="W53">
        <v>0</v>
      </c>
      <c r="X53">
        <v>0</v>
      </c>
      <c r="Y53">
        <v>0</v>
      </c>
      <c r="Z53" s="13">
        <f t="shared" si="5"/>
        <v>0</v>
      </c>
      <c r="AA53">
        <v>0</v>
      </c>
      <c r="AB53">
        <v>0</v>
      </c>
      <c r="AC53">
        <v>0</v>
      </c>
      <c r="AD53">
        <v>0</v>
      </c>
      <c r="AE53" s="7">
        <f t="shared" si="6"/>
        <v>0</v>
      </c>
      <c r="AF53">
        <v>0</v>
      </c>
      <c r="AG53">
        <v>0</v>
      </c>
      <c r="AH53">
        <v>0</v>
      </c>
      <c r="AI53" s="13">
        <f t="shared" si="7"/>
        <v>0</v>
      </c>
      <c r="AJ53" s="11" t="s">
        <v>51</v>
      </c>
      <c r="AK53" s="11" t="s">
        <v>51</v>
      </c>
      <c r="AL53" s="11" t="s">
        <v>51</v>
      </c>
      <c r="AM53" s="13">
        <f t="shared" si="8"/>
        <v>0</v>
      </c>
      <c r="AN53" s="18">
        <v>40</v>
      </c>
      <c r="AO53" s="18">
        <v>0</v>
      </c>
      <c r="AP53" s="18">
        <v>0</v>
      </c>
      <c r="AQ53" s="18">
        <v>0</v>
      </c>
      <c r="AR53" s="18">
        <f t="shared" si="9"/>
        <v>40</v>
      </c>
      <c r="AS53" t="s">
        <v>52</v>
      </c>
      <c r="AT53" s="9">
        <v>87.57</v>
      </c>
      <c r="AU53" s="30">
        <f t="shared" si="10"/>
        <v>87.57</v>
      </c>
    </row>
    <row r="54" spans="1:47" x14ac:dyDescent="0.25">
      <c r="A54" t="s">
        <v>46</v>
      </c>
      <c r="B54" t="s">
        <v>244</v>
      </c>
      <c r="C54" t="s">
        <v>245</v>
      </c>
      <c r="D54" t="s">
        <v>246</v>
      </c>
      <c r="E54" s="11">
        <v>20</v>
      </c>
      <c r="F54" s="11">
        <v>13.67</v>
      </c>
      <c r="G54" s="11">
        <v>43.17</v>
      </c>
      <c r="H54" s="11">
        <v>3</v>
      </c>
      <c r="I54" s="13">
        <f>+SUM(E54:H54)</f>
        <v>79.84</v>
      </c>
      <c r="J54" s="11">
        <v>0</v>
      </c>
      <c r="K54" s="11">
        <v>0</v>
      </c>
      <c r="L54" s="11">
        <v>0</v>
      </c>
      <c r="M54" s="13">
        <f t="shared" si="2"/>
        <v>0</v>
      </c>
      <c r="N54" s="11">
        <v>0</v>
      </c>
      <c r="O54" s="11">
        <v>0</v>
      </c>
      <c r="P54" s="11">
        <v>0</v>
      </c>
      <c r="Q54" s="11">
        <v>0</v>
      </c>
      <c r="R54" s="13">
        <f t="shared" si="3"/>
        <v>0</v>
      </c>
      <c r="S54">
        <v>0</v>
      </c>
      <c r="T54">
        <v>0</v>
      </c>
      <c r="U54" s="7">
        <f t="shared" si="4"/>
        <v>0</v>
      </c>
      <c r="V54">
        <v>0</v>
      </c>
      <c r="W54">
        <v>0</v>
      </c>
      <c r="X54">
        <v>0</v>
      </c>
      <c r="Y54">
        <v>0</v>
      </c>
      <c r="Z54" s="13">
        <f t="shared" si="5"/>
        <v>0</v>
      </c>
      <c r="AA54">
        <v>0</v>
      </c>
      <c r="AB54">
        <v>0</v>
      </c>
      <c r="AC54">
        <v>0</v>
      </c>
      <c r="AD54">
        <v>0</v>
      </c>
      <c r="AE54" s="7">
        <f t="shared" si="6"/>
        <v>0</v>
      </c>
      <c r="AF54">
        <v>33.340000000000003</v>
      </c>
      <c r="AG54">
        <v>20</v>
      </c>
      <c r="AH54">
        <v>26.72</v>
      </c>
      <c r="AI54" s="13">
        <f t="shared" si="7"/>
        <v>80.06</v>
      </c>
      <c r="AJ54" s="11" t="s">
        <v>51</v>
      </c>
      <c r="AK54" s="11" t="s">
        <v>51</v>
      </c>
      <c r="AL54" s="11" t="s">
        <v>51</v>
      </c>
      <c r="AM54" s="13">
        <f t="shared" si="8"/>
        <v>0</v>
      </c>
      <c r="AN54" s="18">
        <v>32</v>
      </c>
      <c r="AO54" s="18">
        <v>0</v>
      </c>
      <c r="AP54" s="18">
        <v>0</v>
      </c>
      <c r="AQ54" s="18">
        <v>8</v>
      </c>
      <c r="AR54" s="18">
        <f t="shared" si="9"/>
        <v>40</v>
      </c>
      <c r="AS54" t="s">
        <v>52</v>
      </c>
      <c r="AT54" s="9">
        <v>79.884</v>
      </c>
      <c r="AU54" s="30">
        <f>+((AN54*I54)+(AO54*AE54)+(AQ54*AI54)+(AP54*AM54))/AR54</f>
        <v>79.884</v>
      </c>
    </row>
    <row r="55" spans="1:47" x14ac:dyDescent="0.25">
      <c r="A55" t="s">
        <v>46</v>
      </c>
      <c r="B55" t="s">
        <v>248</v>
      </c>
      <c r="C55" t="s">
        <v>249</v>
      </c>
      <c r="D55" t="s">
        <v>250</v>
      </c>
      <c r="E55" s="11">
        <v>20</v>
      </c>
      <c r="F55" s="11">
        <v>18</v>
      </c>
      <c r="G55" s="11">
        <v>36.450000000000003</v>
      </c>
      <c r="H55" s="11">
        <v>6.5</v>
      </c>
      <c r="I55" s="13">
        <f t="shared" si="1"/>
        <v>80.95</v>
      </c>
      <c r="J55" s="11">
        <v>0</v>
      </c>
      <c r="K55" s="11">
        <v>0</v>
      </c>
      <c r="L55" s="11">
        <v>0</v>
      </c>
      <c r="M55" s="13">
        <f t="shared" si="2"/>
        <v>0</v>
      </c>
      <c r="N55" s="11">
        <v>0</v>
      </c>
      <c r="O55" s="11">
        <v>0</v>
      </c>
      <c r="P55" s="11">
        <v>0</v>
      </c>
      <c r="Q55" s="11">
        <v>0</v>
      </c>
      <c r="R55" s="13">
        <f t="shared" si="3"/>
        <v>0</v>
      </c>
      <c r="S55">
        <v>0</v>
      </c>
      <c r="T55">
        <v>0</v>
      </c>
      <c r="U55" s="7">
        <f t="shared" si="4"/>
        <v>0</v>
      </c>
      <c r="V55">
        <v>0</v>
      </c>
      <c r="W55">
        <v>0</v>
      </c>
      <c r="X55">
        <v>0</v>
      </c>
      <c r="Y55">
        <v>0</v>
      </c>
      <c r="Z55" s="13">
        <f t="shared" si="5"/>
        <v>0</v>
      </c>
      <c r="AA55">
        <v>0</v>
      </c>
      <c r="AB55">
        <v>0</v>
      </c>
      <c r="AC55">
        <v>0</v>
      </c>
      <c r="AD55">
        <v>0</v>
      </c>
      <c r="AE55" s="7">
        <f t="shared" si="6"/>
        <v>0</v>
      </c>
      <c r="AF55">
        <v>0</v>
      </c>
      <c r="AG55">
        <v>0</v>
      </c>
      <c r="AH55">
        <v>0</v>
      </c>
      <c r="AI55" s="13">
        <f t="shared" si="7"/>
        <v>0</v>
      </c>
      <c r="AJ55" s="11" t="s">
        <v>51</v>
      </c>
      <c r="AK55" s="11" t="s">
        <v>51</v>
      </c>
      <c r="AL55" s="11" t="s">
        <v>51</v>
      </c>
      <c r="AM55" s="13">
        <f t="shared" si="8"/>
        <v>0</v>
      </c>
      <c r="AN55" s="18">
        <v>11</v>
      </c>
      <c r="AO55" s="18">
        <v>0</v>
      </c>
      <c r="AP55" s="18">
        <v>0</v>
      </c>
      <c r="AQ55" s="18">
        <v>0</v>
      </c>
      <c r="AR55" s="18">
        <f t="shared" si="9"/>
        <v>11</v>
      </c>
      <c r="AS55" t="s">
        <v>52</v>
      </c>
      <c r="AT55" s="9">
        <v>80.95</v>
      </c>
      <c r="AU55" s="30">
        <f t="shared" si="10"/>
        <v>80.95</v>
      </c>
    </row>
    <row r="56" spans="1:47" x14ac:dyDescent="0.25">
      <c r="A56" t="s">
        <v>46</v>
      </c>
      <c r="B56" t="s">
        <v>252</v>
      </c>
      <c r="C56" t="s">
        <v>253</v>
      </c>
      <c r="D56" t="s">
        <v>254</v>
      </c>
      <c r="E56" s="11">
        <v>20</v>
      </c>
      <c r="F56" s="11">
        <v>18.670000000000002</v>
      </c>
      <c r="G56" s="11">
        <v>44.23</v>
      </c>
      <c r="H56" s="11">
        <v>2.5</v>
      </c>
      <c r="I56" s="13">
        <f t="shared" si="1"/>
        <v>85.4</v>
      </c>
      <c r="J56" s="11">
        <v>0</v>
      </c>
      <c r="K56" s="11">
        <v>0</v>
      </c>
      <c r="L56" s="11">
        <v>0</v>
      </c>
      <c r="M56" s="13">
        <f t="shared" si="2"/>
        <v>0</v>
      </c>
      <c r="N56" s="11">
        <v>0</v>
      </c>
      <c r="O56" s="11">
        <v>0</v>
      </c>
      <c r="P56" s="11">
        <v>0</v>
      </c>
      <c r="Q56" s="11">
        <v>0</v>
      </c>
      <c r="R56" s="13">
        <f t="shared" si="3"/>
        <v>0</v>
      </c>
      <c r="S56">
        <v>0</v>
      </c>
      <c r="T56">
        <v>0</v>
      </c>
      <c r="U56" s="7">
        <f t="shared" si="4"/>
        <v>0</v>
      </c>
      <c r="V56">
        <v>0</v>
      </c>
      <c r="W56">
        <v>0</v>
      </c>
      <c r="X56">
        <v>0</v>
      </c>
      <c r="Y56">
        <v>0</v>
      </c>
      <c r="Z56" s="13">
        <f t="shared" si="5"/>
        <v>0</v>
      </c>
      <c r="AA56">
        <v>0</v>
      </c>
      <c r="AB56">
        <v>0</v>
      </c>
      <c r="AC56">
        <v>0</v>
      </c>
      <c r="AD56">
        <v>0</v>
      </c>
      <c r="AE56" s="7">
        <f t="shared" si="6"/>
        <v>0</v>
      </c>
      <c r="AF56">
        <v>0</v>
      </c>
      <c r="AG56">
        <v>0</v>
      </c>
      <c r="AH56">
        <v>0</v>
      </c>
      <c r="AI56" s="13">
        <f t="shared" si="7"/>
        <v>0</v>
      </c>
      <c r="AJ56" s="11" t="s">
        <v>51</v>
      </c>
      <c r="AK56" s="11" t="s">
        <v>51</v>
      </c>
      <c r="AL56" s="11" t="s">
        <v>51</v>
      </c>
      <c r="AM56" s="13">
        <f t="shared" si="8"/>
        <v>0</v>
      </c>
      <c r="AN56" s="18">
        <v>10</v>
      </c>
      <c r="AO56" s="18">
        <v>0</v>
      </c>
      <c r="AP56" s="18">
        <v>0</v>
      </c>
      <c r="AQ56" s="18">
        <v>0</v>
      </c>
      <c r="AR56" s="18">
        <f t="shared" si="9"/>
        <v>10</v>
      </c>
      <c r="AS56" t="s">
        <v>52</v>
      </c>
      <c r="AT56" s="9">
        <v>85.4</v>
      </c>
      <c r="AU56" s="30">
        <f t="shared" si="10"/>
        <v>85.4</v>
      </c>
    </row>
    <row r="57" spans="1:47" x14ac:dyDescent="0.25">
      <c r="A57" t="s">
        <v>46</v>
      </c>
      <c r="B57" t="s">
        <v>256</v>
      </c>
      <c r="C57" t="s">
        <v>257</v>
      </c>
      <c r="D57" t="s">
        <v>258</v>
      </c>
      <c r="E57" s="11">
        <v>0</v>
      </c>
      <c r="F57" s="11">
        <v>0</v>
      </c>
      <c r="G57" s="11">
        <v>0</v>
      </c>
      <c r="H57" s="11">
        <v>0</v>
      </c>
      <c r="I57" s="13">
        <f t="shared" si="1"/>
        <v>0</v>
      </c>
      <c r="J57" s="11">
        <v>83.785714285714278</v>
      </c>
      <c r="K57" s="11">
        <v>0</v>
      </c>
      <c r="L57" s="11">
        <v>0</v>
      </c>
      <c r="M57" s="13">
        <f t="shared" si="2"/>
        <v>83.785714285714278</v>
      </c>
      <c r="N57" s="11">
        <v>0</v>
      </c>
      <c r="O57" s="11">
        <v>0</v>
      </c>
      <c r="P57" s="11">
        <v>0</v>
      </c>
      <c r="Q57" s="11">
        <v>0</v>
      </c>
      <c r="R57" s="13">
        <f t="shared" si="3"/>
        <v>0</v>
      </c>
      <c r="S57">
        <v>0</v>
      </c>
      <c r="T57">
        <v>0</v>
      </c>
      <c r="U57" s="7">
        <f t="shared" si="4"/>
        <v>0</v>
      </c>
      <c r="V57">
        <v>0</v>
      </c>
      <c r="W57">
        <v>0</v>
      </c>
      <c r="X57">
        <v>0</v>
      </c>
      <c r="Y57">
        <v>0</v>
      </c>
      <c r="Z57" s="13">
        <f t="shared" si="5"/>
        <v>0</v>
      </c>
      <c r="AA57">
        <v>0</v>
      </c>
      <c r="AB57">
        <v>0</v>
      </c>
      <c r="AC57">
        <v>0</v>
      </c>
      <c r="AD57">
        <v>0</v>
      </c>
      <c r="AE57" s="7">
        <f t="shared" si="6"/>
        <v>0</v>
      </c>
      <c r="AF57">
        <v>0</v>
      </c>
      <c r="AG57">
        <v>0</v>
      </c>
      <c r="AH57">
        <v>0</v>
      </c>
      <c r="AI57" s="13">
        <f t="shared" si="7"/>
        <v>0</v>
      </c>
      <c r="AJ57" s="11" t="s">
        <v>51</v>
      </c>
      <c r="AK57" s="11" t="s">
        <v>51</v>
      </c>
      <c r="AL57" s="11" t="s">
        <v>51</v>
      </c>
      <c r="AM57" s="13">
        <f t="shared" si="8"/>
        <v>0</v>
      </c>
      <c r="AN57" s="18">
        <v>4.5</v>
      </c>
      <c r="AO57" s="18">
        <v>0</v>
      </c>
      <c r="AP57" s="18">
        <v>0</v>
      </c>
      <c r="AQ57" s="18">
        <v>0</v>
      </c>
      <c r="AR57" s="18">
        <f t="shared" si="9"/>
        <v>4.5</v>
      </c>
      <c r="AS57" t="s">
        <v>87</v>
      </c>
      <c r="AT57" s="9">
        <v>83.785714285714278</v>
      </c>
      <c r="AU57" s="30">
        <f>+((AN57*M57)/AR57)</f>
        <v>83.785714285714278</v>
      </c>
    </row>
    <row r="58" spans="1:47" x14ac:dyDescent="0.25">
      <c r="A58" t="s">
        <v>46</v>
      </c>
      <c r="B58" t="s">
        <v>260</v>
      </c>
      <c r="C58" t="s">
        <v>261</v>
      </c>
      <c r="D58" t="s">
        <v>262</v>
      </c>
      <c r="E58" s="11">
        <v>0</v>
      </c>
      <c r="F58" s="11">
        <v>25</v>
      </c>
      <c r="G58" s="11">
        <v>41.8125</v>
      </c>
      <c r="H58" s="11">
        <v>9.375</v>
      </c>
      <c r="I58" s="13">
        <f t="shared" si="1"/>
        <v>76.1875</v>
      </c>
      <c r="J58" s="11">
        <v>0</v>
      </c>
      <c r="K58" s="11">
        <v>0</v>
      </c>
      <c r="L58" s="11">
        <v>0</v>
      </c>
      <c r="M58" s="13">
        <f t="shared" si="2"/>
        <v>0</v>
      </c>
      <c r="N58" s="11">
        <v>0</v>
      </c>
      <c r="O58" s="11">
        <v>0</v>
      </c>
      <c r="P58" s="11">
        <v>0</v>
      </c>
      <c r="Q58" s="11">
        <v>0</v>
      </c>
      <c r="R58" s="13">
        <f t="shared" si="3"/>
        <v>0</v>
      </c>
      <c r="S58">
        <v>0</v>
      </c>
      <c r="T58">
        <v>0</v>
      </c>
      <c r="U58" s="7">
        <f t="shared" si="4"/>
        <v>0</v>
      </c>
      <c r="V58">
        <v>0</v>
      </c>
      <c r="W58">
        <v>0</v>
      </c>
      <c r="X58">
        <v>0</v>
      </c>
      <c r="Y58">
        <v>0</v>
      </c>
      <c r="Z58" s="13">
        <f t="shared" si="5"/>
        <v>0</v>
      </c>
      <c r="AA58">
        <v>0</v>
      </c>
      <c r="AB58">
        <v>0</v>
      </c>
      <c r="AC58">
        <v>0</v>
      </c>
      <c r="AD58">
        <v>0</v>
      </c>
      <c r="AE58" s="7">
        <f t="shared" si="6"/>
        <v>0</v>
      </c>
      <c r="AF58">
        <v>0</v>
      </c>
      <c r="AG58">
        <v>0</v>
      </c>
      <c r="AH58">
        <v>0</v>
      </c>
      <c r="AI58" s="13">
        <f t="shared" si="7"/>
        <v>0</v>
      </c>
      <c r="AJ58" s="11" t="s">
        <v>51</v>
      </c>
      <c r="AK58" s="11" t="s">
        <v>51</v>
      </c>
      <c r="AL58" s="11" t="s">
        <v>51</v>
      </c>
      <c r="AM58" s="13">
        <f t="shared" si="8"/>
        <v>0</v>
      </c>
      <c r="AN58" s="18">
        <v>3</v>
      </c>
      <c r="AO58" s="18">
        <v>0</v>
      </c>
      <c r="AP58" s="18">
        <v>0</v>
      </c>
      <c r="AQ58" s="18">
        <v>0</v>
      </c>
      <c r="AR58" s="18">
        <f t="shared" si="9"/>
        <v>3</v>
      </c>
      <c r="AS58" t="s">
        <v>52</v>
      </c>
      <c r="AT58" s="9">
        <v>76.1875</v>
      </c>
      <c r="AU58" s="30">
        <f>+((AN58*I58)+(AO58*AE58)+(AQ58*AI58)+(AP58*AM58))/AR58</f>
        <v>76.1875</v>
      </c>
    </row>
    <row r="59" spans="1:47" x14ac:dyDescent="0.25">
      <c r="A59" t="s">
        <v>46</v>
      </c>
      <c r="B59" t="s">
        <v>264</v>
      </c>
      <c r="C59" t="s">
        <v>265</v>
      </c>
      <c r="D59" t="s">
        <v>266</v>
      </c>
      <c r="E59" s="11">
        <v>0</v>
      </c>
      <c r="F59" s="11">
        <v>0</v>
      </c>
      <c r="G59" s="11">
        <v>0</v>
      </c>
      <c r="H59" s="11">
        <v>0</v>
      </c>
      <c r="I59" s="13">
        <f t="shared" si="1"/>
        <v>0</v>
      </c>
      <c r="J59" s="11">
        <v>51.8</v>
      </c>
      <c r="K59" s="11">
        <v>30</v>
      </c>
      <c r="L59" s="11">
        <v>4</v>
      </c>
      <c r="M59" s="13">
        <f t="shared" si="2"/>
        <v>85.8</v>
      </c>
      <c r="N59" s="11">
        <v>0</v>
      </c>
      <c r="O59" s="11">
        <v>0</v>
      </c>
      <c r="P59" s="11">
        <v>0</v>
      </c>
      <c r="Q59" s="11">
        <v>0</v>
      </c>
      <c r="R59" s="13">
        <f t="shared" si="3"/>
        <v>0</v>
      </c>
      <c r="S59">
        <v>0</v>
      </c>
      <c r="T59">
        <v>0</v>
      </c>
      <c r="U59" s="7">
        <f t="shared" si="4"/>
        <v>0</v>
      </c>
      <c r="V59">
        <v>0</v>
      </c>
      <c r="W59">
        <v>0</v>
      </c>
      <c r="X59">
        <v>0</v>
      </c>
      <c r="Y59">
        <v>0</v>
      </c>
      <c r="Z59" s="13">
        <f t="shared" si="5"/>
        <v>0</v>
      </c>
      <c r="AA59">
        <v>0</v>
      </c>
      <c r="AB59">
        <v>0</v>
      </c>
      <c r="AC59">
        <v>0</v>
      </c>
      <c r="AD59">
        <v>0</v>
      </c>
      <c r="AE59" s="7">
        <f t="shared" si="6"/>
        <v>0</v>
      </c>
      <c r="AF59">
        <v>0</v>
      </c>
      <c r="AG59">
        <v>0</v>
      </c>
      <c r="AH59">
        <v>0</v>
      </c>
      <c r="AI59" s="13">
        <f t="shared" si="7"/>
        <v>0</v>
      </c>
      <c r="AJ59" s="11" t="s">
        <v>51</v>
      </c>
      <c r="AK59" s="11" t="s">
        <v>51</v>
      </c>
      <c r="AL59" s="11" t="s">
        <v>51</v>
      </c>
      <c r="AM59" s="13">
        <f t="shared" si="8"/>
        <v>0</v>
      </c>
      <c r="AN59" s="18">
        <v>2.375</v>
      </c>
      <c r="AO59" s="18">
        <v>0</v>
      </c>
      <c r="AP59" s="18">
        <v>0</v>
      </c>
      <c r="AQ59" s="18">
        <v>0</v>
      </c>
      <c r="AR59" s="18">
        <f t="shared" si="9"/>
        <v>2.375</v>
      </c>
      <c r="AS59" t="s">
        <v>87</v>
      </c>
      <c r="AT59" s="9">
        <v>85.8</v>
      </c>
      <c r="AU59" s="30">
        <f>+((AN59*M59)/AR59)</f>
        <v>85.8</v>
      </c>
    </row>
    <row r="60" spans="1:47" x14ac:dyDescent="0.25">
      <c r="A60" t="s">
        <v>46</v>
      </c>
      <c r="B60" t="s">
        <v>269</v>
      </c>
      <c r="C60" t="s">
        <v>270</v>
      </c>
      <c r="D60" t="s">
        <v>271</v>
      </c>
      <c r="E60" s="11">
        <v>20</v>
      </c>
      <c r="F60" s="11">
        <v>18.670000000000002</v>
      </c>
      <c r="G60" s="11">
        <v>44.46</v>
      </c>
      <c r="H60" s="11">
        <v>6</v>
      </c>
      <c r="I60" s="13">
        <f t="shared" si="1"/>
        <v>89.13</v>
      </c>
      <c r="J60" s="11">
        <v>0</v>
      </c>
      <c r="K60" s="11">
        <v>0</v>
      </c>
      <c r="L60" s="11">
        <v>0</v>
      </c>
      <c r="M60" s="13">
        <f t="shared" si="2"/>
        <v>0</v>
      </c>
      <c r="N60" s="11">
        <v>0</v>
      </c>
      <c r="O60" s="11">
        <v>0</v>
      </c>
      <c r="P60" s="11">
        <v>0</v>
      </c>
      <c r="Q60" s="11">
        <v>0</v>
      </c>
      <c r="R60" s="13">
        <f t="shared" si="3"/>
        <v>0</v>
      </c>
      <c r="S60">
        <v>0</v>
      </c>
      <c r="T60">
        <v>0</v>
      </c>
      <c r="U60" s="7">
        <f t="shared" si="4"/>
        <v>0</v>
      </c>
      <c r="V60">
        <v>0</v>
      </c>
      <c r="W60">
        <v>0</v>
      </c>
      <c r="X60">
        <v>0</v>
      </c>
      <c r="Y60">
        <v>0</v>
      </c>
      <c r="Z60" s="13">
        <f t="shared" si="5"/>
        <v>0</v>
      </c>
      <c r="AA60">
        <v>3.75</v>
      </c>
      <c r="AB60">
        <v>50</v>
      </c>
      <c r="AC60">
        <v>15</v>
      </c>
      <c r="AD60">
        <v>20</v>
      </c>
      <c r="AE60" s="7">
        <f t="shared" si="6"/>
        <v>88.75</v>
      </c>
      <c r="AF60">
        <v>0</v>
      </c>
      <c r="AG60">
        <v>0</v>
      </c>
      <c r="AH60">
        <v>0</v>
      </c>
      <c r="AI60" s="13">
        <f t="shared" si="7"/>
        <v>0</v>
      </c>
      <c r="AJ60" s="11">
        <v>19.329999999999998</v>
      </c>
      <c r="AK60" s="11">
        <v>29</v>
      </c>
      <c r="AL60" s="11">
        <v>43.19</v>
      </c>
      <c r="AM60" s="13">
        <f t="shared" si="8"/>
        <v>91.52</v>
      </c>
      <c r="AN60" s="18">
        <v>29</v>
      </c>
      <c r="AO60" s="18">
        <v>8</v>
      </c>
      <c r="AP60" s="18">
        <v>3</v>
      </c>
      <c r="AQ60" s="18">
        <v>0</v>
      </c>
      <c r="AR60" s="18">
        <f t="shared" si="9"/>
        <v>40</v>
      </c>
      <c r="AS60" t="s">
        <v>52</v>
      </c>
      <c r="AT60" s="9">
        <v>89.233249999999998</v>
      </c>
      <c r="AU60" s="30">
        <f>+((AN60*I60)+(AO60*AE60)+(AQ60*AI60)+(AP60*AM60))/AR60</f>
        <v>89.233249999999998</v>
      </c>
    </row>
    <row r="61" spans="1:47" x14ac:dyDescent="0.25">
      <c r="A61" t="s">
        <v>46</v>
      </c>
      <c r="B61" t="s">
        <v>273</v>
      </c>
      <c r="C61" t="s">
        <v>274</v>
      </c>
      <c r="D61" t="s">
        <v>275</v>
      </c>
      <c r="E61" s="11">
        <v>17.670000000000002</v>
      </c>
      <c r="F61" s="11">
        <v>19.329999999999998</v>
      </c>
      <c r="G61" s="11">
        <v>44.48</v>
      </c>
      <c r="H61" s="11">
        <v>5.5</v>
      </c>
      <c r="I61" s="13">
        <f t="shared" si="1"/>
        <v>86.97999999999999</v>
      </c>
      <c r="J61" s="11">
        <v>0</v>
      </c>
      <c r="K61" s="11">
        <v>0</v>
      </c>
      <c r="L61" s="11">
        <v>0</v>
      </c>
      <c r="M61" s="13">
        <f t="shared" si="2"/>
        <v>0</v>
      </c>
      <c r="N61" s="11">
        <v>0</v>
      </c>
      <c r="O61" s="11">
        <v>0</v>
      </c>
      <c r="P61" s="11">
        <v>0</v>
      </c>
      <c r="Q61" s="11">
        <v>0</v>
      </c>
      <c r="R61" s="13">
        <f t="shared" si="3"/>
        <v>0</v>
      </c>
      <c r="S61">
        <v>0</v>
      </c>
      <c r="T61">
        <v>0</v>
      </c>
      <c r="U61" s="7">
        <f t="shared" si="4"/>
        <v>0</v>
      </c>
      <c r="V61">
        <v>0</v>
      </c>
      <c r="W61">
        <v>0</v>
      </c>
      <c r="X61">
        <v>0</v>
      </c>
      <c r="Y61">
        <v>0</v>
      </c>
      <c r="Z61" s="13">
        <f t="shared" si="5"/>
        <v>0</v>
      </c>
      <c r="AA61">
        <v>0</v>
      </c>
      <c r="AB61">
        <v>0</v>
      </c>
      <c r="AC61">
        <v>0</v>
      </c>
      <c r="AD61">
        <v>0</v>
      </c>
      <c r="AE61" s="7">
        <f t="shared" si="6"/>
        <v>0</v>
      </c>
      <c r="AF61">
        <v>0</v>
      </c>
      <c r="AG61">
        <v>0</v>
      </c>
      <c r="AH61">
        <v>0</v>
      </c>
      <c r="AI61" s="13">
        <f t="shared" si="7"/>
        <v>0</v>
      </c>
      <c r="AJ61" s="11" t="s">
        <v>51</v>
      </c>
      <c r="AK61" s="11" t="s">
        <v>51</v>
      </c>
      <c r="AL61" s="11" t="s">
        <v>51</v>
      </c>
      <c r="AM61" s="13">
        <f t="shared" si="8"/>
        <v>0</v>
      </c>
      <c r="AN61" s="18">
        <v>8</v>
      </c>
      <c r="AO61" s="18">
        <v>0</v>
      </c>
      <c r="AP61" s="18">
        <v>0</v>
      </c>
      <c r="AQ61" s="18">
        <v>0</v>
      </c>
      <c r="AR61" s="18">
        <f t="shared" si="9"/>
        <v>8</v>
      </c>
      <c r="AS61" t="s">
        <v>52</v>
      </c>
      <c r="AT61" s="9">
        <v>86.97999999999999</v>
      </c>
      <c r="AU61" s="30">
        <f>+((AN61*I61)+(AO61*AE61)+(AQ61*AI61)+(AP61*AM61))/AR61</f>
        <v>86.97999999999999</v>
      </c>
    </row>
    <row r="62" spans="1:47" x14ac:dyDescent="0.25">
      <c r="A62" t="s">
        <v>46</v>
      </c>
      <c r="B62" t="s">
        <v>277</v>
      </c>
      <c r="C62" t="s">
        <v>278</v>
      </c>
      <c r="D62" t="s">
        <v>279</v>
      </c>
      <c r="E62" s="11">
        <v>20</v>
      </c>
      <c r="F62" s="11">
        <v>17.329999999999998</v>
      </c>
      <c r="G62" s="11">
        <v>46.27</v>
      </c>
      <c r="H62" s="11">
        <v>3</v>
      </c>
      <c r="I62" s="13">
        <f t="shared" si="1"/>
        <v>86.6</v>
      </c>
      <c r="J62" s="11">
        <v>0</v>
      </c>
      <c r="K62" s="11">
        <v>0</v>
      </c>
      <c r="L62" s="11">
        <v>0</v>
      </c>
      <c r="M62" s="13">
        <f t="shared" si="2"/>
        <v>0</v>
      </c>
      <c r="N62" s="11">
        <v>0</v>
      </c>
      <c r="O62" s="11">
        <v>0</v>
      </c>
      <c r="P62" s="11">
        <v>0</v>
      </c>
      <c r="Q62" s="11">
        <v>0</v>
      </c>
      <c r="R62" s="13">
        <f t="shared" si="3"/>
        <v>0</v>
      </c>
      <c r="S62">
        <v>0</v>
      </c>
      <c r="T62">
        <v>0</v>
      </c>
      <c r="U62" s="7">
        <f t="shared" si="4"/>
        <v>0</v>
      </c>
      <c r="V62">
        <v>0</v>
      </c>
      <c r="W62">
        <v>0</v>
      </c>
      <c r="X62">
        <v>0</v>
      </c>
      <c r="Y62">
        <v>0</v>
      </c>
      <c r="Z62" s="13">
        <f t="shared" si="5"/>
        <v>0</v>
      </c>
      <c r="AA62">
        <v>0</v>
      </c>
      <c r="AB62">
        <v>0</v>
      </c>
      <c r="AC62">
        <v>0</v>
      </c>
      <c r="AD62">
        <v>0</v>
      </c>
      <c r="AE62" s="7">
        <f t="shared" si="6"/>
        <v>0</v>
      </c>
      <c r="AF62">
        <v>0</v>
      </c>
      <c r="AG62">
        <v>0</v>
      </c>
      <c r="AH62">
        <v>0</v>
      </c>
      <c r="AI62" s="13">
        <f t="shared" si="7"/>
        <v>0</v>
      </c>
      <c r="AJ62" s="11" t="s">
        <v>51</v>
      </c>
      <c r="AK62" s="11" t="s">
        <v>51</v>
      </c>
      <c r="AL62" s="11" t="s">
        <v>51</v>
      </c>
      <c r="AM62" s="13">
        <f t="shared" si="8"/>
        <v>0</v>
      </c>
      <c r="AN62" s="18">
        <v>7</v>
      </c>
      <c r="AO62" s="18">
        <v>0</v>
      </c>
      <c r="AP62" s="18">
        <v>0</v>
      </c>
      <c r="AQ62" s="18">
        <v>0</v>
      </c>
      <c r="AR62" s="18">
        <f t="shared" si="9"/>
        <v>7</v>
      </c>
      <c r="AS62" t="s">
        <v>52</v>
      </c>
      <c r="AT62" s="9">
        <v>86.6</v>
      </c>
      <c r="AU62" s="30">
        <f>+((AN62*I62)+(AO62*AE62)+(AQ62*AI62)+(AP62*AM62))/AR62</f>
        <v>86.6</v>
      </c>
    </row>
    <row r="63" spans="1:47" x14ac:dyDescent="0.25">
      <c r="A63" t="s">
        <v>46</v>
      </c>
      <c r="B63" t="s">
        <v>281</v>
      </c>
      <c r="C63" t="s">
        <v>282</v>
      </c>
      <c r="D63" t="s">
        <v>283</v>
      </c>
      <c r="E63" s="11">
        <v>19.670000000000002</v>
      </c>
      <c r="F63" s="11">
        <v>20</v>
      </c>
      <c r="G63" s="11">
        <v>48.45</v>
      </c>
      <c r="H63" s="11">
        <v>2.5</v>
      </c>
      <c r="I63" s="13">
        <f t="shared" si="1"/>
        <v>90.62</v>
      </c>
      <c r="J63" s="11">
        <v>0</v>
      </c>
      <c r="K63" s="11">
        <v>0</v>
      </c>
      <c r="L63" s="11">
        <v>0</v>
      </c>
      <c r="M63" s="13">
        <f t="shared" si="2"/>
        <v>0</v>
      </c>
      <c r="N63" s="11">
        <v>0</v>
      </c>
      <c r="O63" s="11">
        <v>0</v>
      </c>
      <c r="P63" s="11">
        <v>0</v>
      </c>
      <c r="Q63" s="11">
        <v>0</v>
      </c>
      <c r="R63" s="13">
        <f t="shared" si="3"/>
        <v>0</v>
      </c>
      <c r="S63">
        <v>0</v>
      </c>
      <c r="T63">
        <v>0</v>
      </c>
      <c r="U63" s="7">
        <f t="shared" si="4"/>
        <v>0</v>
      </c>
      <c r="V63">
        <v>0</v>
      </c>
      <c r="W63">
        <v>0</v>
      </c>
      <c r="X63">
        <v>0</v>
      </c>
      <c r="Y63">
        <v>0</v>
      </c>
      <c r="Z63" s="13">
        <f t="shared" si="5"/>
        <v>0</v>
      </c>
      <c r="AA63">
        <v>0</v>
      </c>
      <c r="AB63">
        <v>0</v>
      </c>
      <c r="AC63">
        <v>0</v>
      </c>
      <c r="AD63">
        <v>0</v>
      </c>
      <c r="AE63" s="7">
        <f t="shared" si="6"/>
        <v>0</v>
      </c>
      <c r="AF63">
        <v>0</v>
      </c>
      <c r="AG63">
        <v>0</v>
      </c>
      <c r="AH63">
        <v>0</v>
      </c>
      <c r="AI63" s="13">
        <f t="shared" si="7"/>
        <v>0</v>
      </c>
      <c r="AJ63" s="11" t="s">
        <v>51</v>
      </c>
      <c r="AK63" s="11" t="s">
        <v>51</v>
      </c>
      <c r="AL63" s="11" t="s">
        <v>51</v>
      </c>
      <c r="AM63" s="13">
        <f t="shared" si="8"/>
        <v>0</v>
      </c>
      <c r="AN63" s="18">
        <v>7</v>
      </c>
      <c r="AO63" s="18">
        <v>0</v>
      </c>
      <c r="AP63" s="18">
        <v>0</v>
      </c>
      <c r="AQ63" s="18">
        <v>0</v>
      </c>
      <c r="AR63" s="18">
        <f t="shared" si="9"/>
        <v>7</v>
      </c>
      <c r="AS63" t="s">
        <v>52</v>
      </c>
      <c r="AT63" s="9">
        <v>90.62</v>
      </c>
      <c r="AU63" s="30">
        <f>+((AN63*I63)+(AO63*AE63)+(AQ63*AI63)+(AP63*AM63))/AR63</f>
        <v>90.62</v>
      </c>
    </row>
    <row r="64" spans="1:47" x14ac:dyDescent="0.25">
      <c r="A64" t="s">
        <v>46</v>
      </c>
      <c r="B64" t="s">
        <v>285</v>
      </c>
      <c r="C64" t="s">
        <v>286</v>
      </c>
      <c r="D64" t="s">
        <v>287</v>
      </c>
      <c r="E64" s="11">
        <v>0</v>
      </c>
      <c r="F64" s="11">
        <v>0</v>
      </c>
      <c r="G64" s="11">
        <v>56.033333333333339</v>
      </c>
      <c r="H64" s="11">
        <v>9.1666666666666643</v>
      </c>
      <c r="I64" s="13">
        <f t="shared" si="1"/>
        <v>65.2</v>
      </c>
      <c r="J64" s="11">
        <v>0</v>
      </c>
      <c r="K64" s="11">
        <v>0</v>
      </c>
      <c r="L64" s="11">
        <v>0</v>
      </c>
      <c r="M64" s="13">
        <f t="shared" si="2"/>
        <v>0</v>
      </c>
      <c r="N64" s="11">
        <v>0</v>
      </c>
      <c r="O64" s="11">
        <v>0</v>
      </c>
      <c r="P64" s="11">
        <v>0</v>
      </c>
      <c r="Q64" s="11">
        <v>0</v>
      </c>
      <c r="R64" s="13">
        <f t="shared" si="3"/>
        <v>0</v>
      </c>
      <c r="S64">
        <v>0</v>
      </c>
      <c r="T64">
        <v>0</v>
      </c>
      <c r="U64" s="7">
        <f t="shared" si="4"/>
        <v>0</v>
      </c>
      <c r="V64">
        <v>0</v>
      </c>
      <c r="W64">
        <v>0</v>
      </c>
      <c r="X64">
        <v>0</v>
      </c>
      <c r="Y64">
        <v>0</v>
      </c>
      <c r="Z64" s="13">
        <f t="shared" si="5"/>
        <v>0</v>
      </c>
      <c r="AA64">
        <v>0</v>
      </c>
      <c r="AB64">
        <v>0</v>
      </c>
      <c r="AC64">
        <v>0</v>
      </c>
      <c r="AD64">
        <v>0</v>
      </c>
      <c r="AE64" s="7">
        <f t="shared" si="6"/>
        <v>0</v>
      </c>
      <c r="AF64">
        <v>0</v>
      </c>
      <c r="AG64">
        <v>0</v>
      </c>
      <c r="AH64">
        <v>0</v>
      </c>
      <c r="AI64" s="13">
        <f t="shared" si="7"/>
        <v>0</v>
      </c>
      <c r="AJ64" s="11" t="s">
        <v>51</v>
      </c>
      <c r="AK64" s="11" t="s">
        <v>51</v>
      </c>
      <c r="AL64" s="11" t="s">
        <v>51</v>
      </c>
      <c r="AM64" s="13">
        <f t="shared" si="8"/>
        <v>0</v>
      </c>
      <c r="AN64" s="18">
        <v>6</v>
      </c>
      <c r="AO64" s="18">
        <v>0</v>
      </c>
      <c r="AP64" s="18">
        <v>0</v>
      </c>
      <c r="AQ64" s="18">
        <v>0</v>
      </c>
      <c r="AR64" s="18">
        <f t="shared" si="9"/>
        <v>6</v>
      </c>
      <c r="AS64" t="s">
        <v>52</v>
      </c>
      <c r="AT64" s="9">
        <v>65.2</v>
      </c>
      <c r="AU64" s="30">
        <f>+((AN64*I64)+(AO64*AE64)+(AQ64*AI64)+(AP64*AM64))/AR64</f>
        <v>65.2</v>
      </c>
    </row>
    <row r="65" spans="1:47" ht="19.5" customHeight="1" x14ac:dyDescent="0.25">
      <c r="A65" t="s">
        <v>46</v>
      </c>
      <c r="B65" t="s">
        <v>289</v>
      </c>
      <c r="C65" t="s">
        <v>290</v>
      </c>
      <c r="D65" t="s">
        <v>291</v>
      </c>
      <c r="E65" s="11">
        <v>0</v>
      </c>
      <c r="F65" s="11">
        <v>0</v>
      </c>
      <c r="G65" s="11">
        <v>0</v>
      </c>
      <c r="H65" s="11">
        <v>0</v>
      </c>
      <c r="I65" s="13">
        <f t="shared" si="1"/>
        <v>0</v>
      </c>
      <c r="J65" s="15">
        <v>64.577777777777769</v>
      </c>
      <c r="K65" s="11">
        <v>33.333333333333329</v>
      </c>
      <c r="L65" s="11">
        <v>0</v>
      </c>
      <c r="M65" s="13">
        <f t="shared" si="2"/>
        <v>97.911111111111097</v>
      </c>
      <c r="N65" s="11">
        <v>0</v>
      </c>
      <c r="O65" s="11">
        <v>0</v>
      </c>
      <c r="P65" s="11">
        <v>0</v>
      </c>
      <c r="Q65" s="11">
        <v>0</v>
      </c>
      <c r="R65" s="13">
        <f t="shared" si="3"/>
        <v>0</v>
      </c>
      <c r="S65">
        <v>0</v>
      </c>
      <c r="T65">
        <v>0</v>
      </c>
      <c r="U65" s="7">
        <f t="shared" si="4"/>
        <v>0</v>
      </c>
      <c r="V65">
        <v>0</v>
      </c>
      <c r="W65">
        <v>0</v>
      </c>
      <c r="X65">
        <v>0</v>
      </c>
      <c r="Y65">
        <v>0</v>
      </c>
      <c r="Z65" s="13">
        <f t="shared" si="5"/>
        <v>0</v>
      </c>
      <c r="AA65">
        <v>0</v>
      </c>
      <c r="AB65">
        <v>0</v>
      </c>
      <c r="AC65">
        <v>0</v>
      </c>
      <c r="AD65">
        <v>0</v>
      </c>
      <c r="AE65" s="7">
        <f t="shared" si="6"/>
        <v>0</v>
      </c>
      <c r="AF65">
        <v>0</v>
      </c>
      <c r="AG65">
        <v>0</v>
      </c>
      <c r="AH65">
        <v>0</v>
      </c>
      <c r="AI65" s="13">
        <f t="shared" si="7"/>
        <v>0</v>
      </c>
      <c r="AJ65" s="11" t="s">
        <v>51</v>
      </c>
      <c r="AK65" s="11" t="s">
        <v>51</v>
      </c>
      <c r="AL65" s="11" t="s">
        <v>51</v>
      </c>
      <c r="AM65" s="13">
        <f t="shared" si="8"/>
        <v>0</v>
      </c>
      <c r="AN65" s="18">
        <v>4.5</v>
      </c>
      <c r="AO65" s="18">
        <v>0</v>
      </c>
      <c r="AP65" s="18">
        <v>0</v>
      </c>
      <c r="AQ65" s="18">
        <v>0</v>
      </c>
      <c r="AR65" s="18">
        <f t="shared" si="9"/>
        <v>4.5</v>
      </c>
      <c r="AS65" t="s">
        <v>87</v>
      </c>
      <c r="AT65" s="9">
        <v>97.911111111111097</v>
      </c>
      <c r="AU65" s="30">
        <f>+((AN65*M65)/AR65)</f>
        <v>97.911111111111097</v>
      </c>
    </row>
    <row r="66" spans="1:47" x14ac:dyDescent="0.25">
      <c r="A66" t="s">
        <v>46</v>
      </c>
      <c r="B66" t="s">
        <v>293</v>
      </c>
      <c r="C66" t="s">
        <v>294</v>
      </c>
      <c r="D66" t="s">
        <v>295</v>
      </c>
      <c r="E66" s="11">
        <v>0</v>
      </c>
      <c r="F66" s="11">
        <v>0</v>
      </c>
      <c r="G66" s="11">
        <v>0</v>
      </c>
      <c r="H66" s="11">
        <v>0</v>
      </c>
      <c r="I66" s="13">
        <f t="shared" si="1"/>
        <v>0</v>
      </c>
      <c r="J66" s="11">
        <v>0</v>
      </c>
      <c r="K66" s="11">
        <v>0</v>
      </c>
      <c r="L66" s="11">
        <v>2.5</v>
      </c>
      <c r="M66" s="13">
        <f t="shared" si="2"/>
        <v>2.5</v>
      </c>
      <c r="N66" s="11">
        <v>0</v>
      </c>
      <c r="O66" s="11">
        <v>0</v>
      </c>
      <c r="P66" s="11">
        <v>0</v>
      </c>
      <c r="Q66" s="11">
        <v>0</v>
      </c>
      <c r="R66" s="13">
        <f t="shared" si="3"/>
        <v>0</v>
      </c>
      <c r="S66">
        <v>0</v>
      </c>
      <c r="T66">
        <v>0</v>
      </c>
      <c r="U66" s="7">
        <f t="shared" si="4"/>
        <v>0</v>
      </c>
      <c r="V66">
        <v>0</v>
      </c>
      <c r="W66">
        <v>0</v>
      </c>
      <c r="X66">
        <v>0</v>
      </c>
      <c r="Y66">
        <v>0</v>
      </c>
      <c r="Z66" s="13">
        <f t="shared" si="5"/>
        <v>0</v>
      </c>
      <c r="AA66">
        <v>0</v>
      </c>
      <c r="AB66">
        <v>0</v>
      </c>
      <c r="AC66">
        <v>0</v>
      </c>
      <c r="AD66">
        <v>0</v>
      </c>
      <c r="AE66" s="7">
        <f t="shared" si="6"/>
        <v>0</v>
      </c>
      <c r="AF66">
        <v>0</v>
      </c>
      <c r="AG66">
        <v>0</v>
      </c>
      <c r="AH66">
        <v>0</v>
      </c>
      <c r="AI66" s="13">
        <f t="shared" si="7"/>
        <v>0</v>
      </c>
      <c r="AJ66" s="11" t="s">
        <v>51</v>
      </c>
      <c r="AK66" s="11" t="s">
        <v>51</v>
      </c>
      <c r="AL66" s="11" t="s">
        <v>51</v>
      </c>
      <c r="AM66" s="13">
        <f t="shared" si="8"/>
        <v>0</v>
      </c>
      <c r="AN66" s="18">
        <v>2</v>
      </c>
      <c r="AO66" s="18">
        <v>0</v>
      </c>
      <c r="AP66" s="18">
        <v>0</v>
      </c>
      <c r="AQ66" s="18">
        <v>0</v>
      </c>
      <c r="AR66" s="18">
        <f t="shared" si="9"/>
        <v>2</v>
      </c>
      <c r="AS66" t="s">
        <v>87</v>
      </c>
      <c r="AT66" s="9">
        <v>2.5</v>
      </c>
      <c r="AU66" s="30">
        <f>+((AN66*M66)/AR66)</f>
        <v>2.5</v>
      </c>
    </row>
    <row r="67" spans="1:47" x14ac:dyDescent="0.25">
      <c r="A67" t="s">
        <v>46</v>
      </c>
      <c r="B67" t="s">
        <v>296</v>
      </c>
      <c r="C67" t="s">
        <v>297</v>
      </c>
      <c r="D67" t="s">
        <v>298</v>
      </c>
      <c r="E67" s="11">
        <v>20</v>
      </c>
      <c r="F67" s="11">
        <v>12.33</v>
      </c>
      <c r="G67" s="11">
        <v>39.46</v>
      </c>
      <c r="H67" s="11">
        <v>2.5</v>
      </c>
      <c r="I67" s="13">
        <f t="shared" si="1"/>
        <v>74.289999999999992</v>
      </c>
      <c r="J67" s="11">
        <v>0</v>
      </c>
      <c r="K67" s="11">
        <v>0</v>
      </c>
      <c r="L67" s="11">
        <v>0</v>
      </c>
      <c r="M67" s="13">
        <f t="shared" si="2"/>
        <v>0</v>
      </c>
      <c r="N67" s="11">
        <v>0</v>
      </c>
      <c r="O67" s="11">
        <v>0</v>
      </c>
      <c r="P67" s="11">
        <v>0</v>
      </c>
      <c r="Q67" s="11">
        <v>0</v>
      </c>
      <c r="R67" s="13">
        <f t="shared" si="3"/>
        <v>0</v>
      </c>
      <c r="S67">
        <v>0</v>
      </c>
      <c r="T67">
        <v>0</v>
      </c>
      <c r="U67" s="7">
        <f t="shared" si="4"/>
        <v>0</v>
      </c>
      <c r="V67">
        <v>0</v>
      </c>
      <c r="W67">
        <v>0</v>
      </c>
      <c r="X67">
        <v>0</v>
      </c>
      <c r="Y67">
        <v>0</v>
      </c>
      <c r="Z67" s="13">
        <f t="shared" si="5"/>
        <v>0</v>
      </c>
      <c r="AA67">
        <v>3.75</v>
      </c>
      <c r="AB67">
        <v>12.5</v>
      </c>
      <c r="AC67">
        <v>4.88</v>
      </c>
      <c r="AD67">
        <v>10</v>
      </c>
      <c r="AE67" s="7">
        <f t="shared" si="6"/>
        <v>31.13</v>
      </c>
      <c r="AF67">
        <v>0</v>
      </c>
      <c r="AG67">
        <v>0</v>
      </c>
      <c r="AH67">
        <v>0</v>
      </c>
      <c r="AI67" s="13">
        <f t="shared" si="7"/>
        <v>0</v>
      </c>
      <c r="AJ67" s="11" t="s">
        <v>51</v>
      </c>
      <c r="AK67" s="11" t="s">
        <v>51</v>
      </c>
      <c r="AL67" s="11" t="s">
        <v>51</v>
      </c>
      <c r="AM67" s="13">
        <f t="shared" si="8"/>
        <v>0</v>
      </c>
      <c r="AN67" s="18">
        <v>25</v>
      </c>
      <c r="AO67" s="18">
        <v>15</v>
      </c>
      <c r="AP67" s="18">
        <v>0</v>
      </c>
      <c r="AQ67" s="18">
        <v>0</v>
      </c>
      <c r="AR67" s="18">
        <f t="shared" si="9"/>
        <v>40</v>
      </c>
      <c r="AS67" t="s">
        <v>52</v>
      </c>
      <c r="AT67" s="9">
        <v>58.104999999999997</v>
      </c>
      <c r="AU67" s="30">
        <f>+((AN67*I67)+(AO67*AE67)+(AQ67*AI67)+(AP67*AM67))/AR67</f>
        <v>58.104999999999997</v>
      </c>
    </row>
    <row r="68" spans="1:47" x14ac:dyDescent="0.25">
      <c r="A68" t="s">
        <v>46</v>
      </c>
      <c r="B68" s="32" t="s">
        <v>301</v>
      </c>
      <c r="C68" s="32" t="s">
        <v>302</v>
      </c>
      <c r="D68" s="32" t="s">
        <v>303</v>
      </c>
      <c r="E68" s="11">
        <v>0</v>
      </c>
      <c r="F68" s="11">
        <v>0</v>
      </c>
      <c r="G68" s="11">
        <v>0</v>
      </c>
      <c r="H68" s="11">
        <v>0</v>
      </c>
      <c r="I68" s="13">
        <f t="shared" si="1"/>
        <v>0</v>
      </c>
      <c r="J68" s="11">
        <v>0</v>
      </c>
      <c r="K68" s="11">
        <v>0</v>
      </c>
      <c r="L68" s="11">
        <v>0</v>
      </c>
      <c r="M68" s="13">
        <f t="shared" si="2"/>
        <v>0</v>
      </c>
      <c r="N68" s="11">
        <v>62.125</v>
      </c>
      <c r="O68" s="11">
        <v>3.125</v>
      </c>
      <c r="P68" s="11">
        <v>0</v>
      </c>
      <c r="Q68" s="11">
        <v>25</v>
      </c>
      <c r="R68" s="13">
        <f t="shared" si="3"/>
        <v>90.25</v>
      </c>
      <c r="S68">
        <v>0</v>
      </c>
      <c r="T68">
        <v>0</v>
      </c>
      <c r="U68" s="7">
        <f t="shared" si="4"/>
        <v>0</v>
      </c>
      <c r="V68">
        <v>0</v>
      </c>
      <c r="W68">
        <v>0</v>
      </c>
      <c r="X68">
        <v>0</v>
      </c>
      <c r="Y68">
        <v>0</v>
      </c>
      <c r="Z68" s="13">
        <f t="shared" si="5"/>
        <v>0</v>
      </c>
      <c r="AA68">
        <v>0</v>
      </c>
      <c r="AB68">
        <v>0</v>
      </c>
      <c r="AC68">
        <v>0</v>
      </c>
      <c r="AD68">
        <v>0</v>
      </c>
      <c r="AE68" s="7">
        <f t="shared" si="6"/>
        <v>0</v>
      </c>
      <c r="AF68">
        <v>33.340000000000003</v>
      </c>
      <c r="AG68">
        <v>20</v>
      </c>
      <c r="AH68">
        <v>26.83</v>
      </c>
      <c r="AI68" s="13">
        <f t="shared" si="7"/>
        <v>80.17</v>
      </c>
      <c r="AJ68" s="11" t="s">
        <v>51</v>
      </c>
      <c r="AK68" s="11" t="s">
        <v>51</v>
      </c>
      <c r="AL68" s="11" t="s">
        <v>51</v>
      </c>
      <c r="AM68" s="13">
        <f t="shared" si="8"/>
        <v>0</v>
      </c>
      <c r="AN68" s="18">
        <v>3</v>
      </c>
      <c r="AO68" s="18">
        <v>0</v>
      </c>
      <c r="AP68" s="18">
        <v>0</v>
      </c>
      <c r="AQ68" s="18">
        <v>17</v>
      </c>
      <c r="AR68" s="18">
        <f t="shared" si="9"/>
        <v>20</v>
      </c>
      <c r="AS68" t="s">
        <v>117</v>
      </c>
      <c r="AT68" s="9">
        <v>81.682000000000002</v>
      </c>
      <c r="AU68" s="11">
        <f>+((AN68*R68)+(AQ68*AI68)+(AP68*AM68))/AR68</f>
        <v>81.682000000000002</v>
      </c>
    </row>
    <row r="69" spans="1:47" x14ac:dyDescent="0.25">
      <c r="A69" t="s">
        <v>46</v>
      </c>
      <c r="B69" t="s">
        <v>305</v>
      </c>
      <c r="C69" t="s">
        <v>306</v>
      </c>
      <c r="D69" t="s">
        <v>307</v>
      </c>
      <c r="E69" s="11">
        <v>19.730000000000004</v>
      </c>
      <c r="F69" s="11">
        <v>20</v>
      </c>
      <c r="G69" s="11">
        <v>46.9</v>
      </c>
      <c r="H69" s="11">
        <v>2.5</v>
      </c>
      <c r="I69" s="13">
        <f t="shared" si="1"/>
        <v>89.13</v>
      </c>
      <c r="J69" s="11">
        <v>0</v>
      </c>
      <c r="K69" s="11">
        <v>0</v>
      </c>
      <c r="L69" s="11">
        <v>0</v>
      </c>
      <c r="M69" s="13">
        <f t="shared" si="2"/>
        <v>0</v>
      </c>
      <c r="N69" s="11">
        <v>0</v>
      </c>
      <c r="O69" s="11">
        <v>0</v>
      </c>
      <c r="P69" s="11">
        <v>0</v>
      </c>
      <c r="Q69" s="11">
        <v>0</v>
      </c>
      <c r="R69" s="13">
        <f t="shared" si="3"/>
        <v>0</v>
      </c>
      <c r="S69">
        <v>0</v>
      </c>
      <c r="T69">
        <v>0</v>
      </c>
      <c r="U69" s="7">
        <f t="shared" si="4"/>
        <v>0</v>
      </c>
      <c r="V69">
        <v>0</v>
      </c>
      <c r="W69">
        <v>0</v>
      </c>
      <c r="X69">
        <v>0</v>
      </c>
      <c r="Y69">
        <v>0</v>
      </c>
      <c r="Z69" s="13">
        <f t="shared" si="5"/>
        <v>0</v>
      </c>
      <c r="AA69">
        <v>0</v>
      </c>
      <c r="AB69">
        <v>0</v>
      </c>
      <c r="AC69">
        <v>0</v>
      </c>
      <c r="AD69">
        <v>0</v>
      </c>
      <c r="AE69" s="7">
        <f t="shared" si="6"/>
        <v>0</v>
      </c>
      <c r="AF69">
        <v>50</v>
      </c>
      <c r="AG69">
        <v>17.329999999999998</v>
      </c>
      <c r="AH69">
        <v>29</v>
      </c>
      <c r="AI69" s="13">
        <f t="shared" si="7"/>
        <v>96.33</v>
      </c>
      <c r="AJ69" s="11" t="s">
        <v>51</v>
      </c>
      <c r="AK69" s="11" t="s">
        <v>51</v>
      </c>
      <c r="AL69" s="11" t="s">
        <v>51</v>
      </c>
      <c r="AM69" s="13">
        <f t="shared" si="8"/>
        <v>0</v>
      </c>
      <c r="AN69" s="18">
        <v>32</v>
      </c>
      <c r="AO69" s="18">
        <v>0</v>
      </c>
      <c r="AP69" s="18">
        <v>0</v>
      </c>
      <c r="AQ69" s="18">
        <v>8</v>
      </c>
      <c r="AR69" s="18">
        <f t="shared" si="9"/>
        <v>40</v>
      </c>
      <c r="AS69" t="s">
        <v>52</v>
      </c>
      <c r="AT69" s="9">
        <v>90.57</v>
      </c>
      <c r="AU69" s="30">
        <f>+((AN69*I69)+(AO69*AE69)+(AQ69*AI69)+(AP69*AM69))/AR69</f>
        <v>90.57</v>
      </c>
    </row>
    <row r="70" spans="1:47" x14ac:dyDescent="0.25">
      <c r="A70" t="s">
        <v>46</v>
      </c>
      <c r="B70" t="s">
        <v>309</v>
      </c>
      <c r="C70" t="s">
        <v>310</v>
      </c>
      <c r="D70" t="s">
        <v>311</v>
      </c>
      <c r="E70" s="11">
        <v>20</v>
      </c>
      <c r="F70" s="11">
        <v>20</v>
      </c>
      <c r="G70" s="11">
        <v>49.43</v>
      </c>
      <c r="H70" s="11">
        <v>6</v>
      </c>
      <c r="I70" s="13">
        <f t="shared" ref="I70:I133" si="11">+SUM(E70:H70)</f>
        <v>95.43</v>
      </c>
      <c r="J70" s="11">
        <v>0</v>
      </c>
      <c r="K70" s="11">
        <v>0</v>
      </c>
      <c r="L70" s="11">
        <v>0</v>
      </c>
      <c r="M70" s="13">
        <f t="shared" ref="M70:M133" si="12">+SUM(J70:L70)</f>
        <v>0</v>
      </c>
      <c r="N70" s="11">
        <v>0</v>
      </c>
      <c r="O70" s="11">
        <v>0</v>
      </c>
      <c r="P70" s="11">
        <v>0</v>
      </c>
      <c r="Q70" s="11">
        <v>0</v>
      </c>
      <c r="R70" s="13">
        <f t="shared" ref="R70:R133" si="13">+SUM(N70:Q70)</f>
        <v>0</v>
      </c>
      <c r="S70">
        <v>0</v>
      </c>
      <c r="T70">
        <v>0</v>
      </c>
      <c r="U70" s="7">
        <f t="shared" ref="U70:U133" si="14">+SUM(S70:T70)</f>
        <v>0</v>
      </c>
      <c r="V70">
        <v>0</v>
      </c>
      <c r="W70">
        <v>0</v>
      </c>
      <c r="X70">
        <v>0</v>
      </c>
      <c r="Y70">
        <v>0</v>
      </c>
      <c r="Z70" s="13">
        <f t="shared" ref="Z70:Z133" si="15">+SUM(V70:Y70)</f>
        <v>0</v>
      </c>
      <c r="AA70">
        <v>0</v>
      </c>
      <c r="AB70">
        <v>0</v>
      </c>
      <c r="AC70">
        <v>0</v>
      </c>
      <c r="AD70">
        <v>0</v>
      </c>
      <c r="AE70" s="7">
        <f t="shared" ref="AE70:AE133" si="16">+SUM(AA70:AD70)</f>
        <v>0</v>
      </c>
      <c r="AF70">
        <v>0</v>
      </c>
      <c r="AG70">
        <v>0</v>
      </c>
      <c r="AH70">
        <v>0</v>
      </c>
      <c r="AI70" s="13">
        <f t="shared" ref="AI70:AI133" si="17">+SUM(AF70:AH70)</f>
        <v>0</v>
      </c>
      <c r="AJ70" s="11" t="s">
        <v>51</v>
      </c>
      <c r="AK70" s="11" t="s">
        <v>51</v>
      </c>
      <c r="AL70" s="11" t="s">
        <v>51</v>
      </c>
      <c r="AM70" s="13">
        <f t="shared" ref="AM70:AM133" si="18">+SUM(AJ70:AL70)</f>
        <v>0</v>
      </c>
      <c r="AN70" s="18">
        <v>3</v>
      </c>
      <c r="AO70" s="18">
        <v>0</v>
      </c>
      <c r="AP70" s="18">
        <v>0</v>
      </c>
      <c r="AQ70" s="18">
        <v>0</v>
      </c>
      <c r="AR70" s="18">
        <f t="shared" ref="AR70:AR133" si="19">+SUM(AN70:AQ70)</f>
        <v>3</v>
      </c>
      <c r="AS70" t="s">
        <v>52</v>
      </c>
      <c r="AT70" s="9">
        <v>95.43</v>
      </c>
      <c r="AU70" s="30">
        <f>+((AN70*I70)+(AO70*AE70)+(AQ70*AI70)+(AP70*AM70))/AR70</f>
        <v>95.43</v>
      </c>
    </row>
    <row r="71" spans="1:47" x14ac:dyDescent="0.25">
      <c r="A71" t="s">
        <v>46</v>
      </c>
      <c r="B71" t="s">
        <v>313</v>
      </c>
      <c r="C71" t="s">
        <v>310</v>
      </c>
      <c r="D71" t="s">
        <v>314</v>
      </c>
      <c r="E71" s="11">
        <v>25</v>
      </c>
      <c r="F71" s="11">
        <v>0</v>
      </c>
      <c r="G71" s="11">
        <v>56.4</v>
      </c>
      <c r="H71" s="11">
        <v>4.375</v>
      </c>
      <c r="I71" s="13">
        <f t="shared" si="11"/>
        <v>85.775000000000006</v>
      </c>
      <c r="J71" s="11">
        <v>0</v>
      </c>
      <c r="K71" s="11">
        <v>0</v>
      </c>
      <c r="L71" s="11">
        <v>0</v>
      </c>
      <c r="M71" s="13">
        <f t="shared" si="12"/>
        <v>0</v>
      </c>
      <c r="N71" s="11">
        <v>0</v>
      </c>
      <c r="O71" s="11">
        <v>0</v>
      </c>
      <c r="P71" s="11">
        <v>0</v>
      </c>
      <c r="Q71" s="11">
        <v>0</v>
      </c>
      <c r="R71" s="13">
        <f t="shared" si="13"/>
        <v>0</v>
      </c>
      <c r="S71">
        <v>0</v>
      </c>
      <c r="T71">
        <v>0</v>
      </c>
      <c r="U71" s="7">
        <f t="shared" si="14"/>
        <v>0</v>
      </c>
      <c r="V71">
        <v>0</v>
      </c>
      <c r="W71">
        <v>0</v>
      </c>
      <c r="X71">
        <v>0</v>
      </c>
      <c r="Y71">
        <v>0</v>
      </c>
      <c r="Z71" s="13">
        <f t="shared" si="15"/>
        <v>0</v>
      </c>
      <c r="AA71">
        <v>0</v>
      </c>
      <c r="AB71">
        <v>0</v>
      </c>
      <c r="AC71">
        <v>0</v>
      </c>
      <c r="AD71">
        <v>0</v>
      </c>
      <c r="AE71" s="7">
        <f t="shared" si="16"/>
        <v>0</v>
      </c>
      <c r="AF71">
        <v>0</v>
      </c>
      <c r="AG71">
        <v>0</v>
      </c>
      <c r="AH71">
        <v>0</v>
      </c>
      <c r="AI71" s="13">
        <f t="shared" si="17"/>
        <v>0</v>
      </c>
      <c r="AJ71" s="11" t="s">
        <v>51</v>
      </c>
      <c r="AK71" s="11" t="s">
        <v>51</v>
      </c>
      <c r="AL71" s="11" t="s">
        <v>51</v>
      </c>
      <c r="AM71" s="13">
        <f t="shared" si="18"/>
        <v>0</v>
      </c>
      <c r="AN71" s="18">
        <v>3</v>
      </c>
      <c r="AO71" s="18">
        <v>0</v>
      </c>
      <c r="AP71" s="18">
        <v>0</v>
      </c>
      <c r="AQ71" s="18">
        <v>0</v>
      </c>
      <c r="AR71" s="18">
        <f t="shared" si="19"/>
        <v>3</v>
      </c>
      <c r="AS71" t="s">
        <v>52</v>
      </c>
      <c r="AT71" s="9">
        <v>85.77500000000002</v>
      </c>
      <c r="AU71" s="30">
        <f>+((AN71*I71)+(AO71*AE71)+(AQ71*AI71)+(AP71*AM71))/AR71</f>
        <v>85.77500000000002</v>
      </c>
    </row>
    <row r="72" spans="1:47" x14ac:dyDescent="0.25">
      <c r="A72" t="s">
        <v>46</v>
      </c>
      <c r="B72" s="32" t="s">
        <v>320</v>
      </c>
      <c r="C72" s="32" t="s">
        <v>321</v>
      </c>
      <c r="D72" s="32" t="s">
        <v>322</v>
      </c>
      <c r="E72" s="11">
        <v>0</v>
      </c>
      <c r="F72" s="11">
        <v>0</v>
      </c>
      <c r="G72" s="11">
        <v>0</v>
      </c>
      <c r="H72" s="11">
        <v>0</v>
      </c>
      <c r="I72" s="13">
        <f t="shared" si="11"/>
        <v>0</v>
      </c>
      <c r="J72" s="11">
        <v>0</v>
      </c>
      <c r="K72" s="11">
        <v>0</v>
      </c>
      <c r="L72" s="11">
        <v>0</v>
      </c>
      <c r="M72" s="13">
        <f t="shared" si="12"/>
        <v>0</v>
      </c>
      <c r="N72" s="11">
        <v>47.31</v>
      </c>
      <c r="O72" s="11">
        <v>4.5</v>
      </c>
      <c r="P72" s="11">
        <v>20</v>
      </c>
      <c r="Q72" s="11">
        <v>19</v>
      </c>
      <c r="R72" s="13">
        <f t="shared" si="13"/>
        <v>90.81</v>
      </c>
      <c r="S72">
        <v>0</v>
      </c>
      <c r="T72">
        <v>0</v>
      </c>
      <c r="U72" s="7">
        <f t="shared" si="14"/>
        <v>0</v>
      </c>
      <c r="V72">
        <v>0</v>
      </c>
      <c r="W72">
        <v>0</v>
      </c>
      <c r="X72">
        <v>0</v>
      </c>
      <c r="Y72">
        <v>0</v>
      </c>
      <c r="Z72" s="13">
        <f t="shared" si="15"/>
        <v>0</v>
      </c>
      <c r="AA72">
        <v>0</v>
      </c>
      <c r="AB72">
        <v>0</v>
      </c>
      <c r="AC72">
        <v>0</v>
      </c>
      <c r="AD72">
        <v>0</v>
      </c>
      <c r="AE72" s="7">
        <f t="shared" si="16"/>
        <v>0</v>
      </c>
      <c r="AF72">
        <v>0</v>
      </c>
      <c r="AG72">
        <v>0</v>
      </c>
      <c r="AH72">
        <v>0</v>
      </c>
      <c r="AI72" s="13">
        <f t="shared" si="17"/>
        <v>0</v>
      </c>
      <c r="AJ72" s="11" t="s">
        <v>51</v>
      </c>
      <c r="AK72" s="11" t="s">
        <v>51</v>
      </c>
      <c r="AL72" s="11" t="s">
        <v>51</v>
      </c>
      <c r="AM72" s="13">
        <f t="shared" si="18"/>
        <v>0</v>
      </c>
      <c r="AN72" s="18">
        <v>10</v>
      </c>
      <c r="AO72" s="18">
        <v>0</v>
      </c>
      <c r="AP72" s="18">
        <v>0</v>
      </c>
      <c r="AQ72" s="18">
        <v>0</v>
      </c>
      <c r="AR72" s="18">
        <f t="shared" si="19"/>
        <v>10</v>
      </c>
      <c r="AS72" t="s">
        <v>117</v>
      </c>
      <c r="AT72" s="9">
        <v>90.81</v>
      </c>
      <c r="AU72" s="11">
        <f>+((AN72*R72)+(AQ72*AI72)+(AP72*AM72))/AR72</f>
        <v>90.81</v>
      </c>
    </row>
    <row r="73" spans="1:47" x14ac:dyDescent="0.25">
      <c r="A73" t="s">
        <v>46</v>
      </c>
      <c r="B73" t="s">
        <v>324</v>
      </c>
      <c r="C73" t="s">
        <v>325</v>
      </c>
      <c r="D73" t="s">
        <v>326</v>
      </c>
      <c r="E73" s="11">
        <v>20</v>
      </c>
      <c r="F73" s="11">
        <v>19.329999999999998</v>
      </c>
      <c r="G73" s="11">
        <v>37.72</v>
      </c>
      <c r="H73" s="11">
        <v>3.5</v>
      </c>
      <c r="I73" s="13">
        <f t="shared" si="11"/>
        <v>80.55</v>
      </c>
      <c r="J73" s="11">
        <v>0</v>
      </c>
      <c r="K73" s="11">
        <v>0</v>
      </c>
      <c r="L73" s="11">
        <v>0</v>
      </c>
      <c r="M73" s="13">
        <f t="shared" si="12"/>
        <v>0</v>
      </c>
      <c r="N73" s="11">
        <v>0</v>
      </c>
      <c r="O73" s="11">
        <v>0</v>
      </c>
      <c r="P73" s="11">
        <v>0</v>
      </c>
      <c r="Q73" s="11">
        <v>0</v>
      </c>
      <c r="R73" s="13">
        <f t="shared" si="13"/>
        <v>0</v>
      </c>
      <c r="S73">
        <v>0</v>
      </c>
      <c r="T73">
        <v>0</v>
      </c>
      <c r="U73" s="7">
        <f t="shared" si="14"/>
        <v>0</v>
      </c>
      <c r="V73">
        <v>0</v>
      </c>
      <c r="W73">
        <v>0</v>
      </c>
      <c r="X73">
        <v>0</v>
      </c>
      <c r="Y73">
        <v>0</v>
      </c>
      <c r="Z73" s="13">
        <f t="shared" si="15"/>
        <v>0</v>
      </c>
      <c r="AA73">
        <v>0</v>
      </c>
      <c r="AB73">
        <v>0</v>
      </c>
      <c r="AC73">
        <v>0</v>
      </c>
      <c r="AD73">
        <v>0</v>
      </c>
      <c r="AE73" s="7">
        <f t="shared" si="16"/>
        <v>0</v>
      </c>
      <c r="AF73">
        <v>0</v>
      </c>
      <c r="AG73">
        <v>0</v>
      </c>
      <c r="AH73">
        <v>0</v>
      </c>
      <c r="AI73" s="13">
        <f t="shared" si="17"/>
        <v>0</v>
      </c>
      <c r="AJ73" s="11" t="s">
        <v>51</v>
      </c>
      <c r="AK73" s="11" t="s">
        <v>51</v>
      </c>
      <c r="AL73" s="11" t="s">
        <v>51</v>
      </c>
      <c r="AM73" s="13">
        <f t="shared" si="18"/>
        <v>0</v>
      </c>
      <c r="AN73" s="18">
        <v>3</v>
      </c>
      <c r="AO73" s="18">
        <v>0</v>
      </c>
      <c r="AP73" s="18">
        <v>0</v>
      </c>
      <c r="AQ73" s="18">
        <v>0</v>
      </c>
      <c r="AR73" s="18">
        <f t="shared" si="19"/>
        <v>3</v>
      </c>
      <c r="AS73" t="s">
        <v>52</v>
      </c>
      <c r="AT73" s="9">
        <v>80.55</v>
      </c>
      <c r="AU73" s="30">
        <f t="shared" ref="AU73:AU78" si="20">+((AN73*I73)+(AO73*AE73)+(AQ73*AI73)+(AP73*AM73))/AR73</f>
        <v>80.55</v>
      </c>
    </row>
    <row r="74" spans="1:47" x14ac:dyDescent="0.25">
      <c r="A74" t="s">
        <v>46</v>
      </c>
      <c r="B74" t="s">
        <v>328</v>
      </c>
      <c r="C74" t="s">
        <v>329</v>
      </c>
      <c r="D74" t="s">
        <v>330</v>
      </c>
      <c r="E74" s="11">
        <v>0</v>
      </c>
      <c r="F74" s="11">
        <v>25</v>
      </c>
      <c r="G74" s="11">
        <v>55.287500000000001</v>
      </c>
      <c r="H74" s="11">
        <v>3.125</v>
      </c>
      <c r="I74" s="13">
        <f t="shared" si="11"/>
        <v>83.412499999999994</v>
      </c>
      <c r="J74" s="11">
        <v>0</v>
      </c>
      <c r="K74" s="11">
        <v>0</v>
      </c>
      <c r="L74" s="11">
        <v>0</v>
      </c>
      <c r="M74" s="13">
        <f t="shared" si="12"/>
        <v>0</v>
      </c>
      <c r="N74" s="11">
        <v>0</v>
      </c>
      <c r="O74" s="11">
        <v>0</v>
      </c>
      <c r="P74" s="11">
        <v>0</v>
      </c>
      <c r="Q74" s="11">
        <v>0</v>
      </c>
      <c r="R74" s="13">
        <f t="shared" si="13"/>
        <v>0</v>
      </c>
      <c r="S74">
        <v>0</v>
      </c>
      <c r="T74">
        <v>0</v>
      </c>
      <c r="U74" s="7">
        <f t="shared" si="14"/>
        <v>0</v>
      </c>
      <c r="V74">
        <v>0</v>
      </c>
      <c r="W74">
        <v>0</v>
      </c>
      <c r="X74">
        <v>0</v>
      </c>
      <c r="Y74">
        <v>0</v>
      </c>
      <c r="Z74" s="13">
        <f t="shared" si="15"/>
        <v>0</v>
      </c>
      <c r="AA74">
        <v>0</v>
      </c>
      <c r="AB74">
        <v>0</v>
      </c>
      <c r="AC74">
        <v>0</v>
      </c>
      <c r="AD74">
        <v>0</v>
      </c>
      <c r="AE74" s="7">
        <f t="shared" si="16"/>
        <v>0</v>
      </c>
      <c r="AF74">
        <v>0</v>
      </c>
      <c r="AG74">
        <v>0</v>
      </c>
      <c r="AH74">
        <v>0</v>
      </c>
      <c r="AI74" s="13">
        <f t="shared" si="17"/>
        <v>0</v>
      </c>
      <c r="AJ74" s="11" t="s">
        <v>51</v>
      </c>
      <c r="AK74" s="11" t="s">
        <v>51</v>
      </c>
      <c r="AL74" s="11" t="s">
        <v>51</v>
      </c>
      <c r="AM74" s="13">
        <f t="shared" si="18"/>
        <v>0</v>
      </c>
      <c r="AN74" s="18">
        <v>3</v>
      </c>
      <c r="AO74" s="18">
        <v>0</v>
      </c>
      <c r="AP74" s="18">
        <v>0</v>
      </c>
      <c r="AQ74" s="18">
        <v>0</v>
      </c>
      <c r="AR74" s="18">
        <f t="shared" si="19"/>
        <v>3</v>
      </c>
      <c r="AS74" t="s">
        <v>52</v>
      </c>
      <c r="AT74" s="9">
        <v>83.412499999999994</v>
      </c>
      <c r="AU74" s="30">
        <f t="shared" si="20"/>
        <v>83.412499999999994</v>
      </c>
    </row>
    <row r="75" spans="1:47" x14ac:dyDescent="0.25">
      <c r="A75" t="s">
        <v>46</v>
      </c>
      <c r="B75" t="s">
        <v>332</v>
      </c>
      <c r="C75" t="s">
        <v>333</v>
      </c>
      <c r="D75" t="s">
        <v>334</v>
      </c>
      <c r="E75">
        <v>19.329999999999998</v>
      </c>
      <c r="F75">
        <v>20</v>
      </c>
      <c r="G75">
        <v>50</v>
      </c>
      <c r="H75" s="11">
        <v>0</v>
      </c>
      <c r="I75" s="13">
        <f t="shared" si="11"/>
        <v>89.33</v>
      </c>
      <c r="J75" s="11">
        <v>0</v>
      </c>
      <c r="K75" s="11">
        <v>0</v>
      </c>
      <c r="L75" s="11">
        <v>0</v>
      </c>
      <c r="M75" s="13">
        <f t="shared" si="12"/>
        <v>0</v>
      </c>
      <c r="N75" s="11">
        <v>0</v>
      </c>
      <c r="O75" s="11">
        <v>0</v>
      </c>
      <c r="P75" s="11">
        <v>0</v>
      </c>
      <c r="Q75" s="11">
        <v>0</v>
      </c>
      <c r="R75" s="13">
        <f t="shared" si="13"/>
        <v>0</v>
      </c>
      <c r="S75">
        <v>0</v>
      </c>
      <c r="T75">
        <v>0</v>
      </c>
      <c r="U75" s="7">
        <f t="shared" si="14"/>
        <v>0</v>
      </c>
      <c r="V75">
        <v>0</v>
      </c>
      <c r="W75">
        <v>0</v>
      </c>
      <c r="X75">
        <v>0</v>
      </c>
      <c r="Y75">
        <v>0</v>
      </c>
      <c r="Z75" s="13">
        <f t="shared" si="15"/>
        <v>0</v>
      </c>
      <c r="AA75">
        <v>0</v>
      </c>
      <c r="AB75">
        <v>0</v>
      </c>
      <c r="AC75">
        <v>0</v>
      </c>
      <c r="AD75">
        <v>0</v>
      </c>
      <c r="AE75" s="7">
        <f t="shared" si="16"/>
        <v>0</v>
      </c>
      <c r="AF75">
        <v>0</v>
      </c>
      <c r="AG75">
        <v>0</v>
      </c>
      <c r="AH75">
        <v>0</v>
      </c>
      <c r="AI75" s="13">
        <f t="shared" si="17"/>
        <v>0</v>
      </c>
      <c r="AJ75" s="11" t="s">
        <v>51</v>
      </c>
      <c r="AK75" s="11" t="s">
        <v>51</v>
      </c>
      <c r="AL75" s="11" t="s">
        <v>51</v>
      </c>
      <c r="AM75" s="13">
        <f t="shared" si="18"/>
        <v>0</v>
      </c>
      <c r="AN75" s="18">
        <v>3</v>
      </c>
      <c r="AO75" s="18">
        <v>0</v>
      </c>
      <c r="AP75" s="18">
        <v>0</v>
      </c>
      <c r="AQ75" s="18">
        <v>0</v>
      </c>
      <c r="AR75" s="18">
        <v>3</v>
      </c>
      <c r="AS75" t="s">
        <v>52</v>
      </c>
      <c r="AT75" s="9">
        <v>89.33</v>
      </c>
      <c r="AU75" s="30">
        <f t="shared" si="20"/>
        <v>89.33</v>
      </c>
    </row>
    <row r="76" spans="1:47" x14ac:dyDescent="0.25">
      <c r="A76" t="s">
        <v>46</v>
      </c>
      <c r="B76" t="s">
        <v>335</v>
      </c>
      <c r="C76" t="s">
        <v>336</v>
      </c>
      <c r="D76" t="s">
        <v>337</v>
      </c>
      <c r="E76" s="11">
        <v>20</v>
      </c>
      <c r="F76" s="11">
        <v>20</v>
      </c>
      <c r="G76" s="11">
        <v>46.06</v>
      </c>
      <c r="H76" s="11">
        <v>3</v>
      </c>
      <c r="I76" s="13">
        <f t="shared" si="11"/>
        <v>89.06</v>
      </c>
      <c r="J76" s="11">
        <v>0</v>
      </c>
      <c r="K76" s="11">
        <v>0</v>
      </c>
      <c r="L76" s="11">
        <v>0</v>
      </c>
      <c r="M76" s="13">
        <f t="shared" si="12"/>
        <v>0</v>
      </c>
      <c r="N76" s="11">
        <v>0</v>
      </c>
      <c r="O76" s="11">
        <v>0</v>
      </c>
      <c r="P76" s="11">
        <v>0</v>
      </c>
      <c r="Q76" s="11">
        <v>0</v>
      </c>
      <c r="R76" s="13">
        <f t="shared" si="13"/>
        <v>0</v>
      </c>
      <c r="S76">
        <v>0</v>
      </c>
      <c r="T76">
        <v>0</v>
      </c>
      <c r="U76" s="7">
        <f t="shared" si="14"/>
        <v>0</v>
      </c>
      <c r="V76">
        <v>0</v>
      </c>
      <c r="W76">
        <v>0</v>
      </c>
      <c r="X76">
        <v>0</v>
      </c>
      <c r="Y76">
        <v>0</v>
      </c>
      <c r="Z76" s="13">
        <f t="shared" si="15"/>
        <v>0</v>
      </c>
      <c r="AA76" s="11">
        <v>0</v>
      </c>
      <c r="AB76" s="11">
        <v>14.705882352941178</v>
      </c>
      <c r="AC76" s="11">
        <v>14.564705882352941</v>
      </c>
      <c r="AD76" s="11">
        <v>22.058823529411761</v>
      </c>
      <c r="AE76" s="7">
        <f t="shared" si="16"/>
        <v>51.329411764705881</v>
      </c>
      <c r="AF76">
        <v>0</v>
      </c>
      <c r="AG76">
        <v>0</v>
      </c>
      <c r="AH76">
        <v>0</v>
      </c>
      <c r="AI76" s="13">
        <f t="shared" si="17"/>
        <v>0</v>
      </c>
      <c r="AJ76" s="11" t="s">
        <v>51</v>
      </c>
      <c r="AK76" s="11" t="s">
        <v>51</v>
      </c>
      <c r="AL76" s="11" t="s">
        <v>51</v>
      </c>
      <c r="AM76" s="13">
        <f t="shared" si="18"/>
        <v>0</v>
      </c>
      <c r="AN76" s="18">
        <v>35</v>
      </c>
      <c r="AO76" s="18">
        <v>5</v>
      </c>
      <c r="AP76" s="18">
        <v>0</v>
      </c>
      <c r="AQ76" s="18">
        <v>0</v>
      </c>
      <c r="AR76" s="18">
        <f t="shared" si="19"/>
        <v>40</v>
      </c>
      <c r="AS76" t="s">
        <v>52</v>
      </c>
      <c r="AT76" s="9">
        <v>84.343676470588235</v>
      </c>
      <c r="AU76" s="30">
        <f>+((AN76*I76)+(AO76*AE76)+(AQ76*AI76)+(AP76*AM76))/AR76</f>
        <v>84.343676470588235</v>
      </c>
    </row>
    <row r="77" spans="1:47" x14ac:dyDescent="0.25">
      <c r="A77" t="s">
        <v>46</v>
      </c>
      <c r="B77" t="s">
        <v>339</v>
      </c>
      <c r="C77" t="s">
        <v>340</v>
      </c>
      <c r="D77" t="s">
        <v>341</v>
      </c>
      <c r="E77" s="11">
        <v>19.670000000000002</v>
      </c>
      <c r="F77" s="11">
        <v>19.329999999999998</v>
      </c>
      <c r="G77" s="11">
        <v>44.53</v>
      </c>
      <c r="H77" s="11">
        <v>4.5</v>
      </c>
      <c r="I77" s="13">
        <f t="shared" si="11"/>
        <v>88.03</v>
      </c>
      <c r="J77" s="11">
        <v>54.27</v>
      </c>
      <c r="K77" s="11">
        <v>30</v>
      </c>
      <c r="L77" s="11">
        <v>4.5</v>
      </c>
      <c r="M77" s="13">
        <f t="shared" si="12"/>
        <v>88.77000000000001</v>
      </c>
      <c r="N77" s="11">
        <v>0</v>
      </c>
      <c r="O77" s="11">
        <v>0</v>
      </c>
      <c r="P77" s="11">
        <v>0</v>
      </c>
      <c r="Q77" s="11">
        <v>0</v>
      </c>
      <c r="R77" s="13">
        <f t="shared" si="13"/>
        <v>0</v>
      </c>
      <c r="S77">
        <v>0</v>
      </c>
      <c r="T77">
        <v>0</v>
      </c>
      <c r="U77" s="7">
        <f t="shared" si="14"/>
        <v>0</v>
      </c>
      <c r="V77">
        <v>0</v>
      </c>
      <c r="W77">
        <v>0</v>
      </c>
      <c r="X77">
        <v>0</v>
      </c>
      <c r="Y77">
        <v>0</v>
      </c>
      <c r="Z77" s="13">
        <f t="shared" si="15"/>
        <v>0</v>
      </c>
      <c r="AA77">
        <v>0</v>
      </c>
      <c r="AB77">
        <v>0</v>
      </c>
      <c r="AC77">
        <v>0</v>
      </c>
      <c r="AD77">
        <v>0</v>
      </c>
      <c r="AE77" s="7">
        <f t="shared" si="16"/>
        <v>0</v>
      </c>
      <c r="AF77">
        <v>46.66</v>
      </c>
      <c r="AG77">
        <v>18</v>
      </c>
      <c r="AH77">
        <v>29</v>
      </c>
      <c r="AI77" s="13">
        <f t="shared" si="17"/>
        <v>93.66</v>
      </c>
      <c r="AJ77" s="11" t="s">
        <v>51</v>
      </c>
      <c r="AK77" s="11" t="s">
        <v>51</v>
      </c>
      <c r="AL77" s="11" t="s">
        <v>51</v>
      </c>
      <c r="AM77" s="13">
        <f t="shared" si="18"/>
        <v>0</v>
      </c>
      <c r="AN77" s="18">
        <v>17.25</v>
      </c>
      <c r="AO77" s="18">
        <v>0</v>
      </c>
      <c r="AP77" s="18">
        <v>0</v>
      </c>
      <c r="AQ77" s="18">
        <v>0</v>
      </c>
      <c r="AR77" s="18">
        <f t="shared" si="19"/>
        <v>17.25</v>
      </c>
      <c r="AS77" t="s">
        <v>52</v>
      </c>
      <c r="AT77" s="9">
        <v>88.03</v>
      </c>
      <c r="AU77" s="30">
        <f t="shared" si="20"/>
        <v>88.03</v>
      </c>
    </row>
    <row r="78" spans="1:47" x14ac:dyDescent="0.25">
      <c r="A78" t="s">
        <v>46</v>
      </c>
      <c r="B78" t="s">
        <v>339</v>
      </c>
      <c r="C78" t="s">
        <v>340</v>
      </c>
      <c r="D78" t="s">
        <v>341</v>
      </c>
      <c r="E78" s="11">
        <v>19.670000000000002</v>
      </c>
      <c r="F78" s="11">
        <v>19.329999999999998</v>
      </c>
      <c r="G78" s="11">
        <v>44.53</v>
      </c>
      <c r="H78" s="11">
        <v>4.5</v>
      </c>
      <c r="I78" s="13">
        <f t="shared" si="11"/>
        <v>88.03</v>
      </c>
      <c r="J78" s="11">
        <v>54.27</v>
      </c>
      <c r="K78" s="11">
        <v>30</v>
      </c>
      <c r="L78" s="11">
        <v>4.5</v>
      </c>
      <c r="M78" s="13">
        <f t="shared" si="12"/>
        <v>88.77000000000001</v>
      </c>
      <c r="N78" s="11">
        <v>0</v>
      </c>
      <c r="O78" s="11">
        <v>0</v>
      </c>
      <c r="P78" s="11">
        <v>0</v>
      </c>
      <c r="Q78" s="11">
        <v>0</v>
      </c>
      <c r="R78" s="13">
        <f t="shared" si="13"/>
        <v>0</v>
      </c>
      <c r="S78">
        <v>0</v>
      </c>
      <c r="T78">
        <v>0</v>
      </c>
      <c r="U78" s="7">
        <f t="shared" si="14"/>
        <v>0</v>
      </c>
      <c r="V78">
        <v>0</v>
      </c>
      <c r="W78">
        <v>0</v>
      </c>
      <c r="X78">
        <v>0</v>
      </c>
      <c r="Y78">
        <v>0</v>
      </c>
      <c r="Z78" s="13">
        <f t="shared" si="15"/>
        <v>0</v>
      </c>
      <c r="AA78">
        <v>0</v>
      </c>
      <c r="AB78">
        <v>0</v>
      </c>
      <c r="AC78">
        <v>0</v>
      </c>
      <c r="AD78">
        <v>0</v>
      </c>
      <c r="AE78" s="7">
        <f t="shared" si="16"/>
        <v>0</v>
      </c>
      <c r="AF78">
        <v>46.66</v>
      </c>
      <c r="AG78">
        <v>18</v>
      </c>
      <c r="AH78">
        <v>29</v>
      </c>
      <c r="AI78" s="13">
        <f t="shared" si="17"/>
        <v>93.66</v>
      </c>
      <c r="AJ78" s="11" t="s">
        <v>51</v>
      </c>
      <c r="AK78" s="11" t="s">
        <v>51</v>
      </c>
      <c r="AL78" s="11" t="s">
        <v>51</v>
      </c>
      <c r="AM78" s="13">
        <f t="shared" si="18"/>
        <v>0</v>
      </c>
      <c r="AN78" s="18">
        <v>5</v>
      </c>
      <c r="AO78" s="18">
        <v>0</v>
      </c>
      <c r="AP78" s="18">
        <v>0</v>
      </c>
      <c r="AQ78" s="18">
        <v>17.75</v>
      </c>
      <c r="AR78" s="18">
        <f t="shared" si="19"/>
        <v>22.75</v>
      </c>
      <c r="AS78" t="s">
        <v>87</v>
      </c>
      <c r="AT78" s="9">
        <v>92.42263736263736</v>
      </c>
      <c r="AU78" s="30">
        <f t="shared" si="20"/>
        <v>92.42263736263736</v>
      </c>
    </row>
    <row r="79" spans="1:47" x14ac:dyDescent="0.25">
      <c r="A79" t="s">
        <v>46</v>
      </c>
      <c r="B79" t="s">
        <v>345</v>
      </c>
      <c r="C79" t="s">
        <v>346</v>
      </c>
      <c r="D79" t="s">
        <v>347</v>
      </c>
      <c r="E79" s="11">
        <v>0</v>
      </c>
      <c r="F79" s="11">
        <v>0</v>
      </c>
      <c r="G79" s="11">
        <v>0</v>
      </c>
      <c r="H79" s="11">
        <v>0</v>
      </c>
      <c r="I79" s="13">
        <f t="shared" si="11"/>
        <v>0</v>
      </c>
      <c r="J79" s="11">
        <v>0</v>
      </c>
      <c r="K79" s="11">
        <v>0</v>
      </c>
      <c r="L79" s="11">
        <v>0</v>
      </c>
      <c r="M79" s="13">
        <f t="shared" si="12"/>
        <v>0</v>
      </c>
      <c r="N79" s="11">
        <v>0</v>
      </c>
      <c r="O79" s="11">
        <v>0</v>
      </c>
      <c r="P79" s="11">
        <v>0</v>
      </c>
      <c r="Q79" s="11">
        <v>0</v>
      </c>
      <c r="R79" s="13">
        <f t="shared" si="13"/>
        <v>0</v>
      </c>
      <c r="S79">
        <v>65.62</v>
      </c>
      <c r="T79">
        <v>29.5</v>
      </c>
      <c r="U79" s="7">
        <f t="shared" si="14"/>
        <v>95.12</v>
      </c>
      <c r="V79">
        <v>0</v>
      </c>
      <c r="W79">
        <v>0</v>
      </c>
      <c r="X79">
        <v>0</v>
      </c>
      <c r="Y79">
        <v>0</v>
      </c>
      <c r="Z79" s="13">
        <f t="shared" si="15"/>
        <v>0</v>
      </c>
      <c r="AA79">
        <v>0</v>
      </c>
      <c r="AB79">
        <v>0</v>
      </c>
      <c r="AC79">
        <v>0</v>
      </c>
      <c r="AD79">
        <v>0</v>
      </c>
      <c r="AE79" s="7">
        <f t="shared" si="16"/>
        <v>0</v>
      </c>
      <c r="AF79">
        <v>0</v>
      </c>
      <c r="AG79">
        <v>0</v>
      </c>
      <c r="AH79">
        <v>0</v>
      </c>
      <c r="AI79" s="13">
        <f t="shared" si="17"/>
        <v>0</v>
      </c>
      <c r="AJ79" s="11" t="s">
        <v>51</v>
      </c>
      <c r="AK79" s="11" t="s">
        <v>51</v>
      </c>
      <c r="AL79" s="11" t="s">
        <v>51</v>
      </c>
      <c r="AM79" s="13">
        <f t="shared" si="18"/>
        <v>0</v>
      </c>
      <c r="AN79" s="18">
        <v>4</v>
      </c>
      <c r="AO79" s="18">
        <v>0</v>
      </c>
      <c r="AP79" s="18">
        <v>0</v>
      </c>
      <c r="AQ79" s="18">
        <v>0</v>
      </c>
      <c r="AR79" s="18">
        <f t="shared" si="19"/>
        <v>4</v>
      </c>
      <c r="AS79" t="s">
        <v>52</v>
      </c>
      <c r="AT79" s="9">
        <v>95.12</v>
      </c>
      <c r="AU79" s="30">
        <f>+((U79*AN79)/AR79)</f>
        <v>95.12</v>
      </c>
    </row>
    <row r="80" spans="1:47" x14ac:dyDescent="0.25">
      <c r="A80" t="s">
        <v>46</v>
      </c>
      <c r="B80" t="s">
        <v>349</v>
      </c>
      <c r="C80" t="s">
        <v>350</v>
      </c>
      <c r="D80" t="s">
        <v>351</v>
      </c>
      <c r="E80" s="11">
        <v>0</v>
      </c>
      <c r="F80" s="11">
        <v>0</v>
      </c>
      <c r="G80" s="11">
        <v>0</v>
      </c>
      <c r="H80" s="11">
        <v>0</v>
      </c>
      <c r="I80" s="13">
        <f t="shared" si="11"/>
        <v>0</v>
      </c>
      <c r="J80" s="11">
        <v>54.16</v>
      </c>
      <c r="K80" s="11">
        <v>30</v>
      </c>
      <c r="L80" s="11">
        <v>2.5</v>
      </c>
      <c r="M80" s="13">
        <f t="shared" si="12"/>
        <v>86.66</v>
      </c>
      <c r="N80" s="11">
        <v>0</v>
      </c>
      <c r="O80" s="11">
        <v>0</v>
      </c>
      <c r="P80" s="11">
        <v>0</v>
      </c>
      <c r="Q80" s="11">
        <v>0</v>
      </c>
      <c r="R80" s="13">
        <f t="shared" si="13"/>
        <v>0</v>
      </c>
      <c r="S80">
        <v>0</v>
      </c>
      <c r="T80">
        <v>0</v>
      </c>
      <c r="U80" s="7">
        <f t="shared" si="14"/>
        <v>0</v>
      </c>
      <c r="V80">
        <v>0</v>
      </c>
      <c r="W80">
        <v>0</v>
      </c>
      <c r="X80">
        <v>0</v>
      </c>
      <c r="Y80">
        <v>0</v>
      </c>
      <c r="Z80" s="13">
        <f t="shared" si="15"/>
        <v>0</v>
      </c>
      <c r="AA80">
        <v>0</v>
      </c>
      <c r="AB80">
        <v>0</v>
      </c>
      <c r="AC80">
        <v>0</v>
      </c>
      <c r="AD80">
        <v>0</v>
      </c>
      <c r="AE80" s="7">
        <f t="shared" si="16"/>
        <v>0</v>
      </c>
      <c r="AF80">
        <v>0</v>
      </c>
      <c r="AG80">
        <v>0</v>
      </c>
      <c r="AH80">
        <v>0</v>
      </c>
      <c r="AI80" s="13">
        <f t="shared" si="17"/>
        <v>0</v>
      </c>
      <c r="AJ80" s="11" t="s">
        <v>51</v>
      </c>
      <c r="AK80" s="11" t="s">
        <v>51</v>
      </c>
      <c r="AL80" s="11" t="s">
        <v>51</v>
      </c>
      <c r="AM80" s="13">
        <f t="shared" si="18"/>
        <v>0</v>
      </c>
      <c r="AN80" s="18">
        <v>2</v>
      </c>
      <c r="AO80" s="18">
        <v>0</v>
      </c>
      <c r="AP80" s="18">
        <v>0</v>
      </c>
      <c r="AQ80" s="18">
        <v>0</v>
      </c>
      <c r="AR80" s="18">
        <f t="shared" si="19"/>
        <v>2</v>
      </c>
      <c r="AS80" t="s">
        <v>87</v>
      </c>
      <c r="AT80" s="9">
        <v>86.66</v>
      </c>
      <c r="AU80" s="30">
        <f>+((AN80*M80)/AR80)</f>
        <v>86.66</v>
      </c>
    </row>
    <row r="81" spans="1:47" x14ac:dyDescent="0.25">
      <c r="A81" t="s">
        <v>46</v>
      </c>
      <c r="B81" t="s">
        <v>352</v>
      </c>
      <c r="C81" t="s">
        <v>353</v>
      </c>
      <c r="D81" t="s">
        <v>354</v>
      </c>
      <c r="E81" s="11">
        <v>25</v>
      </c>
      <c r="F81" s="11">
        <v>0</v>
      </c>
      <c r="G81" s="11">
        <v>54.4375</v>
      </c>
      <c r="H81" s="11">
        <v>5.625</v>
      </c>
      <c r="I81" s="13">
        <f t="shared" si="11"/>
        <v>85.0625</v>
      </c>
      <c r="J81" s="11">
        <v>0</v>
      </c>
      <c r="K81" s="11">
        <v>0</v>
      </c>
      <c r="L81" s="11">
        <v>0</v>
      </c>
      <c r="M81" s="13">
        <f t="shared" si="12"/>
        <v>0</v>
      </c>
      <c r="N81" s="11">
        <v>0</v>
      </c>
      <c r="O81" s="11">
        <v>0</v>
      </c>
      <c r="P81" s="11">
        <v>0</v>
      </c>
      <c r="Q81" s="11">
        <v>0</v>
      </c>
      <c r="R81" s="13">
        <f t="shared" si="13"/>
        <v>0</v>
      </c>
      <c r="S81">
        <v>0</v>
      </c>
      <c r="T81">
        <v>0</v>
      </c>
      <c r="U81" s="7">
        <f t="shared" si="14"/>
        <v>0</v>
      </c>
      <c r="V81">
        <v>0</v>
      </c>
      <c r="W81">
        <v>0</v>
      </c>
      <c r="X81">
        <v>0</v>
      </c>
      <c r="Y81">
        <v>0</v>
      </c>
      <c r="Z81" s="13">
        <f t="shared" si="15"/>
        <v>0</v>
      </c>
      <c r="AA81">
        <v>15</v>
      </c>
      <c r="AB81">
        <v>50</v>
      </c>
      <c r="AC81">
        <v>15</v>
      </c>
      <c r="AD81">
        <v>13.75</v>
      </c>
      <c r="AE81" s="7">
        <f t="shared" si="16"/>
        <v>93.75</v>
      </c>
      <c r="AF81">
        <v>0</v>
      </c>
      <c r="AG81">
        <v>0</v>
      </c>
      <c r="AH81">
        <v>0</v>
      </c>
      <c r="AI81" s="13">
        <f t="shared" si="17"/>
        <v>0</v>
      </c>
      <c r="AJ81" s="11" t="s">
        <v>51</v>
      </c>
      <c r="AK81" s="11" t="s">
        <v>51</v>
      </c>
      <c r="AL81" s="11" t="s">
        <v>51</v>
      </c>
      <c r="AM81" s="13">
        <f t="shared" si="18"/>
        <v>0</v>
      </c>
      <c r="AN81" s="18">
        <v>35</v>
      </c>
      <c r="AO81" s="18">
        <v>5</v>
      </c>
      <c r="AP81" s="18">
        <v>0</v>
      </c>
      <c r="AQ81" s="18">
        <v>0</v>
      </c>
      <c r="AR81" s="18">
        <f t="shared" si="19"/>
        <v>40</v>
      </c>
      <c r="AS81" t="s">
        <v>52</v>
      </c>
      <c r="AT81" s="9">
        <v>86.1484375</v>
      </c>
      <c r="AU81" s="30">
        <f>+((AN81*I81)+(AO81*AE81)+(AQ81*AI81)+(AP81*AM81))/AR81</f>
        <v>86.1484375</v>
      </c>
    </row>
    <row r="82" spans="1:47" x14ac:dyDescent="0.25">
      <c r="A82" t="s">
        <v>46</v>
      </c>
      <c r="B82" t="s">
        <v>356</v>
      </c>
      <c r="C82" t="s">
        <v>357</v>
      </c>
      <c r="D82" t="s">
        <v>358</v>
      </c>
      <c r="E82" s="11">
        <v>0</v>
      </c>
      <c r="F82" s="11">
        <v>0</v>
      </c>
      <c r="G82" s="11">
        <v>0</v>
      </c>
      <c r="H82" s="11">
        <v>0</v>
      </c>
      <c r="I82" s="13">
        <f t="shared" si="11"/>
        <v>0</v>
      </c>
      <c r="J82" s="11">
        <v>0</v>
      </c>
      <c r="K82" s="11">
        <v>0</v>
      </c>
      <c r="L82" s="11">
        <v>0</v>
      </c>
      <c r="M82" s="13">
        <f t="shared" si="12"/>
        <v>0</v>
      </c>
      <c r="N82" s="11">
        <v>0</v>
      </c>
      <c r="O82" s="11">
        <v>0</v>
      </c>
      <c r="P82" s="11">
        <v>0</v>
      </c>
      <c r="Q82" s="11">
        <v>0</v>
      </c>
      <c r="R82" s="13">
        <f t="shared" si="13"/>
        <v>0</v>
      </c>
      <c r="S82">
        <v>0</v>
      </c>
      <c r="T82">
        <v>0</v>
      </c>
      <c r="U82" s="7">
        <f t="shared" si="14"/>
        <v>0</v>
      </c>
      <c r="V82">
        <v>5</v>
      </c>
      <c r="W82">
        <v>14.67</v>
      </c>
      <c r="X82">
        <v>42.78</v>
      </c>
      <c r="Y82">
        <v>17.579999999999998</v>
      </c>
      <c r="Z82" s="13">
        <f t="shared" si="15"/>
        <v>80.03</v>
      </c>
      <c r="AA82">
        <v>0</v>
      </c>
      <c r="AB82">
        <v>0</v>
      </c>
      <c r="AC82">
        <v>0</v>
      </c>
      <c r="AD82">
        <v>0</v>
      </c>
      <c r="AE82" s="7">
        <f t="shared" si="16"/>
        <v>0</v>
      </c>
      <c r="AF82">
        <v>50</v>
      </c>
      <c r="AG82">
        <v>18.670000000000002</v>
      </c>
      <c r="AH82">
        <v>29.25</v>
      </c>
      <c r="AI82" s="13">
        <f t="shared" si="17"/>
        <v>97.92</v>
      </c>
      <c r="AJ82" s="11" t="s">
        <v>51</v>
      </c>
      <c r="AK82" s="11" t="s">
        <v>51</v>
      </c>
      <c r="AL82" s="11" t="s">
        <v>51</v>
      </c>
      <c r="AM82" s="13">
        <f t="shared" si="18"/>
        <v>0</v>
      </c>
      <c r="AN82" s="18">
        <v>32</v>
      </c>
      <c r="AO82" s="18">
        <v>0</v>
      </c>
      <c r="AP82" s="18">
        <v>0</v>
      </c>
      <c r="AQ82" s="18">
        <v>8</v>
      </c>
      <c r="AR82" s="18">
        <f t="shared" si="19"/>
        <v>40</v>
      </c>
      <c r="AS82" t="s">
        <v>52</v>
      </c>
      <c r="AT82" s="9">
        <v>83.608000000000004</v>
      </c>
      <c r="AU82" s="30">
        <f>+((AN82*Z82)+(AO82*AE82)+(AQ82*AI82)+(AP82*AM82))/AR82</f>
        <v>83.608000000000004</v>
      </c>
    </row>
    <row r="83" spans="1:47" x14ac:dyDescent="0.25">
      <c r="A83" t="s">
        <v>46</v>
      </c>
      <c r="B83" t="s">
        <v>360</v>
      </c>
      <c r="C83" t="s">
        <v>361</v>
      </c>
      <c r="D83" t="s">
        <v>362</v>
      </c>
      <c r="E83" s="11">
        <v>0</v>
      </c>
      <c r="F83" s="11">
        <v>0</v>
      </c>
      <c r="G83" s="11">
        <v>0</v>
      </c>
      <c r="H83" s="11">
        <v>0</v>
      </c>
      <c r="I83" s="13">
        <f t="shared" si="11"/>
        <v>0</v>
      </c>
      <c r="J83" s="11">
        <v>0</v>
      </c>
      <c r="K83" s="11">
        <v>0</v>
      </c>
      <c r="L83" s="11">
        <v>0</v>
      </c>
      <c r="M83" s="13">
        <f t="shared" si="12"/>
        <v>0</v>
      </c>
      <c r="N83" s="11">
        <v>0</v>
      </c>
      <c r="O83" s="11">
        <v>0</v>
      </c>
      <c r="P83" s="11">
        <v>0</v>
      </c>
      <c r="Q83" s="11">
        <v>0</v>
      </c>
      <c r="R83" s="13">
        <f t="shared" si="13"/>
        <v>0</v>
      </c>
      <c r="S83">
        <v>0</v>
      </c>
      <c r="T83">
        <v>0</v>
      </c>
      <c r="U83" s="7">
        <f t="shared" si="14"/>
        <v>0</v>
      </c>
      <c r="V83">
        <v>3.5</v>
      </c>
      <c r="W83">
        <v>20</v>
      </c>
      <c r="X83">
        <v>46.96</v>
      </c>
      <c r="Y83">
        <v>20</v>
      </c>
      <c r="Z83" s="13">
        <f t="shared" si="15"/>
        <v>90.460000000000008</v>
      </c>
      <c r="AA83">
        <v>0</v>
      </c>
      <c r="AB83">
        <v>0</v>
      </c>
      <c r="AC83">
        <v>0</v>
      </c>
      <c r="AD83">
        <v>0</v>
      </c>
      <c r="AE83" s="7">
        <f t="shared" si="16"/>
        <v>0</v>
      </c>
      <c r="AF83">
        <v>0</v>
      </c>
      <c r="AG83">
        <v>0</v>
      </c>
      <c r="AH83">
        <v>0</v>
      </c>
      <c r="AI83" s="13">
        <f t="shared" si="17"/>
        <v>0</v>
      </c>
      <c r="AJ83" s="11" t="s">
        <v>51</v>
      </c>
      <c r="AK83" s="11" t="s">
        <v>51</v>
      </c>
      <c r="AL83" s="11" t="s">
        <v>51</v>
      </c>
      <c r="AM83" s="13">
        <f t="shared" si="18"/>
        <v>0</v>
      </c>
      <c r="AN83" s="18">
        <v>10</v>
      </c>
      <c r="AO83" s="18">
        <v>0</v>
      </c>
      <c r="AP83" s="18">
        <v>0</v>
      </c>
      <c r="AQ83" s="18">
        <v>0</v>
      </c>
      <c r="AR83" s="18">
        <f t="shared" si="19"/>
        <v>10</v>
      </c>
      <c r="AS83" t="s">
        <v>52</v>
      </c>
      <c r="AT83" s="9">
        <v>90.460000000000008</v>
      </c>
      <c r="AU83" s="30">
        <f>+((Z83*AN83)/AR83)</f>
        <v>90.460000000000008</v>
      </c>
    </row>
    <row r="84" spans="1:47" x14ac:dyDescent="0.25">
      <c r="A84" t="s">
        <v>46</v>
      </c>
      <c r="B84" s="32" t="s">
        <v>364</v>
      </c>
      <c r="C84" s="32" t="s">
        <v>365</v>
      </c>
      <c r="D84" s="32" t="s">
        <v>366</v>
      </c>
      <c r="E84" s="11">
        <v>0</v>
      </c>
      <c r="F84" s="11">
        <v>0</v>
      </c>
      <c r="G84" s="11">
        <v>0</v>
      </c>
      <c r="H84" s="11">
        <v>0</v>
      </c>
      <c r="I84" s="13">
        <f t="shared" si="11"/>
        <v>0</v>
      </c>
      <c r="J84" s="11">
        <v>0</v>
      </c>
      <c r="K84" s="11">
        <v>0</v>
      </c>
      <c r="L84" s="11">
        <v>0</v>
      </c>
      <c r="M84" s="13">
        <f t="shared" si="12"/>
        <v>0</v>
      </c>
      <c r="N84" s="11">
        <v>55.5625</v>
      </c>
      <c r="O84" s="11">
        <v>5</v>
      </c>
      <c r="P84" s="11">
        <v>0</v>
      </c>
      <c r="Q84" s="11">
        <v>25</v>
      </c>
      <c r="R84" s="13">
        <f t="shared" si="13"/>
        <v>85.5625</v>
      </c>
      <c r="S84">
        <v>0</v>
      </c>
      <c r="T84">
        <v>0</v>
      </c>
      <c r="U84" s="7">
        <f t="shared" si="14"/>
        <v>0</v>
      </c>
      <c r="V84">
        <v>0</v>
      </c>
      <c r="W84">
        <v>0</v>
      </c>
      <c r="X84">
        <v>0</v>
      </c>
      <c r="Y84">
        <v>0</v>
      </c>
      <c r="Z84" s="13">
        <f t="shared" si="15"/>
        <v>0</v>
      </c>
      <c r="AA84">
        <v>0</v>
      </c>
      <c r="AB84">
        <v>0</v>
      </c>
      <c r="AC84">
        <v>0</v>
      </c>
      <c r="AD84">
        <v>0</v>
      </c>
      <c r="AE84" s="7">
        <f t="shared" si="16"/>
        <v>0</v>
      </c>
      <c r="AF84">
        <v>0</v>
      </c>
      <c r="AG84">
        <v>0</v>
      </c>
      <c r="AH84">
        <v>0</v>
      </c>
      <c r="AI84" s="13">
        <f t="shared" si="17"/>
        <v>0</v>
      </c>
      <c r="AJ84" s="11" t="s">
        <v>51</v>
      </c>
      <c r="AK84" s="11" t="s">
        <v>51</v>
      </c>
      <c r="AL84" s="11" t="s">
        <v>51</v>
      </c>
      <c r="AM84" s="13">
        <f t="shared" si="18"/>
        <v>0</v>
      </c>
      <c r="AN84" s="18">
        <v>10</v>
      </c>
      <c r="AO84" s="18">
        <v>0</v>
      </c>
      <c r="AP84" s="18">
        <v>0</v>
      </c>
      <c r="AQ84" s="18">
        <v>0</v>
      </c>
      <c r="AR84" s="18">
        <f t="shared" si="19"/>
        <v>10</v>
      </c>
      <c r="AS84" t="s">
        <v>117</v>
      </c>
      <c r="AT84" s="9">
        <v>85.5625</v>
      </c>
      <c r="AU84" s="11">
        <f>+((AN84*R84)+(AQ84*AI84)+(AP84*AM84))/AR84</f>
        <v>85.5625</v>
      </c>
    </row>
    <row r="85" spans="1:47" x14ac:dyDescent="0.25">
      <c r="A85" t="s">
        <v>46</v>
      </c>
      <c r="B85" t="s">
        <v>368</v>
      </c>
      <c r="C85" t="s">
        <v>369</v>
      </c>
      <c r="D85" t="s">
        <v>370</v>
      </c>
      <c r="E85" s="11">
        <v>0</v>
      </c>
      <c r="F85" s="11">
        <v>17.087499999999999</v>
      </c>
      <c r="G85" s="11">
        <v>51.912500000000001</v>
      </c>
      <c r="H85" s="11">
        <v>3.125</v>
      </c>
      <c r="I85" s="13">
        <f t="shared" si="11"/>
        <v>72.125</v>
      </c>
      <c r="J85" s="11">
        <v>0</v>
      </c>
      <c r="K85" s="11">
        <v>0</v>
      </c>
      <c r="L85" s="11">
        <v>0</v>
      </c>
      <c r="M85" s="13">
        <f t="shared" si="12"/>
        <v>0</v>
      </c>
      <c r="N85" s="11">
        <v>52.36</v>
      </c>
      <c r="O85" s="11">
        <v>3.125</v>
      </c>
      <c r="P85" s="11">
        <v>17.087499999999999</v>
      </c>
      <c r="Q85" s="11">
        <v>0</v>
      </c>
      <c r="R85" s="13">
        <f t="shared" si="13"/>
        <v>72.572499999999991</v>
      </c>
      <c r="S85">
        <v>0</v>
      </c>
      <c r="T85">
        <v>0</v>
      </c>
      <c r="U85" s="7">
        <f t="shared" si="14"/>
        <v>0</v>
      </c>
      <c r="V85">
        <v>0</v>
      </c>
      <c r="W85">
        <v>0</v>
      </c>
      <c r="X85">
        <v>0</v>
      </c>
      <c r="Y85">
        <v>0</v>
      </c>
      <c r="Z85" s="13">
        <f t="shared" si="15"/>
        <v>0</v>
      </c>
      <c r="AA85">
        <v>15</v>
      </c>
      <c r="AB85">
        <v>21.25</v>
      </c>
      <c r="AC85">
        <v>14.25</v>
      </c>
      <c r="AD85">
        <v>18.75</v>
      </c>
      <c r="AE85" s="7">
        <f t="shared" si="16"/>
        <v>69.25</v>
      </c>
      <c r="AF85">
        <v>0</v>
      </c>
      <c r="AG85">
        <v>0</v>
      </c>
      <c r="AH85">
        <v>0</v>
      </c>
      <c r="AI85" s="13">
        <f t="shared" si="17"/>
        <v>0</v>
      </c>
      <c r="AJ85" s="11" t="s">
        <v>51</v>
      </c>
      <c r="AK85" s="11" t="s">
        <v>51</v>
      </c>
      <c r="AL85" s="11" t="s">
        <v>51</v>
      </c>
      <c r="AM85" s="13">
        <f t="shared" si="18"/>
        <v>0</v>
      </c>
      <c r="AN85" s="18">
        <v>23</v>
      </c>
      <c r="AO85" s="18">
        <v>10</v>
      </c>
      <c r="AP85" s="18">
        <v>0</v>
      </c>
      <c r="AQ85" s="18">
        <v>0</v>
      </c>
      <c r="AR85" s="18">
        <f t="shared" si="19"/>
        <v>33</v>
      </c>
      <c r="AS85" t="s">
        <v>52</v>
      </c>
      <c r="AT85" s="9">
        <v>71.253787878787875</v>
      </c>
      <c r="AU85" s="11">
        <f>+((AN85*I85)+(AO85*AE85)+(AQ85*AI85)+(AP85*AM85))/AR85</f>
        <v>71.253787878787875</v>
      </c>
    </row>
    <row r="86" spans="1:47" x14ac:dyDescent="0.25">
      <c r="A86" s="33" t="s">
        <v>46</v>
      </c>
      <c r="B86" s="32" t="s">
        <v>368</v>
      </c>
      <c r="C86" s="32" t="s">
        <v>369</v>
      </c>
      <c r="D86" s="32" t="s">
        <v>370</v>
      </c>
      <c r="E86" s="11">
        <v>0</v>
      </c>
      <c r="F86" s="11">
        <v>17.087499999999999</v>
      </c>
      <c r="G86" s="11">
        <v>51.912500000000001</v>
      </c>
      <c r="H86" s="11">
        <v>3.125</v>
      </c>
      <c r="I86" s="13">
        <f t="shared" si="11"/>
        <v>72.125</v>
      </c>
      <c r="J86" s="11">
        <v>0</v>
      </c>
      <c r="K86" s="11">
        <v>0</v>
      </c>
      <c r="L86" s="11">
        <v>0</v>
      </c>
      <c r="M86" s="13">
        <f t="shared" si="12"/>
        <v>0</v>
      </c>
      <c r="N86" s="11">
        <v>52.36</v>
      </c>
      <c r="O86" s="11">
        <v>3.125</v>
      </c>
      <c r="P86" s="11">
        <v>17.087499999999999</v>
      </c>
      <c r="Q86" s="11">
        <v>0</v>
      </c>
      <c r="R86" s="13">
        <f t="shared" si="13"/>
        <v>72.572499999999991</v>
      </c>
      <c r="S86">
        <v>0</v>
      </c>
      <c r="T86">
        <v>0</v>
      </c>
      <c r="U86" s="7">
        <f t="shared" si="14"/>
        <v>0</v>
      </c>
      <c r="V86">
        <v>0</v>
      </c>
      <c r="W86">
        <v>0</v>
      </c>
      <c r="X86">
        <v>0</v>
      </c>
      <c r="Y86">
        <v>0</v>
      </c>
      <c r="Z86" s="13">
        <f t="shared" si="15"/>
        <v>0</v>
      </c>
      <c r="AA86">
        <v>15</v>
      </c>
      <c r="AB86">
        <v>21.25</v>
      </c>
      <c r="AC86">
        <v>14.25</v>
      </c>
      <c r="AD86">
        <v>18.75</v>
      </c>
      <c r="AE86" s="7">
        <f t="shared" si="16"/>
        <v>69.25</v>
      </c>
      <c r="AF86">
        <v>0</v>
      </c>
      <c r="AG86">
        <v>0</v>
      </c>
      <c r="AH86">
        <v>0</v>
      </c>
      <c r="AI86" s="13">
        <f t="shared" si="17"/>
        <v>0</v>
      </c>
      <c r="AJ86" s="11" t="s">
        <v>51</v>
      </c>
      <c r="AK86" s="11" t="s">
        <v>51</v>
      </c>
      <c r="AL86" s="11" t="s">
        <v>51</v>
      </c>
      <c r="AM86" s="13">
        <f t="shared" si="18"/>
        <v>0</v>
      </c>
      <c r="AN86" s="18">
        <v>7</v>
      </c>
      <c r="AO86" s="18">
        <v>0</v>
      </c>
      <c r="AP86" s="18">
        <v>0</v>
      </c>
      <c r="AQ86" s="18">
        <v>0</v>
      </c>
      <c r="AR86" s="18">
        <f t="shared" si="19"/>
        <v>7</v>
      </c>
      <c r="AS86" t="s">
        <v>117</v>
      </c>
      <c r="AT86" s="9">
        <v>72.572499999999991</v>
      </c>
      <c r="AU86" s="11">
        <f>+((AN86*R86)+(AQ86*AI86)+(AP86*AM86))/AR86</f>
        <v>72.572499999999991</v>
      </c>
    </row>
    <row r="87" spans="1:47" x14ac:dyDescent="0.25">
      <c r="A87" t="s">
        <v>46</v>
      </c>
      <c r="B87" t="s">
        <v>373</v>
      </c>
      <c r="C87" t="s">
        <v>374</v>
      </c>
      <c r="D87" t="s">
        <v>375</v>
      </c>
      <c r="E87" s="11">
        <v>19</v>
      </c>
      <c r="F87" s="11">
        <v>17.329999999999998</v>
      </c>
      <c r="G87" s="11">
        <v>50</v>
      </c>
      <c r="H87" s="11">
        <v>2.5</v>
      </c>
      <c r="I87" s="13">
        <f t="shared" si="11"/>
        <v>88.83</v>
      </c>
      <c r="J87" s="11">
        <v>0</v>
      </c>
      <c r="K87" s="11">
        <v>0</v>
      </c>
      <c r="L87" s="11">
        <v>0</v>
      </c>
      <c r="M87" s="13">
        <f t="shared" si="12"/>
        <v>0</v>
      </c>
      <c r="N87" s="11">
        <v>0</v>
      </c>
      <c r="O87" s="11">
        <v>0</v>
      </c>
      <c r="P87" s="11">
        <v>0</v>
      </c>
      <c r="Q87" s="11">
        <v>0</v>
      </c>
      <c r="R87" s="13">
        <f t="shared" si="13"/>
        <v>0</v>
      </c>
      <c r="S87">
        <v>0</v>
      </c>
      <c r="T87">
        <v>0</v>
      </c>
      <c r="U87" s="7">
        <f t="shared" si="14"/>
        <v>0</v>
      </c>
      <c r="V87">
        <v>0</v>
      </c>
      <c r="W87">
        <v>0</v>
      </c>
      <c r="X87">
        <v>0</v>
      </c>
      <c r="Y87">
        <v>0</v>
      </c>
      <c r="Z87" s="13">
        <f t="shared" si="15"/>
        <v>0</v>
      </c>
      <c r="AA87">
        <v>0</v>
      </c>
      <c r="AB87">
        <v>0</v>
      </c>
      <c r="AC87">
        <v>0</v>
      </c>
      <c r="AD87">
        <v>0</v>
      </c>
      <c r="AE87" s="7">
        <f t="shared" si="16"/>
        <v>0</v>
      </c>
      <c r="AF87">
        <v>0</v>
      </c>
      <c r="AG87">
        <v>0</v>
      </c>
      <c r="AH87">
        <v>0</v>
      </c>
      <c r="AI87" s="13">
        <f t="shared" si="17"/>
        <v>0</v>
      </c>
      <c r="AJ87" s="11" t="s">
        <v>51</v>
      </c>
      <c r="AK87" s="11" t="s">
        <v>51</v>
      </c>
      <c r="AL87" s="11" t="s">
        <v>51</v>
      </c>
      <c r="AM87" s="13">
        <f t="shared" si="18"/>
        <v>0</v>
      </c>
      <c r="AN87" s="18">
        <v>3</v>
      </c>
      <c r="AO87" s="18">
        <v>0</v>
      </c>
      <c r="AP87" s="18">
        <v>0</v>
      </c>
      <c r="AQ87" s="18">
        <v>0</v>
      </c>
      <c r="AR87" s="18">
        <f t="shared" si="19"/>
        <v>3</v>
      </c>
      <c r="AS87" t="s">
        <v>52</v>
      </c>
      <c r="AT87" s="9">
        <v>88.83</v>
      </c>
      <c r="AU87" s="30">
        <f>+((AN87*I87)+(AO87*AE87)+(AQ87*AI87)+(AP87*AM87))/AR87</f>
        <v>88.83</v>
      </c>
    </row>
    <row r="88" spans="1:47" ht="16.5" customHeight="1" x14ac:dyDescent="0.25">
      <c r="A88" t="s">
        <v>46</v>
      </c>
      <c r="B88" t="s">
        <v>377</v>
      </c>
      <c r="C88" t="s">
        <v>378</v>
      </c>
      <c r="D88" t="s">
        <v>379</v>
      </c>
      <c r="E88" s="11">
        <v>20</v>
      </c>
      <c r="F88" s="11">
        <v>17.670000000000002</v>
      </c>
      <c r="G88" s="11">
        <v>46.5</v>
      </c>
      <c r="H88" s="11">
        <v>7</v>
      </c>
      <c r="I88" s="13">
        <f t="shared" si="11"/>
        <v>91.17</v>
      </c>
      <c r="J88" s="11">
        <v>0</v>
      </c>
      <c r="K88" s="11">
        <v>0</v>
      </c>
      <c r="L88" s="11">
        <v>0</v>
      </c>
      <c r="M88" s="13">
        <f t="shared" si="12"/>
        <v>0</v>
      </c>
      <c r="N88" s="11">
        <v>0</v>
      </c>
      <c r="O88" s="11">
        <v>0</v>
      </c>
      <c r="P88" s="11">
        <v>0</v>
      </c>
      <c r="Q88" s="11">
        <v>0</v>
      </c>
      <c r="R88" s="13">
        <f t="shared" si="13"/>
        <v>0</v>
      </c>
      <c r="S88">
        <v>0</v>
      </c>
      <c r="T88">
        <v>0</v>
      </c>
      <c r="U88" s="7">
        <f t="shared" si="14"/>
        <v>0</v>
      </c>
      <c r="V88">
        <v>0</v>
      </c>
      <c r="W88">
        <v>0</v>
      </c>
      <c r="X88">
        <v>0</v>
      </c>
      <c r="Y88">
        <v>0</v>
      </c>
      <c r="Z88" s="13">
        <f t="shared" si="15"/>
        <v>0</v>
      </c>
      <c r="AA88">
        <v>15</v>
      </c>
      <c r="AB88">
        <v>50</v>
      </c>
      <c r="AC88">
        <v>15</v>
      </c>
      <c r="AD88">
        <v>18.75</v>
      </c>
      <c r="AE88" s="7">
        <f t="shared" si="16"/>
        <v>98.75</v>
      </c>
      <c r="AF88">
        <v>0</v>
      </c>
      <c r="AG88">
        <v>0</v>
      </c>
      <c r="AH88">
        <v>0</v>
      </c>
      <c r="AI88" s="13">
        <f t="shared" si="17"/>
        <v>0</v>
      </c>
      <c r="AJ88" s="11" t="s">
        <v>51</v>
      </c>
      <c r="AK88" s="11" t="s">
        <v>51</v>
      </c>
      <c r="AL88" s="11" t="s">
        <v>51</v>
      </c>
      <c r="AM88" s="13">
        <f t="shared" si="18"/>
        <v>0</v>
      </c>
      <c r="AN88" s="18">
        <v>29.25</v>
      </c>
      <c r="AO88" s="18">
        <v>10.75</v>
      </c>
      <c r="AP88" s="18">
        <v>0</v>
      </c>
      <c r="AQ88" s="18">
        <v>0</v>
      </c>
      <c r="AR88" s="18">
        <f t="shared" si="19"/>
        <v>40</v>
      </c>
      <c r="AS88" t="s">
        <v>52</v>
      </c>
      <c r="AT88" s="9">
        <v>93.207124999999991</v>
      </c>
      <c r="AU88" s="30">
        <f>+((AN88*I88)+(AO88*AE88)+(AQ88*AI88)+(AP88*AM88))/AR88</f>
        <v>93.207124999999991</v>
      </c>
    </row>
    <row r="89" spans="1:47" x14ac:dyDescent="0.25">
      <c r="A89" t="s">
        <v>46</v>
      </c>
      <c r="B89" t="s">
        <v>381</v>
      </c>
      <c r="C89" t="s">
        <v>382</v>
      </c>
      <c r="D89" t="s">
        <v>383</v>
      </c>
      <c r="E89" s="11">
        <v>20</v>
      </c>
      <c r="F89" s="11">
        <v>20</v>
      </c>
      <c r="G89" s="11">
        <v>47.38</v>
      </c>
      <c r="H89" s="11">
        <v>4.5</v>
      </c>
      <c r="I89" s="13">
        <f t="shared" si="11"/>
        <v>91.88</v>
      </c>
      <c r="J89" s="11">
        <v>0</v>
      </c>
      <c r="K89" s="11">
        <v>0</v>
      </c>
      <c r="L89" s="11">
        <v>0</v>
      </c>
      <c r="M89" s="13">
        <f t="shared" si="12"/>
        <v>0</v>
      </c>
      <c r="N89" s="11">
        <v>46.46</v>
      </c>
      <c r="O89" s="11">
        <v>4.5</v>
      </c>
      <c r="P89" s="11">
        <v>20</v>
      </c>
      <c r="Q89" s="11">
        <v>20</v>
      </c>
      <c r="R89" s="13">
        <f t="shared" si="13"/>
        <v>90.960000000000008</v>
      </c>
      <c r="S89">
        <v>0</v>
      </c>
      <c r="T89">
        <v>0</v>
      </c>
      <c r="U89" s="7">
        <f t="shared" si="14"/>
        <v>0</v>
      </c>
      <c r="V89">
        <v>0</v>
      </c>
      <c r="W89">
        <v>0</v>
      </c>
      <c r="X89">
        <v>0</v>
      </c>
      <c r="Y89">
        <v>0</v>
      </c>
      <c r="Z89" s="13">
        <f t="shared" si="15"/>
        <v>0</v>
      </c>
      <c r="AA89" s="11">
        <v>0</v>
      </c>
      <c r="AB89" s="11">
        <v>58.82352941176471</v>
      </c>
      <c r="AC89" s="11">
        <v>17.647058823529413</v>
      </c>
      <c r="AD89" s="11">
        <v>23.529411764705877</v>
      </c>
      <c r="AE89" s="7">
        <f t="shared" si="16"/>
        <v>100</v>
      </c>
      <c r="AF89">
        <v>50</v>
      </c>
      <c r="AG89">
        <v>20</v>
      </c>
      <c r="AH89">
        <v>26.19</v>
      </c>
      <c r="AI89" s="13">
        <f t="shared" si="17"/>
        <v>96.19</v>
      </c>
      <c r="AJ89" s="11" t="s">
        <v>51</v>
      </c>
      <c r="AK89" s="11" t="s">
        <v>51</v>
      </c>
      <c r="AL89" s="11" t="s">
        <v>51</v>
      </c>
      <c r="AM89" s="13">
        <f t="shared" si="18"/>
        <v>0</v>
      </c>
      <c r="AN89" s="18">
        <v>16.25</v>
      </c>
      <c r="AO89" s="18">
        <v>8.75</v>
      </c>
      <c r="AP89" s="18">
        <v>0</v>
      </c>
      <c r="AQ89" s="18">
        <v>0</v>
      </c>
      <c r="AR89" s="18">
        <f t="shared" si="19"/>
        <v>25</v>
      </c>
      <c r="AS89" t="s">
        <v>52</v>
      </c>
      <c r="AT89" s="9">
        <v>94.722000000000008</v>
      </c>
      <c r="AU89" s="11">
        <f>+((AN89*I89)+(AO89*AE89)+(AP89*AM89))/AR89</f>
        <v>94.722000000000008</v>
      </c>
    </row>
    <row r="90" spans="1:47" x14ac:dyDescent="0.25">
      <c r="A90" s="33" t="s">
        <v>46</v>
      </c>
      <c r="B90" s="32" t="s">
        <v>381</v>
      </c>
      <c r="C90" s="32" t="s">
        <v>382</v>
      </c>
      <c r="D90" s="32" t="s">
        <v>383</v>
      </c>
      <c r="E90" s="11">
        <v>20</v>
      </c>
      <c r="F90" s="11">
        <v>20</v>
      </c>
      <c r="G90" s="11">
        <v>47.38</v>
      </c>
      <c r="H90" s="11">
        <v>4.5</v>
      </c>
      <c r="I90" s="13">
        <f t="shared" si="11"/>
        <v>91.88</v>
      </c>
      <c r="J90" s="11">
        <v>0</v>
      </c>
      <c r="K90" s="11">
        <v>0</v>
      </c>
      <c r="L90" s="11">
        <v>0</v>
      </c>
      <c r="M90" s="13">
        <f t="shared" si="12"/>
        <v>0</v>
      </c>
      <c r="N90" s="11">
        <v>46.46</v>
      </c>
      <c r="O90" s="11">
        <v>4.5</v>
      </c>
      <c r="P90" s="11">
        <v>20</v>
      </c>
      <c r="Q90" s="11">
        <v>20</v>
      </c>
      <c r="R90" s="13">
        <f t="shared" si="13"/>
        <v>90.960000000000008</v>
      </c>
      <c r="S90">
        <v>0</v>
      </c>
      <c r="T90">
        <v>0</v>
      </c>
      <c r="U90" s="7">
        <f t="shared" si="14"/>
        <v>0</v>
      </c>
      <c r="V90">
        <v>0</v>
      </c>
      <c r="W90">
        <v>0</v>
      </c>
      <c r="X90">
        <v>0</v>
      </c>
      <c r="Y90">
        <v>0</v>
      </c>
      <c r="Z90" s="13">
        <f t="shared" si="15"/>
        <v>0</v>
      </c>
      <c r="AA90" s="11">
        <v>0</v>
      </c>
      <c r="AB90" s="11">
        <v>58.82352941176471</v>
      </c>
      <c r="AC90" s="11">
        <v>17.647058823529413</v>
      </c>
      <c r="AD90" s="11">
        <v>23.529411764705877</v>
      </c>
      <c r="AE90" s="7">
        <f t="shared" si="16"/>
        <v>100</v>
      </c>
      <c r="AF90">
        <v>50</v>
      </c>
      <c r="AG90">
        <v>20</v>
      </c>
      <c r="AH90">
        <v>26.19</v>
      </c>
      <c r="AI90" s="13">
        <f t="shared" si="17"/>
        <v>96.19</v>
      </c>
      <c r="AJ90" s="11" t="s">
        <v>51</v>
      </c>
      <c r="AK90" s="11" t="s">
        <v>51</v>
      </c>
      <c r="AL90" s="11" t="s">
        <v>51</v>
      </c>
      <c r="AM90" s="13">
        <f t="shared" si="18"/>
        <v>0</v>
      </c>
      <c r="AN90" s="18">
        <v>7</v>
      </c>
      <c r="AO90" s="18">
        <v>0</v>
      </c>
      <c r="AP90" s="18">
        <v>0</v>
      </c>
      <c r="AQ90" s="18">
        <v>8</v>
      </c>
      <c r="AR90" s="18">
        <f t="shared" si="19"/>
        <v>15</v>
      </c>
      <c r="AS90" t="s">
        <v>117</v>
      </c>
      <c r="AT90" s="9">
        <v>93.74933333333334</v>
      </c>
      <c r="AU90" s="11">
        <f>+((AN90*R90)+(AQ90*AI90)+(AP90*AM90))/AR90</f>
        <v>93.74933333333334</v>
      </c>
    </row>
    <row r="91" spans="1:47" x14ac:dyDescent="0.25">
      <c r="A91" t="s">
        <v>46</v>
      </c>
      <c r="B91" t="s">
        <v>386</v>
      </c>
      <c r="C91" t="s">
        <v>387</v>
      </c>
      <c r="D91" t="s">
        <v>388</v>
      </c>
      <c r="E91" s="11">
        <v>19</v>
      </c>
      <c r="F91" s="11">
        <v>19.670000000000002</v>
      </c>
      <c r="G91" s="11">
        <v>44.56</v>
      </c>
      <c r="H91" s="11">
        <v>5.5</v>
      </c>
      <c r="I91" s="13">
        <f t="shared" si="11"/>
        <v>88.73</v>
      </c>
      <c r="J91" s="11">
        <v>0</v>
      </c>
      <c r="K91" s="11">
        <v>0</v>
      </c>
      <c r="L91" s="11">
        <v>0</v>
      </c>
      <c r="M91" s="13">
        <f t="shared" si="12"/>
        <v>0</v>
      </c>
      <c r="N91" s="11">
        <v>0</v>
      </c>
      <c r="O91" s="11">
        <v>0</v>
      </c>
      <c r="P91" s="11">
        <v>0</v>
      </c>
      <c r="Q91" s="11">
        <v>0</v>
      </c>
      <c r="R91" s="13">
        <f t="shared" si="13"/>
        <v>0</v>
      </c>
      <c r="S91">
        <v>0</v>
      </c>
      <c r="T91">
        <v>0</v>
      </c>
      <c r="U91" s="7">
        <f t="shared" si="14"/>
        <v>0</v>
      </c>
      <c r="V91">
        <v>0</v>
      </c>
      <c r="W91">
        <v>0</v>
      </c>
      <c r="X91">
        <v>0</v>
      </c>
      <c r="Y91">
        <v>0</v>
      </c>
      <c r="Z91" s="13">
        <f t="shared" si="15"/>
        <v>0</v>
      </c>
      <c r="AA91">
        <v>0</v>
      </c>
      <c r="AB91">
        <v>0</v>
      </c>
      <c r="AC91">
        <v>0</v>
      </c>
      <c r="AD91">
        <v>0</v>
      </c>
      <c r="AE91" s="7">
        <f t="shared" si="16"/>
        <v>0</v>
      </c>
      <c r="AF91">
        <v>0</v>
      </c>
      <c r="AG91">
        <v>0</v>
      </c>
      <c r="AH91">
        <v>0</v>
      </c>
      <c r="AI91" s="13">
        <f t="shared" si="17"/>
        <v>0</v>
      </c>
      <c r="AJ91" s="11" t="s">
        <v>51</v>
      </c>
      <c r="AK91" s="11" t="s">
        <v>51</v>
      </c>
      <c r="AL91" s="11" t="s">
        <v>51</v>
      </c>
      <c r="AM91" s="13">
        <f t="shared" si="18"/>
        <v>0</v>
      </c>
      <c r="AN91" s="18">
        <v>40</v>
      </c>
      <c r="AO91" s="18">
        <v>0</v>
      </c>
      <c r="AP91" s="18">
        <v>0</v>
      </c>
      <c r="AQ91" s="18">
        <v>0</v>
      </c>
      <c r="AR91" s="18">
        <f t="shared" si="19"/>
        <v>40</v>
      </c>
      <c r="AS91" t="s">
        <v>52</v>
      </c>
      <c r="AT91" s="9">
        <v>88.73</v>
      </c>
      <c r="AU91" s="30">
        <f t="shared" ref="AU91:AU98" si="21">+((AN91*I91)+(AO91*AE91)+(AQ91*AI91)+(AP91*AM91))/AR91</f>
        <v>88.73</v>
      </c>
    </row>
    <row r="92" spans="1:47" x14ac:dyDescent="0.25">
      <c r="A92" t="s">
        <v>46</v>
      </c>
      <c r="B92" t="s">
        <v>390</v>
      </c>
      <c r="C92" t="s">
        <v>391</v>
      </c>
      <c r="D92" t="s">
        <v>392</v>
      </c>
      <c r="E92" s="11">
        <v>19.829999999999998</v>
      </c>
      <c r="F92" s="11">
        <v>15.67</v>
      </c>
      <c r="G92" s="11">
        <v>47.21</v>
      </c>
      <c r="H92" s="11">
        <v>4</v>
      </c>
      <c r="I92" s="13">
        <f t="shared" si="11"/>
        <v>86.710000000000008</v>
      </c>
      <c r="J92" s="11">
        <v>0</v>
      </c>
      <c r="K92" s="11">
        <v>0</v>
      </c>
      <c r="L92" s="11">
        <v>0</v>
      </c>
      <c r="M92" s="13">
        <f t="shared" si="12"/>
        <v>0</v>
      </c>
      <c r="N92" s="11">
        <v>0</v>
      </c>
      <c r="O92" s="11">
        <v>0</v>
      </c>
      <c r="P92" s="11">
        <v>0</v>
      </c>
      <c r="Q92" s="11">
        <v>0</v>
      </c>
      <c r="R92" s="13">
        <f t="shared" si="13"/>
        <v>0</v>
      </c>
      <c r="S92">
        <v>0</v>
      </c>
      <c r="T92">
        <v>0</v>
      </c>
      <c r="U92" s="7">
        <f t="shared" si="14"/>
        <v>0</v>
      </c>
      <c r="V92">
        <v>0</v>
      </c>
      <c r="W92">
        <v>0</v>
      </c>
      <c r="X92">
        <v>0</v>
      </c>
      <c r="Y92">
        <v>0</v>
      </c>
      <c r="Z92" s="13">
        <f t="shared" si="15"/>
        <v>0</v>
      </c>
      <c r="AA92">
        <v>0</v>
      </c>
      <c r="AB92">
        <v>0</v>
      </c>
      <c r="AC92">
        <v>0</v>
      </c>
      <c r="AD92">
        <v>0</v>
      </c>
      <c r="AE92" s="7">
        <f t="shared" si="16"/>
        <v>0</v>
      </c>
      <c r="AF92">
        <v>0</v>
      </c>
      <c r="AG92">
        <v>0</v>
      </c>
      <c r="AH92">
        <v>0</v>
      </c>
      <c r="AI92" s="13">
        <f t="shared" si="17"/>
        <v>0</v>
      </c>
      <c r="AJ92" s="11" t="s">
        <v>51</v>
      </c>
      <c r="AK92" s="11" t="s">
        <v>51</v>
      </c>
      <c r="AL92" s="11" t="s">
        <v>51</v>
      </c>
      <c r="AM92" s="13">
        <f t="shared" si="18"/>
        <v>0</v>
      </c>
      <c r="AN92" s="18">
        <v>20</v>
      </c>
      <c r="AO92" s="18">
        <v>0</v>
      </c>
      <c r="AP92" s="18">
        <v>0</v>
      </c>
      <c r="AQ92" s="18">
        <v>0</v>
      </c>
      <c r="AR92" s="18">
        <f t="shared" si="19"/>
        <v>20</v>
      </c>
      <c r="AS92" t="s">
        <v>52</v>
      </c>
      <c r="AT92" s="9">
        <v>86.710000000000008</v>
      </c>
      <c r="AU92" s="30">
        <f t="shared" si="21"/>
        <v>86.710000000000008</v>
      </c>
    </row>
    <row r="93" spans="1:47" x14ac:dyDescent="0.25">
      <c r="A93" t="s">
        <v>46</v>
      </c>
      <c r="B93" t="s">
        <v>394</v>
      </c>
      <c r="C93" t="s">
        <v>395</v>
      </c>
      <c r="D93" t="s">
        <v>396</v>
      </c>
      <c r="E93" s="11">
        <v>20</v>
      </c>
      <c r="F93" s="11">
        <v>16.670000000000002</v>
      </c>
      <c r="G93" s="11">
        <v>43.94</v>
      </c>
      <c r="H93" s="11">
        <v>5</v>
      </c>
      <c r="I93" s="13">
        <f t="shared" si="11"/>
        <v>85.61</v>
      </c>
      <c r="J93" s="11">
        <v>0</v>
      </c>
      <c r="K93" s="11">
        <v>0</v>
      </c>
      <c r="L93" s="11">
        <v>0</v>
      </c>
      <c r="M93" s="13">
        <f t="shared" si="12"/>
        <v>0</v>
      </c>
      <c r="N93" s="11">
        <v>0</v>
      </c>
      <c r="O93" s="11">
        <v>0</v>
      </c>
      <c r="P93" s="11">
        <v>0</v>
      </c>
      <c r="Q93" s="11">
        <v>0</v>
      </c>
      <c r="R93" s="13">
        <f t="shared" si="13"/>
        <v>0</v>
      </c>
      <c r="S93">
        <v>0</v>
      </c>
      <c r="T93">
        <v>0</v>
      </c>
      <c r="U93" s="7">
        <f t="shared" si="14"/>
        <v>0</v>
      </c>
      <c r="V93">
        <v>0</v>
      </c>
      <c r="W93">
        <v>0</v>
      </c>
      <c r="X93">
        <v>0</v>
      </c>
      <c r="Y93">
        <v>0</v>
      </c>
      <c r="Z93" s="13">
        <f t="shared" si="15"/>
        <v>0</v>
      </c>
      <c r="AA93">
        <v>0</v>
      </c>
      <c r="AB93">
        <v>0</v>
      </c>
      <c r="AC93">
        <v>0</v>
      </c>
      <c r="AD93">
        <v>0</v>
      </c>
      <c r="AE93" s="7">
        <f t="shared" si="16"/>
        <v>0</v>
      </c>
      <c r="AF93">
        <v>50</v>
      </c>
      <c r="AG93">
        <v>16.670000000000002</v>
      </c>
      <c r="AH93">
        <v>26.83</v>
      </c>
      <c r="AI93" s="13">
        <f t="shared" si="17"/>
        <v>93.5</v>
      </c>
      <c r="AJ93" s="11" t="s">
        <v>51</v>
      </c>
      <c r="AK93" s="11" t="s">
        <v>51</v>
      </c>
      <c r="AL93" s="11" t="s">
        <v>51</v>
      </c>
      <c r="AM93" s="13">
        <f t="shared" si="18"/>
        <v>0</v>
      </c>
      <c r="AN93" s="18">
        <v>32</v>
      </c>
      <c r="AO93" s="18">
        <v>0</v>
      </c>
      <c r="AP93" s="18">
        <v>0</v>
      </c>
      <c r="AQ93" s="18">
        <v>8</v>
      </c>
      <c r="AR93" s="18">
        <f t="shared" si="19"/>
        <v>40</v>
      </c>
      <c r="AS93" t="s">
        <v>52</v>
      </c>
      <c r="AT93" s="9">
        <v>87.188000000000002</v>
      </c>
      <c r="AU93" s="30">
        <f t="shared" si="21"/>
        <v>87.188000000000002</v>
      </c>
    </row>
    <row r="94" spans="1:47" x14ac:dyDescent="0.25">
      <c r="A94" t="s">
        <v>46</v>
      </c>
      <c r="B94" t="s">
        <v>397</v>
      </c>
      <c r="C94" t="s">
        <v>398</v>
      </c>
      <c r="D94" t="s">
        <v>399</v>
      </c>
      <c r="E94" s="11">
        <v>20</v>
      </c>
      <c r="F94" s="11">
        <v>20</v>
      </c>
      <c r="G94" s="11">
        <v>42.07</v>
      </c>
      <c r="H94" s="11">
        <v>2.5</v>
      </c>
      <c r="I94" s="13">
        <f t="shared" si="11"/>
        <v>84.57</v>
      </c>
      <c r="J94" s="11">
        <v>0</v>
      </c>
      <c r="K94" s="11">
        <v>0</v>
      </c>
      <c r="L94" s="11">
        <v>0</v>
      </c>
      <c r="M94" s="13">
        <f t="shared" si="12"/>
        <v>0</v>
      </c>
      <c r="N94" s="11">
        <v>0</v>
      </c>
      <c r="O94" s="11">
        <v>0</v>
      </c>
      <c r="P94" s="11">
        <v>0</v>
      </c>
      <c r="Q94" s="11">
        <v>0</v>
      </c>
      <c r="R94" s="13">
        <f t="shared" si="13"/>
        <v>0</v>
      </c>
      <c r="S94">
        <v>0</v>
      </c>
      <c r="T94">
        <v>0</v>
      </c>
      <c r="U94" s="7">
        <f t="shared" si="14"/>
        <v>0</v>
      </c>
      <c r="V94">
        <v>0</v>
      </c>
      <c r="W94">
        <v>0</v>
      </c>
      <c r="X94">
        <v>0</v>
      </c>
      <c r="Y94">
        <v>0</v>
      </c>
      <c r="Z94" s="13">
        <f t="shared" si="15"/>
        <v>0</v>
      </c>
      <c r="AA94">
        <v>0</v>
      </c>
      <c r="AB94">
        <v>0</v>
      </c>
      <c r="AC94">
        <v>0</v>
      </c>
      <c r="AD94">
        <v>0</v>
      </c>
      <c r="AE94" s="7">
        <f t="shared" si="16"/>
        <v>0</v>
      </c>
      <c r="AF94">
        <v>0</v>
      </c>
      <c r="AG94">
        <v>0</v>
      </c>
      <c r="AH94">
        <v>0</v>
      </c>
      <c r="AI94" s="13">
        <f t="shared" si="17"/>
        <v>0</v>
      </c>
      <c r="AJ94" s="11" t="s">
        <v>51</v>
      </c>
      <c r="AK94" s="11" t="s">
        <v>51</v>
      </c>
      <c r="AL94" s="11" t="s">
        <v>51</v>
      </c>
      <c r="AM94" s="13">
        <f t="shared" si="18"/>
        <v>0</v>
      </c>
      <c r="AN94" s="18">
        <v>4</v>
      </c>
      <c r="AO94" s="18">
        <v>0</v>
      </c>
      <c r="AP94" s="18">
        <v>0</v>
      </c>
      <c r="AQ94" s="18">
        <v>0</v>
      </c>
      <c r="AR94" s="18">
        <f t="shared" si="19"/>
        <v>4</v>
      </c>
      <c r="AS94" t="s">
        <v>52</v>
      </c>
      <c r="AT94" s="9">
        <v>84.57</v>
      </c>
      <c r="AU94" s="30">
        <f t="shared" si="21"/>
        <v>84.57</v>
      </c>
    </row>
    <row r="95" spans="1:47" x14ac:dyDescent="0.25">
      <c r="A95" t="s">
        <v>46</v>
      </c>
      <c r="B95" t="s">
        <v>401</v>
      </c>
      <c r="C95" t="s">
        <v>402</v>
      </c>
      <c r="D95" t="s">
        <v>403</v>
      </c>
      <c r="E95" s="11">
        <v>20</v>
      </c>
      <c r="F95" s="11">
        <v>20</v>
      </c>
      <c r="G95" s="11">
        <v>41.52</v>
      </c>
      <c r="H95" s="11">
        <v>4.5</v>
      </c>
      <c r="I95" s="13">
        <f t="shared" si="11"/>
        <v>86.02000000000001</v>
      </c>
      <c r="J95" s="11">
        <v>0</v>
      </c>
      <c r="K95" s="11">
        <v>0</v>
      </c>
      <c r="L95" s="11">
        <v>0</v>
      </c>
      <c r="M95" s="13">
        <f t="shared" si="12"/>
        <v>0</v>
      </c>
      <c r="N95" s="11">
        <v>0</v>
      </c>
      <c r="O95" s="11">
        <v>0</v>
      </c>
      <c r="P95" s="11">
        <v>0</v>
      </c>
      <c r="Q95" s="11">
        <v>0</v>
      </c>
      <c r="R95" s="13">
        <f t="shared" si="13"/>
        <v>0</v>
      </c>
      <c r="S95">
        <v>0</v>
      </c>
      <c r="T95">
        <v>0</v>
      </c>
      <c r="U95" s="7">
        <f t="shared" si="14"/>
        <v>0</v>
      </c>
      <c r="V95">
        <v>0</v>
      </c>
      <c r="W95">
        <v>0</v>
      </c>
      <c r="X95">
        <v>0</v>
      </c>
      <c r="Y95">
        <v>0</v>
      </c>
      <c r="Z95" s="13">
        <f t="shared" si="15"/>
        <v>0</v>
      </c>
      <c r="AA95">
        <v>0</v>
      </c>
      <c r="AB95">
        <v>0</v>
      </c>
      <c r="AC95">
        <v>0</v>
      </c>
      <c r="AD95">
        <v>0</v>
      </c>
      <c r="AE95" s="7">
        <f t="shared" si="16"/>
        <v>0</v>
      </c>
      <c r="AF95">
        <v>0</v>
      </c>
      <c r="AG95">
        <v>0</v>
      </c>
      <c r="AH95">
        <v>0</v>
      </c>
      <c r="AI95" s="13">
        <f t="shared" si="17"/>
        <v>0</v>
      </c>
      <c r="AJ95" s="11" t="s">
        <v>51</v>
      </c>
      <c r="AK95" s="11" t="s">
        <v>51</v>
      </c>
      <c r="AL95" s="11" t="s">
        <v>51</v>
      </c>
      <c r="AM95" s="13">
        <f t="shared" si="18"/>
        <v>0</v>
      </c>
      <c r="AN95" s="18">
        <v>20</v>
      </c>
      <c r="AO95" s="18">
        <v>0</v>
      </c>
      <c r="AP95" s="18">
        <v>0</v>
      </c>
      <c r="AQ95" s="18">
        <v>0</v>
      </c>
      <c r="AR95" s="18">
        <f t="shared" si="19"/>
        <v>20</v>
      </c>
      <c r="AS95" t="s">
        <v>52</v>
      </c>
      <c r="AT95" s="9">
        <v>86.02000000000001</v>
      </c>
      <c r="AU95" s="30">
        <f t="shared" si="21"/>
        <v>86.02000000000001</v>
      </c>
    </row>
    <row r="96" spans="1:47" x14ac:dyDescent="0.25">
      <c r="A96" t="s">
        <v>46</v>
      </c>
      <c r="B96" t="s">
        <v>405</v>
      </c>
      <c r="C96" t="s">
        <v>406</v>
      </c>
      <c r="D96" t="s">
        <v>407</v>
      </c>
      <c r="E96" s="11">
        <v>20</v>
      </c>
      <c r="F96" s="11">
        <v>20</v>
      </c>
      <c r="G96" s="11">
        <v>44.63</v>
      </c>
      <c r="H96" s="11">
        <v>3.5</v>
      </c>
      <c r="I96" s="13">
        <f t="shared" si="11"/>
        <v>88.13</v>
      </c>
      <c r="J96" s="11">
        <v>0</v>
      </c>
      <c r="K96" s="11">
        <v>0</v>
      </c>
      <c r="L96" s="11">
        <v>0</v>
      </c>
      <c r="M96" s="13">
        <f t="shared" si="12"/>
        <v>0</v>
      </c>
      <c r="N96" s="11">
        <v>0</v>
      </c>
      <c r="O96" s="11">
        <v>0</v>
      </c>
      <c r="P96" s="11">
        <v>0</v>
      </c>
      <c r="Q96" s="11">
        <v>0</v>
      </c>
      <c r="R96" s="13">
        <f t="shared" si="13"/>
        <v>0</v>
      </c>
      <c r="S96">
        <v>0</v>
      </c>
      <c r="T96">
        <v>0</v>
      </c>
      <c r="U96" s="7">
        <f t="shared" si="14"/>
        <v>0</v>
      </c>
      <c r="V96">
        <v>0</v>
      </c>
      <c r="W96">
        <v>0</v>
      </c>
      <c r="X96">
        <v>0</v>
      </c>
      <c r="Y96">
        <v>0</v>
      </c>
      <c r="Z96" s="13">
        <f t="shared" si="15"/>
        <v>0</v>
      </c>
      <c r="AA96">
        <v>3.75</v>
      </c>
      <c r="AB96">
        <v>12.5</v>
      </c>
      <c r="AC96">
        <v>13.12</v>
      </c>
      <c r="AD96">
        <v>15</v>
      </c>
      <c r="AE96" s="7">
        <f t="shared" si="16"/>
        <v>44.37</v>
      </c>
      <c r="AF96">
        <v>0</v>
      </c>
      <c r="AG96">
        <v>0</v>
      </c>
      <c r="AH96">
        <v>0</v>
      </c>
      <c r="AI96" s="13">
        <f t="shared" si="17"/>
        <v>0</v>
      </c>
      <c r="AJ96" s="11" t="s">
        <v>51</v>
      </c>
      <c r="AK96" s="11" t="s">
        <v>51</v>
      </c>
      <c r="AL96" s="11" t="s">
        <v>51</v>
      </c>
      <c r="AM96" s="13">
        <f t="shared" si="18"/>
        <v>0</v>
      </c>
      <c r="AN96" s="18">
        <v>35</v>
      </c>
      <c r="AO96" s="18">
        <v>5</v>
      </c>
      <c r="AP96" s="18">
        <v>0</v>
      </c>
      <c r="AQ96" s="18">
        <v>0</v>
      </c>
      <c r="AR96" s="18">
        <f t="shared" si="19"/>
        <v>40</v>
      </c>
      <c r="AS96" t="s">
        <v>52</v>
      </c>
      <c r="AT96" s="9">
        <v>82.66</v>
      </c>
      <c r="AU96" s="30">
        <f t="shared" si="21"/>
        <v>82.66</v>
      </c>
    </row>
    <row r="97" spans="1:47" x14ac:dyDescent="0.25">
      <c r="A97" t="s">
        <v>46</v>
      </c>
      <c r="B97" t="s">
        <v>409</v>
      </c>
      <c r="C97" t="s">
        <v>410</v>
      </c>
      <c r="D97" t="s">
        <v>411</v>
      </c>
      <c r="E97" s="11">
        <v>25</v>
      </c>
      <c r="F97" s="11">
        <v>0</v>
      </c>
      <c r="G97" s="11">
        <v>59.15</v>
      </c>
      <c r="H97" s="11">
        <v>6.25</v>
      </c>
      <c r="I97" s="13">
        <f t="shared" si="11"/>
        <v>90.4</v>
      </c>
      <c r="J97" s="11">
        <v>0</v>
      </c>
      <c r="K97" s="11">
        <v>0</v>
      </c>
      <c r="L97" s="11">
        <v>0</v>
      </c>
      <c r="M97" s="13">
        <f t="shared" si="12"/>
        <v>0</v>
      </c>
      <c r="N97" s="11">
        <v>0</v>
      </c>
      <c r="O97" s="11">
        <v>0</v>
      </c>
      <c r="P97" s="11">
        <v>0</v>
      </c>
      <c r="Q97" s="11">
        <v>0</v>
      </c>
      <c r="R97" s="13">
        <f t="shared" si="13"/>
        <v>0</v>
      </c>
      <c r="S97">
        <v>0</v>
      </c>
      <c r="T97">
        <v>0</v>
      </c>
      <c r="U97" s="7">
        <f t="shared" si="14"/>
        <v>0</v>
      </c>
      <c r="V97">
        <v>0</v>
      </c>
      <c r="W97">
        <v>0</v>
      </c>
      <c r="X97">
        <v>0</v>
      </c>
      <c r="Y97">
        <v>0</v>
      </c>
      <c r="Z97" s="13">
        <f t="shared" si="15"/>
        <v>0</v>
      </c>
      <c r="AA97">
        <v>0</v>
      </c>
      <c r="AB97">
        <v>0</v>
      </c>
      <c r="AC97">
        <v>0</v>
      </c>
      <c r="AD97">
        <v>0</v>
      </c>
      <c r="AE97" s="7">
        <f t="shared" si="16"/>
        <v>0</v>
      </c>
      <c r="AF97">
        <v>0</v>
      </c>
      <c r="AG97">
        <v>0</v>
      </c>
      <c r="AH97">
        <v>0</v>
      </c>
      <c r="AI97" s="13">
        <f t="shared" si="17"/>
        <v>0</v>
      </c>
      <c r="AJ97" s="11" t="s">
        <v>51</v>
      </c>
      <c r="AK97" s="11" t="s">
        <v>51</v>
      </c>
      <c r="AL97" s="11" t="s">
        <v>51</v>
      </c>
      <c r="AM97" s="13">
        <f t="shared" si="18"/>
        <v>0</v>
      </c>
      <c r="AN97" s="18">
        <v>40</v>
      </c>
      <c r="AO97" s="18">
        <v>0</v>
      </c>
      <c r="AP97" s="18">
        <v>0</v>
      </c>
      <c r="AQ97" s="18">
        <v>0</v>
      </c>
      <c r="AR97" s="18">
        <f t="shared" si="19"/>
        <v>40</v>
      </c>
      <c r="AS97" t="s">
        <v>52</v>
      </c>
      <c r="AT97" s="9">
        <v>90.4</v>
      </c>
      <c r="AU97" s="30">
        <f t="shared" si="21"/>
        <v>90.4</v>
      </c>
    </row>
    <row r="98" spans="1:47" x14ac:dyDescent="0.25">
      <c r="A98" t="s">
        <v>46</v>
      </c>
      <c r="B98" t="s">
        <v>414</v>
      </c>
      <c r="C98" t="s">
        <v>415</v>
      </c>
      <c r="D98" t="s">
        <v>416</v>
      </c>
      <c r="E98" s="11">
        <v>0</v>
      </c>
      <c r="F98" s="11">
        <v>0</v>
      </c>
      <c r="G98" s="11">
        <v>57.300000000000011</v>
      </c>
      <c r="H98" s="11">
        <v>6.6666666666666652</v>
      </c>
      <c r="I98" s="13">
        <f t="shared" si="11"/>
        <v>63.966666666666676</v>
      </c>
      <c r="J98" s="11">
        <v>0</v>
      </c>
      <c r="K98" s="11">
        <v>0</v>
      </c>
      <c r="L98" s="11">
        <v>0</v>
      </c>
      <c r="M98" s="13">
        <f t="shared" si="12"/>
        <v>0</v>
      </c>
      <c r="N98" s="11">
        <v>0</v>
      </c>
      <c r="O98" s="11">
        <v>0</v>
      </c>
      <c r="P98" s="11">
        <v>0</v>
      </c>
      <c r="Q98" s="11">
        <v>0</v>
      </c>
      <c r="R98" s="13">
        <f t="shared" si="13"/>
        <v>0</v>
      </c>
      <c r="S98">
        <v>0</v>
      </c>
      <c r="T98">
        <v>0</v>
      </c>
      <c r="U98" s="7">
        <f t="shared" si="14"/>
        <v>0</v>
      </c>
      <c r="V98">
        <v>0</v>
      </c>
      <c r="W98">
        <v>0</v>
      </c>
      <c r="X98">
        <v>0</v>
      </c>
      <c r="Y98">
        <v>0</v>
      </c>
      <c r="Z98" s="13">
        <f t="shared" si="15"/>
        <v>0</v>
      </c>
      <c r="AA98">
        <v>0</v>
      </c>
      <c r="AB98">
        <v>0</v>
      </c>
      <c r="AC98">
        <v>0</v>
      </c>
      <c r="AD98">
        <v>0</v>
      </c>
      <c r="AE98" s="7">
        <f t="shared" si="16"/>
        <v>0</v>
      </c>
      <c r="AF98">
        <v>0</v>
      </c>
      <c r="AG98">
        <v>0</v>
      </c>
      <c r="AH98">
        <v>0</v>
      </c>
      <c r="AI98" s="13">
        <f t="shared" si="17"/>
        <v>0</v>
      </c>
      <c r="AJ98" s="11" t="s">
        <v>51</v>
      </c>
      <c r="AK98" s="11" t="s">
        <v>51</v>
      </c>
      <c r="AL98" s="11" t="s">
        <v>51</v>
      </c>
      <c r="AM98" s="13">
        <f t="shared" si="18"/>
        <v>0</v>
      </c>
      <c r="AN98" s="18">
        <v>2</v>
      </c>
      <c r="AO98" s="18">
        <v>0</v>
      </c>
      <c r="AP98" s="18">
        <v>0</v>
      </c>
      <c r="AQ98" s="18">
        <v>0</v>
      </c>
      <c r="AR98" s="18">
        <f t="shared" si="19"/>
        <v>2</v>
      </c>
      <c r="AS98" t="s">
        <v>52</v>
      </c>
      <c r="AT98" s="9">
        <v>63.966666666666676</v>
      </c>
      <c r="AU98" s="30">
        <f t="shared" si="21"/>
        <v>63.966666666666676</v>
      </c>
    </row>
    <row r="99" spans="1:47" s="6" customFormat="1" x14ac:dyDescent="0.25">
      <c r="A99" s="6" t="s">
        <v>46</v>
      </c>
      <c r="B99" s="6" t="s">
        <v>418</v>
      </c>
      <c r="C99" s="6" t="s">
        <v>419</v>
      </c>
      <c r="D99" s="6" t="s">
        <v>420</v>
      </c>
      <c r="E99" s="12">
        <v>0</v>
      </c>
      <c r="F99" s="12">
        <v>0</v>
      </c>
      <c r="G99" s="12">
        <v>0</v>
      </c>
      <c r="H99" s="12">
        <v>0</v>
      </c>
      <c r="I99" s="13">
        <f t="shared" si="11"/>
        <v>0</v>
      </c>
      <c r="J99" s="14">
        <v>80.428571428571416</v>
      </c>
      <c r="K99" s="14">
        <v>0</v>
      </c>
      <c r="L99" s="14">
        <v>6.4285714285714279</v>
      </c>
      <c r="M99" s="13">
        <f t="shared" si="12"/>
        <v>86.857142857142847</v>
      </c>
      <c r="N99" s="12">
        <v>0</v>
      </c>
      <c r="O99" s="12">
        <v>0</v>
      </c>
      <c r="P99" s="12">
        <v>0</v>
      </c>
      <c r="Q99" s="12">
        <v>0</v>
      </c>
      <c r="R99" s="13">
        <f t="shared" si="13"/>
        <v>0</v>
      </c>
      <c r="S99" s="6">
        <v>0</v>
      </c>
      <c r="T99" s="6">
        <v>0</v>
      </c>
      <c r="U99" s="7">
        <f t="shared" si="14"/>
        <v>0</v>
      </c>
      <c r="V99" s="6">
        <v>0</v>
      </c>
      <c r="W99" s="6">
        <v>0</v>
      </c>
      <c r="X99" s="6">
        <v>0</v>
      </c>
      <c r="Y99" s="6">
        <v>0</v>
      </c>
      <c r="Z99" s="13">
        <f t="shared" si="15"/>
        <v>0</v>
      </c>
      <c r="AA99" s="6">
        <v>0</v>
      </c>
      <c r="AB99" s="6">
        <v>0</v>
      </c>
      <c r="AC99" s="6">
        <v>0</v>
      </c>
      <c r="AD99" s="6">
        <v>0</v>
      </c>
      <c r="AE99" s="7">
        <f t="shared" si="16"/>
        <v>0</v>
      </c>
      <c r="AF99" s="6">
        <v>0</v>
      </c>
      <c r="AG99" s="6">
        <v>0</v>
      </c>
      <c r="AH99" s="6">
        <v>0</v>
      </c>
      <c r="AI99" s="13">
        <f t="shared" si="17"/>
        <v>0</v>
      </c>
      <c r="AJ99" s="12" t="s">
        <v>51</v>
      </c>
      <c r="AK99" s="12" t="s">
        <v>51</v>
      </c>
      <c r="AL99" s="12" t="s">
        <v>51</v>
      </c>
      <c r="AM99" s="13">
        <f t="shared" si="18"/>
        <v>0</v>
      </c>
      <c r="AN99" s="21">
        <v>2.125</v>
      </c>
      <c r="AO99" s="21">
        <v>0</v>
      </c>
      <c r="AP99" s="21">
        <v>0</v>
      </c>
      <c r="AQ99" s="21">
        <v>0</v>
      </c>
      <c r="AR99" s="18">
        <f t="shared" si="19"/>
        <v>2.125</v>
      </c>
      <c r="AS99" s="6" t="s">
        <v>87</v>
      </c>
      <c r="AT99" s="10">
        <v>86.857142857142847</v>
      </c>
      <c r="AU99" s="30">
        <f>+((AN99*M99)/AR99)</f>
        <v>86.857142857142847</v>
      </c>
    </row>
    <row r="100" spans="1:47" x14ac:dyDescent="0.25">
      <c r="A100" t="s">
        <v>46</v>
      </c>
      <c r="B100" t="s">
        <v>421</v>
      </c>
      <c r="C100" t="s">
        <v>422</v>
      </c>
      <c r="D100" t="s">
        <v>423</v>
      </c>
      <c r="E100" s="11">
        <v>15.92</v>
      </c>
      <c r="F100" s="11">
        <v>19</v>
      </c>
      <c r="G100" s="11">
        <v>32.35</v>
      </c>
      <c r="H100" s="11">
        <v>4.5</v>
      </c>
      <c r="I100" s="13">
        <f t="shared" si="11"/>
        <v>71.77000000000001</v>
      </c>
      <c r="J100" s="11">
        <v>0</v>
      </c>
      <c r="K100" s="11">
        <v>0</v>
      </c>
      <c r="L100" s="11">
        <v>0</v>
      </c>
      <c r="M100" s="13">
        <f t="shared" si="12"/>
        <v>0</v>
      </c>
      <c r="N100" s="11">
        <v>0</v>
      </c>
      <c r="O100" s="11">
        <v>0</v>
      </c>
      <c r="P100" s="11">
        <v>0</v>
      </c>
      <c r="Q100" s="11">
        <v>0</v>
      </c>
      <c r="R100" s="13">
        <f t="shared" si="13"/>
        <v>0</v>
      </c>
      <c r="S100">
        <v>0</v>
      </c>
      <c r="T100">
        <v>0</v>
      </c>
      <c r="U100" s="7">
        <f t="shared" si="14"/>
        <v>0</v>
      </c>
      <c r="V100">
        <v>0</v>
      </c>
      <c r="W100">
        <v>0</v>
      </c>
      <c r="X100">
        <v>0</v>
      </c>
      <c r="Y100">
        <v>0</v>
      </c>
      <c r="Z100" s="13">
        <f t="shared" si="15"/>
        <v>0</v>
      </c>
      <c r="AA100">
        <v>11.25</v>
      </c>
      <c r="AB100">
        <v>12.5</v>
      </c>
      <c r="AC100">
        <v>12.75</v>
      </c>
      <c r="AD100">
        <v>12.5</v>
      </c>
      <c r="AE100" s="7">
        <f t="shared" si="16"/>
        <v>49</v>
      </c>
      <c r="AF100">
        <v>0</v>
      </c>
      <c r="AG100">
        <v>0</v>
      </c>
      <c r="AH100">
        <v>0</v>
      </c>
      <c r="AI100" s="13">
        <f t="shared" si="17"/>
        <v>0</v>
      </c>
      <c r="AJ100" s="11" t="s">
        <v>51</v>
      </c>
      <c r="AK100" s="11" t="s">
        <v>51</v>
      </c>
      <c r="AL100" s="11" t="s">
        <v>51</v>
      </c>
      <c r="AM100" s="13">
        <f t="shared" si="18"/>
        <v>0</v>
      </c>
      <c r="AN100" s="18">
        <v>35</v>
      </c>
      <c r="AO100" s="18">
        <v>5</v>
      </c>
      <c r="AP100" s="18">
        <v>0</v>
      </c>
      <c r="AQ100" s="18">
        <v>0</v>
      </c>
      <c r="AR100" s="18">
        <f t="shared" si="19"/>
        <v>40</v>
      </c>
      <c r="AS100" t="s">
        <v>52</v>
      </c>
      <c r="AT100" s="9">
        <v>68.923750000000013</v>
      </c>
      <c r="AU100" s="30">
        <f>+((AN100*I100)+(AO100*AE100))/AR100</f>
        <v>68.923750000000013</v>
      </c>
    </row>
    <row r="101" spans="1:47" x14ac:dyDescent="0.25">
      <c r="A101" t="s">
        <v>46</v>
      </c>
      <c r="B101" t="s">
        <v>425</v>
      </c>
      <c r="C101" t="s">
        <v>426</v>
      </c>
      <c r="D101" t="s">
        <v>427</v>
      </c>
      <c r="E101" s="11">
        <v>0</v>
      </c>
      <c r="F101" s="11">
        <v>0</v>
      </c>
      <c r="G101" s="11">
        <v>0</v>
      </c>
      <c r="H101" s="11">
        <v>0</v>
      </c>
      <c r="I101" s="13">
        <f t="shared" si="11"/>
        <v>0</v>
      </c>
      <c r="J101" s="11">
        <v>0</v>
      </c>
      <c r="K101" s="11">
        <v>0</v>
      </c>
      <c r="L101" s="11">
        <v>0</v>
      </c>
      <c r="M101" s="13">
        <f t="shared" si="12"/>
        <v>0</v>
      </c>
      <c r="N101" s="11">
        <v>0</v>
      </c>
      <c r="O101" s="11">
        <v>0</v>
      </c>
      <c r="P101" s="11">
        <v>0</v>
      </c>
      <c r="Q101" s="11">
        <v>0</v>
      </c>
      <c r="R101" s="13">
        <f t="shared" si="13"/>
        <v>0</v>
      </c>
      <c r="S101">
        <v>55.11</v>
      </c>
      <c r="T101">
        <v>30</v>
      </c>
      <c r="U101" s="7">
        <f t="shared" si="14"/>
        <v>85.11</v>
      </c>
      <c r="V101">
        <v>0</v>
      </c>
      <c r="W101">
        <v>0</v>
      </c>
      <c r="X101">
        <v>0</v>
      </c>
      <c r="Y101">
        <v>0</v>
      </c>
      <c r="Z101" s="13">
        <f t="shared" si="15"/>
        <v>0</v>
      </c>
      <c r="AA101">
        <v>0</v>
      </c>
      <c r="AB101">
        <v>0</v>
      </c>
      <c r="AC101">
        <v>0</v>
      </c>
      <c r="AD101">
        <v>0</v>
      </c>
      <c r="AE101" s="7">
        <f t="shared" si="16"/>
        <v>0</v>
      </c>
      <c r="AF101">
        <v>0</v>
      </c>
      <c r="AG101">
        <v>0</v>
      </c>
      <c r="AH101">
        <v>0</v>
      </c>
      <c r="AI101" s="13">
        <f t="shared" si="17"/>
        <v>0</v>
      </c>
      <c r="AJ101" s="11" t="s">
        <v>51</v>
      </c>
      <c r="AK101" s="11" t="s">
        <v>51</v>
      </c>
      <c r="AL101" s="11" t="s">
        <v>51</v>
      </c>
      <c r="AM101" s="13">
        <f t="shared" si="18"/>
        <v>0</v>
      </c>
      <c r="AN101" s="18">
        <v>4</v>
      </c>
      <c r="AO101" s="18">
        <v>0</v>
      </c>
      <c r="AP101" s="18">
        <v>0</v>
      </c>
      <c r="AQ101" s="18">
        <v>0</v>
      </c>
      <c r="AR101" s="18">
        <f t="shared" si="19"/>
        <v>4</v>
      </c>
      <c r="AS101" t="s">
        <v>52</v>
      </c>
      <c r="AT101" s="9">
        <v>85.11</v>
      </c>
      <c r="AU101" s="30">
        <f>+((U101*AN101)/AR101)</f>
        <v>85.11</v>
      </c>
    </row>
    <row r="102" spans="1:47" s="16" customFormat="1" x14ac:dyDescent="0.25">
      <c r="A102" s="16" t="s">
        <v>46</v>
      </c>
      <c r="B102" s="16" t="s">
        <v>429</v>
      </c>
      <c r="C102" s="16" t="s">
        <v>430</v>
      </c>
      <c r="D102" s="16" t="s">
        <v>431</v>
      </c>
      <c r="E102" s="17">
        <v>0</v>
      </c>
      <c r="F102" s="17">
        <v>0</v>
      </c>
      <c r="G102" s="17">
        <v>0</v>
      </c>
      <c r="H102" s="17">
        <v>0</v>
      </c>
      <c r="I102" s="13">
        <f t="shared" si="11"/>
        <v>0</v>
      </c>
      <c r="J102" s="17">
        <v>0</v>
      </c>
      <c r="K102" s="17">
        <v>0</v>
      </c>
      <c r="L102" s="17">
        <v>0</v>
      </c>
      <c r="M102" s="13">
        <f t="shared" si="12"/>
        <v>0</v>
      </c>
      <c r="N102" s="26">
        <v>48.94</v>
      </c>
      <c r="O102" s="26">
        <v>3</v>
      </c>
      <c r="P102" s="26">
        <v>17.5</v>
      </c>
      <c r="Q102" s="26">
        <v>20</v>
      </c>
      <c r="R102" s="13">
        <f t="shared" si="13"/>
        <v>89.44</v>
      </c>
      <c r="S102" s="16">
        <v>0</v>
      </c>
      <c r="T102" s="16">
        <v>0</v>
      </c>
      <c r="U102" s="7">
        <f t="shared" si="14"/>
        <v>0</v>
      </c>
      <c r="V102" s="16">
        <v>3</v>
      </c>
      <c r="W102" s="16">
        <v>17.5</v>
      </c>
      <c r="X102" s="16">
        <v>43.99</v>
      </c>
      <c r="Y102" s="16">
        <v>20</v>
      </c>
      <c r="Z102" s="13">
        <f t="shared" si="15"/>
        <v>84.490000000000009</v>
      </c>
      <c r="AA102" s="16">
        <v>0</v>
      </c>
      <c r="AB102" s="16">
        <v>0</v>
      </c>
      <c r="AC102" s="16">
        <v>0</v>
      </c>
      <c r="AD102" s="16">
        <v>0</v>
      </c>
      <c r="AE102" s="7">
        <f t="shared" si="16"/>
        <v>0</v>
      </c>
      <c r="AF102" s="16">
        <v>0</v>
      </c>
      <c r="AG102" s="16">
        <v>0</v>
      </c>
      <c r="AH102" s="16">
        <v>0</v>
      </c>
      <c r="AI102" s="13">
        <f t="shared" si="17"/>
        <v>0</v>
      </c>
      <c r="AJ102" s="17" t="s">
        <v>51</v>
      </c>
      <c r="AK102" s="17" t="s">
        <v>51</v>
      </c>
      <c r="AL102" s="17" t="s">
        <v>51</v>
      </c>
      <c r="AM102" s="13">
        <f t="shared" si="18"/>
        <v>0</v>
      </c>
      <c r="AN102" s="22">
        <v>37</v>
      </c>
      <c r="AO102" s="22">
        <v>0</v>
      </c>
      <c r="AP102" s="22">
        <v>0</v>
      </c>
      <c r="AQ102" s="22">
        <v>0</v>
      </c>
      <c r="AR102" s="18">
        <f t="shared" si="19"/>
        <v>37</v>
      </c>
      <c r="AS102" s="16" t="s">
        <v>52</v>
      </c>
      <c r="AT102" s="1">
        <v>84.490000000000009</v>
      </c>
      <c r="AU102" s="30">
        <f>+((Z102*AN102)/AR102)</f>
        <v>84.490000000000009</v>
      </c>
    </row>
    <row r="103" spans="1:47" s="25" customFormat="1" x14ac:dyDescent="0.25">
      <c r="A103" s="25" t="s">
        <v>46</v>
      </c>
      <c r="B103" s="34" t="s">
        <v>429</v>
      </c>
      <c r="C103" s="34" t="s">
        <v>430</v>
      </c>
      <c r="D103" s="34" t="s">
        <v>431</v>
      </c>
      <c r="E103" s="26">
        <v>0</v>
      </c>
      <c r="F103" s="26">
        <v>0</v>
      </c>
      <c r="G103" s="26">
        <v>0</v>
      </c>
      <c r="H103" s="26">
        <v>0</v>
      </c>
      <c r="I103" s="13">
        <f t="shared" si="11"/>
        <v>0</v>
      </c>
      <c r="J103" s="26">
        <v>0</v>
      </c>
      <c r="K103" s="26">
        <v>0</v>
      </c>
      <c r="L103" s="26">
        <v>0</v>
      </c>
      <c r="M103" s="13">
        <f t="shared" si="12"/>
        <v>0</v>
      </c>
      <c r="N103" s="26">
        <v>48.94</v>
      </c>
      <c r="O103" s="26">
        <v>3</v>
      </c>
      <c r="P103" s="26">
        <v>17.5</v>
      </c>
      <c r="Q103" s="26">
        <v>20</v>
      </c>
      <c r="R103" s="13">
        <f t="shared" si="13"/>
        <v>89.44</v>
      </c>
      <c r="S103" s="25">
        <v>0</v>
      </c>
      <c r="T103" s="25">
        <v>0</v>
      </c>
      <c r="U103" s="7">
        <f t="shared" si="14"/>
        <v>0</v>
      </c>
      <c r="V103" s="25">
        <v>3</v>
      </c>
      <c r="W103" s="25">
        <v>17.5</v>
      </c>
      <c r="X103" s="25">
        <v>43.99</v>
      </c>
      <c r="Y103" s="25">
        <v>20</v>
      </c>
      <c r="Z103" s="13">
        <f t="shared" si="15"/>
        <v>84.490000000000009</v>
      </c>
      <c r="AA103" s="25">
        <v>0</v>
      </c>
      <c r="AB103" s="25">
        <v>0</v>
      </c>
      <c r="AC103" s="25">
        <v>0</v>
      </c>
      <c r="AD103" s="25">
        <v>0</v>
      </c>
      <c r="AE103" s="7">
        <f t="shared" si="16"/>
        <v>0</v>
      </c>
      <c r="AF103" s="25">
        <v>0</v>
      </c>
      <c r="AG103" s="25">
        <v>0</v>
      </c>
      <c r="AH103" s="25">
        <v>0</v>
      </c>
      <c r="AI103" s="13">
        <f t="shared" si="17"/>
        <v>0</v>
      </c>
      <c r="AJ103" s="26" t="s">
        <v>51</v>
      </c>
      <c r="AK103" s="26" t="s">
        <v>51</v>
      </c>
      <c r="AL103" s="26" t="s">
        <v>51</v>
      </c>
      <c r="AM103" s="13">
        <f t="shared" si="18"/>
        <v>0</v>
      </c>
      <c r="AN103" s="23">
        <v>3</v>
      </c>
      <c r="AO103" s="23">
        <v>0</v>
      </c>
      <c r="AP103" s="23">
        <v>0</v>
      </c>
      <c r="AQ103" s="23">
        <v>0</v>
      </c>
      <c r="AR103" s="18">
        <f t="shared" si="19"/>
        <v>3</v>
      </c>
      <c r="AS103" s="25" t="s">
        <v>117</v>
      </c>
      <c r="AT103" s="29">
        <v>89.44</v>
      </c>
      <c r="AU103" s="26">
        <f>+((AN103*R103)+(AQ103*AI103)+(AP103*AM103))/AR103</f>
        <v>89.44</v>
      </c>
    </row>
    <row r="104" spans="1:47" x14ac:dyDescent="0.25">
      <c r="A104" t="s">
        <v>46</v>
      </c>
      <c r="B104" t="s">
        <v>433</v>
      </c>
      <c r="C104" t="s">
        <v>434</v>
      </c>
      <c r="D104" t="s">
        <v>435</v>
      </c>
      <c r="E104" s="11">
        <v>20</v>
      </c>
      <c r="F104" s="11">
        <v>20</v>
      </c>
      <c r="G104" s="11">
        <v>43.31</v>
      </c>
      <c r="H104" s="11">
        <v>7</v>
      </c>
      <c r="I104" s="13">
        <f t="shared" si="11"/>
        <v>90.31</v>
      </c>
      <c r="J104" s="11">
        <v>0</v>
      </c>
      <c r="K104" s="11">
        <v>0</v>
      </c>
      <c r="L104" s="11">
        <v>0</v>
      </c>
      <c r="M104" s="13">
        <f t="shared" si="12"/>
        <v>0</v>
      </c>
      <c r="N104" s="11">
        <v>43.31</v>
      </c>
      <c r="O104" s="11">
        <v>7</v>
      </c>
      <c r="P104" s="11">
        <v>20</v>
      </c>
      <c r="Q104" s="11">
        <v>20</v>
      </c>
      <c r="R104" s="13">
        <f t="shared" si="13"/>
        <v>90.31</v>
      </c>
      <c r="S104">
        <v>0</v>
      </c>
      <c r="T104">
        <v>0</v>
      </c>
      <c r="U104" s="7">
        <f t="shared" si="14"/>
        <v>0</v>
      </c>
      <c r="V104">
        <v>0</v>
      </c>
      <c r="W104">
        <v>0</v>
      </c>
      <c r="X104">
        <v>0</v>
      </c>
      <c r="Y104">
        <v>0</v>
      </c>
      <c r="Z104" s="13">
        <f t="shared" si="15"/>
        <v>0</v>
      </c>
      <c r="AA104">
        <v>0</v>
      </c>
      <c r="AB104">
        <v>0</v>
      </c>
      <c r="AC104">
        <v>0</v>
      </c>
      <c r="AD104">
        <v>0</v>
      </c>
      <c r="AE104" s="7">
        <f t="shared" si="16"/>
        <v>0</v>
      </c>
      <c r="AF104">
        <v>0</v>
      </c>
      <c r="AG104">
        <v>0</v>
      </c>
      <c r="AH104">
        <v>0</v>
      </c>
      <c r="AI104" s="13">
        <f t="shared" si="17"/>
        <v>0</v>
      </c>
      <c r="AJ104" s="11" t="s">
        <v>51</v>
      </c>
      <c r="AK104" s="11" t="s">
        <v>51</v>
      </c>
      <c r="AL104" s="11" t="s">
        <v>51</v>
      </c>
      <c r="AM104" s="13">
        <f t="shared" si="18"/>
        <v>0</v>
      </c>
      <c r="AN104" s="18">
        <v>6</v>
      </c>
      <c r="AO104" s="18">
        <v>0</v>
      </c>
      <c r="AP104" s="18">
        <v>0</v>
      </c>
      <c r="AQ104" s="18">
        <v>0</v>
      </c>
      <c r="AR104" s="18">
        <f t="shared" si="19"/>
        <v>6</v>
      </c>
      <c r="AS104" t="s">
        <v>52</v>
      </c>
      <c r="AT104" s="9">
        <v>90.31</v>
      </c>
      <c r="AU104" s="30">
        <f>+((AN104*I104)+(AO104*AE104)+(AQ104*AI104)+(AP104*AM104))/AR104</f>
        <v>90.31</v>
      </c>
    </row>
    <row r="105" spans="1:47" x14ac:dyDescent="0.25">
      <c r="A105" t="s">
        <v>46</v>
      </c>
      <c r="B105" s="32" t="s">
        <v>433</v>
      </c>
      <c r="C105" s="32" t="s">
        <v>434</v>
      </c>
      <c r="D105" s="32" t="s">
        <v>435</v>
      </c>
      <c r="E105" s="11">
        <v>20</v>
      </c>
      <c r="F105" s="11">
        <v>20</v>
      </c>
      <c r="G105" s="11">
        <v>42.74</v>
      </c>
      <c r="H105" s="11">
        <v>7</v>
      </c>
      <c r="I105" s="13">
        <f t="shared" si="11"/>
        <v>89.740000000000009</v>
      </c>
      <c r="J105" s="11">
        <v>0</v>
      </c>
      <c r="K105" s="11">
        <v>0</v>
      </c>
      <c r="L105" s="11">
        <v>0</v>
      </c>
      <c r="M105" s="13">
        <f t="shared" si="12"/>
        <v>0</v>
      </c>
      <c r="N105" s="11">
        <v>46.19</v>
      </c>
      <c r="O105" s="11">
        <v>7</v>
      </c>
      <c r="P105" s="11">
        <v>20</v>
      </c>
      <c r="Q105" s="11">
        <v>20</v>
      </c>
      <c r="R105" s="13">
        <f t="shared" si="13"/>
        <v>93.19</v>
      </c>
      <c r="S105">
        <v>0</v>
      </c>
      <c r="T105">
        <v>0</v>
      </c>
      <c r="U105" s="7">
        <f t="shared" si="14"/>
        <v>0</v>
      </c>
      <c r="V105">
        <v>0</v>
      </c>
      <c r="W105">
        <v>0</v>
      </c>
      <c r="X105">
        <v>0</v>
      </c>
      <c r="Y105">
        <v>0</v>
      </c>
      <c r="Z105" s="13">
        <f t="shared" si="15"/>
        <v>0</v>
      </c>
      <c r="AA105">
        <v>0</v>
      </c>
      <c r="AB105">
        <v>0</v>
      </c>
      <c r="AC105">
        <v>0</v>
      </c>
      <c r="AD105">
        <v>0</v>
      </c>
      <c r="AE105" s="7">
        <f t="shared" si="16"/>
        <v>0</v>
      </c>
      <c r="AF105">
        <v>0</v>
      </c>
      <c r="AG105">
        <v>0</v>
      </c>
      <c r="AH105">
        <v>0</v>
      </c>
      <c r="AI105" s="13">
        <f t="shared" si="17"/>
        <v>0</v>
      </c>
      <c r="AJ105" s="11" t="s">
        <v>51</v>
      </c>
      <c r="AK105" s="11" t="s">
        <v>51</v>
      </c>
      <c r="AL105" s="11" t="s">
        <v>51</v>
      </c>
      <c r="AM105" s="13">
        <f t="shared" si="18"/>
        <v>0</v>
      </c>
      <c r="AN105" s="18">
        <v>2</v>
      </c>
      <c r="AO105" s="18">
        <v>0</v>
      </c>
      <c r="AP105" s="18">
        <v>0</v>
      </c>
      <c r="AQ105" s="18">
        <v>0</v>
      </c>
      <c r="AR105" s="18">
        <f t="shared" si="19"/>
        <v>2</v>
      </c>
      <c r="AS105" t="s">
        <v>117</v>
      </c>
      <c r="AT105" s="9">
        <v>93.19</v>
      </c>
      <c r="AU105" s="11">
        <f>+((AN105*R105)+(AQ105*AI105)+(AP105*AM105))/AR105</f>
        <v>93.19</v>
      </c>
    </row>
    <row r="106" spans="1:47" x14ac:dyDescent="0.25">
      <c r="A106" t="s">
        <v>46</v>
      </c>
      <c r="B106" t="s">
        <v>437</v>
      </c>
      <c r="C106" t="s">
        <v>438</v>
      </c>
      <c r="D106" t="s">
        <v>439</v>
      </c>
      <c r="E106" s="11">
        <v>19.670000000000002</v>
      </c>
      <c r="F106" s="11">
        <v>20</v>
      </c>
      <c r="G106" s="11">
        <v>47.58</v>
      </c>
      <c r="H106" s="11">
        <v>9.5</v>
      </c>
      <c r="I106" s="13">
        <f t="shared" si="11"/>
        <v>96.75</v>
      </c>
      <c r="J106" s="11">
        <v>0</v>
      </c>
      <c r="K106" s="11">
        <v>0</v>
      </c>
      <c r="L106" s="11">
        <v>0</v>
      </c>
      <c r="M106" s="13">
        <f t="shared" si="12"/>
        <v>0</v>
      </c>
      <c r="N106" s="11">
        <v>0</v>
      </c>
      <c r="O106" s="11">
        <v>0</v>
      </c>
      <c r="P106" s="11">
        <v>0</v>
      </c>
      <c r="Q106" s="11">
        <v>0</v>
      </c>
      <c r="R106" s="13">
        <f t="shared" si="13"/>
        <v>0</v>
      </c>
      <c r="S106">
        <v>0</v>
      </c>
      <c r="T106">
        <v>0</v>
      </c>
      <c r="U106" s="7">
        <f t="shared" si="14"/>
        <v>0</v>
      </c>
      <c r="V106">
        <v>0</v>
      </c>
      <c r="W106">
        <v>0</v>
      </c>
      <c r="X106">
        <v>0</v>
      </c>
      <c r="Y106">
        <v>0</v>
      </c>
      <c r="Z106" s="13">
        <f t="shared" si="15"/>
        <v>0</v>
      </c>
      <c r="AA106">
        <v>0</v>
      </c>
      <c r="AB106">
        <v>0</v>
      </c>
      <c r="AC106">
        <v>0</v>
      </c>
      <c r="AD106">
        <v>0</v>
      </c>
      <c r="AE106" s="7">
        <f t="shared" si="16"/>
        <v>0</v>
      </c>
      <c r="AF106">
        <v>0</v>
      </c>
      <c r="AG106">
        <v>0</v>
      </c>
      <c r="AH106">
        <v>0</v>
      </c>
      <c r="AI106" s="13">
        <f t="shared" si="17"/>
        <v>0</v>
      </c>
      <c r="AJ106" s="11" t="s">
        <v>51</v>
      </c>
      <c r="AK106" s="11" t="s">
        <v>51</v>
      </c>
      <c r="AL106" s="11" t="s">
        <v>51</v>
      </c>
      <c r="AM106" s="13">
        <f t="shared" si="18"/>
        <v>0</v>
      </c>
      <c r="AN106" s="18">
        <v>40</v>
      </c>
      <c r="AO106" s="18">
        <v>0</v>
      </c>
      <c r="AP106" s="18">
        <v>0</v>
      </c>
      <c r="AQ106" s="18">
        <v>0</v>
      </c>
      <c r="AR106" s="18">
        <f t="shared" si="19"/>
        <v>40</v>
      </c>
      <c r="AS106" t="s">
        <v>52</v>
      </c>
      <c r="AT106" s="9">
        <v>96.75</v>
      </c>
      <c r="AU106" s="30">
        <f>+((AN106*I106)+(AO106*AE106)+(AQ106*AI106)+(AP106*AM106))/AR106</f>
        <v>96.75</v>
      </c>
    </row>
    <row r="107" spans="1:47" x14ac:dyDescent="0.25">
      <c r="A107" t="s">
        <v>46</v>
      </c>
      <c r="B107" t="s">
        <v>441</v>
      </c>
      <c r="C107" t="s">
        <v>442</v>
      </c>
      <c r="D107" t="s">
        <v>443</v>
      </c>
      <c r="E107" s="11">
        <v>25</v>
      </c>
      <c r="F107" s="11">
        <v>0</v>
      </c>
      <c r="G107" s="11">
        <v>51.674999999999997</v>
      </c>
      <c r="H107" s="11">
        <v>8.75</v>
      </c>
      <c r="I107" s="13">
        <f t="shared" si="11"/>
        <v>85.424999999999997</v>
      </c>
      <c r="J107" s="11">
        <v>0</v>
      </c>
      <c r="K107" s="11">
        <v>0</v>
      </c>
      <c r="L107" s="11">
        <v>0</v>
      </c>
      <c r="M107" s="13">
        <f t="shared" si="12"/>
        <v>0</v>
      </c>
      <c r="N107" s="11">
        <v>0</v>
      </c>
      <c r="O107" s="11">
        <v>0</v>
      </c>
      <c r="P107" s="11">
        <v>0</v>
      </c>
      <c r="Q107" s="11">
        <v>0</v>
      </c>
      <c r="R107" s="13">
        <f t="shared" si="13"/>
        <v>0</v>
      </c>
      <c r="S107">
        <v>0</v>
      </c>
      <c r="T107">
        <v>0</v>
      </c>
      <c r="U107" s="7">
        <f t="shared" si="14"/>
        <v>0</v>
      </c>
      <c r="V107">
        <v>0</v>
      </c>
      <c r="W107">
        <v>0</v>
      </c>
      <c r="X107">
        <v>0</v>
      </c>
      <c r="Y107">
        <v>0</v>
      </c>
      <c r="Z107" s="13">
        <f t="shared" si="15"/>
        <v>0</v>
      </c>
      <c r="AA107">
        <v>0</v>
      </c>
      <c r="AB107">
        <v>0</v>
      </c>
      <c r="AC107">
        <v>0</v>
      </c>
      <c r="AD107">
        <v>0</v>
      </c>
      <c r="AE107" s="7">
        <f t="shared" si="16"/>
        <v>0</v>
      </c>
      <c r="AF107">
        <v>0</v>
      </c>
      <c r="AG107">
        <v>0</v>
      </c>
      <c r="AH107">
        <v>0</v>
      </c>
      <c r="AI107" s="13">
        <f t="shared" si="17"/>
        <v>0</v>
      </c>
      <c r="AJ107" s="11" t="s">
        <v>51</v>
      </c>
      <c r="AK107" s="11" t="s">
        <v>51</v>
      </c>
      <c r="AL107" s="11" t="s">
        <v>51</v>
      </c>
      <c r="AM107" s="13">
        <f t="shared" si="18"/>
        <v>0</v>
      </c>
      <c r="AN107" s="18">
        <v>40</v>
      </c>
      <c r="AO107" s="18">
        <v>0</v>
      </c>
      <c r="AP107" s="18">
        <v>0</v>
      </c>
      <c r="AQ107" s="18">
        <v>0</v>
      </c>
      <c r="AR107" s="18">
        <f t="shared" si="19"/>
        <v>40</v>
      </c>
      <c r="AS107" t="s">
        <v>52</v>
      </c>
      <c r="AT107" s="9">
        <v>85.424999999999997</v>
      </c>
      <c r="AU107" s="30">
        <f>+((AN107*I107)+(AO107*AE107)+(AQ107*AI107)+(AP107*AM107))/AR107</f>
        <v>85.424999999999997</v>
      </c>
    </row>
    <row r="108" spans="1:47" s="6" customFormat="1" x14ac:dyDescent="0.25">
      <c r="A108" s="6" t="s">
        <v>46</v>
      </c>
      <c r="B108" s="6" t="s">
        <v>445</v>
      </c>
      <c r="C108" s="6" t="s">
        <v>446</v>
      </c>
      <c r="D108" s="6" t="s">
        <v>447</v>
      </c>
      <c r="E108" s="12">
        <v>0</v>
      </c>
      <c r="F108" s="12">
        <v>0</v>
      </c>
      <c r="G108" s="12">
        <v>0</v>
      </c>
      <c r="H108" s="12">
        <v>0</v>
      </c>
      <c r="I108" s="13">
        <f t="shared" si="11"/>
        <v>0</v>
      </c>
      <c r="J108" s="14">
        <v>51.69</v>
      </c>
      <c r="K108" s="14">
        <v>30</v>
      </c>
      <c r="L108" s="14">
        <v>4.75</v>
      </c>
      <c r="M108" s="13">
        <f t="shared" si="12"/>
        <v>86.44</v>
      </c>
      <c r="N108" s="12">
        <v>0</v>
      </c>
      <c r="O108" s="12">
        <v>0</v>
      </c>
      <c r="P108" s="12">
        <v>0</v>
      </c>
      <c r="Q108" s="12">
        <v>0</v>
      </c>
      <c r="R108" s="13">
        <f t="shared" si="13"/>
        <v>0</v>
      </c>
      <c r="S108" s="6">
        <v>0</v>
      </c>
      <c r="T108" s="6">
        <v>0</v>
      </c>
      <c r="U108" s="7">
        <f t="shared" si="14"/>
        <v>0</v>
      </c>
      <c r="V108" s="6">
        <v>0</v>
      </c>
      <c r="W108" s="6">
        <v>0</v>
      </c>
      <c r="X108" s="6">
        <v>0</v>
      </c>
      <c r="Y108" s="6">
        <v>0</v>
      </c>
      <c r="Z108" s="13">
        <f t="shared" si="15"/>
        <v>0</v>
      </c>
      <c r="AA108" s="6">
        <v>0</v>
      </c>
      <c r="AB108" s="6">
        <v>0</v>
      </c>
      <c r="AC108" s="6">
        <v>0</v>
      </c>
      <c r="AD108" s="6">
        <v>0</v>
      </c>
      <c r="AE108" s="7">
        <f t="shared" si="16"/>
        <v>0</v>
      </c>
      <c r="AF108" s="6">
        <v>0</v>
      </c>
      <c r="AG108" s="6">
        <v>0</v>
      </c>
      <c r="AH108" s="6">
        <v>0</v>
      </c>
      <c r="AI108" s="13">
        <f t="shared" si="17"/>
        <v>0</v>
      </c>
      <c r="AJ108" s="12" t="s">
        <v>51</v>
      </c>
      <c r="AK108" s="12" t="s">
        <v>51</v>
      </c>
      <c r="AL108" s="12" t="s">
        <v>51</v>
      </c>
      <c r="AM108" s="13">
        <f t="shared" si="18"/>
        <v>0</v>
      </c>
      <c r="AN108" s="21">
        <v>2</v>
      </c>
      <c r="AO108" s="21">
        <v>0</v>
      </c>
      <c r="AP108" s="21">
        <v>0</v>
      </c>
      <c r="AQ108" s="21">
        <v>0</v>
      </c>
      <c r="AR108" s="18">
        <f t="shared" si="19"/>
        <v>2</v>
      </c>
      <c r="AS108" s="6" t="s">
        <v>87</v>
      </c>
      <c r="AT108" s="10">
        <v>86.44</v>
      </c>
      <c r="AU108" s="30">
        <f>+((AN108*M108)/AR108)</f>
        <v>86.44</v>
      </c>
    </row>
    <row r="109" spans="1:47" x14ac:dyDescent="0.25">
      <c r="A109" t="s">
        <v>46</v>
      </c>
      <c r="B109" t="s">
        <v>448</v>
      </c>
      <c r="C109" t="s">
        <v>449</v>
      </c>
      <c r="D109" t="s">
        <v>450</v>
      </c>
      <c r="E109" s="11">
        <v>17.5</v>
      </c>
      <c r="F109" s="11">
        <v>18.329999999999998</v>
      </c>
      <c r="G109" s="11">
        <v>39.520000000000003</v>
      </c>
      <c r="H109" s="11">
        <v>7</v>
      </c>
      <c r="I109" s="13">
        <f t="shared" si="11"/>
        <v>82.35</v>
      </c>
      <c r="J109" s="11">
        <v>0</v>
      </c>
      <c r="K109" s="11">
        <v>0</v>
      </c>
      <c r="L109" s="11">
        <v>0</v>
      </c>
      <c r="M109" s="13">
        <f t="shared" si="12"/>
        <v>0</v>
      </c>
      <c r="N109" s="11">
        <v>0</v>
      </c>
      <c r="O109" s="11">
        <v>0</v>
      </c>
      <c r="P109" s="11">
        <v>0</v>
      </c>
      <c r="Q109" s="11">
        <v>0</v>
      </c>
      <c r="R109" s="13">
        <f t="shared" si="13"/>
        <v>0</v>
      </c>
      <c r="S109">
        <v>0</v>
      </c>
      <c r="T109">
        <v>0</v>
      </c>
      <c r="U109" s="7">
        <f t="shared" si="14"/>
        <v>0</v>
      </c>
      <c r="V109">
        <v>0</v>
      </c>
      <c r="W109">
        <v>0</v>
      </c>
      <c r="X109">
        <v>0</v>
      </c>
      <c r="Y109">
        <v>0</v>
      </c>
      <c r="Z109" s="13">
        <f t="shared" si="15"/>
        <v>0</v>
      </c>
      <c r="AA109" s="11">
        <v>0</v>
      </c>
      <c r="AB109" s="11">
        <v>45.588235294117652</v>
      </c>
      <c r="AC109" s="11">
        <v>17.647058823529413</v>
      </c>
      <c r="AD109" s="11">
        <v>23.529411764705877</v>
      </c>
      <c r="AE109" s="7">
        <f t="shared" si="16"/>
        <v>86.764705882352942</v>
      </c>
      <c r="AF109">
        <v>50</v>
      </c>
      <c r="AG109">
        <v>17.329999999999998</v>
      </c>
      <c r="AH109">
        <v>25.57</v>
      </c>
      <c r="AI109" s="13">
        <f t="shared" si="17"/>
        <v>92.9</v>
      </c>
      <c r="AJ109" s="11" t="s">
        <v>51</v>
      </c>
      <c r="AK109" s="11" t="s">
        <v>51</v>
      </c>
      <c r="AL109" s="11" t="s">
        <v>51</v>
      </c>
      <c r="AM109" s="13">
        <f t="shared" si="18"/>
        <v>0</v>
      </c>
      <c r="AN109" s="18">
        <v>25.75</v>
      </c>
      <c r="AO109" s="18">
        <v>6.25</v>
      </c>
      <c r="AP109" s="18">
        <v>0</v>
      </c>
      <c r="AQ109" s="18">
        <v>8</v>
      </c>
      <c r="AR109" s="18">
        <f t="shared" si="19"/>
        <v>40</v>
      </c>
      <c r="AS109" t="s">
        <v>52</v>
      </c>
      <c r="AT109" s="9">
        <v>85.149797794117646</v>
      </c>
      <c r="AU109" s="30">
        <f>+((AN109*I109)+(AO109*AE109)+(AQ109*AI109))/AR109</f>
        <v>85.149797794117646</v>
      </c>
    </row>
    <row r="110" spans="1:47" x14ac:dyDescent="0.25">
      <c r="A110" t="s">
        <v>46</v>
      </c>
      <c r="B110" t="s">
        <v>452</v>
      </c>
      <c r="C110" t="s">
        <v>453</v>
      </c>
      <c r="D110" t="s">
        <v>454</v>
      </c>
      <c r="E110" s="11">
        <v>20</v>
      </c>
      <c r="F110" s="11">
        <v>20</v>
      </c>
      <c r="G110" s="11">
        <v>41.36</v>
      </c>
      <c r="H110" s="11">
        <v>5.5</v>
      </c>
      <c r="I110" s="13">
        <f t="shared" si="11"/>
        <v>86.86</v>
      </c>
      <c r="J110" s="11">
        <v>0</v>
      </c>
      <c r="K110" s="11">
        <v>0</v>
      </c>
      <c r="L110" s="11">
        <v>0</v>
      </c>
      <c r="M110" s="13">
        <f t="shared" si="12"/>
        <v>0</v>
      </c>
      <c r="N110" s="11">
        <v>0</v>
      </c>
      <c r="O110" s="11">
        <v>0</v>
      </c>
      <c r="P110" s="11">
        <v>0</v>
      </c>
      <c r="Q110" s="11">
        <v>0</v>
      </c>
      <c r="R110" s="13">
        <f t="shared" si="13"/>
        <v>0</v>
      </c>
      <c r="S110">
        <v>0</v>
      </c>
      <c r="T110">
        <v>0</v>
      </c>
      <c r="U110" s="7">
        <f t="shared" si="14"/>
        <v>0</v>
      </c>
      <c r="V110">
        <v>0</v>
      </c>
      <c r="W110">
        <v>0</v>
      </c>
      <c r="X110">
        <v>0</v>
      </c>
      <c r="Y110">
        <v>0</v>
      </c>
      <c r="Z110" s="13">
        <f t="shared" si="15"/>
        <v>0</v>
      </c>
      <c r="AA110">
        <v>0</v>
      </c>
      <c r="AB110">
        <v>0</v>
      </c>
      <c r="AC110">
        <v>0</v>
      </c>
      <c r="AD110">
        <v>0</v>
      </c>
      <c r="AE110" s="7">
        <f t="shared" si="16"/>
        <v>0</v>
      </c>
      <c r="AF110">
        <v>50</v>
      </c>
      <c r="AG110">
        <v>0</v>
      </c>
      <c r="AH110" s="11">
        <v>36.66375</v>
      </c>
      <c r="AI110" s="13">
        <f t="shared" si="17"/>
        <v>86.663749999999993</v>
      </c>
      <c r="AJ110" s="11" t="s">
        <v>51</v>
      </c>
      <c r="AK110" s="11" t="s">
        <v>51</v>
      </c>
      <c r="AL110" s="11" t="s">
        <v>51</v>
      </c>
      <c r="AM110" s="13">
        <f t="shared" si="18"/>
        <v>0</v>
      </c>
      <c r="AN110" s="18">
        <v>35</v>
      </c>
      <c r="AO110" s="18">
        <v>0</v>
      </c>
      <c r="AP110" s="18">
        <v>0</v>
      </c>
      <c r="AQ110" s="18">
        <v>5</v>
      </c>
      <c r="AR110" s="18">
        <f t="shared" si="19"/>
        <v>40</v>
      </c>
      <c r="AS110" t="s">
        <v>52</v>
      </c>
      <c r="AT110" s="9">
        <v>86.83546874999999</v>
      </c>
      <c r="AU110" s="30">
        <f>+((AN110*I110)+(AQ110*AI110))/AR110</f>
        <v>86.83546874999999</v>
      </c>
    </row>
    <row r="111" spans="1:47" x14ac:dyDescent="0.25">
      <c r="A111" t="s">
        <v>46</v>
      </c>
      <c r="B111" t="s">
        <v>456</v>
      </c>
      <c r="C111" t="s">
        <v>457</v>
      </c>
      <c r="D111" t="s">
        <v>458</v>
      </c>
      <c r="E111" s="11">
        <v>0</v>
      </c>
      <c r="F111" s="11">
        <v>0</v>
      </c>
      <c r="G111" s="11">
        <v>89.2</v>
      </c>
      <c r="H111" s="11">
        <v>0</v>
      </c>
      <c r="I111" s="13">
        <f t="shared" si="11"/>
        <v>89.2</v>
      </c>
      <c r="J111" s="11">
        <v>0</v>
      </c>
      <c r="K111" s="11">
        <v>0</v>
      </c>
      <c r="L111" s="11">
        <v>0</v>
      </c>
      <c r="M111" s="13">
        <f t="shared" si="12"/>
        <v>0</v>
      </c>
      <c r="N111" s="11">
        <v>0</v>
      </c>
      <c r="O111" s="11">
        <v>0</v>
      </c>
      <c r="P111" s="11">
        <v>0</v>
      </c>
      <c r="Q111" s="11">
        <v>0</v>
      </c>
      <c r="R111" s="13">
        <f t="shared" si="13"/>
        <v>0</v>
      </c>
      <c r="S111">
        <v>0</v>
      </c>
      <c r="T111">
        <v>0</v>
      </c>
      <c r="U111" s="7">
        <f t="shared" si="14"/>
        <v>0</v>
      </c>
      <c r="V111">
        <v>0</v>
      </c>
      <c r="W111">
        <v>0</v>
      </c>
      <c r="X111">
        <v>0</v>
      </c>
      <c r="Y111">
        <v>0</v>
      </c>
      <c r="Z111" s="13">
        <f t="shared" si="15"/>
        <v>0</v>
      </c>
      <c r="AA111">
        <v>0</v>
      </c>
      <c r="AB111">
        <v>0</v>
      </c>
      <c r="AC111">
        <v>0</v>
      </c>
      <c r="AD111">
        <v>0</v>
      </c>
      <c r="AE111" s="7">
        <f t="shared" si="16"/>
        <v>0</v>
      </c>
      <c r="AF111">
        <v>0</v>
      </c>
      <c r="AG111">
        <v>0</v>
      </c>
      <c r="AH111">
        <v>0</v>
      </c>
      <c r="AI111" s="13">
        <f t="shared" si="17"/>
        <v>0</v>
      </c>
      <c r="AJ111" s="11" t="s">
        <v>51</v>
      </c>
      <c r="AK111" s="11" t="s">
        <v>51</v>
      </c>
      <c r="AL111" s="11" t="s">
        <v>51</v>
      </c>
      <c r="AM111" s="13">
        <f t="shared" si="18"/>
        <v>0</v>
      </c>
      <c r="AN111" s="18">
        <v>7</v>
      </c>
      <c r="AO111" s="18">
        <v>0</v>
      </c>
      <c r="AP111" s="18">
        <v>0</v>
      </c>
      <c r="AQ111" s="18">
        <v>0</v>
      </c>
      <c r="AR111" s="18">
        <f t="shared" si="19"/>
        <v>7</v>
      </c>
      <c r="AS111" t="s">
        <v>52</v>
      </c>
      <c r="AT111" s="9">
        <v>89.2</v>
      </c>
      <c r="AU111" s="30">
        <f>+((AN111*I111)+(AO111*AE111)+(AQ111*AI111)+(AP111*AM111))/AR111</f>
        <v>89.2</v>
      </c>
    </row>
    <row r="112" spans="1:47" x14ac:dyDescent="0.25">
      <c r="A112" t="s">
        <v>46</v>
      </c>
      <c r="B112" t="s">
        <v>463</v>
      </c>
      <c r="C112" t="s">
        <v>464</v>
      </c>
      <c r="D112" t="s">
        <v>465</v>
      </c>
      <c r="E112" s="11">
        <v>0</v>
      </c>
      <c r="F112" s="11">
        <v>0</v>
      </c>
      <c r="G112" s="11">
        <v>0</v>
      </c>
      <c r="H112" s="11">
        <v>0</v>
      </c>
      <c r="I112" s="13">
        <f t="shared" si="11"/>
        <v>0</v>
      </c>
      <c r="J112" s="11">
        <v>0</v>
      </c>
      <c r="K112" s="11">
        <v>0</v>
      </c>
      <c r="L112" s="11">
        <v>0</v>
      </c>
      <c r="M112" s="13">
        <f t="shared" si="12"/>
        <v>0</v>
      </c>
      <c r="N112" s="11">
        <v>0</v>
      </c>
      <c r="O112" s="11">
        <v>0</v>
      </c>
      <c r="P112" s="11">
        <v>0</v>
      </c>
      <c r="Q112" s="11">
        <v>0</v>
      </c>
      <c r="R112" s="13">
        <f t="shared" si="13"/>
        <v>0</v>
      </c>
      <c r="S112">
        <v>0</v>
      </c>
      <c r="T112">
        <v>0</v>
      </c>
      <c r="U112" s="7">
        <f t="shared" si="14"/>
        <v>0</v>
      </c>
      <c r="V112">
        <v>4.5</v>
      </c>
      <c r="W112">
        <v>20</v>
      </c>
      <c r="X112">
        <v>44.97</v>
      </c>
      <c r="Y112">
        <v>20</v>
      </c>
      <c r="Z112" s="13">
        <f t="shared" si="15"/>
        <v>89.47</v>
      </c>
      <c r="AA112">
        <v>0</v>
      </c>
      <c r="AB112">
        <v>0</v>
      </c>
      <c r="AC112">
        <v>0</v>
      </c>
      <c r="AD112">
        <v>0</v>
      </c>
      <c r="AE112" s="7">
        <f t="shared" si="16"/>
        <v>0</v>
      </c>
      <c r="AF112">
        <v>0</v>
      </c>
      <c r="AG112">
        <v>0</v>
      </c>
      <c r="AH112">
        <v>0</v>
      </c>
      <c r="AI112" s="13">
        <f t="shared" si="17"/>
        <v>0</v>
      </c>
      <c r="AJ112" s="11" t="s">
        <v>51</v>
      </c>
      <c r="AK112" s="11" t="s">
        <v>51</v>
      </c>
      <c r="AL112" s="11" t="s">
        <v>51</v>
      </c>
      <c r="AM112" s="13">
        <f t="shared" si="18"/>
        <v>0</v>
      </c>
      <c r="AN112" s="18">
        <v>37.75</v>
      </c>
      <c r="AO112" s="18">
        <v>0</v>
      </c>
      <c r="AP112" s="18">
        <v>0</v>
      </c>
      <c r="AQ112" s="18">
        <v>0</v>
      </c>
      <c r="AR112" s="18">
        <f t="shared" si="19"/>
        <v>37.75</v>
      </c>
      <c r="AS112" t="s">
        <v>52</v>
      </c>
      <c r="AT112" s="9">
        <v>89.47</v>
      </c>
      <c r="AU112" s="30">
        <f>+((Z112*AN112)/AR112)</f>
        <v>89.47</v>
      </c>
    </row>
    <row r="113" spans="1:47" x14ac:dyDescent="0.25">
      <c r="A113" t="s">
        <v>46</v>
      </c>
      <c r="B113" t="s">
        <v>467</v>
      </c>
      <c r="C113" t="s">
        <v>464</v>
      </c>
      <c r="D113" t="s">
        <v>468</v>
      </c>
      <c r="E113" s="11">
        <v>20</v>
      </c>
      <c r="F113" s="11">
        <v>19.329999999999998</v>
      </c>
      <c r="G113" s="11">
        <v>42.02</v>
      </c>
      <c r="H113" s="11">
        <v>4</v>
      </c>
      <c r="I113" s="13">
        <f t="shared" si="11"/>
        <v>85.35</v>
      </c>
      <c r="J113" s="11">
        <v>0</v>
      </c>
      <c r="K113" s="11">
        <v>0</v>
      </c>
      <c r="L113" s="11">
        <v>0</v>
      </c>
      <c r="M113" s="13">
        <f t="shared" si="12"/>
        <v>0</v>
      </c>
      <c r="N113" s="11">
        <v>0</v>
      </c>
      <c r="O113" s="11">
        <v>0</v>
      </c>
      <c r="P113" s="11">
        <v>0</v>
      </c>
      <c r="Q113" s="11">
        <v>0</v>
      </c>
      <c r="R113" s="13">
        <f t="shared" si="13"/>
        <v>0</v>
      </c>
      <c r="S113">
        <v>0</v>
      </c>
      <c r="T113">
        <v>0</v>
      </c>
      <c r="U113" s="7">
        <f t="shared" si="14"/>
        <v>0</v>
      </c>
      <c r="V113">
        <v>0</v>
      </c>
      <c r="W113">
        <v>0</v>
      </c>
      <c r="X113">
        <v>0</v>
      </c>
      <c r="Y113">
        <v>0</v>
      </c>
      <c r="Z113" s="13">
        <f t="shared" si="15"/>
        <v>0</v>
      </c>
      <c r="AA113">
        <v>0</v>
      </c>
      <c r="AB113">
        <v>0</v>
      </c>
      <c r="AC113">
        <v>0</v>
      </c>
      <c r="AD113">
        <v>0</v>
      </c>
      <c r="AE113" s="7">
        <f t="shared" si="16"/>
        <v>0</v>
      </c>
      <c r="AF113">
        <v>0</v>
      </c>
      <c r="AG113">
        <v>0</v>
      </c>
      <c r="AH113">
        <v>0</v>
      </c>
      <c r="AI113" s="13">
        <f t="shared" si="17"/>
        <v>0</v>
      </c>
      <c r="AJ113" s="11" t="s">
        <v>51</v>
      </c>
      <c r="AK113" s="11" t="s">
        <v>51</v>
      </c>
      <c r="AL113" s="11" t="s">
        <v>51</v>
      </c>
      <c r="AM113" s="13">
        <f t="shared" si="18"/>
        <v>0</v>
      </c>
      <c r="AN113" s="18">
        <v>4</v>
      </c>
      <c r="AO113" s="18">
        <v>0</v>
      </c>
      <c r="AP113" s="18">
        <v>0</v>
      </c>
      <c r="AQ113" s="18">
        <v>0</v>
      </c>
      <c r="AR113" s="18">
        <f t="shared" si="19"/>
        <v>4</v>
      </c>
      <c r="AS113" t="s">
        <v>52</v>
      </c>
      <c r="AT113" s="9">
        <v>85.35</v>
      </c>
      <c r="AU113" s="30">
        <f>+((AN113*I113)+(AO113*AE113)+(AQ113*AI113)+(AP113*AM113))/AR113</f>
        <v>85.35</v>
      </c>
    </row>
    <row r="114" spans="1:47" x14ac:dyDescent="0.25">
      <c r="A114" t="s">
        <v>46</v>
      </c>
      <c r="B114" t="s">
        <v>470</v>
      </c>
      <c r="C114" t="s">
        <v>471</v>
      </c>
      <c r="D114" t="s">
        <v>472</v>
      </c>
      <c r="E114" s="11">
        <v>20</v>
      </c>
      <c r="F114" s="11">
        <v>20</v>
      </c>
      <c r="G114" s="11">
        <v>48.23</v>
      </c>
      <c r="H114" s="11">
        <v>3</v>
      </c>
      <c r="I114" s="13">
        <f t="shared" si="11"/>
        <v>91.22999999999999</v>
      </c>
      <c r="J114" s="11">
        <v>0</v>
      </c>
      <c r="K114" s="11">
        <v>0</v>
      </c>
      <c r="L114" s="11">
        <v>0</v>
      </c>
      <c r="M114" s="13">
        <f t="shared" si="12"/>
        <v>0</v>
      </c>
      <c r="N114" s="11">
        <v>0</v>
      </c>
      <c r="O114" s="11">
        <v>0</v>
      </c>
      <c r="P114" s="11">
        <v>0</v>
      </c>
      <c r="Q114" s="11">
        <v>0</v>
      </c>
      <c r="R114" s="13">
        <f t="shared" si="13"/>
        <v>0</v>
      </c>
      <c r="S114">
        <v>0</v>
      </c>
      <c r="T114">
        <v>0</v>
      </c>
      <c r="U114" s="7">
        <f t="shared" si="14"/>
        <v>0</v>
      </c>
      <c r="V114">
        <v>0</v>
      </c>
      <c r="W114">
        <v>0</v>
      </c>
      <c r="X114">
        <v>0</v>
      </c>
      <c r="Y114">
        <v>0</v>
      </c>
      <c r="Z114" s="13">
        <f t="shared" si="15"/>
        <v>0</v>
      </c>
      <c r="AA114">
        <v>0</v>
      </c>
      <c r="AB114">
        <v>0</v>
      </c>
      <c r="AC114">
        <v>0</v>
      </c>
      <c r="AD114">
        <v>0</v>
      </c>
      <c r="AE114" s="7">
        <f t="shared" si="16"/>
        <v>0</v>
      </c>
      <c r="AF114">
        <v>50</v>
      </c>
      <c r="AG114">
        <v>20</v>
      </c>
      <c r="AH114">
        <v>21.8</v>
      </c>
      <c r="AI114" s="13">
        <f t="shared" si="17"/>
        <v>91.8</v>
      </c>
      <c r="AJ114" s="11" t="s">
        <v>51</v>
      </c>
      <c r="AK114" s="11" t="s">
        <v>51</v>
      </c>
      <c r="AL114" s="11" t="s">
        <v>51</v>
      </c>
      <c r="AM114" s="13">
        <f t="shared" si="18"/>
        <v>0</v>
      </c>
      <c r="AN114" s="18">
        <v>32</v>
      </c>
      <c r="AO114" s="18">
        <v>0</v>
      </c>
      <c r="AP114" s="18">
        <v>0</v>
      </c>
      <c r="AQ114" s="18">
        <v>8</v>
      </c>
      <c r="AR114" s="18">
        <f t="shared" si="19"/>
        <v>40</v>
      </c>
      <c r="AS114" t="s">
        <v>52</v>
      </c>
      <c r="AT114" s="9">
        <v>91.343999999999994</v>
      </c>
      <c r="AU114" s="30">
        <f>+((AN114*I114)+(AO114*AE114)+(AQ114*AI114)+(AP114*AM114))/AR114</f>
        <v>91.343999999999994</v>
      </c>
    </row>
    <row r="115" spans="1:47" x14ac:dyDescent="0.25">
      <c r="A115" t="s">
        <v>46</v>
      </c>
      <c r="B115" t="s">
        <v>474</v>
      </c>
      <c r="C115" t="s">
        <v>475</v>
      </c>
      <c r="D115" t="s">
        <v>476</v>
      </c>
      <c r="E115" s="11">
        <v>20</v>
      </c>
      <c r="F115" s="11">
        <v>20</v>
      </c>
      <c r="G115" s="11">
        <v>43.76</v>
      </c>
      <c r="H115" s="11">
        <v>3</v>
      </c>
      <c r="I115" s="13">
        <f t="shared" si="11"/>
        <v>86.759999999999991</v>
      </c>
      <c r="J115" s="11">
        <v>0</v>
      </c>
      <c r="K115" s="11">
        <v>0</v>
      </c>
      <c r="L115" s="11">
        <v>0</v>
      </c>
      <c r="M115" s="13">
        <f t="shared" si="12"/>
        <v>0</v>
      </c>
      <c r="N115" s="11">
        <v>0</v>
      </c>
      <c r="O115" s="11">
        <v>0</v>
      </c>
      <c r="P115" s="11">
        <v>0</v>
      </c>
      <c r="Q115" s="11">
        <v>0</v>
      </c>
      <c r="R115" s="13">
        <f t="shared" si="13"/>
        <v>0</v>
      </c>
      <c r="S115">
        <v>0</v>
      </c>
      <c r="T115">
        <v>0</v>
      </c>
      <c r="U115" s="7">
        <f t="shared" si="14"/>
        <v>0</v>
      </c>
      <c r="V115">
        <v>0</v>
      </c>
      <c r="W115">
        <v>0</v>
      </c>
      <c r="X115">
        <v>0</v>
      </c>
      <c r="Y115">
        <v>0</v>
      </c>
      <c r="Z115" s="13">
        <f t="shared" si="15"/>
        <v>0</v>
      </c>
      <c r="AA115">
        <v>0</v>
      </c>
      <c r="AB115">
        <v>0</v>
      </c>
      <c r="AC115">
        <v>0</v>
      </c>
      <c r="AD115">
        <v>0</v>
      </c>
      <c r="AE115" s="7">
        <f t="shared" si="16"/>
        <v>0</v>
      </c>
      <c r="AF115">
        <v>0</v>
      </c>
      <c r="AG115">
        <v>0</v>
      </c>
      <c r="AH115">
        <v>0</v>
      </c>
      <c r="AI115" s="13">
        <f t="shared" si="17"/>
        <v>0</v>
      </c>
      <c r="AJ115" s="11" t="s">
        <v>51</v>
      </c>
      <c r="AK115" s="11" t="s">
        <v>51</v>
      </c>
      <c r="AL115" s="11" t="s">
        <v>51</v>
      </c>
      <c r="AM115" s="13">
        <f t="shared" si="18"/>
        <v>0</v>
      </c>
      <c r="AN115" s="18">
        <v>4</v>
      </c>
      <c r="AO115" s="18">
        <v>0</v>
      </c>
      <c r="AP115" s="18">
        <v>0</v>
      </c>
      <c r="AQ115" s="18">
        <v>0</v>
      </c>
      <c r="AR115" s="18">
        <f t="shared" si="19"/>
        <v>4</v>
      </c>
      <c r="AS115" t="s">
        <v>52</v>
      </c>
      <c r="AT115" s="9">
        <v>86.759999999999991</v>
      </c>
      <c r="AU115" s="30">
        <f>+((AN115*I115)+(AO115*AE115)+(AQ115*AI115)+(AP115*AM115))/AR115</f>
        <v>86.759999999999991</v>
      </c>
    </row>
    <row r="116" spans="1:47" x14ac:dyDescent="0.25">
      <c r="A116" t="s">
        <v>46</v>
      </c>
      <c r="B116" t="s">
        <v>478</v>
      </c>
      <c r="C116" t="s">
        <v>479</v>
      </c>
      <c r="D116" t="s">
        <v>480</v>
      </c>
      <c r="E116" s="11">
        <v>20</v>
      </c>
      <c r="F116" s="11">
        <v>6.6700000000000008</v>
      </c>
      <c r="G116" s="11">
        <v>41.95</v>
      </c>
      <c r="H116" s="11">
        <v>2.5</v>
      </c>
      <c r="I116" s="13">
        <f t="shared" si="11"/>
        <v>71.12</v>
      </c>
      <c r="J116" s="11">
        <v>0</v>
      </c>
      <c r="K116" s="11">
        <v>0</v>
      </c>
      <c r="L116" s="11">
        <v>0</v>
      </c>
      <c r="M116" s="13">
        <f t="shared" si="12"/>
        <v>0</v>
      </c>
      <c r="N116" s="11">
        <v>0</v>
      </c>
      <c r="O116" s="11">
        <v>0</v>
      </c>
      <c r="P116" s="11">
        <v>0</v>
      </c>
      <c r="Q116" s="11">
        <v>0</v>
      </c>
      <c r="R116" s="13">
        <f t="shared" si="13"/>
        <v>0</v>
      </c>
      <c r="S116">
        <v>0</v>
      </c>
      <c r="T116">
        <v>0</v>
      </c>
      <c r="U116" s="7">
        <f t="shared" si="14"/>
        <v>0</v>
      </c>
      <c r="V116">
        <v>0</v>
      </c>
      <c r="W116">
        <v>0</v>
      </c>
      <c r="X116">
        <v>0</v>
      </c>
      <c r="Y116">
        <v>0</v>
      </c>
      <c r="Z116" s="13">
        <f t="shared" si="15"/>
        <v>0</v>
      </c>
      <c r="AA116">
        <v>0</v>
      </c>
      <c r="AB116">
        <v>0</v>
      </c>
      <c r="AC116">
        <v>0</v>
      </c>
      <c r="AD116">
        <v>0</v>
      </c>
      <c r="AE116" s="7">
        <f t="shared" si="16"/>
        <v>0</v>
      </c>
      <c r="AF116">
        <v>0</v>
      </c>
      <c r="AG116">
        <v>0</v>
      </c>
      <c r="AH116">
        <v>0</v>
      </c>
      <c r="AI116" s="13">
        <f t="shared" si="17"/>
        <v>0</v>
      </c>
      <c r="AJ116" s="11">
        <v>20</v>
      </c>
      <c r="AK116" s="11">
        <v>30</v>
      </c>
      <c r="AL116" s="11">
        <v>43.17</v>
      </c>
      <c r="AM116" s="13">
        <f t="shared" si="18"/>
        <v>93.17</v>
      </c>
      <c r="AN116" s="18">
        <v>37</v>
      </c>
      <c r="AO116" s="18">
        <v>0</v>
      </c>
      <c r="AP116" s="18">
        <v>3</v>
      </c>
      <c r="AQ116" s="18">
        <v>0</v>
      </c>
      <c r="AR116" s="18">
        <f t="shared" si="19"/>
        <v>40</v>
      </c>
      <c r="AS116" t="s">
        <v>52</v>
      </c>
      <c r="AT116" s="9">
        <v>72.773749999999993</v>
      </c>
      <c r="AU116" s="30">
        <f>+((AN116*I116)+(AO116*AE116)+(AQ116*AI116)+(AP116*AM116))/AR116</f>
        <v>72.773749999999993</v>
      </c>
    </row>
    <row r="117" spans="1:47" x14ac:dyDescent="0.25">
      <c r="A117" t="s">
        <v>46</v>
      </c>
      <c r="B117" t="s">
        <v>482</v>
      </c>
      <c r="C117" t="s">
        <v>483</v>
      </c>
      <c r="D117" t="s">
        <v>484</v>
      </c>
      <c r="E117" s="11">
        <v>20</v>
      </c>
      <c r="F117" s="11">
        <v>20</v>
      </c>
      <c r="G117" s="11">
        <v>45.13</v>
      </c>
      <c r="H117" s="11">
        <v>5</v>
      </c>
      <c r="I117" s="13">
        <f t="shared" si="11"/>
        <v>90.13</v>
      </c>
      <c r="J117" s="11">
        <v>0</v>
      </c>
      <c r="K117" s="11">
        <v>0</v>
      </c>
      <c r="L117" s="11">
        <v>0</v>
      </c>
      <c r="M117" s="13">
        <f t="shared" si="12"/>
        <v>0</v>
      </c>
      <c r="N117" s="11">
        <v>0</v>
      </c>
      <c r="O117" s="11">
        <v>0</v>
      </c>
      <c r="P117" s="11">
        <v>0</v>
      </c>
      <c r="Q117" s="11">
        <v>0</v>
      </c>
      <c r="R117" s="13">
        <f t="shared" si="13"/>
        <v>0</v>
      </c>
      <c r="S117">
        <v>0</v>
      </c>
      <c r="T117">
        <v>0</v>
      </c>
      <c r="U117" s="7">
        <f t="shared" si="14"/>
        <v>0</v>
      </c>
      <c r="V117">
        <v>0</v>
      </c>
      <c r="W117">
        <v>0</v>
      </c>
      <c r="X117">
        <v>0</v>
      </c>
      <c r="Y117">
        <v>0</v>
      </c>
      <c r="Z117" s="13">
        <f t="shared" si="15"/>
        <v>0</v>
      </c>
      <c r="AA117">
        <v>0</v>
      </c>
      <c r="AB117">
        <v>0</v>
      </c>
      <c r="AC117">
        <v>0</v>
      </c>
      <c r="AD117">
        <v>0</v>
      </c>
      <c r="AE117" s="7">
        <f t="shared" si="16"/>
        <v>0</v>
      </c>
      <c r="AF117">
        <v>0</v>
      </c>
      <c r="AG117">
        <v>0</v>
      </c>
      <c r="AH117">
        <v>0</v>
      </c>
      <c r="AI117" s="13">
        <f t="shared" si="17"/>
        <v>0</v>
      </c>
      <c r="AJ117" s="11" t="s">
        <v>51</v>
      </c>
      <c r="AK117" s="11" t="s">
        <v>51</v>
      </c>
      <c r="AL117" s="11" t="s">
        <v>51</v>
      </c>
      <c r="AM117" s="13">
        <f t="shared" si="18"/>
        <v>0</v>
      </c>
      <c r="AN117" s="18">
        <v>8</v>
      </c>
      <c r="AO117" s="18">
        <v>0</v>
      </c>
      <c r="AP117" s="18">
        <v>0</v>
      </c>
      <c r="AQ117" s="18">
        <v>0</v>
      </c>
      <c r="AR117" s="18">
        <f t="shared" si="19"/>
        <v>8</v>
      </c>
      <c r="AS117" t="s">
        <v>52</v>
      </c>
      <c r="AT117" s="9">
        <v>90.13</v>
      </c>
      <c r="AU117" s="30">
        <f>+((AN117*I117)+(AO117*AE117)+(AQ117*AI117)+(AP117*AM117))/AR117</f>
        <v>90.13</v>
      </c>
    </row>
    <row r="118" spans="1:47" x14ac:dyDescent="0.25">
      <c r="A118" t="s">
        <v>46</v>
      </c>
      <c r="B118" t="s">
        <v>486</v>
      </c>
      <c r="C118" t="s">
        <v>487</v>
      </c>
      <c r="D118" t="s">
        <v>488</v>
      </c>
      <c r="E118" s="11">
        <v>0</v>
      </c>
      <c r="F118" s="11">
        <v>0</v>
      </c>
      <c r="G118" s="11">
        <v>0</v>
      </c>
      <c r="H118" s="11">
        <v>0</v>
      </c>
      <c r="I118" s="13">
        <f t="shared" si="11"/>
        <v>0</v>
      </c>
      <c r="J118" s="11">
        <v>0</v>
      </c>
      <c r="K118" s="11">
        <v>0</v>
      </c>
      <c r="L118" s="11">
        <v>0</v>
      </c>
      <c r="M118" s="13">
        <f t="shared" si="12"/>
        <v>0</v>
      </c>
      <c r="N118" s="11">
        <v>0</v>
      </c>
      <c r="O118" s="11">
        <v>0</v>
      </c>
      <c r="P118" s="11">
        <v>0</v>
      </c>
      <c r="Q118" s="11">
        <v>0</v>
      </c>
      <c r="R118" s="13">
        <f t="shared" si="13"/>
        <v>0</v>
      </c>
      <c r="S118">
        <v>0</v>
      </c>
      <c r="T118">
        <v>0</v>
      </c>
      <c r="U118" s="7">
        <f t="shared" si="14"/>
        <v>0</v>
      </c>
      <c r="V118" s="11">
        <v>6.25</v>
      </c>
      <c r="W118" s="11">
        <v>0</v>
      </c>
      <c r="X118" s="11">
        <v>56.625</v>
      </c>
      <c r="Y118" s="11">
        <v>23.987500000000004</v>
      </c>
      <c r="Z118" s="13">
        <f t="shared" si="15"/>
        <v>86.862500000000011</v>
      </c>
      <c r="AA118">
        <v>0</v>
      </c>
      <c r="AB118">
        <v>0</v>
      </c>
      <c r="AC118">
        <v>0</v>
      </c>
      <c r="AD118">
        <v>0</v>
      </c>
      <c r="AE118" s="7">
        <f t="shared" si="16"/>
        <v>0</v>
      </c>
      <c r="AF118">
        <v>0</v>
      </c>
      <c r="AG118">
        <v>0</v>
      </c>
      <c r="AH118">
        <v>0</v>
      </c>
      <c r="AI118" s="13">
        <f t="shared" si="17"/>
        <v>0</v>
      </c>
      <c r="AJ118" s="11" t="s">
        <v>51</v>
      </c>
      <c r="AK118" s="11" t="s">
        <v>51</v>
      </c>
      <c r="AL118" s="11" t="s">
        <v>51</v>
      </c>
      <c r="AM118" s="13">
        <f t="shared" si="18"/>
        <v>0</v>
      </c>
      <c r="AN118" s="18">
        <v>40</v>
      </c>
      <c r="AO118" s="18">
        <v>0</v>
      </c>
      <c r="AP118" s="18">
        <v>0</v>
      </c>
      <c r="AQ118" s="18">
        <v>0</v>
      </c>
      <c r="AR118" s="18">
        <f t="shared" si="19"/>
        <v>40</v>
      </c>
      <c r="AS118" t="s">
        <v>52</v>
      </c>
      <c r="AT118" s="9">
        <v>86.862500000000011</v>
      </c>
      <c r="AU118" s="30">
        <f>+((Z118*AN118)/AR118)</f>
        <v>86.862500000000011</v>
      </c>
    </row>
    <row r="119" spans="1:47" x14ac:dyDescent="0.25">
      <c r="A119" t="s">
        <v>46</v>
      </c>
      <c r="B119" t="s">
        <v>490</v>
      </c>
      <c r="C119" t="s">
        <v>491</v>
      </c>
      <c r="D119" t="s">
        <v>492</v>
      </c>
      <c r="E119" s="11">
        <v>0</v>
      </c>
      <c r="F119" s="11">
        <v>0</v>
      </c>
      <c r="G119" s="11">
        <v>0</v>
      </c>
      <c r="H119" s="11">
        <v>0</v>
      </c>
      <c r="I119" s="13">
        <f t="shared" si="11"/>
        <v>0</v>
      </c>
      <c r="J119" s="11">
        <v>0</v>
      </c>
      <c r="K119" s="11">
        <v>0</v>
      </c>
      <c r="L119" s="11">
        <v>0</v>
      </c>
      <c r="M119" s="13">
        <f t="shared" si="12"/>
        <v>0</v>
      </c>
      <c r="N119" s="11">
        <v>0</v>
      </c>
      <c r="O119" s="11">
        <v>0</v>
      </c>
      <c r="P119" s="11">
        <v>0</v>
      </c>
      <c r="Q119" s="11">
        <v>0</v>
      </c>
      <c r="R119" s="13">
        <f t="shared" si="13"/>
        <v>0</v>
      </c>
      <c r="S119">
        <v>0</v>
      </c>
      <c r="T119">
        <v>0</v>
      </c>
      <c r="U119" s="7">
        <f t="shared" si="14"/>
        <v>0</v>
      </c>
      <c r="V119" s="11">
        <v>5.625</v>
      </c>
      <c r="W119" s="11">
        <v>0</v>
      </c>
      <c r="X119" s="11">
        <v>53.6</v>
      </c>
      <c r="Y119" s="11">
        <v>25</v>
      </c>
      <c r="Z119" s="13">
        <f t="shared" si="15"/>
        <v>84.224999999999994</v>
      </c>
      <c r="AA119">
        <v>0</v>
      </c>
      <c r="AB119">
        <v>0</v>
      </c>
      <c r="AC119">
        <v>0</v>
      </c>
      <c r="AD119">
        <v>0</v>
      </c>
      <c r="AE119" s="7">
        <f t="shared" si="16"/>
        <v>0</v>
      </c>
      <c r="AF119">
        <v>0</v>
      </c>
      <c r="AG119">
        <v>0</v>
      </c>
      <c r="AH119">
        <v>0</v>
      </c>
      <c r="AI119" s="13">
        <f t="shared" si="17"/>
        <v>0</v>
      </c>
      <c r="AJ119" s="11" t="s">
        <v>51</v>
      </c>
      <c r="AK119" s="11" t="s">
        <v>51</v>
      </c>
      <c r="AL119" s="11" t="s">
        <v>51</v>
      </c>
      <c r="AM119" s="13">
        <f t="shared" si="18"/>
        <v>0</v>
      </c>
      <c r="AN119" s="18">
        <v>36.25</v>
      </c>
      <c r="AO119" s="18">
        <v>0</v>
      </c>
      <c r="AP119" s="18">
        <v>0</v>
      </c>
      <c r="AQ119" s="18">
        <v>0</v>
      </c>
      <c r="AR119" s="18">
        <f t="shared" si="19"/>
        <v>36.25</v>
      </c>
      <c r="AS119" t="s">
        <v>52</v>
      </c>
      <c r="AT119" s="9">
        <v>84.224999999999994</v>
      </c>
      <c r="AU119" s="30">
        <f>+((Z119*AN119)/AR119)</f>
        <v>84.224999999999994</v>
      </c>
    </row>
    <row r="120" spans="1:47" x14ac:dyDescent="0.25">
      <c r="A120" t="s">
        <v>46</v>
      </c>
      <c r="B120" t="s">
        <v>494</v>
      </c>
      <c r="C120" t="s">
        <v>495</v>
      </c>
      <c r="D120" t="s">
        <v>496</v>
      </c>
      <c r="E120" s="11">
        <v>19.670000000000002</v>
      </c>
      <c r="F120" s="11">
        <v>19.670000000000002</v>
      </c>
      <c r="G120" s="11">
        <v>46.72</v>
      </c>
      <c r="H120" s="11">
        <v>5.5</v>
      </c>
      <c r="I120" s="13">
        <f t="shared" si="11"/>
        <v>91.56</v>
      </c>
      <c r="J120" s="11">
        <v>0</v>
      </c>
      <c r="K120" s="11">
        <v>0</v>
      </c>
      <c r="L120" s="11">
        <v>0</v>
      </c>
      <c r="M120" s="13">
        <f t="shared" si="12"/>
        <v>0</v>
      </c>
      <c r="N120" s="11">
        <v>0</v>
      </c>
      <c r="O120" s="11">
        <v>0</v>
      </c>
      <c r="P120" s="11">
        <v>0</v>
      </c>
      <c r="Q120" s="11">
        <v>0</v>
      </c>
      <c r="R120" s="13">
        <f t="shared" si="13"/>
        <v>0</v>
      </c>
      <c r="S120">
        <v>0</v>
      </c>
      <c r="T120">
        <v>0</v>
      </c>
      <c r="U120" s="7">
        <f t="shared" si="14"/>
        <v>0</v>
      </c>
      <c r="V120">
        <v>0</v>
      </c>
      <c r="W120">
        <v>0</v>
      </c>
      <c r="X120">
        <v>0</v>
      </c>
      <c r="Y120">
        <v>0</v>
      </c>
      <c r="Z120" s="13">
        <f t="shared" si="15"/>
        <v>0</v>
      </c>
      <c r="AA120">
        <v>0</v>
      </c>
      <c r="AB120">
        <v>0</v>
      </c>
      <c r="AC120">
        <v>0</v>
      </c>
      <c r="AD120">
        <v>0</v>
      </c>
      <c r="AE120" s="7">
        <f t="shared" si="16"/>
        <v>0</v>
      </c>
      <c r="AF120">
        <v>0</v>
      </c>
      <c r="AG120">
        <v>0</v>
      </c>
      <c r="AH120">
        <v>0</v>
      </c>
      <c r="AI120" s="13">
        <f t="shared" si="17"/>
        <v>0</v>
      </c>
      <c r="AJ120" s="11" t="s">
        <v>51</v>
      </c>
      <c r="AK120" s="11" t="s">
        <v>51</v>
      </c>
      <c r="AL120" s="11" t="s">
        <v>51</v>
      </c>
      <c r="AM120" s="13">
        <f t="shared" si="18"/>
        <v>0</v>
      </c>
      <c r="AN120" s="18">
        <v>40</v>
      </c>
      <c r="AO120" s="18">
        <v>0</v>
      </c>
      <c r="AP120" s="18">
        <v>0</v>
      </c>
      <c r="AQ120" s="18">
        <v>0</v>
      </c>
      <c r="AR120" s="18">
        <f t="shared" si="19"/>
        <v>40</v>
      </c>
      <c r="AS120" t="s">
        <v>52</v>
      </c>
      <c r="AT120" s="9">
        <v>91.56</v>
      </c>
      <c r="AU120" s="30">
        <f>+((AN120*I120)+(AO120*AE120)+(AQ120*AI120)+(AP120*AM120))/AR120</f>
        <v>91.56</v>
      </c>
    </row>
    <row r="121" spans="1:47" x14ac:dyDescent="0.25">
      <c r="A121" t="s">
        <v>46</v>
      </c>
      <c r="B121" s="32" t="s">
        <v>498</v>
      </c>
      <c r="C121" s="32" t="s">
        <v>499</v>
      </c>
      <c r="D121" s="32" t="s">
        <v>500</v>
      </c>
      <c r="E121" s="11">
        <v>0</v>
      </c>
      <c r="F121" s="11">
        <v>0</v>
      </c>
      <c r="G121" s="11">
        <v>0</v>
      </c>
      <c r="H121" s="11">
        <v>0</v>
      </c>
      <c r="I121" s="13">
        <f t="shared" si="11"/>
        <v>0</v>
      </c>
      <c r="J121" s="11">
        <v>0</v>
      </c>
      <c r="K121" s="11">
        <v>0</v>
      </c>
      <c r="L121" s="11">
        <v>0</v>
      </c>
      <c r="M121" s="13">
        <f t="shared" si="12"/>
        <v>0</v>
      </c>
      <c r="N121" s="11">
        <v>57.975000000000001</v>
      </c>
      <c r="O121" s="11">
        <v>3.75</v>
      </c>
      <c r="P121" s="11">
        <v>0</v>
      </c>
      <c r="Q121" s="11">
        <v>25</v>
      </c>
      <c r="R121" s="13">
        <f t="shared" si="13"/>
        <v>86.724999999999994</v>
      </c>
      <c r="S121">
        <v>0</v>
      </c>
      <c r="T121">
        <v>0</v>
      </c>
      <c r="U121" s="7">
        <f t="shared" si="14"/>
        <v>0</v>
      </c>
      <c r="V121">
        <v>0</v>
      </c>
      <c r="W121">
        <v>0</v>
      </c>
      <c r="X121">
        <v>0</v>
      </c>
      <c r="Y121">
        <v>0</v>
      </c>
      <c r="Z121" s="13">
        <f t="shared" si="15"/>
        <v>0</v>
      </c>
      <c r="AA121">
        <v>0</v>
      </c>
      <c r="AB121">
        <v>0</v>
      </c>
      <c r="AC121">
        <v>0</v>
      </c>
      <c r="AD121">
        <v>0</v>
      </c>
      <c r="AE121" s="7">
        <f t="shared" si="16"/>
        <v>0</v>
      </c>
      <c r="AF121">
        <v>0</v>
      </c>
      <c r="AG121">
        <v>0</v>
      </c>
      <c r="AH121">
        <v>0</v>
      </c>
      <c r="AI121" s="13">
        <f t="shared" si="17"/>
        <v>0</v>
      </c>
      <c r="AJ121" s="11" t="s">
        <v>51</v>
      </c>
      <c r="AK121" s="11" t="s">
        <v>51</v>
      </c>
      <c r="AL121" s="11" t="s">
        <v>51</v>
      </c>
      <c r="AM121" s="13">
        <f t="shared" si="18"/>
        <v>0</v>
      </c>
      <c r="AN121" s="18">
        <v>10</v>
      </c>
      <c r="AO121" s="18">
        <v>0</v>
      </c>
      <c r="AP121" s="18">
        <v>0</v>
      </c>
      <c r="AQ121" s="18">
        <v>0</v>
      </c>
      <c r="AR121" s="18">
        <f t="shared" si="19"/>
        <v>10</v>
      </c>
      <c r="AS121" t="s">
        <v>117</v>
      </c>
      <c r="AT121" s="9">
        <v>86.724999999999994</v>
      </c>
      <c r="AU121" s="11">
        <f>+((AN121*R121)+(AQ121*AI121)+(AP121*AM121))/AR121</f>
        <v>86.724999999999994</v>
      </c>
    </row>
    <row r="122" spans="1:47" x14ac:dyDescent="0.25">
      <c r="A122" t="s">
        <v>46</v>
      </c>
      <c r="B122" t="s">
        <v>502</v>
      </c>
      <c r="C122" t="s">
        <v>503</v>
      </c>
      <c r="D122" t="s">
        <v>504</v>
      </c>
      <c r="E122" s="11">
        <v>0</v>
      </c>
      <c r="F122" s="11">
        <v>0</v>
      </c>
      <c r="G122" s="11">
        <v>67.283333333333346</v>
      </c>
      <c r="H122" s="11">
        <v>4.1666666666666661</v>
      </c>
      <c r="I122" s="13">
        <f t="shared" si="11"/>
        <v>71.450000000000017</v>
      </c>
      <c r="J122" s="11">
        <v>0</v>
      </c>
      <c r="K122" s="11">
        <v>0</v>
      </c>
      <c r="L122" s="11">
        <v>0</v>
      </c>
      <c r="M122" s="13">
        <f t="shared" si="12"/>
        <v>0</v>
      </c>
      <c r="N122" s="11">
        <v>0</v>
      </c>
      <c r="O122" s="11">
        <v>0</v>
      </c>
      <c r="P122" s="11">
        <v>0</v>
      </c>
      <c r="Q122" s="11">
        <v>0</v>
      </c>
      <c r="R122" s="13">
        <f t="shared" si="13"/>
        <v>0</v>
      </c>
      <c r="S122">
        <v>0</v>
      </c>
      <c r="T122">
        <v>0</v>
      </c>
      <c r="U122" s="7">
        <f t="shared" si="14"/>
        <v>0</v>
      </c>
      <c r="V122">
        <v>0</v>
      </c>
      <c r="W122">
        <v>0</v>
      </c>
      <c r="X122">
        <v>0</v>
      </c>
      <c r="Y122">
        <v>0</v>
      </c>
      <c r="Z122" s="13">
        <f t="shared" si="15"/>
        <v>0</v>
      </c>
      <c r="AA122">
        <v>0</v>
      </c>
      <c r="AB122">
        <v>0</v>
      </c>
      <c r="AC122">
        <v>0</v>
      </c>
      <c r="AD122">
        <v>0</v>
      </c>
      <c r="AE122" s="7">
        <f t="shared" si="16"/>
        <v>0</v>
      </c>
      <c r="AF122">
        <v>0</v>
      </c>
      <c r="AG122">
        <v>0</v>
      </c>
      <c r="AH122">
        <v>0</v>
      </c>
      <c r="AI122" s="13">
        <f t="shared" si="17"/>
        <v>0</v>
      </c>
      <c r="AJ122" s="11" t="s">
        <v>51</v>
      </c>
      <c r="AK122" s="11" t="s">
        <v>51</v>
      </c>
      <c r="AL122" s="11" t="s">
        <v>51</v>
      </c>
      <c r="AM122" s="13">
        <f t="shared" si="18"/>
        <v>0</v>
      </c>
      <c r="AN122" s="18">
        <v>6</v>
      </c>
      <c r="AO122" s="18">
        <v>0</v>
      </c>
      <c r="AP122" s="18">
        <v>0</v>
      </c>
      <c r="AQ122" s="18">
        <v>0</v>
      </c>
      <c r="AR122" s="18">
        <f t="shared" si="19"/>
        <v>6</v>
      </c>
      <c r="AS122" t="s">
        <v>52</v>
      </c>
      <c r="AT122" s="9">
        <v>71.450000000000017</v>
      </c>
      <c r="AU122" s="30">
        <f>+((AN122*I122)+(AO122*AE122)+(AQ122*AI122)+(AP122*AM122))/AR122</f>
        <v>71.450000000000017</v>
      </c>
    </row>
    <row r="123" spans="1:47" x14ac:dyDescent="0.25">
      <c r="A123" t="s">
        <v>46</v>
      </c>
      <c r="B123" t="s">
        <v>506</v>
      </c>
      <c r="C123" t="s">
        <v>507</v>
      </c>
      <c r="D123" t="s">
        <v>508</v>
      </c>
      <c r="E123" s="11">
        <v>0</v>
      </c>
      <c r="F123" s="11">
        <v>0</v>
      </c>
      <c r="G123" s="11">
        <v>0</v>
      </c>
      <c r="H123" s="11">
        <v>0</v>
      </c>
      <c r="I123" s="13">
        <f t="shared" si="11"/>
        <v>0</v>
      </c>
      <c r="J123" s="11">
        <v>55.42</v>
      </c>
      <c r="K123" s="11">
        <v>28</v>
      </c>
      <c r="L123" s="11">
        <v>2.5</v>
      </c>
      <c r="M123" s="13">
        <f t="shared" si="12"/>
        <v>85.92</v>
      </c>
      <c r="N123" s="11">
        <v>0</v>
      </c>
      <c r="O123" s="11">
        <v>0</v>
      </c>
      <c r="P123" s="11">
        <v>0</v>
      </c>
      <c r="Q123" s="11">
        <v>0</v>
      </c>
      <c r="R123" s="13">
        <f t="shared" si="13"/>
        <v>0</v>
      </c>
      <c r="S123">
        <v>0</v>
      </c>
      <c r="T123">
        <v>0</v>
      </c>
      <c r="U123" s="7">
        <f t="shared" si="14"/>
        <v>0</v>
      </c>
      <c r="V123">
        <v>0</v>
      </c>
      <c r="W123">
        <v>0</v>
      </c>
      <c r="X123">
        <v>0</v>
      </c>
      <c r="Y123">
        <v>0</v>
      </c>
      <c r="Z123" s="13">
        <f t="shared" si="15"/>
        <v>0</v>
      </c>
      <c r="AA123">
        <v>0</v>
      </c>
      <c r="AB123">
        <v>0</v>
      </c>
      <c r="AC123">
        <v>0</v>
      </c>
      <c r="AD123">
        <v>0</v>
      </c>
      <c r="AE123" s="7">
        <f t="shared" si="16"/>
        <v>0</v>
      </c>
      <c r="AF123">
        <v>0</v>
      </c>
      <c r="AG123">
        <v>0</v>
      </c>
      <c r="AH123">
        <v>0</v>
      </c>
      <c r="AI123" s="13">
        <f t="shared" si="17"/>
        <v>0</v>
      </c>
      <c r="AJ123" s="11" t="s">
        <v>51</v>
      </c>
      <c r="AK123" s="11" t="s">
        <v>51</v>
      </c>
      <c r="AL123" s="11" t="s">
        <v>51</v>
      </c>
      <c r="AM123" s="13">
        <f t="shared" si="18"/>
        <v>0</v>
      </c>
      <c r="AN123" s="18">
        <v>2.25</v>
      </c>
      <c r="AO123" s="18">
        <v>0</v>
      </c>
      <c r="AP123" s="18">
        <v>0</v>
      </c>
      <c r="AQ123" s="18">
        <v>0</v>
      </c>
      <c r="AR123" s="18">
        <f t="shared" si="19"/>
        <v>2.25</v>
      </c>
      <c r="AS123" t="s">
        <v>87</v>
      </c>
      <c r="AT123" s="9">
        <v>85.92</v>
      </c>
      <c r="AU123" s="30">
        <f>+((AN123*M123)/AR123)</f>
        <v>85.92</v>
      </c>
    </row>
    <row r="124" spans="1:47" x14ac:dyDescent="0.25">
      <c r="A124" t="s">
        <v>46</v>
      </c>
      <c r="B124" t="s">
        <v>510</v>
      </c>
      <c r="C124" t="s">
        <v>511</v>
      </c>
      <c r="D124" t="s">
        <v>512</v>
      </c>
      <c r="E124" s="11">
        <v>0</v>
      </c>
      <c r="F124" s="11">
        <v>0</v>
      </c>
      <c r="G124" s="11">
        <v>0</v>
      </c>
      <c r="H124" s="11">
        <v>0</v>
      </c>
      <c r="I124" s="13">
        <f t="shared" si="11"/>
        <v>0</v>
      </c>
      <c r="J124" s="11">
        <v>0</v>
      </c>
      <c r="K124" s="11">
        <v>0</v>
      </c>
      <c r="L124" s="11">
        <v>0</v>
      </c>
      <c r="M124" s="13">
        <f t="shared" si="12"/>
        <v>0</v>
      </c>
      <c r="N124" s="11">
        <v>0</v>
      </c>
      <c r="O124" s="11">
        <v>0</v>
      </c>
      <c r="P124" s="11">
        <v>0</v>
      </c>
      <c r="Q124" s="11">
        <v>0</v>
      </c>
      <c r="R124" s="13">
        <f t="shared" si="13"/>
        <v>0</v>
      </c>
      <c r="S124">
        <v>0</v>
      </c>
      <c r="T124">
        <v>0</v>
      </c>
      <c r="U124" s="7">
        <f t="shared" si="14"/>
        <v>0</v>
      </c>
      <c r="V124">
        <v>5.5</v>
      </c>
      <c r="W124">
        <v>20</v>
      </c>
      <c r="X124">
        <v>45.23</v>
      </c>
      <c r="Y124">
        <v>20</v>
      </c>
      <c r="Z124" s="13">
        <f t="shared" si="15"/>
        <v>90.72999999999999</v>
      </c>
      <c r="AA124">
        <v>0</v>
      </c>
      <c r="AB124">
        <v>0</v>
      </c>
      <c r="AC124">
        <v>0</v>
      </c>
      <c r="AD124">
        <v>0</v>
      </c>
      <c r="AE124" s="7">
        <f t="shared" si="16"/>
        <v>0</v>
      </c>
      <c r="AF124">
        <v>0</v>
      </c>
      <c r="AG124">
        <v>0</v>
      </c>
      <c r="AH124">
        <v>0</v>
      </c>
      <c r="AI124" s="13">
        <f t="shared" si="17"/>
        <v>0</v>
      </c>
      <c r="AJ124" s="11" t="s">
        <v>51</v>
      </c>
      <c r="AK124" s="11" t="s">
        <v>51</v>
      </c>
      <c r="AL124" s="11" t="s">
        <v>51</v>
      </c>
      <c r="AM124" s="13">
        <f t="shared" si="18"/>
        <v>0</v>
      </c>
      <c r="AN124" s="18">
        <v>40</v>
      </c>
      <c r="AO124" s="18">
        <v>0</v>
      </c>
      <c r="AP124" s="18">
        <v>0</v>
      </c>
      <c r="AQ124" s="18">
        <v>0</v>
      </c>
      <c r="AR124" s="18">
        <f t="shared" si="19"/>
        <v>40</v>
      </c>
      <c r="AS124" t="s">
        <v>52</v>
      </c>
      <c r="AT124" s="9">
        <v>90.72999999999999</v>
      </c>
      <c r="AU124" s="30">
        <f>+((Z124*AN124)/AR124)</f>
        <v>90.72999999999999</v>
      </c>
    </row>
    <row r="125" spans="1:47" x14ac:dyDescent="0.25">
      <c r="A125" t="s">
        <v>46</v>
      </c>
      <c r="B125" t="s">
        <v>514</v>
      </c>
      <c r="C125" t="s">
        <v>515</v>
      </c>
      <c r="D125" t="s">
        <v>516</v>
      </c>
      <c r="E125" s="11">
        <v>19.329999999999998</v>
      </c>
      <c r="F125" s="11">
        <v>13.330000000000002</v>
      </c>
      <c r="G125" s="11">
        <v>28.68</v>
      </c>
      <c r="H125" s="11">
        <v>3</v>
      </c>
      <c r="I125" s="13">
        <f t="shared" si="11"/>
        <v>64.34</v>
      </c>
      <c r="J125" s="11">
        <v>0</v>
      </c>
      <c r="K125" s="11">
        <v>0</v>
      </c>
      <c r="L125" s="11">
        <v>0</v>
      </c>
      <c r="M125" s="13">
        <f t="shared" si="12"/>
        <v>0</v>
      </c>
      <c r="N125" s="11">
        <v>0</v>
      </c>
      <c r="O125" s="11">
        <v>0</v>
      </c>
      <c r="P125" s="11">
        <v>0</v>
      </c>
      <c r="Q125" s="11">
        <v>0</v>
      </c>
      <c r="R125" s="13">
        <f t="shared" si="13"/>
        <v>0</v>
      </c>
      <c r="S125">
        <v>0</v>
      </c>
      <c r="T125">
        <v>0</v>
      </c>
      <c r="U125" s="7">
        <f t="shared" si="14"/>
        <v>0</v>
      </c>
      <c r="V125">
        <v>0</v>
      </c>
      <c r="W125">
        <v>0</v>
      </c>
      <c r="X125">
        <v>0</v>
      </c>
      <c r="Y125">
        <v>0</v>
      </c>
      <c r="Z125" s="13">
        <f t="shared" si="15"/>
        <v>0</v>
      </c>
      <c r="AA125">
        <v>0</v>
      </c>
      <c r="AB125">
        <v>0</v>
      </c>
      <c r="AC125">
        <v>0</v>
      </c>
      <c r="AD125">
        <v>0</v>
      </c>
      <c r="AE125" s="7">
        <f t="shared" si="16"/>
        <v>0</v>
      </c>
      <c r="AF125">
        <v>0</v>
      </c>
      <c r="AG125">
        <v>0</v>
      </c>
      <c r="AH125">
        <v>0</v>
      </c>
      <c r="AI125" s="13">
        <f t="shared" si="17"/>
        <v>0</v>
      </c>
      <c r="AJ125" s="11" t="s">
        <v>51</v>
      </c>
      <c r="AK125" s="11" t="s">
        <v>51</v>
      </c>
      <c r="AL125" s="11" t="s">
        <v>51</v>
      </c>
      <c r="AM125" s="13">
        <f t="shared" si="18"/>
        <v>0</v>
      </c>
      <c r="AN125" s="18">
        <v>3.5</v>
      </c>
      <c r="AO125" s="18">
        <v>0</v>
      </c>
      <c r="AP125" s="18">
        <v>0</v>
      </c>
      <c r="AQ125" s="18">
        <v>0</v>
      </c>
      <c r="AR125" s="18">
        <f t="shared" si="19"/>
        <v>3.5</v>
      </c>
      <c r="AS125" t="s">
        <v>52</v>
      </c>
      <c r="AT125" s="9">
        <v>64.34</v>
      </c>
      <c r="AU125" s="30">
        <f>+((AN125*I125)+(AO125*AE125)+(AQ125*AI125)+(AP125*AM125))/AR125</f>
        <v>64.34</v>
      </c>
    </row>
    <row r="126" spans="1:47" x14ac:dyDescent="0.25">
      <c r="A126" t="s">
        <v>46</v>
      </c>
      <c r="B126" t="s">
        <v>518</v>
      </c>
      <c r="C126" t="s">
        <v>519</v>
      </c>
      <c r="D126" t="s">
        <v>520</v>
      </c>
      <c r="E126" s="11">
        <v>20</v>
      </c>
      <c r="F126" s="11">
        <v>20</v>
      </c>
      <c r="G126" s="11">
        <v>41.73</v>
      </c>
      <c r="H126" s="11">
        <v>7</v>
      </c>
      <c r="I126" s="13">
        <f t="shared" si="11"/>
        <v>88.72999999999999</v>
      </c>
      <c r="J126" s="11">
        <v>0</v>
      </c>
      <c r="K126" s="11">
        <v>0</v>
      </c>
      <c r="L126" s="11">
        <v>0</v>
      </c>
      <c r="M126" s="13">
        <f t="shared" si="12"/>
        <v>0</v>
      </c>
      <c r="N126" s="11">
        <v>0</v>
      </c>
      <c r="O126" s="11">
        <v>0</v>
      </c>
      <c r="P126" s="11">
        <v>0</v>
      </c>
      <c r="Q126" s="11">
        <v>0</v>
      </c>
      <c r="R126" s="13">
        <f t="shared" si="13"/>
        <v>0</v>
      </c>
      <c r="S126">
        <v>0</v>
      </c>
      <c r="T126">
        <v>0</v>
      </c>
      <c r="U126" s="7">
        <f t="shared" si="14"/>
        <v>0</v>
      </c>
      <c r="V126">
        <v>0</v>
      </c>
      <c r="W126">
        <v>0</v>
      </c>
      <c r="X126">
        <v>0</v>
      </c>
      <c r="Y126">
        <v>0</v>
      </c>
      <c r="Z126" s="13">
        <f t="shared" si="15"/>
        <v>0</v>
      </c>
      <c r="AA126">
        <v>0</v>
      </c>
      <c r="AB126">
        <v>0</v>
      </c>
      <c r="AC126">
        <v>0</v>
      </c>
      <c r="AD126">
        <v>0</v>
      </c>
      <c r="AE126" s="7">
        <f t="shared" si="16"/>
        <v>0</v>
      </c>
      <c r="AF126">
        <v>0</v>
      </c>
      <c r="AG126">
        <v>0</v>
      </c>
      <c r="AH126">
        <v>0</v>
      </c>
      <c r="AI126" s="13">
        <f t="shared" si="17"/>
        <v>0</v>
      </c>
      <c r="AJ126" s="11" t="s">
        <v>51</v>
      </c>
      <c r="AK126" s="11" t="s">
        <v>51</v>
      </c>
      <c r="AL126" s="11" t="s">
        <v>51</v>
      </c>
      <c r="AM126" s="13">
        <f t="shared" si="18"/>
        <v>0</v>
      </c>
      <c r="AN126" s="18">
        <v>40</v>
      </c>
      <c r="AO126" s="18">
        <v>0</v>
      </c>
      <c r="AP126" s="18">
        <v>0</v>
      </c>
      <c r="AQ126" s="18">
        <v>0</v>
      </c>
      <c r="AR126" s="18">
        <f t="shared" si="19"/>
        <v>40</v>
      </c>
      <c r="AS126" t="s">
        <v>52</v>
      </c>
      <c r="AT126" s="9">
        <v>88.72999999999999</v>
      </c>
      <c r="AU126" s="30">
        <f>+((AN126*I126)+(AO126*AE126)+(AQ126*AI126)+(AP126*AM126))/AR126</f>
        <v>88.72999999999999</v>
      </c>
    </row>
    <row r="127" spans="1:47" x14ac:dyDescent="0.25">
      <c r="A127" t="s">
        <v>46</v>
      </c>
      <c r="B127" s="32" t="s">
        <v>522</v>
      </c>
      <c r="C127" s="32" t="s">
        <v>523</v>
      </c>
      <c r="D127" s="32" t="s">
        <v>524</v>
      </c>
      <c r="E127" s="11">
        <v>0</v>
      </c>
      <c r="F127" s="11">
        <v>0</v>
      </c>
      <c r="G127" s="11">
        <v>0</v>
      </c>
      <c r="H127" s="11">
        <v>0</v>
      </c>
      <c r="I127" s="13">
        <f t="shared" si="11"/>
        <v>0</v>
      </c>
      <c r="J127" s="11">
        <v>0</v>
      </c>
      <c r="K127" s="11">
        <v>0</v>
      </c>
      <c r="L127" s="11">
        <v>0</v>
      </c>
      <c r="M127" s="13">
        <f t="shared" si="12"/>
        <v>0</v>
      </c>
      <c r="N127" s="11">
        <v>82.45</v>
      </c>
      <c r="O127" s="11">
        <v>4.1666666666666661</v>
      </c>
      <c r="P127" s="11">
        <v>0</v>
      </c>
      <c r="Q127" s="11">
        <v>0</v>
      </c>
      <c r="R127" s="13">
        <f t="shared" si="13"/>
        <v>86.616666666666674</v>
      </c>
      <c r="S127">
        <v>0</v>
      </c>
      <c r="T127">
        <v>0</v>
      </c>
      <c r="U127" s="7">
        <f t="shared" si="14"/>
        <v>0</v>
      </c>
      <c r="V127">
        <v>0</v>
      </c>
      <c r="W127">
        <v>0</v>
      </c>
      <c r="X127">
        <v>0</v>
      </c>
      <c r="Y127">
        <v>0</v>
      </c>
      <c r="Z127" s="13">
        <f t="shared" si="15"/>
        <v>0</v>
      </c>
      <c r="AA127">
        <v>0</v>
      </c>
      <c r="AB127">
        <v>0</v>
      </c>
      <c r="AC127">
        <v>0</v>
      </c>
      <c r="AD127">
        <v>0</v>
      </c>
      <c r="AE127" s="7">
        <f t="shared" si="16"/>
        <v>0</v>
      </c>
      <c r="AF127">
        <v>0</v>
      </c>
      <c r="AG127">
        <v>0</v>
      </c>
      <c r="AH127">
        <v>0</v>
      </c>
      <c r="AI127" s="13">
        <f t="shared" si="17"/>
        <v>0</v>
      </c>
      <c r="AJ127" s="11" t="s">
        <v>51</v>
      </c>
      <c r="AK127" s="11" t="s">
        <v>51</v>
      </c>
      <c r="AL127" s="11" t="s">
        <v>51</v>
      </c>
      <c r="AM127" s="13">
        <f t="shared" si="18"/>
        <v>0</v>
      </c>
      <c r="AN127" s="18">
        <v>7</v>
      </c>
      <c r="AO127" s="18">
        <v>0</v>
      </c>
      <c r="AP127" s="18">
        <v>0</v>
      </c>
      <c r="AQ127" s="18">
        <v>0</v>
      </c>
      <c r="AR127" s="18">
        <f t="shared" si="19"/>
        <v>7</v>
      </c>
      <c r="AS127" t="s">
        <v>117</v>
      </c>
      <c r="AT127" s="9">
        <v>86.616666666666674</v>
      </c>
      <c r="AU127" s="11">
        <f>+((AN127*R127)+(AQ127*AI127)+(AP127*AM127))/AR127</f>
        <v>86.616666666666674</v>
      </c>
    </row>
    <row r="128" spans="1:47" x14ac:dyDescent="0.25">
      <c r="A128" t="s">
        <v>46</v>
      </c>
      <c r="B128" t="s">
        <v>526</v>
      </c>
      <c r="C128" t="s">
        <v>527</v>
      </c>
      <c r="D128" t="s">
        <v>528</v>
      </c>
      <c r="E128" s="11">
        <v>25</v>
      </c>
      <c r="F128" s="11">
        <v>0</v>
      </c>
      <c r="G128" s="11">
        <v>60.45</v>
      </c>
      <c r="H128" s="11">
        <v>4.375</v>
      </c>
      <c r="I128" s="13">
        <f t="shared" si="11"/>
        <v>89.825000000000003</v>
      </c>
      <c r="J128" s="11">
        <v>0</v>
      </c>
      <c r="K128" s="11">
        <v>0</v>
      </c>
      <c r="L128" s="11">
        <v>0</v>
      </c>
      <c r="M128" s="13">
        <f t="shared" si="12"/>
        <v>0</v>
      </c>
      <c r="N128" s="11">
        <v>0</v>
      </c>
      <c r="O128" s="11">
        <v>0</v>
      </c>
      <c r="P128" s="11">
        <v>0</v>
      </c>
      <c r="Q128" s="11">
        <v>0</v>
      </c>
      <c r="R128" s="13">
        <f t="shared" si="13"/>
        <v>0</v>
      </c>
      <c r="S128">
        <v>0</v>
      </c>
      <c r="T128">
        <v>0</v>
      </c>
      <c r="U128" s="7">
        <f t="shared" si="14"/>
        <v>0</v>
      </c>
      <c r="V128">
        <v>0</v>
      </c>
      <c r="W128">
        <v>0</v>
      </c>
      <c r="X128">
        <v>0</v>
      </c>
      <c r="Y128">
        <v>0</v>
      </c>
      <c r="Z128" s="13">
        <f t="shared" si="15"/>
        <v>0</v>
      </c>
      <c r="AA128">
        <v>0</v>
      </c>
      <c r="AB128">
        <v>0</v>
      </c>
      <c r="AC128">
        <v>0</v>
      </c>
      <c r="AD128">
        <v>0</v>
      </c>
      <c r="AE128" s="7">
        <f t="shared" si="16"/>
        <v>0</v>
      </c>
      <c r="AF128">
        <v>0</v>
      </c>
      <c r="AG128">
        <v>0</v>
      </c>
      <c r="AH128">
        <v>0</v>
      </c>
      <c r="AI128" s="13">
        <f t="shared" si="17"/>
        <v>0</v>
      </c>
      <c r="AJ128" s="11" t="s">
        <v>51</v>
      </c>
      <c r="AK128" s="11" t="s">
        <v>51</v>
      </c>
      <c r="AL128" s="11" t="s">
        <v>51</v>
      </c>
      <c r="AM128" s="13">
        <f t="shared" si="18"/>
        <v>0</v>
      </c>
      <c r="AN128" s="18">
        <v>20</v>
      </c>
      <c r="AO128" s="18">
        <v>0</v>
      </c>
      <c r="AP128" s="18">
        <v>0</v>
      </c>
      <c r="AQ128" s="18">
        <v>0</v>
      </c>
      <c r="AR128" s="18">
        <f t="shared" si="19"/>
        <v>20</v>
      </c>
      <c r="AS128" t="s">
        <v>52</v>
      </c>
      <c r="AT128" s="9">
        <v>89.825000000000003</v>
      </c>
      <c r="AU128" s="30">
        <f>+((AN128*I128)+(AO128*AE128)+(AQ128*AI128)+(AP128*AM128))/AR128</f>
        <v>89.825000000000003</v>
      </c>
    </row>
    <row r="129" spans="1:47" x14ac:dyDescent="0.25">
      <c r="A129" t="s">
        <v>46</v>
      </c>
      <c r="B129" s="32" t="s">
        <v>530</v>
      </c>
      <c r="C129" s="32" t="s">
        <v>531</v>
      </c>
      <c r="D129" s="32" t="s">
        <v>532</v>
      </c>
      <c r="E129" s="11">
        <v>0</v>
      </c>
      <c r="F129" s="11">
        <v>0</v>
      </c>
      <c r="G129" s="11">
        <v>0</v>
      </c>
      <c r="H129" s="11">
        <v>0</v>
      </c>
      <c r="I129" s="13">
        <f t="shared" si="11"/>
        <v>0</v>
      </c>
      <c r="J129" s="11">
        <v>0</v>
      </c>
      <c r="K129" s="11">
        <v>0</v>
      </c>
      <c r="L129" s="11">
        <v>0</v>
      </c>
      <c r="M129" s="13">
        <f t="shared" si="12"/>
        <v>0</v>
      </c>
      <c r="N129" s="11">
        <v>42.7</v>
      </c>
      <c r="O129" s="11">
        <v>2.5</v>
      </c>
      <c r="P129" s="11">
        <v>20</v>
      </c>
      <c r="Q129" s="11">
        <v>20</v>
      </c>
      <c r="R129" s="13">
        <f t="shared" si="13"/>
        <v>85.2</v>
      </c>
      <c r="S129">
        <v>0</v>
      </c>
      <c r="T129">
        <v>0</v>
      </c>
      <c r="U129" s="7">
        <f t="shared" si="14"/>
        <v>0</v>
      </c>
      <c r="V129">
        <v>0</v>
      </c>
      <c r="W129">
        <v>0</v>
      </c>
      <c r="X129">
        <v>0</v>
      </c>
      <c r="Y129">
        <v>0</v>
      </c>
      <c r="Z129" s="13">
        <f t="shared" si="15"/>
        <v>0</v>
      </c>
      <c r="AA129">
        <v>0</v>
      </c>
      <c r="AB129">
        <v>0</v>
      </c>
      <c r="AC129">
        <v>0</v>
      </c>
      <c r="AD129">
        <v>0</v>
      </c>
      <c r="AE129" s="7">
        <f t="shared" si="16"/>
        <v>0</v>
      </c>
      <c r="AF129">
        <v>0</v>
      </c>
      <c r="AG129">
        <v>0</v>
      </c>
      <c r="AH129">
        <v>0</v>
      </c>
      <c r="AI129" s="13">
        <f t="shared" si="17"/>
        <v>0</v>
      </c>
      <c r="AJ129" s="11" t="s">
        <v>51</v>
      </c>
      <c r="AK129" s="11" t="s">
        <v>51</v>
      </c>
      <c r="AL129" s="11" t="s">
        <v>51</v>
      </c>
      <c r="AM129" s="13">
        <f t="shared" si="18"/>
        <v>0</v>
      </c>
      <c r="AN129" s="18">
        <v>4</v>
      </c>
      <c r="AO129" s="18">
        <v>0</v>
      </c>
      <c r="AP129" s="18">
        <v>0</v>
      </c>
      <c r="AQ129" s="18">
        <v>0</v>
      </c>
      <c r="AR129" s="18">
        <f t="shared" si="19"/>
        <v>4</v>
      </c>
      <c r="AS129" t="s">
        <v>117</v>
      </c>
      <c r="AT129" s="9">
        <v>85.2</v>
      </c>
      <c r="AU129" s="11">
        <f>+((AN129*R129)+(AQ129*AI129)+(AP129*AM129))/AR129</f>
        <v>85.2</v>
      </c>
    </row>
    <row r="130" spans="1:47" x14ac:dyDescent="0.25">
      <c r="A130" t="s">
        <v>46</v>
      </c>
      <c r="B130" s="32" t="s">
        <v>534</v>
      </c>
      <c r="C130" s="32" t="s">
        <v>535</v>
      </c>
      <c r="D130" s="32" t="s">
        <v>536</v>
      </c>
      <c r="E130" s="11">
        <v>0</v>
      </c>
      <c r="F130" s="11">
        <v>0</v>
      </c>
      <c r="G130" s="11">
        <v>0</v>
      </c>
      <c r="H130" s="11">
        <v>0</v>
      </c>
      <c r="I130" s="13">
        <f t="shared" si="11"/>
        <v>0</v>
      </c>
      <c r="J130" s="11">
        <v>0</v>
      </c>
      <c r="K130" s="11">
        <v>0</v>
      </c>
      <c r="L130" s="11">
        <v>0</v>
      </c>
      <c r="M130" s="13">
        <f t="shared" si="12"/>
        <v>0</v>
      </c>
      <c r="N130" s="11">
        <v>75.083333333333343</v>
      </c>
      <c r="O130" s="11">
        <v>5.8333333333333321</v>
      </c>
      <c r="P130" s="11">
        <v>0</v>
      </c>
      <c r="Q130" s="11">
        <v>0</v>
      </c>
      <c r="R130" s="13">
        <f t="shared" si="13"/>
        <v>80.916666666666671</v>
      </c>
      <c r="S130">
        <v>0</v>
      </c>
      <c r="T130">
        <v>0</v>
      </c>
      <c r="U130" s="7">
        <f t="shared" si="14"/>
        <v>0</v>
      </c>
      <c r="V130">
        <v>0</v>
      </c>
      <c r="W130">
        <v>0</v>
      </c>
      <c r="X130">
        <v>0</v>
      </c>
      <c r="Y130">
        <v>0</v>
      </c>
      <c r="Z130" s="13">
        <f t="shared" si="15"/>
        <v>0</v>
      </c>
      <c r="AA130">
        <v>0</v>
      </c>
      <c r="AB130">
        <v>0</v>
      </c>
      <c r="AC130">
        <v>0</v>
      </c>
      <c r="AD130">
        <v>0</v>
      </c>
      <c r="AE130" s="7">
        <f t="shared" si="16"/>
        <v>0</v>
      </c>
      <c r="AF130">
        <v>0</v>
      </c>
      <c r="AG130">
        <v>0</v>
      </c>
      <c r="AH130">
        <v>0</v>
      </c>
      <c r="AI130" s="13">
        <f t="shared" si="17"/>
        <v>0</v>
      </c>
      <c r="AJ130" s="11" t="s">
        <v>51</v>
      </c>
      <c r="AK130" s="11" t="s">
        <v>51</v>
      </c>
      <c r="AL130" s="11" t="s">
        <v>51</v>
      </c>
      <c r="AM130" s="13">
        <f t="shared" si="18"/>
        <v>0</v>
      </c>
      <c r="AN130" s="18">
        <v>6</v>
      </c>
      <c r="AO130" s="18">
        <v>0</v>
      </c>
      <c r="AP130" s="18">
        <v>0</v>
      </c>
      <c r="AQ130" s="18">
        <v>0</v>
      </c>
      <c r="AR130" s="18">
        <f t="shared" si="19"/>
        <v>6</v>
      </c>
      <c r="AS130" t="s">
        <v>117</v>
      </c>
      <c r="AT130" s="9">
        <v>80.916666666666671</v>
      </c>
      <c r="AU130" s="11">
        <f>+((AN130*R130)+(AQ130*AI130)+(AP130*AM130))/AR130</f>
        <v>80.916666666666671</v>
      </c>
    </row>
    <row r="131" spans="1:47" x14ac:dyDescent="0.25">
      <c r="A131" t="s">
        <v>46</v>
      </c>
      <c r="B131" t="s">
        <v>538</v>
      </c>
      <c r="C131" t="s">
        <v>539</v>
      </c>
      <c r="D131" t="s">
        <v>540</v>
      </c>
      <c r="E131" s="11">
        <v>20</v>
      </c>
      <c r="F131" s="11">
        <v>20</v>
      </c>
      <c r="G131" s="11">
        <v>43.34</v>
      </c>
      <c r="H131" s="11">
        <v>4.5</v>
      </c>
      <c r="I131" s="13">
        <f t="shared" si="11"/>
        <v>87.84</v>
      </c>
      <c r="J131" s="11">
        <v>0</v>
      </c>
      <c r="K131" s="11">
        <v>0</v>
      </c>
      <c r="L131" s="11">
        <v>0</v>
      </c>
      <c r="M131" s="13">
        <f t="shared" si="12"/>
        <v>0</v>
      </c>
      <c r="N131" s="11">
        <v>0</v>
      </c>
      <c r="O131" s="11">
        <v>0</v>
      </c>
      <c r="P131" s="11">
        <v>0</v>
      </c>
      <c r="Q131" s="11">
        <v>0</v>
      </c>
      <c r="R131" s="13">
        <f t="shared" si="13"/>
        <v>0</v>
      </c>
      <c r="S131">
        <v>0</v>
      </c>
      <c r="T131">
        <v>0</v>
      </c>
      <c r="U131" s="7">
        <f t="shared" si="14"/>
        <v>0</v>
      </c>
      <c r="V131">
        <v>0</v>
      </c>
      <c r="W131">
        <v>0</v>
      </c>
      <c r="X131">
        <v>0</v>
      </c>
      <c r="Y131">
        <v>0</v>
      </c>
      <c r="Z131" s="13">
        <f t="shared" si="15"/>
        <v>0</v>
      </c>
      <c r="AA131">
        <v>0</v>
      </c>
      <c r="AB131">
        <v>0</v>
      </c>
      <c r="AC131">
        <v>0</v>
      </c>
      <c r="AD131">
        <v>0</v>
      </c>
      <c r="AE131" s="7">
        <f t="shared" si="16"/>
        <v>0</v>
      </c>
      <c r="AF131">
        <v>0</v>
      </c>
      <c r="AG131">
        <v>0</v>
      </c>
      <c r="AH131">
        <v>0</v>
      </c>
      <c r="AI131" s="13">
        <f t="shared" si="17"/>
        <v>0</v>
      </c>
      <c r="AJ131" s="11" t="s">
        <v>51</v>
      </c>
      <c r="AK131" s="11" t="s">
        <v>51</v>
      </c>
      <c r="AL131" s="11" t="s">
        <v>51</v>
      </c>
      <c r="AM131" s="13">
        <f t="shared" si="18"/>
        <v>0</v>
      </c>
      <c r="AN131" s="18">
        <v>39.25</v>
      </c>
      <c r="AO131" s="18">
        <v>0</v>
      </c>
      <c r="AP131" s="18">
        <v>0</v>
      </c>
      <c r="AQ131" s="18">
        <v>0</v>
      </c>
      <c r="AR131" s="18">
        <f t="shared" si="19"/>
        <v>39.25</v>
      </c>
      <c r="AS131" t="s">
        <v>52</v>
      </c>
      <c r="AT131" s="9">
        <v>87.84</v>
      </c>
      <c r="AU131" s="30">
        <f>+((AN131*I131)+(AO131*AE131)+(AQ131*AI131)+(AP131*AM131))/AR131</f>
        <v>87.84</v>
      </c>
    </row>
    <row r="132" spans="1:47" x14ac:dyDescent="0.25">
      <c r="A132" t="s">
        <v>46</v>
      </c>
      <c r="B132" t="s">
        <v>542</v>
      </c>
      <c r="C132" t="s">
        <v>543</v>
      </c>
      <c r="D132" t="s">
        <v>544</v>
      </c>
      <c r="E132" s="11">
        <v>20</v>
      </c>
      <c r="F132" s="11">
        <v>17</v>
      </c>
      <c r="G132" s="11">
        <v>39.090000000000003</v>
      </c>
      <c r="H132" s="11">
        <v>7</v>
      </c>
      <c r="I132" s="13">
        <f t="shared" si="11"/>
        <v>83.09</v>
      </c>
      <c r="J132" s="11">
        <v>0</v>
      </c>
      <c r="K132" s="11">
        <v>0</v>
      </c>
      <c r="L132" s="11">
        <v>0</v>
      </c>
      <c r="M132" s="13">
        <f t="shared" si="12"/>
        <v>0</v>
      </c>
      <c r="N132" s="11">
        <v>0</v>
      </c>
      <c r="O132" s="11">
        <v>0</v>
      </c>
      <c r="P132" s="11">
        <v>0</v>
      </c>
      <c r="Q132" s="11">
        <v>0</v>
      </c>
      <c r="R132" s="13">
        <f t="shared" si="13"/>
        <v>0</v>
      </c>
      <c r="S132">
        <v>0</v>
      </c>
      <c r="T132">
        <v>0</v>
      </c>
      <c r="U132" s="7">
        <f t="shared" si="14"/>
        <v>0</v>
      </c>
      <c r="V132">
        <v>0</v>
      </c>
      <c r="W132">
        <v>0</v>
      </c>
      <c r="X132">
        <v>0</v>
      </c>
      <c r="Y132">
        <v>0</v>
      </c>
      <c r="Z132" s="13">
        <f t="shared" si="15"/>
        <v>0</v>
      </c>
      <c r="AA132">
        <v>0</v>
      </c>
      <c r="AB132">
        <v>0</v>
      </c>
      <c r="AC132">
        <v>0</v>
      </c>
      <c r="AD132">
        <v>0</v>
      </c>
      <c r="AE132" s="7">
        <f t="shared" si="16"/>
        <v>0</v>
      </c>
      <c r="AF132">
        <v>0</v>
      </c>
      <c r="AG132">
        <v>0</v>
      </c>
      <c r="AH132">
        <v>0</v>
      </c>
      <c r="AI132" s="13">
        <f t="shared" si="17"/>
        <v>0</v>
      </c>
      <c r="AJ132" s="11" t="s">
        <v>51</v>
      </c>
      <c r="AK132" s="11" t="s">
        <v>51</v>
      </c>
      <c r="AL132" s="11" t="s">
        <v>51</v>
      </c>
      <c r="AM132" s="13">
        <f t="shared" si="18"/>
        <v>0</v>
      </c>
      <c r="AN132" s="18">
        <v>20</v>
      </c>
      <c r="AO132" s="18">
        <v>0</v>
      </c>
      <c r="AP132" s="18">
        <v>0</v>
      </c>
      <c r="AQ132" s="18">
        <v>0</v>
      </c>
      <c r="AR132" s="18">
        <f t="shared" si="19"/>
        <v>20</v>
      </c>
      <c r="AS132" t="s">
        <v>52</v>
      </c>
      <c r="AT132" s="9">
        <v>83.09</v>
      </c>
      <c r="AU132" s="30">
        <f>+((AN132*I132)+(AO132*AE132)+(AQ132*AI132)+(AP132*AM132))/AR132</f>
        <v>83.09</v>
      </c>
    </row>
    <row r="133" spans="1:47" x14ac:dyDescent="0.25">
      <c r="A133" t="s">
        <v>46</v>
      </c>
      <c r="B133" t="s">
        <v>546</v>
      </c>
      <c r="C133" t="s">
        <v>547</v>
      </c>
      <c r="D133" t="s">
        <v>548</v>
      </c>
      <c r="E133" s="11">
        <v>25</v>
      </c>
      <c r="F133" s="11">
        <v>0</v>
      </c>
      <c r="G133" s="11">
        <v>51.537500000000001</v>
      </c>
      <c r="H133" s="11">
        <v>8.125</v>
      </c>
      <c r="I133" s="13">
        <f t="shared" si="11"/>
        <v>84.662499999999994</v>
      </c>
      <c r="J133" s="11">
        <v>0</v>
      </c>
      <c r="K133" s="11">
        <v>0</v>
      </c>
      <c r="L133" s="11">
        <v>0</v>
      </c>
      <c r="M133" s="13">
        <f t="shared" si="12"/>
        <v>0</v>
      </c>
      <c r="N133" s="11">
        <v>0</v>
      </c>
      <c r="O133" s="11">
        <v>0</v>
      </c>
      <c r="P133" s="11">
        <v>0</v>
      </c>
      <c r="Q133" s="11">
        <v>0</v>
      </c>
      <c r="R133" s="13">
        <f t="shared" si="13"/>
        <v>0</v>
      </c>
      <c r="S133">
        <v>0</v>
      </c>
      <c r="T133">
        <v>0</v>
      </c>
      <c r="U133" s="7">
        <f t="shared" si="14"/>
        <v>0</v>
      </c>
      <c r="V133">
        <v>0</v>
      </c>
      <c r="W133">
        <v>0</v>
      </c>
      <c r="X133">
        <v>0</v>
      </c>
      <c r="Y133">
        <v>0</v>
      </c>
      <c r="Z133" s="13">
        <f t="shared" si="15"/>
        <v>0</v>
      </c>
      <c r="AA133">
        <v>0</v>
      </c>
      <c r="AB133">
        <v>0</v>
      </c>
      <c r="AC133">
        <v>0</v>
      </c>
      <c r="AD133">
        <v>0</v>
      </c>
      <c r="AE133" s="7">
        <f t="shared" si="16"/>
        <v>0</v>
      </c>
      <c r="AF133">
        <v>38.340000000000003</v>
      </c>
      <c r="AG133">
        <v>20</v>
      </c>
      <c r="AH133">
        <v>30</v>
      </c>
      <c r="AI133" s="13">
        <f t="shared" si="17"/>
        <v>88.34</v>
      </c>
      <c r="AJ133" s="11">
        <v>18</v>
      </c>
      <c r="AK133" s="11">
        <v>26.5</v>
      </c>
      <c r="AL133" s="11">
        <v>41.52</v>
      </c>
      <c r="AM133" s="13">
        <f t="shared" si="18"/>
        <v>86.02000000000001</v>
      </c>
      <c r="AN133" s="18">
        <v>32</v>
      </c>
      <c r="AO133" s="18">
        <v>0</v>
      </c>
      <c r="AP133" s="18">
        <v>0</v>
      </c>
      <c r="AQ133" s="18">
        <v>5</v>
      </c>
      <c r="AR133" s="18">
        <f t="shared" si="19"/>
        <v>37</v>
      </c>
      <c r="AS133" t="s">
        <v>52</v>
      </c>
      <c r="AT133" s="9">
        <v>85.159459459459455</v>
      </c>
      <c r="AU133" s="11">
        <f>+((AN133*I133)+(AQ133*AI133))/AR133</f>
        <v>85.159459459459455</v>
      </c>
    </row>
    <row r="134" spans="1:47" x14ac:dyDescent="0.25">
      <c r="A134" s="33" t="s">
        <v>46</v>
      </c>
      <c r="B134" s="32" t="s">
        <v>546</v>
      </c>
      <c r="C134" s="32" t="s">
        <v>547</v>
      </c>
      <c r="D134" s="32" t="s">
        <v>548</v>
      </c>
      <c r="E134" s="11">
        <v>25</v>
      </c>
      <c r="F134" s="11">
        <v>0</v>
      </c>
      <c r="G134" s="11">
        <v>51.537500000000001</v>
      </c>
      <c r="H134" s="11">
        <v>8.125</v>
      </c>
      <c r="I134" s="13">
        <f t="shared" ref="I134:I197" si="22">+SUM(E134:H134)</f>
        <v>84.662499999999994</v>
      </c>
      <c r="J134" s="11">
        <v>0</v>
      </c>
      <c r="K134" s="11">
        <v>0</v>
      </c>
      <c r="L134" s="11">
        <v>0</v>
      </c>
      <c r="M134" s="13">
        <f t="shared" ref="M134:M197" si="23">+SUM(J134:L134)</f>
        <v>0</v>
      </c>
      <c r="N134" s="11">
        <v>0</v>
      </c>
      <c r="O134" s="11">
        <v>0</v>
      </c>
      <c r="P134" s="11">
        <v>0</v>
      </c>
      <c r="Q134" s="11">
        <v>0</v>
      </c>
      <c r="R134" s="13">
        <f t="shared" ref="R134:R197" si="24">+SUM(N134:Q134)</f>
        <v>0</v>
      </c>
      <c r="S134">
        <v>0</v>
      </c>
      <c r="T134">
        <v>0</v>
      </c>
      <c r="U134" s="7">
        <f t="shared" ref="U134:U197" si="25">+SUM(S134:T134)</f>
        <v>0</v>
      </c>
      <c r="V134">
        <v>0</v>
      </c>
      <c r="W134">
        <v>0</v>
      </c>
      <c r="X134">
        <v>0</v>
      </c>
      <c r="Y134">
        <v>0</v>
      </c>
      <c r="Z134" s="13">
        <f t="shared" ref="Z134:Z197" si="26">+SUM(V134:Y134)</f>
        <v>0</v>
      </c>
      <c r="AA134">
        <v>0</v>
      </c>
      <c r="AB134">
        <v>0</v>
      </c>
      <c r="AC134">
        <v>0</v>
      </c>
      <c r="AD134">
        <v>0</v>
      </c>
      <c r="AE134" s="7">
        <f t="shared" ref="AE134:AE197" si="27">+SUM(AA134:AD134)</f>
        <v>0</v>
      </c>
      <c r="AF134">
        <v>38.340000000000003</v>
      </c>
      <c r="AG134">
        <v>20</v>
      </c>
      <c r="AH134">
        <v>30</v>
      </c>
      <c r="AI134" s="13">
        <f t="shared" ref="AI134:AI197" si="28">+SUM(AF134:AH134)</f>
        <v>88.34</v>
      </c>
      <c r="AJ134" s="11">
        <v>18</v>
      </c>
      <c r="AK134" s="11">
        <v>26.5</v>
      </c>
      <c r="AL134" s="11">
        <v>41.52</v>
      </c>
      <c r="AM134" s="13">
        <f t="shared" ref="AM134:AM197" si="29">+SUM(AJ134:AL134)</f>
        <v>86.02000000000001</v>
      </c>
      <c r="AN134" s="18">
        <v>0</v>
      </c>
      <c r="AO134" s="18">
        <v>0</v>
      </c>
      <c r="AP134" s="18">
        <v>3</v>
      </c>
      <c r="AQ134" s="18">
        <v>0</v>
      </c>
      <c r="AR134" s="18">
        <f t="shared" ref="AR134:AR197" si="30">+SUM(AN134:AQ134)</f>
        <v>3</v>
      </c>
      <c r="AS134" t="s">
        <v>117</v>
      </c>
      <c r="AT134" s="9">
        <v>86.020000000000024</v>
      </c>
      <c r="AU134" s="11">
        <f>+((AP134*AM134))/AR134</f>
        <v>86.020000000000024</v>
      </c>
    </row>
    <row r="135" spans="1:47" x14ac:dyDescent="0.25">
      <c r="A135" t="s">
        <v>46</v>
      </c>
      <c r="B135" t="s">
        <v>551</v>
      </c>
      <c r="C135" t="s">
        <v>552</v>
      </c>
      <c r="D135" t="s">
        <v>553</v>
      </c>
      <c r="E135" s="11">
        <v>25</v>
      </c>
      <c r="F135" s="11">
        <v>0</v>
      </c>
      <c r="G135" s="11">
        <v>49.575000000000003</v>
      </c>
      <c r="H135" s="11">
        <v>3.125</v>
      </c>
      <c r="I135" s="13">
        <f t="shared" si="22"/>
        <v>77.7</v>
      </c>
      <c r="J135" s="11">
        <v>0</v>
      </c>
      <c r="K135" s="11">
        <v>0</v>
      </c>
      <c r="L135" s="11">
        <v>0</v>
      </c>
      <c r="M135" s="13">
        <f t="shared" si="23"/>
        <v>0</v>
      </c>
      <c r="N135" s="11">
        <v>0</v>
      </c>
      <c r="O135" s="11">
        <v>0</v>
      </c>
      <c r="P135" s="11">
        <v>0</v>
      </c>
      <c r="Q135" s="11">
        <v>0</v>
      </c>
      <c r="R135" s="13">
        <f t="shared" si="24"/>
        <v>0</v>
      </c>
      <c r="S135">
        <v>0</v>
      </c>
      <c r="T135">
        <v>0</v>
      </c>
      <c r="U135" s="7">
        <f t="shared" si="25"/>
        <v>0</v>
      </c>
      <c r="V135">
        <v>0</v>
      </c>
      <c r="W135">
        <v>0</v>
      </c>
      <c r="X135">
        <v>0</v>
      </c>
      <c r="Y135">
        <v>0</v>
      </c>
      <c r="Z135" s="13">
        <f t="shared" si="26"/>
        <v>0</v>
      </c>
      <c r="AA135">
        <v>3.75</v>
      </c>
      <c r="AB135">
        <v>21.25</v>
      </c>
      <c r="AC135">
        <v>15</v>
      </c>
      <c r="AD135">
        <v>20</v>
      </c>
      <c r="AE135" s="7">
        <f t="shared" si="27"/>
        <v>60</v>
      </c>
      <c r="AF135">
        <v>0</v>
      </c>
      <c r="AG135">
        <v>0</v>
      </c>
      <c r="AH135">
        <v>0</v>
      </c>
      <c r="AI135" s="13">
        <f t="shared" si="28"/>
        <v>0</v>
      </c>
      <c r="AJ135" s="11" t="s">
        <v>51</v>
      </c>
      <c r="AK135" s="11" t="s">
        <v>51</v>
      </c>
      <c r="AL135" s="11" t="s">
        <v>51</v>
      </c>
      <c r="AM135" s="13">
        <f t="shared" si="29"/>
        <v>0</v>
      </c>
      <c r="AN135" s="18">
        <v>35</v>
      </c>
      <c r="AO135" s="18">
        <v>5</v>
      </c>
      <c r="AP135" s="18">
        <v>0</v>
      </c>
      <c r="AQ135" s="18">
        <v>0</v>
      </c>
      <c r="AR135" s="18">
        <f t="shared" si="30"/>
        <v>40</v>
      </c>
      <c r="AS135" t="s">
        <v>52</v>
      </c>
      <c r="AT135" s="9">
        <v>75.487499999999997</v>
      </c>
      <c r="AU135" s="30">
        <f>+((AN135*I135)+(AO135*AE135)+(AQ135*AI135)+(AP135*AM135))/AR135</f>
        <v>75.487499999999997</v>
      </c>
    </row>
    <row r="136" spans="1:47" s="6" customFormat="1" x14ac:dyDescent="0.25">
      <c r="A136" s="6" t="s">
        <v>46</v>
      </c>
      <c r="B136" s="6" t="s">
        <v>555</v>
      </c>
      <c r="C136" s="6" t="s">
        <v>556</v>
      </c>
      <c r="D136" s="6" t="s">
        <v>557</v>
      </c>
      <c r="E136" s="12">
        <v>0</v>
      </c>
      <c r="F136" s="12">
        <v>0</v>
      </c>
      <c r="G136" s="12">
        <v>0</v>
      </c>
      <c r="H136" s="12">
        <v>0</v>
      </c>
      <c r="I136" s="13">
        <f t="shared" si="22"/>
        <v>0</v>
      </c>
      <c r="J136" s="14">
        <v>57.28</v>
      </c>
      <c r="K136" s="14">
        <v>29</v>
      </c>
      <c r="L136" s="14">
        <v>2.5</v>
      </c>
      <c r="M136" s="13">
        <f t="shared" si="23"/>
        <v>88.78</v>
      </c>
      <c r="N136" s="12">
        <v>0</v>
      </c>
      <c r="O136" s="12">
        <v>0</v>
      </c>
      <c r="P136" s="12">
        <v>0</v>
      </c>
      <c r="Q136" s="12">
        <v>0</v>
      </c>
      <c r="R136" s="13">
        <f t="shared" si="24"/>
        <v>0</v>
      </c>
      <c r="S136" s="6">
        <v>0</v>
      </c>
      <c r="T136" s="6">
        <v>0</v>
      </c>
      <c r="U136" s="7">
        <f t="shared" si="25"/>
        <v>0</v>
      </c>
      <c r="V136" s="6">
        <v>0</v>
      </c>
      <c r="W136" s="6">
        <v>0</v>
      </c>
      <c r="X136" s="6">
        <v>0</v>
      </c>
      <c r="Y136" s="6">
        <v>0</v>
      </c>
      <c r="Z136" s="13">
        <f t="shared" si="26"/>
        <v>0</v>
      </c>
      <c r="AA136" s="6">
        <v>0</v>
      </c>
      <c r="AB136" s="6">
        <v>0</v>
      </c>
      <c r="AC136" s="6">
        <v>0</v>
      </c>
      <c r="AD136" s="6">
        <v>0</v>
      </c>
      <c r="AE136" s="7">
        <f t="shared" si="27"/>
        <v>0</v>
      </c>
      <c r="AF136" s="6">
        <v>0</v>
      </c>
      <c r="AG136" s="6">
        <v>0</v>
      </c>
      <c r="AH136" s="6">
        <v>0</v>
      </c>
      <c r="AI136" s="13">
        <f t="shared" si="28"/>
        <v>0</v>
      </c>
      <c r="AJ136" s="12" t="s">
        <v>51</v>
      </c>
      <c r="AK136" s="12" t="s">
        <v>51</v>
      </c>
      <c r="AL136" s="12" t="s">
        <v>51</v>
      </c>
      <c r="AM136" s="13">
        <f t="shared" si="29"/>
        <v>0</v>
      </c>
      <c r="AN136" s="21">
        <v>1.1299999999999999</v>
      </c>
      <c r="AO136" s="21">
        <v>0</v>
      </c>
      <c r="AP136" s="21">
        <v>0</v>
      </c>
      <c r="AQ136" s="21">
        <v>0</v>
      </c>
      <c r="AR136" s="18">
        <f t="shared" si="30"/>
        <v>1.1299999999999999</v>
      </c>
      <c r="AS136" s="6" t="s">
        <v>87</v>
      </c>
      <c r="AT136" s="10">
        <v>88.78</v>
      </c>
      <c r="AU136" s="30">
        <f>+((AN136*M136)/AR136)</f>
        <v>88.78</v>
      </c>
    </row>
    <row r="137" spans="1:47" x14ac:dyDescent="0.25">
      <c r="A137" t="s">
        <v>46</v>
      </c>
      <c r="B137" t="s">
        <v>558</v>
      </c>
      <c r="C137" t="s">
        <v>559</v>
      </c>
      <c r="D137" t="s">
        <v>560</v>
      </c>
      <c r="E137" s="11">
        <v>20</v>
      </c>
      <c r="F137" s="11">
        <v>20</v>
      </c>
      <c r="G137" s="11">
        <v>50</v>
      </c>
      <c r="H137" s="11">
        <v>6</v>
      </c>
      <c r="I137" s="13">
        <f t="shared" si="22"/>
        <v>96</v>
      </c>
      <c r="J137" s="11">
        <v>0</v>
      </c>
      <c r="K137" s="11">
        <v>0</v>
      </c>
      <c r="L137" s="11">
        <v>0</v>
      </c>
      <c r="M137" s="13">
        <f t="shared" si="23"/>
        <v>0</v>
      </c>
      <c r="N137" s="11">
        <v>0</v>
      </c>
      <c r="O137" s="11">
        <v>0</v>
      </c>
      <c r="P137" s="11">
        <v>0</v>
      </c>
      <c r="Q137" s="11">
        <v>0</v>
      </c>
      <c r="R137" s="13">
        <f t="shared" si="24"/>
        <v>0</v>
      </c>
      <c r="S137">
        <v>0</v>
      </c>
      <c r="T137">
        <v>0</v>
      </c>
      <c r="U137" s="7">
        <f t="shared" si="25"/>
        <v>0</v>
      </c>
      <c r="V137">
        <v>0</v>
      </c>
      <c r="W137">
        <v>0</v>
      </c>
      <c r="X137">
        <v>0</v>
      </c>
      <c r="Y137">
        <v>0</v>
      </c>
      <c r="Z137" s="13">
        <f t="shared" si="26"/>
        <v>0</v>
      </c>
      <c r="AA137">
        <v>0</v>
      </c>
      <c r="AB137">
        <v>0</v>
      </c>
      <c r="AC137">
        <v>0</v>
      </c>
      <c r="AD137">
        <v>0</v>
      </c>
      <c r="AE137" s="7">
        <f t="shared" si="27"/>
        <v>0</v>
      </c>
      <c r="AF137">
        <v>0</v>
      </c>
      <c r="AG137">
        <v>0</v>
      </c>
      <c r="AH137">
        <v>0</v>
      </c>
      <c r="AI137" s="13">
        <f t="shared" si="28"/>
        <v>0</v>
      </c>
      <c r="AJ137" s="11" t="s">
        <v>51</v>
      </c>
      <c r="AK137" s="11" t="s">
        <v>51</v>
      </c>
      <c r="AL137" s="11" t="s">
        <v>51</v>
      </c>
      <c r="AM137" s="13">
        <f t="shared" si="29"/>
        <v>0</v>
      </c>
      <c r="AN137" s="18">
        <v>40</v>
      </c>
      <c r="AO137" s="18">
        <v>0</v>
      </c>
      <c r="AP137" s="18">
        <v>0</v>
      </c>
      <c r="AQ137" s="18">
        <v>0</v>
      </c>
      <c r="AR137" s="18">
        <f t="shared" si="30"/>
        <v>40</v>
      </c>
      <c r="AS137" t="s">
        <v>52</v>
      </c>
      <c r="AT137" s="9">
        <v>96</v>
      </c>
      <c r="AU137" s="30">
        <f>+((AN137*I137)+(AO137*AE137)+(AQ137*AI137)+(AP137*AM137))/AR137</f>
        <v>96</v>
      </c>
    </row>
    <row r="138" spans="1:47" x14ac:dyDescent="0.25">
      <c r="A138" t="s">
        <v>46</v>
      </c>
      <c r="B138" t="s">
        <v>562</v>
      </c>
      <c r="C138" t="s">
        <v>563</v>
      </c>
      <c r="D138" t="s">
        <v>564</v>
      </c>
      <c r="E138" s="11">
        <v>19.670000000000002</v>
      </c>
      <c r="F138" s="11">
        <v>20</v>
      </c>
      <c r="G138" s="11">
        <v>43.12</v>
      </c>
      <c r="H138" s="11">
        <v>3.5</v>
      </c>
      <c r="I138" s="13">
        <f t="shared" si="22"/>
        <v>86.289999999999992</v>
      </c>
      <c r="J138" s="11">
        <v>0</v>
      </c>
      <c r="K138" s="11">
        <v>0</v>
      </c>
      <c r="L138" s="11">
        <v>0</v>
      </c>
      <c r="M138" s="13">
        <f t="shared" si="23"/>
        <v>0</v>
      </c>
      <c r="N138" s="11">
        <v>0</v>
      </c>
      <c r="O138" s="11">
        <v>0</v>
      </c>
      <c r="P138" s="11">
        <v>0</v>
      </c>
      <c r="Q138" s="11">
        <v>0</v>
      </c>
      <c r="R138" s="13">
        <f t="shared" si="24"/>
        <v>0</v>
      </c>
      <c r="S138">
        <v>0</v>
      </c>
      <c r="T138">
        <v>0</v>
      </c>
      <c r="U138" s="7">
        <f t="shared" si="25"/>
        <v>0</v>
      </c>
      <c r="V138">
        <v>0</v>
      </c>
      <c r="W138">
        <v>0</v>
      </c>
      <c r="X138">
        <v>0</v>
      </c>
      <c r="Y138">
        <v>0</v>
      </c>
      <c r="Z138" s="13">
        <f t="shared" si="26"/>
        <v>0</v>
      </c>
      <c r="AA138">
        <v>0</v>
      </c>
      <c r="AB138">
        <v>0</v>
      </c>
      <c r="AC138">
        <v>0</v>
      </c>
      <c r="AD138">
        <v>0</v>
      </c>
      <c r="AE138" s="7">
        <f t="shared" si="27"/>
        <v>0</v>
      </c>
      <c r="AF138">
        <v>0</v>
      </c>
      <c r="AG138">
        <v>0</v>
      </c>
      <c r="AH138">
        <v>0</v>
      </c>
      <c r="AI138" s="13">
        <f t="shared" si="28"/>
        <v>0</v>
      </c>
      <c r="AJ138" s="11" t="s">
        <v>51</v>
      </c>
      <c r="AK138" s="11" t="s">
        <v>51</v>
      </c>
      <c r="AL138" s="11" t="s">
        <v>51</v>
      </c>
      <c r="AM138" s="13">
        <f t="shared" si="29"/>
        <v>0</v>
      </c>
      <c r="AN138" s="18">
        <v>9</v>
      </c>
      <c r="AO138" s="18">
        <v>0</v>
      </c>
      <c r="AP138" s="18">
        <v>0</v>
      </c>
      <c r="AQ138" s="18">
        <v>0</v>
      </c>
      <c r="AR138" s="18">
        <f t="shared" si="30"/>
        <v>9</v>
      </c>
      <c r="AS138" t="s">
        <v>52</v>
      </c>
      <c r="AT138" s="9">
        <v>86.289999999999992</v>
      </c>
      <c r="AU138" s="30">
        <f>+((AN138*I138)+(AO138*AE138)+(AQ138*AI138)+(AP138*AM138))/AR138</f>
        <v>86.289999999999992</v>
      </c>
    </row>
    <row r="139" spans="1:47" x14ac:dyDescent="0.25">
      <c r="A139" t="s">
        <v>46</v>
      </c>
      <c r="B139" t="s">
        <v>566</v>
      </c>
      <c r="C139" t="s">
        <v>567</v>
      </c>
      <c r="D139" t="s">
        <v>568</v>
      </c>
      <c r="E139" s="11">
        <v>0</v>
      </c>
      <c r="F139" s="11">
        <v>25</v>
      </c>
      <c r="G139" s="11">
        <v>55.462499999999999</v>
      </c>
      <c r="H139" s="11">
        <v>9.375</v>
      </c>
      <c r="I139" s="13">
        <f t="shared" si="22"/>
        <v>89.837500000000006</v>
      </c>
      <c r="J139" s="11">
        <v>0</v>
      </c>
      <c r="K139" s="11">
        <v>0</v>
      </c>
      <c r="L139" s="11">
        <v>0</v>
      </c>
      <c r="M139" s="13">
        <f t="shared" si="23"/>
        <v>0</v>
      </c>
      <c r="N139" s="11">
        <v>0</v>
      </c>
      <c r="O139" s="11">
        <v>0</v>
      </c>
      <c r="P139" s="11">
        <v>0</v>
      </c>
      <c r="Q139" s="11">
        <v>0</v>
      </c>
      <c r="R139" s="13">
        <f t="shared" si="24"/>
        <v>0</v>
      </c>
      <c r="S139">
        <v>0</v>
      </c>
      <c r="T139">
        <v>0</v>
      </c>
      <c r="U139" s="7">
        <f t="shared" si="25"/>
        <v>0</v>
      </c>
      <c r="V139">
        <v>0</v>
      </c>
      <c r="W139">
        <v>0</v>
      </c>
      <c r="X139">
        <v>0</v>
      </c>
      <c r="Y139">
        <v>0</v>
      </c>
      <c r="Z139" s="13">
        <f t="shared" si="26"/>
        <v>0</v>
      </c>
      <c r="AA139">
        <v>0</v>
      </c>
      <c r="AB139">
        <v>0</v>
      </c>
      <c r="AC139">
        <v>0</v>
      </c>
      <c r="AD139">
        <v>0</v>
      </c>
      <c r="AE139" s="7">
        <f t="shared" si="27"/>
        <v>0</v>
      </c>
      <c r="AF139">
        <v>0</v>
      </c>
      <c r="AG139">
        <v>0</v>
      </c>
      <c r="AH139">
        <v>0</v>
      </c>
      <c r="AI139" s="13">
        <f t="shared" si="28"/>
        <v>0</v>
      </c>
      <c r="AJ139" s="11" t="s">
        <v>51</v>
      </c>
      <c r="AK139" s="11" t="s">
        <v>51</v>
      </c>
      <c r="AL139" s="11" t="s">
        <v>51</v>
      </c>
      <c r="AM139" s="13">
        <f t="shared" si="29"/>
        <v>0</v>
      </c>
      <c r="AN139" s="18">
        <v>40</v>
      </c>
      <c r="AO139" s="18">
        <v>0</v>
      </c>
      <c r="AP139" s="18">
        <v>0</v>
      </c>
      <c r="AQ139" s="18">
        <v>0</v>
      </c>
      <c r="AR139" s="18">
        <f t="shared" si="30"/>
        <v>40</v>
      </c>
      <c r="AS139" t="s">
        <v>52</v>
      </c>
      <c r="AT139" s="9">
        <v>89.837500000000006</v>
      </c>
      <c r="AU139" s="30">
        <f>+((AN139*I139)+(AO139*AE139)+(AQ139*AI139)+(AP139*AM139))/AR139</f>
        <v>89.837500000000006</v>
      </c>
    </row>
    <row r="140" spans="1:47" x14ac:dyDescent="0.25">
      <c r="A140" t="s">
        <v>46</v>
      </c>
      <c r="B140" t="s">
        <v>570</v>
      </c>
      <c r="C140" t="s">
        <v>571</v>
      </c>
      <c r="D140" t="s">
        <v>572</v>
      </c>
      <c r="E140" s="11">
        <v>20</v>
      </c>
      <c r="F140" s="11">
        <v>20</v>
      </c>
      <c r="G140" s="11">
        <v>44.31</v>
      </c>
      <c r="H140" s="11">
        <v>5.25</v>
      </c>
      <c r="I140" s="13">
        <f t="shared" si="22"/>
        <v>89.56</v>
      </c>
      <c r="J140" s="11">
        <v>58.24</v>
      </c>
      <c r="K140" s="11">
        <v>30</v>
      </c>
      <c r="L140" s="11">
        <v>5.25</v>
      </c>
      <c r="M140" s="13">
        <f t="shared" si="23"/>
        <v>93.490000000000009</v>
      </c>
      <c r="N140" s="11">
        <v>0</v>
      </c>
      <c r="O140" s="11">
        <v>0</v>
      </c>
      <c r="P140" s="11">
        <v>0</v>
      </c>
      <c r="Q140" s="11">
        <v>0</v>
      </c>
      <c r="R140" s="13">
        <f t="shared" si="24"/>
        <v>0</v>
      </c>
      <c r="S140">
        <v>0</v>
      </c>
      <c r="T140">
        <v>0</v>
      </c>
      <c r="U140" s="7">
        <f t="shared" si="25"/>
        <v>0</v>
      </c>
      <c r="V140">
        <v>0</v>
      </c>
      <c r="W140">
        <v>0</v>
      </c>
      <c r="X140">
        <v>0</v>
      </c>
      <c r="Y140">
        <v>0</v>
      </c>
      <c r="Z140" s="13">
        <f t="shared" si="26"/>
        <v>0</v>
      </c>
      <c r="AA140">
        <v>15</v>
      </c>
      <c r="AB140">
        <v>50</v>
      </c>
      <c r="AC140">
        <v>15</v>
      </c>
      <c r="AD140">
        <v>20</v>
      </c>
      <c r="AE140" s="7">
        <f t="shared" si="27"/>
        <v>100</v>
      </c>
      <c r="AF140">
        <v>0</v>
      </c>
      <c r="AG140">
        <v>0</v>
      </c>
      <c r="AH140">
        <v>0</v>
      </c>
      <c r="AI140" s="13">
        <f t="shared" si="28"/>
        <v>0</v>
      </c>
      <c r="AJ140" s="11" t="s">
        <v>51</v>
      </c>
      <c r="AK140" s="11" t="s">
        <v>51</v>
      </c>
      <c r="AL140" s="11" t="s">
        <v>51</v>
      </c>
      <c r="AM140" s="13">
        <f t="shared" si="29"/>
        <v>0</v>
      </c>
      <c r="AN140" s="18">
        <v>25</v>
      </c>
      <c r="AO140" s="18">
        <v>15</v>
      </c>
      <c r="AP140" s="18">
        <v>0</v>
      </c>
      <c r="AQ140" s="18">
        <v>0</v>
      </c>
      <c r="AR140" s="18">
        <f t="shared" si="30"/>
        <v>40</v>
      </c>
      <c r="AS140" t="s">
        <v>52</v>
      </c>
      <c r="AT140" s="9">
        <v>93.474999999999994</v>
      </c>
      <c r="AU140" s="11">
        <f>+((AN140*I140)+(AO140*AE140))/AR140</f>
        <v>93.474999999999994</v>
      </c>
    </row>
    <row r="141" spans="1:47" x14ac:dyDescent="0.25">
      <c r="A141" t="s">
        <v>46</v>
      </c>
      <c r="B141" t="s">
        <v>570</v>
      </c>
      <c r="C141" t="s">
        <v>571</v>
      </c>
      <c r="D141" t="s">
        <v>572</v>
      </c>
      <c r="E141" s="11">
        <v>20</v>
      </c>
      <c r="F141" s="11">
        <v>20</v>
      </c>
      <c r="G141" s="11">
        <v>44.31</v>
      </c>
      <c r="H141" s="11">
        <v>5.25</v>
      </c>
      <c r="I141" s="13">
        <f t="shared" si="22"/>
        <v>89.56</v>
      </c>
      <c r="J141" s="11">
        <v>58.24</v>
      </c>
      <c r="K141" s="11">
        <v>30</v>
      </c>
      <c r="L141" s="11">
        <v>5.25</v>
      </c>
      <c r="M141" s="13">
        <f t="shared" si="23"/>
        <v>93.490000000000009</v>
      </c>
      <c r="N141" s="11">
        <v>0</v>
      </c>
      <c r="O141" s="11">
        <v>0</v>
      </c>
      <c r="P141" s="11">
        <v>0</v>
      </c>
      <c r="Q141" s="11">
        <v>0</v>
      </c>
      <c r="R141" s="13">
        <f t="shared" si="24"/>
        <v>0</v>
      </c>
      <c r="S141">
        <v>0</v>
      </c>
      <c r="T141">
        <v>0</v>
      </c>
      <c r="U141" s="7">
        <f t="shared" si="25"/>
        <v>0</v>
      </c>
      <c r="V141">
        <v>0</v>
      </c>
      <c r="W141">
        <v>0</v>
      </c>
      <c r="X141">
        <v>0</v>
      </c>
      <c r="Y141">
        <v>0</v>
      </c>
      <c r="Z141" s="13">
        <f t="shared" si="26"/>
        <v>0</v>
      </c>
      <c r="AA141">
        <v>15</v>
      </c>
      <c r="AB141">
        <v>50</v>
      </c>
      <c r="AC141">
        <v>15</v>
      </c>
      <c r="AD141">
        <v>20</v>
      </c>
      <c r="AE141" s="7">
        <f t="shared" si="27"/>
        <v>100</v>
      </c>
      <c r="AF141">
        <v>0</v>
      </c>
      <c r="AG141">
        <v>0</v>
      </c>
      <c r="AH141">
        <v>0</v>
      </c>
      <c r="AI141" s="13">
        <f t="shared" si="28"/>
        <v>0</v>
      </c>
      <c r="AJ141" s="11" t="s">
        <v>51</v>
      </c>
      <c r="AK141" s="11" t="s">
        <v>51</v>
      </c>
      <c r="AL141" s="11" t="s">
        <v>51</v>
      </c>
      <c r="AM141" s="13">
        <f t="shared" si="29"/>
        <v>0</v>
      </c>
      <c r="AN141" s="18">
        <v>2</v>
      </c>
      <c r="AO141" s="18">
        <v>0</v>
      </c>
      <c r="AP141" s="18">
        <v>0</v>
      </c>
      <c r="AQ141" s="18">
        <v>0</v>
      </c>
      <c r="AR141" s="18">
        <f t="shared" si="30"/>
        <v>2</v>
      </c>
      <c r="AS141" t="s">
        <v>87</v>
      </c>
      <c r="AT141" s="9">
        <v>93.490000000000009</v>
      </c>
      <c r="AU141" s="11">
        <f>+((AN141*M141)+(AQ141*AI141)+(AP141*AM141))/AR141</f>
        <v>93.490000000000009</v>
      </c>
    </row>
    <row r="142" spans="1:47" x14ac:dyDescent="0.25">
      <c r="A142" t="s">
        <v>46</v>
      </c>
      <c r="B142" t="s">
        <v>575</v>
      </c>
      <c r="C142" t="s">
        <v>576</v>
      </c>
      <c r="D142" t="s">
        <v>577</v>
      </c>
      <c r="E142" s="11">
        <v>25</v>
      </c>
      <c r="F142" s="11">
        <v>0</v>
      </c>
      <c r="G142" s="11">
        <v>61.35</v>
      </c>
      <c r="H142" s="11">
        <v>6.25</v>
      </c>
      <c r="I142" s="13">
        <f t="shared" si="22"/>
        <v>92.6</v>
      </c>
      <c r="J142" s="11">
        <v>0</v>
      </c>
      <c r="K142" s="11">
        <v>0</v>
      </c>
      <c r="L142" s="11">
        <v>0</v>
      </c>
      <c r="M142" s="13">
        <f t="shared" si="23"/>
        <v>0</v>
      </c>
      <c r="N142" s="11">
        <v>0</v>
      </c>
      <c r="O142" s="11">
        <v>0</v>
      </c>
      <c r="P142" s="11">
        <v>0</v>
      </c>
      <c r="Q142" s="11">
        <v>0</v>
      </c>
      <c r="R142" s="13">
        <f t="shared" si="24"/>
        <v>0</v>
      </c>
      <c r="S142">
        <v>0</v>
      </c>
      <c r="T142">
        <v>0</v>
      </c>
      <c r="U142" s="7">
        <f t="shared" si="25"/>
        <v>0</v>
      </c>
      <c r="V142">
        <v>0</v>
      </c>
      <c r="W142">
        <v>0</v>
      </c>
      <c r="X142">
        <v>0</v>
      </c>
      <c r="Y142">
        <v>0</v>
      </c>
      <c r="Z142" s="13">
        <f t="shared" si="26"/>
        <v>0</v>
      </c>
      <c r="AA142">
        <v>3.75</v>
      </c>
      <c r="AB142">
        <v>12.5</v>
      </c>
      <c r="AC142">
        <v>15</v>
      </c>
      <c r="AD142">
        <v>20</v>
      </c>
      <c r="AE142" s="7">
        <f t="shared" si="27"/>
        <v>51.25</v>
      </c>
      <c r="AF142">
        <v>0</v>
      </c>
      <c r="AG142">
        <v>0</v>
      </c>
      <c r="AH142">
        <v>0</v>
      </c>
      <c r="AI142" s="13">
        <f t="shared" si="28"/>
        <v>0</v>
      </c>
      <c r="AJ142" s="11" t="s">
        <v>51</v>
      </c>
      <c r="AK142" s="11" t="s">
        <v>51</v>
      </c>
      <c r="AL142" s="11" t="s">
        <v>51</v>
      </c>
      <c r="AM142" s="13">
        <f t="shared" si="29"/>
        <v>0</v>
      </c>
      <c r="AN142" s="18">
        <v>35</v>
      </c>
      <c r="AO142" s="18">
        <v>5</v>
      </c>
      <c r="AP142" s="18">
        <v>0</v>
      </c>
      <c r="AQ142" s="18">
        <v>0</v>
      </c>
      <c r="AR142" s="18">
        <f t="shared" si="30"/>
        <v>40</v>
      </c>
      <c r="AS142" t="s">
        <v>52</v>
      </c>
      <c r="AT142" s="9">
        <v>87.431250000000006</v>
      </c>
      <c r="AU142" s="30">
        <f>+((AN142*I142)+(AO142*AE142)+(AQ142*AI142)+(AP142*AM142))/AR142</f>
        <v>87.431250000000006</v>
      </c>
    </row>
    <row r="143" spans="1:47" x14ac:dyDescent="0.25">
      <c r="A143" t="s">
        <v>46</v>
      </c>
      <c r="B143" t="s">
        <v>579</v>
      </c>
      <c r="C143" t="s">
        <v>580</v>
      </c>
      <c r="D143" t="s">
        <v>581</v>
      </c>
      <c r="E143" s="11">
        <v>0</v>
      </c>
      <c r="F143" s="11">
        <v>0</v>
      </c>
      <c r="G143" s="11">
        <v>0</v>
      </c>
      <c r="H143" s="11">
        <v>0</v>
      </c>
      <c r="I143" s="13">
        <f t="shared" si="22"/>
        <v>0</v>
      </c>
      <c r="J143" s="11">
        <v>82.071428571428569</v>
      </c>
      <c r="K143" s="11">
        <v>0</v>
      </c>
      <c r="L143" s="11">
        <v>4.2857142857142856</v>
      </c>
      <c r="M143" s="13">
        <f t="shared" si="23"/>
        <v>86.357142857142861</v>
      </c>
      <c r="N143" s="11">
        <v>0</v>
      </c>
      <c r="O143" s="11">
        <v>0</v>
      </c>
      <c r="P143" s="11">
        <v>0</v>
      </c>
      <c r="Q143" s="11">
        <v>0</v>
      </c>
      <c r="R143" s="13">
        <f t="shared" si="24"/>
        <v>0</v>
      </c>
      <c r="S143">
        <v>0</v>
      </c>
      <c r="T143">
        <v>0</v>
      </c>
      <c r="U143" s="7">
        <f t="shared" si="25"/>
        <v>0</v>
      </c>
      <c r="V143">
        <v>0</v>
      </c>
      <c r="W143">
        <v>0</v>
      </c>
      <c r="X143">
        <v>0</v>
      </c>
      <c r="Y143">
        <v>0</v>
      </c>
      <c r="Z143" s="13">
        <f t="shared" si="26"/>
        <v>0</v>
      </c>
      <c r="AA143">
        <v>0</v>
      </c>
      <c r="AB143">
        <v>0</v>
      </c>
      <c r="AC143">
        <v>0</v>
      </c>
      <c r="AD143">
        <v>0</v>
      </c>
      <c r="AE143" s="7">
        <f t="shared" si="27"/>
        <v>0</v>
      </c>
      <c r="AF143">
        <v>0</v>
      </c>
      <c r="AG143">
        <v>0</v>
      </c>
      <c r="AH143">
        <v>0</v>
      </c>
      <c r="AI143" s="13">
        <f t="shared" si="28"/>
        <v>0</v>
      </c>
      <c r="AJ143" s="11" t="s">
        <v>51</v>
      </c>
      <c r="AK143" s="11" t="s">
        <v>51</v>
      </c>
      <c r="AL143" s="11" t="s">
        <v>51</v>
      </c>
      <c r="AM143" s="13">
        <f t="shared" si="29"/>
        <v>0</v>
      </c>
      <c r="AN143" s="18">
        <v>2</v>
      </c>
      <c r="AO143" s="18">
        <v>0</v>
      </c>
      <c r="AP143" s="18">
        <v>0</v>
      </c>
      <c r="AQ143" s="18">
        <v>0</v>
      </c>
      <c r="AR143" s="18">
        <f t="shared" si="30"/>
        <v>2</v>
      </c>
      <c r="AS143" t="s">
        <v>87</v>
      </c>
      <c r="AT143" s="9">
        <v>86.357142857142861</v>
      </c>
      <c r="AU143" s="30">
        <f>+((AN143*M143)/AR143)</f>
        <v>86.357142857142861</v>
      </c>
    </row>
    <row r="144" spans="1:47" x14ac:dyDescent="0.25">
      <c r="A144" t="s">
        <v>46</v>
      </c>
      <c r="B144" t="s">
        <v>583</v>
      </c>
      <c r="C144" t="s">
        <v>584</v>
      </c>
      <c r="D144" t="s">
        <v>585</v>
      </c>
      <c r="E144" s="11">
        <v>20</v>
      </c>
      <c r="F144" s="11">
        <v>15.67</v>
      </c>
      <c r="G144" s="11">
        <v>46.03</v>
      </c>
      <c r="H144" s="11">
        <v>7.5</v>
      </c>
      <c r="I144" s="13">
        <f t="shared" si="22"/>
        <v>89.2</v>
      </c>
      <c r="J144" s="11">
        <v>0</v>
      </c>
      <c r="K144" s="11">
        <v>0</v>
      </c>
      <c r="L144" s="11">
        <v>0</v>
      </c>
      <c r="M144" s="13">
        <f t="shared" si="23"/>
        <v>0</v>
      </c>
      <c r="N144" s="11">
        <v>0</v>
      </c>
      <c r="O144" s="11">
        <v>0</v>
      </c>
      <c r="P144" s="11">
        <v>0</v>
      </c>
      <c r="Q144" s="11">
        <v>0</v>
      </c>
      <c r="R144" s="13">
        <f t="shared" si="24"/>
        <v>0</v>
      </c>
      <c r="S144">
        <v>0</v>
      </c>
      <c r="T144">
        <v>0</v>
      </c>
      <c r="U144" s="7">
        <f t="shared" si="25"/>
        <v>0</v>
      </c>
      <c r="V144">
        <v>0</v>
      </c>
      <c r="W144">
        <v>0</v>
      </c>
      <c r="X144">
        <v>0</v>
      </c>
      <c r="Y144">
        <v>0</v>
      </c>
      <c r="Z144" s="13">
        <f t="shared" si="26"/>
        <v>0</v>
      </c>
      <c r="AA144">
        <v>0</v>
      </c>
      <c r="AB144">
        <v>0</v>
      </c>
      <c r="AC144">
        <v>0</v>
      </c>
      <c r="AD144">
        <v>0</v>
      </c>
      <c r="AE144" s="7">
        <f t="shared" si="27"/>
        <v>0</v>
      </c>
      <c r="AF144">
        <v>0</v>
      </c>
      <c r="AG144">
        <v>0</v>
      </c>
      <c r="AH144">
        <v>0</v>
      </c>
      <c r="AI144" s="13">
        <f t="shared" si="28"/>
        <v>0</v>
      </c>
      <c r="AJ144" s="11" t="s">
        <v>51</v>
      </c>
      <c r="AK144" s="11" t="s">
        <v>51</v>
      </c>
      <c r="AL144" s="11" t="s">
        <v>51</v>
      </c>
      <c r="AM144" s="13">
        <f t="shared" si="29"/>
        <v>0</v>
      </c>
      <c r="AN144" s="18">
        <v>6</v>
      </c>
      <c r="AO144" s="18">
        <v>0</v>
      </c>
      <c r="AP144" s="18">
        <v>0</v>
      </c>
      <c r="AQ144" s="18">
        <v>0</v>
      </c>
      <c r="AR144" s="18">
        <f t="shared" si="30"/>
        <v>6</v>
      </c>
      <c r="AS144" t="s">
        <v>52</v>
      </c>
      <c r="AT144" s="9">
        <v>89.2</v>
      </c>
      <c r="AU144" s="30">
        <f>+((AN144*I144)+(AO144*AE144)+(AQ144*AI144)+(AP144*AM144))/AR144</f>
        <v>89.2</v>
      </c>
    </row>
    <row r="145" spans="1:47" x14ac:dyDescent="0.25">
      <c r="A145" t="s">
        <v>46</v>
      </c>
      <c r="B145" t="s">
        <v>587</v>
      </c>
      <c r="C145" t="s">
        <v>588</v>
      </c>
      <c r="D145" t="s">
        <v>589</v>
      </c>
      <c r="E145" s="11">
        <v>20</v>
      </c>
      <c r="F145" s="11">
        <v>19</v>
      </c>
      <c r="G145" s="11">
        <v>48.47</v>
      </c>
      <c r="H145" s="11">
        <v>4</v>
      </c>
      <c r="I145" s="13">
        <f t="shared" si="22"/>
        <v>91.47</v>
      </c>
      <c r="J145" s="11">
        <v>0</v>
      </c>
      <c r="K145" s="11">
        <v>0</v>
      </c>
      <c r="L145" s="11">
        <v>0</v>
      </c>
      <c r="M145" s="13">
        <f t="shared" si="23"/>
        <v>0</v>
      </c>
      <c r="N145" s="11">
        <v>0</v>
      </c>
      <c r="O145" s="11">
        <v>0</v>
      </c>
      <c r="P145" s="11">
        <v>0</v>
      </c>
      <c r="Q145" s="11">
        <v>0</v>
      </c>
      <c r="R145" s="13">
        <f t="shared" si="24"/>
        <v>0</v>
      </c>
      <c r="S145">
        <v>0</v>
      </c>
      <c r="T145">
        <v>0</v>
      </c>
      <c r="U145" s="7">
        <f t="shared" si="25"/>
        <v>0</v>
      </c>
      <c r="V145">
        <v>0</v>
      </c>
      <c r="W145">
        <v>0</v>
      </c>
      <c r="X145">
        <v>0</v>
      </c>
      <c r="Y145">
        <v>0</v>
      </c>
      <c r="Z145" s="13">
        <f t="shared" si="26"/>
        <v>0</v>
      </c>
      <c r="AA145">
        <v>0</v>
      </c>
      <c r="AB145">
        <v>0</v>
      </c>
      <c r="AC145">
        <v>0</v>
      </c>
      <c r="AD145">
        <v>0</v>
      </c>
      <c r="AE145" s="7">
        <f t="shared" si="27"/>
        <v>0</v>
      </c>
      <c r="AF145">
        <v>0</v>
      </c>
      <c r="AG145">
        <v>0</v>
      </c>
      <c r="AH145">
        <v>0</v>
      </c>
      <c r="AI145" s="13">
        <f t="shared" si="28"/>
        <v>0</v>
      </c>
      <c r="AJ145" s="11" t="s">
        <v>51</v>
      </c>
      <c r="AK145" s="11" t="s">
        <v>51</v>
      </c>
      <c r="AL145" s="11" t="s">
        <v>51</v>
      </c>
      <c r="AM145" s="13">
        <f t="shared" si="29"/>
        <v>0</v>
      </c>
      <c r="AN145" s="18">
        <v>7</v>
      </c>
      <c r="AO145" s="18">
        <v>0</v>
      </c>
      <c r="AP145" s="18">
        <v>0</v>
      </c>
      <c r="AQ145" s="18">
        <v>0</v>
      </c>
      <c r="AR145" s="18">
        <f t="shared" si="30"/>
        <v>7</v>
      </c>
      <c r="AS145" t="s">
        <v>52</v>
      </c>
      <c r="AT145" s="9">
        <v>91.47</v>
      </c>
      <c r="AU145" s="30">
        <f>+((AN145*I145)+(AO145*AE145)+(AQ145*AI145)+(AP145*AM145))/AR145</f>
        <v>91.47</v>
      </c>
    </row>
    <row r="146" spans="1:47" x14ac:dyDescent="0.25">
      <c r="A146" t="s">
        <v>46</v>
      </c>
      <c r="B146" t="s">
        <v>591</v>
      </c>
      <c r="C146" t="s">
        <v>592</v>
      </c>
      <c r="D146" t="s">
        <v>593</v>
      </c>
      <c r="E146" s="11">
        <v>0</v>
      </c>
      <c r="F146" s="11">
        <v>0</v>
      </c>
      <c r="G146" s="11">
        <v>0</v>
      </c>
      <c r="H146" s="11">
        <v>0</v>
      </c>
      <c r="I146" s="13">
        <f t="shared" si="22"/>
        <v>0</v>
      </c>
      <c r="J146" s="11">
        <v>54.08</v>
      </c>
      <c r="K146" s="11">
        <v>30</v>
      </c>
      <c r="L146" s="11">
        <v>6</v>
      </c>
      <c r="M146" s="13">
        <f t="shared" si="23"/>
        <v>90.08</v>
      </c>
      <c r="N146" s="11">
        <v>0</v>
      </c>
      <c r="O146" s="11">
        <v>0</v>
      </c>
      <c r="P146" s="11">
        <v>0</v>
      </c>
      <c r="Q146" s="11">
        <v>0</v>
      </c>
      <c r="R146" s="13">
        <f t="shared" si="24"/>
        <v>0</v>
      </c>
      <c r="S146">
        <v>0</v>
      </c>
      <c r="T146">
        <v>0</v>
      </c>
      <c r="U146" s="7">
        <f t="shared" si="25"/>
        <v>0</v>
      </c>
      <c r="V146">
        <v>0</v>
      </c>
      <c r="W146">
        <v>0</v>
      </c>
      <c r="X146">
        <v>0</v>
      </c>
      <c r="Y146">
        <v>0</v>
      </c>
      <c r="Z146" s="13">
        <f t="shared" si="26"/>
        <v>0</v>
      </c>
      <c r="AA146">
        <v>0</v>
      </c>
      <c r="AB146">
        <v>0</v>
      </c>
      <c r="AC146">
        <v>0</v>
      </c>
      <c r="AD146">
        <v>0</v>
      </c>
      <c r="AE146" s="7">
        <f t="shared" si="27"/>
        <v>0</v>
      </c>
      <c r="AF146">
        <v>0</v>
      </c>
      <c r="AG146">
        <v>0</v>
      </c>
      <c r="AH146">
        <v>0</v>
      </c>
      <c r="AI146" s="13">
        <f t="shared" si="28"/>
        <v>0</v>
      </c>
      <c r="AJ146" s="11" t="s">
        <v>51</v>
      </c>
      <c r="AK146" s="11" t="s">
        <v>51</v>
      </c>
      <c r="AL146" s="11" t="s">
        <v>51</v>
      </c>
      <c r="AM146" s="13">
        <f t="shared" si="29"/>
        <v>0</v>
      </c>
      <c r="AN146" s="18">
        <v>1.5</v>
      </c>
      <c r="AO146" s="18">
        <v>0</v>
      </c>
      <c r="AP146" s="18">
        <v>0</v>
      </c>
      <c r="AQ146" s="18">
        <v>0</v>
      </c>
      <c r="AR146" s="18">
        <f t="shared" si="30"/>
        <v>1.5</v>
      </c>
      <c r="AS146" t="s">
        <v>87</v>
      </c>
      <c r="AT146" s="9">
        <v>90.08</v>
      </c>
      <c r="AU146" s="30">
        <f>+((AN146*M146)/AR146)</f>
        <v>90.08</v>
      </c>
    </row>
    <row r="147" spans="1:47" x14ac:dyDescent="0.25">
      <c r="A147" t="s">
        <v>46</v>
      </c>
      <c r="B147" s="32" t="s">
        <v>595</v>
      </c>
      <c r="C147" s="32" t="s">
        <v>596</v>
      </c>
      <c r="D147" s="32" t="s">
        <v>597</v>
      </c>
      <c r="E147" s="11">
        <v>0</v>
      </c>
      <c r="F147" s="11">
        <v>0</v>
      </c>
      <c r="G147" s="11">
        <v>0</v>
      </c>
      <c r="H147" s="11">
        <v>0</v>
      </c>
      <c r="I147" s="13">
        <f t="shared" si="22"/>
        <v>0</v>
      </c>
      <c r="J147" s="11">
        <v>0</v>
      </c>
      <c r="K147" s="11">
        <v>0</v>
      </c>
      <c r="L147" s="11">
        <v>0</v>
      </c>
      <c r="M147" s="13">
        <f t="shared" si="23"/>
        <v>0</v>
      </c>
      <c r="N147" s="11">
        <v>46.73</v>
      </c>
      <c r="O147" s="11">
        <v>2.5</v>
      </c>
      <c r="P147" s="11">
        <v>20</v>
      </c>
      <c r="Q147" s="11">
        <v>19.329999999999998</v>
      </c>
      <c r="R147" s="13">
        <f t="shared" si="24"/>
        <v>88.559999999999988</v>
      </c>
      <c r="S147">
        <v>0</v>
      </c>
      <c r="T147">
        <v>0</v>
      </c>
      <c r="U147" s="7">
        <f t="shared" si="25"/>
        <v>0</v>
      </c>
      <c r="V147">
        <v>0</v>
      </c>
      <c r="W147">
        <v>0</v>
      </c>
      <c r="X147">
        <v>0</v>
      </c>
      <c r="Y147">
        <v>0</v>
      </c>
      <c r="Z147" s="13">
        <f t="shared" si="26"/>
        <v>0</v>
      </c>
      <c r="AA147">
        <v>0</v>
      </c>
      <c r="AB147">
        <v>0</v>
      </c>
      <c r="AC147">
        <v>0</v>
      </c>
      <c r="AD147">
        <v>0</v>
      </c>
      <c r="AE147" s="7">
        <f t="shared" si="27"/>
        <v>0</v>
      </c>
      <c r="AF147">
        <v>0</v>
      </c>
      <c r="AG147">
        <v>0</v>
      </c>
      <c r="AH147">
        <v>0</v>
      </c>
      <c r="AI147" s="13">
        <f t="shared" si="28"/>
        <v>0</v>
      </c>
      <c r="AJ147" s="11" t="s">
        <v>51</v>
      </c>
      <c r="AK147" s="11" t="s">
        <v>51</v>
      </c>
      <c r="AL147" s="11" t="s">
        <v>51</v>
      </c>
      <c r="AM147" s="13">
        <f t="shared" si="29"/>
        <v>0</v>
      </c>
      <c r="AN147" s="18">
        <v>11</v>
      </c>
      <c r="AO147" s="18">
        <v>0</v>
      </c>
      <c r="AP147" s="18">
        <v>0</v>
      </c>
      <c r="AQ147" s="18">
        <v>0</v>
      </c>
      <c r="AR147" s="18">
        <f t="shared" si="30"/>
        <v>11</v>
      </c>
      <c r="AS147" t="s">
        <v>117</v>
      </c>
      <c r="AT147" s="9">
        <v>88.559999999999988</v>
      </c>
      <c r="AU147" s="11">
        <f>+((AN147*R147)+(AQ147*AI147)+(AP147*AM147))/AR147</f>
        <v>88.559999999999988</v>
      </c>
    </row>
    <row r="148" spans="1:47" x14ac:dyDescent="0.25">
      <c r="A148" t="s">
        <v>46</v>
      </c>
      <c r="B148" t="s">
        <v>599</v>
      </c>
      <c r="C148" t="s">
        <v>600</v>
      </c>
      <c r="D148" t="s">
        <v>601</v>
      </c>
      <c r="E148" s="11">
        <v>20</v>
      </c>
      <c r="F148" s="11">
        <v>20</v>
      </c>
      <c r="G148" s="11">
        <v>38.270000000000003</v>
      </c>
      <c r="H148" s="11">
        <v>5.5</v>
      </c>
      <c r="I148" s="13">
        <f t="shared" si="22"/>
        <v>83.77000000000001</v>
      </c>
      <c r="J148" s="11">
        <v>0</v>
      </c>
      <c r="K148" s="11">
        <v>0</v>
      </c>
      <c r="L148" s="11">
        <v>0</v>
      </c>
      <c r="M148" s="13">
        <f t="shared" si="23"/>
        <v>0</v>
      </c>
      <c r="N148" s="11">
        <v>0</v>
      </c>
      <c r="O148" s="11">
        <v>0</v>
      </c>
      <c r="P148" s="11">
        <v>0</v>
      </c>
      <c r="Q148" s="11">
        <v>0</v>
      </c>
      <c r="R148" s="13">
        <f t="shared" si="24"/>
        <v>0</v>
      </c>
      <c r="S148">
        <v>0</v>
      </c>
      <c r="T148">
        <v>0</v>
      </c>
      <c r="U148" s="7">
        <f t="shared" si="25"/>
        <v>0</v>
      </c>
      <c r="V148">
        <v>0</v>
      </c>
      <c r="W148">
        <v>0</v>
      </c>
      <c r="X148">
        <v>0</v>
      </c>
      <c r="Y148">
        <v>0</v>
      </c>
      <c r="Z148" s="13">
        <f t="shared" si="26"/>
        <v>0</v>
      </c>
      <c r="AA148">
        <v>3.75</v>
      </c>
      <c r="AB148">
        <v>12.5</v>
      </c>
      <c r="AC148">
        <v>15</v>
      </c>
      <c r="AD148">
        <v>20</v>
      </c>
      <c r="AE148" s="7">
        <f t="shared" si="27"/>
        <v>51.25</v>
      </c>
      <c r="AF148">
        <v>0</v>
      </c>
      <c r="AG148">
        <v>0</v>
      </c>
      <c r="AH148">
        <v>0</v>
      </c>
      <c r="AI148" s="13">
        <f t="shared" si="28"/>
        <v>0</v>
      </c>
      <c r="AJ148" s="11" t="s">
        <v>51</v>
      </c>
      <c r="AK148" s="11">
        <v>37.5</v>
      </c>
      <c r="AL148" s="11">
        <v>47.387500000000003</v>
      </c>
      <c r="AM148" s="13">
        <f t="shared" si="29"/>
        <v>84.887500000000003</v>
      </c>
      <c r="AN148" s="18">
        <v>32</v>
      </c>
      <c r="AO148" s="18">
        <v>5</v>
      </c>
      <c r="AP148" s="18">
        <v>3</v>
      </c>
      <c r="AQ148" s="18">
        <v>0</v>
      </c>
      <c r="AR148" s="18">
        <f t="shared" si="30"/>
        <v>40</v>
      </c>
      <c r="AS148" t="s">
        <v>52</v>
      </c>
      <c r="AT148" s="9">
        <v>79.788812500000006</v>
      </c>
      <c r="AU148" s="30">
        <f>+((AN148*I148)+(AO148*AE148)+(AP148*AM148))/AR148</f>
        <v>79.788812500000006</v>
      </c>
    </row>
    <row r="149" spans="1:47" x14ac:dyDescent="0.25">
      <c r="A149" t="s">
        <v>46</v>
      </c>
      <c r="B149" t="s">
        <v>603</v>
      </c>
      <c r="C149" t="s">
        <v>604</v>
      </c>
      <c r="D149" t="s">
        <v>605</v>
      </c>
      <c r="E149" s="11">
        <v>19.329999999999998</v>
      </c>
      <c r="F149" s="11">
        <v>19</v>
      </c>
      <c r="G149" s="11">
        <v>45.65</v>
      </c>
      <c r="H149" s="11">
        <v>6</v>
      </c>
      <c r="I149" s="13">
        <f t="shared" si="22"/>
        <v>89.97999999999999</v>
      </c>
      <c r="J149" s="11">
        <v>0</v>
      </c>
      <c r="K149" s="11">
        <v>0</v>
      </c>
      <c r="L149" s="11">
        <v>0</v>
      </c>
      <c r="M149" s="13">
        <f t="shared" si="23"/>
        <v>0</v>
      </c>
      <c r="N149" s="11">
        <v>0</v>
      </c>
      <c r="O149" s="11">
        <v>0</v>
      </c>
      <c r="P149" s="11">
        <v>0</v>
      </c>
      <c r="Q149" s="11">
        <v>0</v>
      </c>
      <c r="R149" s="13">
        <f t="shared" si="24"/>
        <v>0</v>
      </c>
      <c r="S149">
        <v>0</v>
      </c>
      <c r="T149">
        <v>0</v>
      </c>
      <c r="U149" s="7">
        <f t="shared" si="25"/>
        <v>0</v>
      </c>
      <c r="V149">
        <v>0</v>
      </c>
      <c r="W149">
        <v>0</v>
      </c>
      <c r="X149">
        <v>0</v>
      </c>
      <c r="Y149">
        <v>0</v>
      </c>
      <c r="Z149" s="13">
        <f t="shared" si="26"/>
        <v>0</v>
      </c>
      <c r="AA149">
        <v>0</v>
      </c>
      <c r="AB149">
        <v>0</v>
      </c>
      <c r="AC149">
        <v>0</v>
      </c>
      <c r="AD149">
        <v>0</v>
      </c>
      <c r="AE149" s="7">
        <f t="shared" si="27"/>
        <v>0</v>
      </c>
      <c r="AF149">
        <v>0</v>
      </c>
      <c r="AG149">
        <v>0</v>
      </c>
      <c r="AH149">
        <v>0</v>
      </c>
      <c r="AI149" s="13">
        <f t="shared" si="28"/>
        <v>0</v>
      </c>
      <c r="AJ149" s="11" t="s">
        <v>51</v>
      </c>
      <c r="AK149" s="11" t="s">
        <v>51</v>
      </c>
      <c r="AL149" s="11" t="s">
        <v>51</v>
      </c>
      <c r="AM149" s="13">
        <f t="shared" si="29"/>
        <v>0</v>
      </c>
      <c r="AN149" s="18">
        <v>40</v>
      </c>
      <c r="AO149" s="18">
        <v>0</v>
      </c>
      <c r="AP149" s="18">
        <v>0</v>
      </c>
      <c r="AQ149" s="18">
        <v>0</v>
      </c>
      <c r="AR149" s="18">
        <f t="shared" si="30"/>
        <v>40</v>
      </c>
      <c r="AS149" t="s">
        <v>52</v>
      </c>
      <c r="AT149" s="9">
        <v>89.97999999999999</v>
      </c>
      <c r="AU149" s="30">
        <f>+((AN149*I149)+(AO149*AE149)+(AQ149*AI149)+(AP149*AM149))/AR149</f>
        <v>89.97999999999999</v>
      </c>
    </row>
    <row r="150" spans="1:47" x14ac:dyDescent="0.25">
      <c r="A150" t="s">
        <v>46</v>
      </c>
      <c r="B150" t="s">
        <v>607</v>
      </c>
      <c r="C150" t="s">
        <v>608</v>
      </c>
      <c r="D150" t="s">
        <v>609</v>
      </c>
      <c r="E150" s="11">
        <v>19.670000000000002</v>
      </c>
      <c r="F150" s="11">
        <v>18.670000000000002</v>
      </c>
      <c r="G150" s="11">
        <v>46.14</v>
      </c>
      <c r="H150" s="11">
        <v>4.5</v>
      </c>
      <c r="I150" s="13">
        <f t="shared" si="22"/>
        <v>88.98</v>
      </c>
      <c r="J150" s="11">
        <v>0</v>
      </c>
      <c r="K150" s="11">
        <v>0</v>
      </c>
      <c r="L150" s="11">
        <v>0</v>
      </c>
      <c r="M150" s="13">
        <f t="shared" si="23"/>
        <v>0</v>
      </c>
      <c r="N150" s="11">
        <v>0</v>
      </c>
      <c r="O150" s="11">
        <v>0</v>
      </c>
      <c r="P150" s="11">
        <v>0</v>
      </c>
      <c r="Q150" s="11">
        <v>0</v>
      </c>
      <c r="R150" s="13">
        <f t="shared" si="24"/>
        <v>0</v>
      </c>
      <c r="S150">
        <v>0</v>
      </c>
      <c r="T150">
        <v>0</v>
      </c>
      <c r="U150" s="7">
        <f t="shared" si="25"/>
        <v>0</v>
      </c>
      <c r="V150">
        <v>0</v>
      </c>
      <c r="W150">
        <v>0</v>
      </c>
      <c r="X150">
        <v>0</v>
      </c>
      <c r="Y150">
        <v>0</v>
      </c>
      <c r="Z150" s="13">
        <f t="shared" si="26"/>
        <v>0</v>
      </c>
      <c r="AA150">
        <v>0</v>
      </c>
      <c r="AB150">
        <v>0</v>
      </c>
      <c r="AC150">
        <v>0</v>
      </c>
      <c r="AD150">
        <v>0</v>
      </c>
      <c r="AE150" s="7">
        <f t="shared" si="27"/>
        <v>0</v>
      </c>
      <c r="AF150">
        <v>50</v>
      </c>
      <c r="AG150">
        <v>20</v>
      </c>
      <c r="AH150">
        <v>30</v>
      </c>
      <c r="AI150" s="13">
        <f t="shared" si="28"/>
        <v>100</v>
      </c>
      <c r="AJ150" s="11" t="s">
        <v>51</v>
      </c>
      <c r="AK150" s="11" t="s">
        <v>51</v>
      </c>
      <c r="AL150" s="11" t="s">
        <v>51</v>
      </c>
      <c r="AM150" s="13">
        <f t="shared" si="29"/>
        <v>0</v>
      </c>
      <c r="AN150" s="18">
        <v>32</v>
      </c>
      <c r="AO150" s="18">
        <v>0</v>
      </c>
      <c r="AP150" s="18">
        <v>0</v>
      </c>
      <c r="AQ150" s="18">
        <v>8</v>
      </c>
      <c r="AR150" s="18">
        <f t="shared" si="30"/>
        <v>40</v>
      </c>
      <c r="AS150" t="s">
        <v>52</v>
      </c>
      <c r="AT150" s="9">
        <v>91.183999999999997</v>
      </c>
      <c r="AU150" s="30">
        <f t="shared" ref="AU150:AU154" si="31">+((AN150*I150)+(AO150*AE150)+(AQ150*AI150)+(AP150*AM150))/AR150</f>
        <v>91.183999999999997</v>
      </c>
    </row>
    <row r="151" spans="1:47" x14ac:dyDescent="0.25">
      <c r="A151" t="s">
        <v>46</v>
      </c>
      <c r="B151" t="s">
        <v>611</v>
      </c>
      <c r="C151" t="s">
        <v>612</v>
      </c>
      <c r="D151" t="s">
        <v>613</v>
      </c>
      <c r="E151" s="11">
        <v>18.329999999999998</v>
      </c>
      <c r="F151" s="11">
        <v>17</v>
      </c>
      <c r="G151" s="11">
        <v>38.380000000000003</v>
      </c>
      <c r="H151" s="11">
        <v>6</v>
      </c>
      <c r="I151" s="13">
        <f t="shared" si="22"/>
        <v>79.710000000000008</v>
      </c>
      <c r="J151" s="11">
        <v>0</v>
      </c>
      <c r="K151" s="11">
        <v>0</v>
      </c>
      <c r="L151" s="11">
        <v>0</v>
      </c>
      <c r="M151" s="13">
        <f t="shared" si="23"/>
        <v>0</v>
      </c>
      <c r="N151" s="11">
        <v>0</v>
      </c>
      <c r="O151" s="11">
        <v>0</v>
      </c>
      <c r="P151" s="11">
        <v>0</v>
      </c>
      <c r="Q151" s="11">
        <v>0</v>
      </c>
      <c r="R151" s="13">
        <f t="shared" si="24"/>
        <v>0</v>
      </c>
      <c r="S151">
        <v>0</v>
      </c>
      <c r="T151">
        <v>0</v>
      </c>
      <c r="U151" s="7">
        <f t="shared" si="25"/>
        <v>0</v>
      </c>
      <c r="V151">
        <v>0</v>
      </c>
      <c r="W151">
        <v>0</v>
      </c>
      <c r="X151">
        <v>0</v>
      </c>
      <c r="Y151">
        <v>0</v>
      </c>
      <c r="Z151" s="13">
        <f t="shared" si="26"/>
        <v>0</v>
      </c>
      <c r="AA151">
        <v>3.75</v>
      </c>
      <c r="AB151">
        <v>18.75</v>
      </c>
      <c r="AC151">
        <v>15</v>
      </c>
      <c r="AD151">
        <v>18.75</v>
      </c>
      <c r="AE151" s="7">
        <f t="shared" si="27"/>
        <v>56.25</v>
      </c>
      <c r="AF151">
        <v>0</v>
      </c>
      <c r="AG151">
        <v>0</v>
      </c>
      <c r="AH151">
        <v>0</v>
      </c>
      <c r="AI151" s="13">
        <f t="shared" si="28"/>
        <v>0</v>
      </c>
      <c r="AJ151" s="11" t="s">
        <v>51</v>
      </c>
      <c r="AK151" s="11" t="s">
        <v>51</v>
      </c>
      <c r="AL151" s="11" t="s">
        <v>51</v>
      </c>
      <c r="AM151" s="13">
        <f t="shared" si="29"/>
        <v>0</v>
      </c>
      <c r="AN151" s="18">
        <v>34</v>
      </c>
      <c r="AO151" s="18">
        <v>6</v>
      </c>
      <c r="AP151" s="18">
        <v>0</v>
      </c>
      <c r="AQ151" s="18">
        <v>0</v>
      </c>
      <c r="AR151" s="18">
        <f t="shared" si="30"/>
        <v>40</v>
      </c>
      <c r="AS151" t="s">
        <v>52</v>
      </c>
      <c r="AT151" s="9">
        <v>76.191000000000003</v>
      </c>
      <c r="AU151" s="30">
        <f>+((AN151*I151)+(AO151*AE151))/AR151</f>
        <v>76.191000000000003</v>
      </c>
    </row>
    <row r="152" spans="1:47" x14ac:dyDescent="0.25">
      <c r="A152" t="s">
        <v>46</v>
      </c>
      <c r="B152" t="s">
        <v>615</v>
      </c>
      <c r="C152" t="s">
        <v>616</v>
      </c>
      <c r="D152" t="s">
        <v>176</v>
      </c>
      <c r="E152" s="11">
        <v>27.61428571428571</v>
      </c>
      <c r="F152" s="11">
        <v>0</v>
      </c>
      <c r="G152" s="11">
        <v>54.828571428571429</v>
      </c>
      <c r="H152" s="11">
        <v>0</v>
      </c>
      <c r="I152" s="13">
        <f t="shared" si="22"/>
        <v>82.442857142857136</v>
      </c>
      <c r="J152" s="11">
        <v>0</v>
      </c>
      <c r="K152" s="11">
        <v>0</v>
      </c>
      <c r="L152" s="11">
        <v>0</v>
      </c>
      <c r="M152" s="13">
        <f t="shared" si="23"/>
        <v>0</v>
      </c>
      <c r="N152" s="11">
        <v>0</v>
      </c>
      <c r="O152" s="11">
        <v>0</v>
      </c>
      <c r="P152" s="11">
        <v>0</v>
      </c>
      <c r="Q152" s="11">
        <v>0</v>
      </c>
      <c r="R152" s="13">
        <f t="shared" si="24"/>
        <v>0</v>
      </c>
      <c r="S152">
        <v>0</v>
      </c>
      <c r="T152">
        <v>0</v>
      </c>
      <c r="U152" s="7">
        <f t="shared" si="25"/>
        <v>0</v>
      </c>
      <c r="V152">
        <v>0</v>
      </c>
      <c r="W152">
        <v>0</v>
      </c>
      <c r="X152">
        <v>0</v>
      </c>
      <c r="Y152">
        <v>0</v>
      </c>
      <c r="Z152" s="13">
        <f t="shared" si="26"/>
        <v>0</v>
      </c>
      <c r="AA152">
        <v>0</v>
      </c>
      <c r="AB152">
        <v>0</v>
      </c>
      <c r="AC152">
        <v>0</v>
      </c>
      <c r="AD152">
        <v>0</v>
      </c>
      <c r="AE152" s="7">
        <f t="shared" si="27"/>
        <v>0</v>
      </c>
      <c r="AF152">
        <v>0</v>
      </c>
      <c r="AG152">
        <v>0</v>
      </c>
      <c r="AH152">
        <v>0</v>
      </c>
      <c r="AI152" s="13">
        <f t="shared" si="28"/>
        <v>0</v>
      </c>
      <c r="AJ152" s="11" t="s">
        <v>51</v>
      </c>
      <c r="AK152" s="11" t="s">
        <v>51</v>
      </c>
      <c r="AL152" s="11" t="s">
        <v>51</v>
      </c>
      <c r="AM152" s="13">
        <f t="shared" si="29"/>
        <v>0</v>
      </c>
      <c r="AN152" s="18">
        <v>3.5</v>
      </c>
      <c r="AO152" s="18">
        <v>0</v>
      </c>
      <c r="AP152" s="18">
        <v>0</v>
      </c>
      <c r="AQ152" s="18">
        <v>0</v>
      </c>
      <c r="AR152" s="18">
        <f t="shared" si="30"/>
        <v>3.5</v>
      </c>
      <c r="AS152" t="s">
        <v>52</v>
      </c>
      <c r="AT152" s="9">
        <v>82.442857142857136</v>
      </c>
      <c r="AU152" s="30">
        <f t="shared" si="31"/>
        <v>82.442857142857136</v>
      </c>
    </row>
    <row r="153" spans="1:47" x14ac:dyDescent="0.25">
      <c r="A153" t="s">
        <v>46</v>
      </c>
      <c r="B153" t="s">
        <v>618</v>
      </c>
      <c r="C153" t="s">
        <v>619</v>
      </c>
      <c r="D153" t="s">
        <v>620</v>
      </c>
      <c r="E153" s="11">
        <v>20</v>
      </c>
      <c r="F153" s="11">
        <v>20</v>
      </c>
      <c r="G153" s="11">
        <v>39.82</v>
      </c>
      <c r="H153" s="11">
        <v>3</v>
      </c>
      <c r="I153" s="13">
        <f t="shared" si="22"/>
        <v>82.82</v>
      </c>
      <c r="J153" s="11">
        <v>0</v>
      </c>
      <c r="K153" s="11">
        <v>0</v>
      </c>
      <c r="L153" s="11">
        <v>0</v>
      </c>
      <c r="M153" s="13">
        <f t="shared" si="23"/>
        <v>0</v>
      </c>
      <c r="N153" s="11">
        <v>0</v>
      </c>
      <c r="O153" s="11">
        <v>0</v>
      </c>
      <c r="P153" s="11">
        <v>0</v>
      </c>
      <c r="Q153" s="11">
        <v>0</v>
      </c>
      <c r="R153" s="13">
        <f t="shared" si="24"/>
        <v>0</v>
      </c>
      <c r="S153">
        <v>0</v>
      </c>
      <c r="T153">
        <v>0</v>
      </c>
      <c r="U153" s="7">
        <f t="shared" si="25"/>
        <v>0</v>
      </c>
      <c r="V153">
        <v>0</v>
      </c>
      <c r="W153">
        <v>0</v>
      </c>
      <c r="X153">
        <v>0</v>
      </c>
      <c r="Y153">
        <v>0</v>
      </c>
      <c r="Z153" s="13">
        <f t="shared" si="26"/>
        <v>0</v>
      </c>
      <c r="AA153">
        <v>0</v>
      </c>
      <c r="AB153">
        <v>0</v>
      </c>
      <c r="AC153">
        <v>0</v>
      </c>
      <c r="AD153">
        <v>0</v>
      </c>
      <c r="AE153" s="7">
        <f t="shared" si="27"/>
        <v>0</v>
      </c>
      <c r="AF153">
        <v>0</v>
      </c>
      <c r="AG153">
        <v>0</v>
      </c>
      <c r="AH153">
        <v>0</v>
      </c>
      <c r="AI153" s="13">
        <f t="shared" si="28"/>
        <v>0</v>
      </c>
      <c r="AJ153" s="11" t="s">
        <v>51</v>
      </c>
      <c r="AK153" s="11" t="s">
        <v>51</v>
      </c>
      <c r="AL153" s="11" t="s">
        <v>51</v>
      </c>
      <c r="AM153" s="13">
        <f t="shared" si="29"/>
        <v>0</v>
      </c>
      <c r="AN153" s="18">
        <v>2</v>
      </c>
      <c r="AO153" s="18">
        <v>0</v>
      </c>
      <c r="AP153" s="18">
        <v>0</v>
      </c>
      <c r="AQ153" s="18">
        <v>0</v>
      </c>
      <c r="AR153" s="18">
        <f t="shared" si="30"/>
        <v>2</v>
      </c>
      <c r="AS153" t="s">
        <v>52</v>
      </c>
      <c r="AT153" s="9">
        <v>82.82</v>
      </c>
      <c r="AU153" s="30">
        <f t="shared" si="31"/>
        <v>82.82</v>
      </c>
    </row>
    <row r="154" spans="1:47" x14ac:dyDescent="0.25">
      <c r="A154" t="s">
        <v>46</v>
      </c>
      <c r="B154" t="s">
        <v>622</v>
      </c>
      <c r="C154" t="s">
        <v>623</v>
      </c>
      <c r="D154" t="s">
        <v>624</v>
      </c>
      <c r="E154" s="11">
        <v>18.670000000000002</v>
      </c>
      <c r="F154" s="11">
        <v>19</v>
      </c>
      <c r="G154" s="11">
        <v>44.21</v>
      </c>
      <c r="H154" s="11">
        <v>4</v>
      </c>
      <c r="I154" s="13">
        <f t="shared" si="22"/>
        <v>85.88</v>
      </c>
      <c r="J154" s="11">
        <v>55.94</v>
      </c>
      <c r="K154" s="11">
        <v>27.5</v>
      </c>
      <c r="L154" s="11">
        <v>4</v>
      </c>
      <c r="M154" s="13">
        <f t="shared" si="23"/>
        <v>87.44</v>
      </c>
      <c r="N154" s="11">
        <v>0</v>
      </c>
      <c r="O154" s="11">
        <v>0</v>
      </c>
      <c r="P154" s="11">
        <v>0</v>
      </c>
      <c r="Q154" s="11">
        <v>0</v>
      </c>
      <c r="R154" s="13">
        <f t="shared" si="24"/>
        <v>0</v>
      </c>
      <c r="S154">
        <v>0</v>
      </c>
      <c r="T154">
        <v>0</v>
      </c>
      <c r="U154" s="7">
        <f t="shared" si="25"/>
        <v>0</v>
      </c>
      <c r="V154">
        <v>0</v>
      </c>
      <c r="W154">
        <v>0</v>
      </c>
      <c r="X154">
        <v>0</v>
      </c>
      <c r="Y154">
        <v>0</v>
      </c>
      <c r="Z154" s="13">
        <f t="shared" si="26"/>
        <v>0</v>
      </c>
      <c r="AA154">
        <v>0</v>
      </c>
      <c r="AB154">
        <v>0</v>
      </c>
      <c r="AC154">
        <v>0</v>
      </c>
      <c r="AD154">
        <v>0</v>
      </c>
      <c r="AE154" s="7">
        <f t="shared" si="27"/>
        <v>0</v>
      </c>
      <c r="AF154">
        <v>0</v>
      </c>
      <c r="AG154">
        <v>0</v>
      </c>
      <c r="AH154">
        <v>0</v>
      </c>
      <c r="AI154" s="13">
        <f t="shared" si="28"/>
        <v>0</v>
      </c>
      <c r="AJ154" s="11" t="s">
        <v>51</v>
      </c>
      <c r="AK154" s="11" t="s">
        <v>51</v>
      </c>
      <c r="AL154" s="11" t="s">
        <v>51</v>
      </c>
      <c r="AM154" s="13">
        <f t="shared" si="29"/>
        <v>0</v>
      </c>
      <c r="AN154" s="18">
        <v>7</v>
      </c>
      <c r="AO154" s="18">
        <v>0</v>
      </c>
      <c r="AP154" s="18">
        <v>0</v>
      </c>
      <c r="AQ154" s="18">
        <v>0</v>
      </c>
      <c r="AR154" s="18">
        <f t="shared" si="30"/>
        <v>7</v>
      </c>
      <c r="AS154" t="s">
        <v>52</v>
      </c>
      <c r="AT154" s="9">
        <v>85.88</v>
      </c>
      <c r="AU154" s="30">
        <f t="shared" si="31"/>
        <v>85.88</v>
      </c>
    </row>
    <row r="155" spans="1:47" x14ac:dyDescent="0.25">
      <c r="A155" t="s">
        <v>46</v>
      </c>
      <c r="B155" t="s">
        <v>622</v>
      </c>
      <c r="C155" t="s">
        <v>623</v>
      </c>
      <c r="D155" t="s">
        <v>624</v>
      </c>
      <c r="E155" s="11">
        <v>18.670000000000002</v>
      </c>
      <c r="F155" s="11">
        <v>19</v>
      </c>
      <c r="G155" s="11">
        <v>44.21</v>
      </c>
      <c r="H155" s="11">
        <v>4</v>
      </c>
      <c r="I155" s="13">
        <f t="shared" si="22"/>
        <v>85.88</v>
      </c>
      <c r="J155" s="11">
        <v>55.94</v>
      </c>
      <c r="K155" s="11">
        <v>27.5</v>
      </c>
      <c r="L155" s="11">
        <v>4</v>
      </c>
      <c r="M155" s="13">
        <f t="shared" si="23"/>
        <v>87.44</v>
      </c>
      <c r="N155" s="11">
        <v>0</v>
      </c>
      <c r="O155" s="11">
        <v>0</v>
      </c>
      <c r="P155" s="11">
        <v>0</v>
      </c>
      <c r="Q155" s="11">
        <v>0</v>
      </c>
      <c r="R155" s="13">
        <f t="shared" si="24"/>
        <v>0</v>
      </c>
      <c r="S155">
        <v>0</v>
      </c>
      <c r="T155">
        <v>0</v>
      </c>
      <c r="U155" s="7">
        <f t="shared" si="25"/>
        <v>0</v>
      </c>
      <c r="V155">
        <v>0</v>
      </c>
      <c r="W155">
        <v>0</v>
      </c>
      <c r="X155">
        <v>0</v>
      </c>
      <c r="Y155">
        <v>0</v>
      </c>
      <c r="Z155" s="13">
        <f t="shared" si="26"/>
        <v>0</v>
      </c>
      <c r="AA155">
        <v>0</v>
      </c>
      <c r="AB155">
        <v>0</v>
      </c>
      <c r="AC155">
        <v>0</v>
      </c>
      <c r="AD155">
        <v>0</v>
      </c>
      <c r="AE155" s="7">
        <f t="shared" si="27"/>
        <v>0</v>
      </c>
      <c r="AF155">
        <v>0</v>
      </c>
      <c r="AG155">
        <v>0</v>
      </c>
      <c r="AH155">
        <v>0</v>
      </c>
      <c r="AI155" s="13">
        <f t="shared" si="28"/>
        <v>0</v>
      </c>
      <c r="AJ155" s="11" t="s">
        <v>51</v>
      </c>
      <c r="AK155" s="11" t="s">
        <v>51</v>
      </c>
      <c r="AL155" s="11" t="s">
        <v>51</v>
      </c>
      <c r="AM155" s="13">
        <f t="shared" si="29"/>
        <v>0</v>
      </c>
      <c r="AN155" s="18">
        <v>2.625</v>
      </c>
      <c r="AO155" s="18">
        <v>0</v>
      </c>
      <c r="AP155" s="18">
        <v>0</v>
      </c>
      <c r="AQ155" s="18">
        <v>0</v>
      </c>
      <c r="AR155" s="18">
        <f t="shared" si="30"/>
        <v>2.625</v>
      </c>
      <c r="AS155" t="s">
        <v>87</v>
      </c>
      <c r="AT155" s="9">
        <v>87.44</v>
      </c>
      <c r="AU155" s="30">
        <f>+((AN155*M155)+(AO155*AE155)+(AQ155*AI155)+(AP155*AM155))/AR155</f>
        <v>87.44</v>
      </c>
    </row>
    <row r="156" spans="1:47" x14ac:dyDescent="0.25">
      <c r="A156" t="s">
        <v>46</v>
      </c>
      <c r="B156" t="s">
        <v>627</v>
      </c>
      <c r="C156" t="s">
        <v>628</v>
      </c>
      <c r="D156" t="s">
        <v>629</v>
      </c>
      <c r="E156" s="11">
        <v>0</v>
      </c>
      <c r="F156" s="11">
        <v>0</v>
      </c>
      <c r="G156" s="11">
        <v>0</v>
      </c>
      <c r="H156" s="11">
        <v>0</v>
      </c>
      <c r="I156" s="13">
        <f t="shared" si="22"/>
        <v>0</v>
      </c>
      <c r="J156" s="11">
        <v>56.96</v>
      </c>
      <c r="K156" s="11">
        <v>30</v>
      </c>
      <c r="L156" s="11">
        <v>3</v>
      </c>
      <c r="M156" s="13">
        <f t="shared" si="23"/>
        <v>89.960000000000008</v>
      </c>
      <c r="N156" s="11">
        <v>0</v>
      </c>
      <c r="O156" s="11">
        <v>0</v>
      </c>
      <c r="P156" s="11">
        <v>0</v>
      </c>
      <c r="Q156" s="11">
        <v>0</v>
      </c>
      <c r="R156" s="13">
        <f t="shared" si="24"/>
        <v>0</v>
      </c>
      <c r="S156">
        <v>0</v>
      </c>
      <c r="T156">
        <v>0</v>
      </c>
      <c r="U156" s="7">
        <f t="shared" si="25"/>
        <v>0</v>
      </c>
      <c r="V156">
        <v>0</v>
      </c>
      <c r="W156">
        <v>0</v>
      </c>
      <c r="X156">
        <v>0</v>
      </c>
      <c r="Y156">
        <v>0</v>
      </c>
      <c r="Z156" s="13">
        <f t="shared" si="26"/>
        <v>0</v>
      </c>
      <c r="AA156">
        <v>0</v>
      </c>
      <c r="AB156">
        <v>0</v>
      </c>
      <c r="AC156">
        <v>0</v>
      </c>
      <c r="AD156">
        <v>0</v>
      </c>
      <c r="AE156" s="7">
        <f t="shared" si="27"/>
        <v>0</v>
      </c>
      <c r="AF156">
        <v>0</v>
      </c>
      <c r="AG156">
        <v>0</v>
      </c>
      <c r="AH156">
        <v>0</v>
      </c>
      <c r="AI156" s="13">
        <f t="shared" si="28"/>
        <v>0</v>
      </c>
      <c r="AJ156" s="11" t="s">
        <v>51</v>
      </c>
      <c r="AK156" s="11" t="s">
        <v>51</v>
      </c>
      <c r="AL156" s="11" t="s">
        <v>51</v>
      </c>
      <c r="AM156" s="13">
        <f t="shared" si="29"/>
        <v>0</v>
      </c>
      <c r="AN156" s="18">
        <v>2</v>
      </c>
      <c r="AO156" s="18">
        <v>0</v>
      </c>
      <c r="AP156" s="18">
        <v>0</v>
      </c>
      <c r="AQ156" s="18">
        <v>0</v>
      </c>
      <c r="AR156" s="18">
        <f t="shared" si="30"/>
        <v>2</v>
      </c>
      <c r="AS156" t="s">
        <v>87</v>
      </c>
      <c r="AT156" s="9">
        <v>89.960000000000008</v>
      </c>
      <c r="AU156" s="30">
        <f>+((AN156*M156)/AR156)</f>
        <v>89.960000000000008</v>
      </c>
    </row>
    <row r="157" spans="1:47" x14ac:dyDescent="0.25">
      <c r="A157" t="s">
        <v>46</v>
      </c>
      <c r="B157" t="s">
        <v>631</v>
      </c>
      <c r="C157" t="s">
        <v>632</v>
      </c>
      <c r="D157" t="s">
        <v>633</v>
      </c>
      <c r="E157" s="11">
        <v>20</v>
      </c>
      <c r="F157" s="11">
        <v>20</v>
      </c>
      <c r="G157" s="11">
        <v>42.13</v>
      </c>
      <c r="H157" s="11">
        <v>5</v>
      </c>
      <c r="I157" s="13">
        <f t="shared" si="22"/>
        <v>87.13</v>
      </c>
      <c r="J157" s="11">
        <v>0</v>
      </c>
      <c r="K157" s="11">
        <v>0</v>
      </c>
      <c r="L157" s="11">
        <v>0</v>
      </c>
      <c r="M157" s="13">
        <f t="shared" si="23"/>
        <v>0</v>
      </c>
      <c r="N157" s="11">
        <v>0</v>
      </c>
      <c r="O157" s="11">
        <v>0</v>
      </c>
      <c r="P157" s="11">
        <v>0</v>
      </c>
      <c r="Q157" s="11">
        <v>0</v>
      </c>
      <c r="R157" s="13">
        <f t="shared" si="24"/>
        <v>0</v>
      </c>
      <c r="S157">
        <v>0</v>
      </c>
      <c r="T157">
        <v>0</v>
      </c>
      <c r="U157" s="7">
        <f t="shared" si="25"/>
        <v>0</v>
      </c>
      <c r="V157">
        <v>0</v>
      </c>
      <c r="W157">
        <v>0</v>
      </c>
      <c r="X157">
        <v>0</v>
      </c>
      <c r="Y157">
        <v>0</v>
      </c>
      <c r="Z157" s="13">
        <f t="shared" si="26"/>
        <v>0</v>
      </c>
      <c r="AA157">
        <v>0</v>
      </c>
      <c r="AB157">
        <v>0</v>
      </c>
      <c r="AC157">
        <v>0</v>
      </c>
      <c r="AD157">
        <v>0</v>
      </c>
      <c r="AE157" s="7">
        <f t="shared" si="27"/>
        <v>0</v>
      </c>
      <c r="AF157">
        <v>0</v>
      </c>
      <c r="AG157">
        <v>0</v>
      </c>
      <c r="AH157">
        <v>0</v>
      </c>
      <c r="AI157" s="13">
        <f t="shared" si="28"/>
        <v>0</v>
      </c>
      <c r="AJ157" s="11" t="s">
        <v>51</v>
      </c>
      <c r="AK157" s="11" t="s">
        <v>51</v>
      </c>
      <c r="AL157" s="11" t="s">
        <v>51</v>
      </c>
      <c r="AM157" s="13">
        <f t="shared" si="29"/>
        <v>0</v>
      </c>
      <c r="AN157" s="18">
        <v>40</v>
      </c>
      <c r="AO157" s="18">
        <v>0</v>
      </c>
      <c r="AP157" s="18">
        <v>0</v>
      </c>
      <c r="AQ157" s="18">
        <v>0</v>
      </c>
      <c r="AR157" s="18">
        <f t="shared" si="30"/>
        <v>40</v>
      </c>
      <c r="AS157" t="s">
        <v>52</v>
      </c>
      <c r="AT157" s="9">
        <v>87.13</v>
      </c>
      <c r="AU157" s="30">
        <f>+((AN157*I157)+(AO157*AE157)+(AQ157*AI157)+(AP157*AM157))/AR157</f>
        <v>87.13</v>
      </c>
    </row>
    <row r="158" spans="1:47" x14ac:dyDescent="0.25">
      <c r="A158" t="s">
        <v>46</v>
      </c>
      <c r="B158" t="s">
        <v>635</v>
      </c>
      <c r="C158" t="s">
        <v>636</v>
      </c>
      <c r="D158" t="s">
        <v>637</v>
      </c>
      <c r="E158" s="11">
        <v>18.5</v>
      </c>
      <c r="F158" s="11">
        <v>13.67</v>
      </c>
      <c r="G158" s="11">
        <v>37.119999999999997</v>
      </c>
      <c r="H158" s="11">
        <v>4.5</v>
      </c>
      <c r="I158" s="13">
        <f t="shared" si="22"/>
        <v>73.789999999999992</v>
      </c>
      <c r="J158" s="11">
        <v>0</v>
      </c>
      <c r="K158" s="11">
        <v>0</v>
      </c>
      <c r="L158" s="11">
        <v>0</v>
      </c>
      <c r="M158" s="13">
        <f t="shared" si="23"/>
        <v>0</v>
      </c>
      <c r="N158" s="11">
        <v>0</v>
      </c>
      <c r="O158" s="11">
        <v>0</v>
      </c>
      <c r="P158" s="11">
        <v>0</v>
      </c>
      <c r="Q158" s="11">
        <v>0</v>
      </c>
      <c r="R158" s="13">
        <f t="shared" si="24"/>
        <v>0</v>
      </c>
      <c r="S158">
        <v>0</v>
      </c>
      <c r="T158">
        <v>0</v>
      </c>
      <c r="U158" s="7">
        <f t="shared" si="25"/>
        <v>0</v>
      </c>
      <c r="V158">
        <v>0</v>
      </c>
      <c r="W158">
        <v>0</v>
      </c>
      <c r="X158">
        <v>0</v>
      </c>
      <c r="Y158">
        <v>0</v>
      </c>
      <c r="Z158" s="13">
        <f t="shared" si="26"/>
        <v>0</v>
      </c>
      <c r="AA158">
        <v>0</v>
      </c>
      <c r="AB158">
        <v>0</v>
      </c>
      <c r="AC158">
        <v>0</v>
      </c>
      <c r="AD158">
        <v>0</v>
      </c>
      <c r="AE158" s="7">
        <f t="shared" si="27"/>
        <v>0</v>
      </c>
      <c r="AF158">
        <v>0</v>
      </c>
      <c r="AG158">
        <v>0</v>
      </c>
      <c r="AH158">
        <v>0</v>
      </c>
      <c r="AI158" s="13">
        <f t="shared" si="28"/>
        <v>0</v>
      </c>
      <c r="AJ158" s="11" t="s">
        <v>51</v>
      </c>
      <c r="AK158" s="11" t="s">
        <v>51</v>
      </c>
      <c r="AL158" s="11" t="s">
        <v>51</v>
      </c>
      <c r="AM158" s="13">
        <f t="shared" si="29"/>
        <v>0</v>
      </c>
      <c r="AN158" s="18">
        <v>40</v>
      </c>
      <c r="AO158" s="18">
        <v>0</v>
      </c>
      <c r="AP158" s="18">
        <v>0</v>
      </c>
      <c r="AQ158" s="18">
        <v>0</v>
      </c>
      <c r="AR158" s="18">
        <f t="shared" si="30"/>
        <v>40</v>
      </c>
      <c r="AS158" t="s">
        <v>52</v>
      </c>
      <c r="AT158" s="9">
        <v>73.789999999999992</v>
      </c>
      <c r="AU158" s="30">
        <f>+((AN158*I158)+(AO158*AE158)+(AQ158*AI158)+(AP158*AM158))/AR158</f>
        <v>73.789999999999992</v>
      </c>
    </row>
    <row r="159" spans="1:47" x14ac:dyDescent="0.25">
      <c r="A159" t="s">
        <v>46</v>
      </c>
      <c r="B159" t="s">
        <v>639</v>
      </c>
      <c r="C159" t="s">
        <v>640</v>
      </c>
      <c r="D159" t="s">
        <v>641</v>
      </c>
      <c r="E159" s="11">
        <v>17.440000000000005</v>
      </c>
      <c r="F159" s="11">
        <v>20</v>
      </c>
      <c r="G159" s="11">
        <v>45.16</v>
      </c>
      <c r="H159" s="11">
        <v>3.5</v>
      </c>
      <c r="I159" s="13">
        <f t="shared" si="22"/>
        <v>86.1</v>
      </c>
      <c r="J159" s="11">
        <v>0</v>
      </c>
      <c r="K159" s="11">
        <v>0</v>
      </c>
      <c r="L159" s="11">
        <v>0</v>
      </c>
      <c r="M159" s="13">
        <f t="shared" si="23"/>
        <v>0</v>
      </c>
      <c r="N159" s="11">
        <v>0</v>
      </c>
      <c r="O159" s="11">
        <v>0</v>
      </c>
      <c r="P159" s="11">
        <v>0</v>
      </c>
      <c r="Q159" s="11">
        <v>0</v>
      </c>
      <c r="R159" s="13">
        <f t="shared" si="24"/>
        <v>0</v>
      </c>
      <c r="S159">
        <v>0</v>
      </c>
      <c r="T159">
        <v>0</v>
      </c>
      <c r="U159" s="7">
        <f t="shared" si="25"/>
        <v>0</v>
      </c>
      <c r="V159">
        <v>0</v>
      </c>
      <c r="W159">
        <v>0</v>
      </c>
      <c r="X159">
        <v>0</v>
      </c>
      <c r="Y159">
        <v>0</v>
      </c>
      <c r="Z159" s="13">
        <f t="shared" si="26"/>
        <v>0</v>
      </c>
      <c r="AA159">
        <v>0</v>
      </c>
      <c r="AB159">
        <v>0</v>
      </c>
      <c r="AC159">
        <v>0</v>
      </c>
      <c r="AD159">
        <v>0</v>
      </c>
      <c r="AE159" s="7">
        <f t="shared" si="27"/>
        <v>0</v>
      </c>
      <c r="AF159">
        <v>45</v>
      </c>
      <c r="AG159">
        <v>15.33</v>
      </c>
      <c r="AH159">
        <v>26.65</v>
      </c>
      <c r="AI159" s="13">
        <f t="shared" si="28"/>
        <v>86.97999999999999</v>
      </c>
      <c r="AJ159" s="11" t="s">
        <v>51</v>
      </c>
      <c r="AK159" s="11" t="s">
        <v>51</v>
      </c>
      <c r="AL159" s="11" t="s">
        <v>51</v>
      </c>
      <c r="AM159" s="13">
        <f t="shared" si="29"/>
        <v>0</v>
      </c>
      <c r="AN159" s="18">
        <v>20</v>
      </c>
      <c r="AO159" s="18">
        <v>0</v>
      </c>
      <c r="AP159" s="18">
        <v>0</v>
      </c>
      <c r="AQ159" s="18">
        <v>20</v>
      </c>
      <c r="AR159" s="18">
        <f t="shared" si="30"/>
        <v>40</v>
      </c>
      <c r="AS159" t="s">
        <v>52</v>
      </c>
      <c r="AT159" s="9">
        <v>86.539999999999992</v>
      </c>
      <c r="AU159" s="30">
        <f>+((AN159*I159)+(AQ159*AI159))/AR159</f>
        <v>86.539999999999992</v>
      </c>
    </row>
    <row r="160" spans="1:47" s="6" customFormat="1" x14ac:dyDescent="0.25">
      <c r="A160" s="6" t="s">
        <v>46</v>
      </c>
      <c r="B160" s="6" t="s">
        <v>644</v>
      </c>
      <c r="C160" s="6" t="s">
        <v>645</v>
      </c>
      <c r="D160" s="6" t="s">
        <v>646</v>
      </c>
      <c r="E160" s="12">
        <v>24.587499999999999</v>
      </c>
      <c r="F160" s="12">
        <v>0</v>
      </c>
      <c r="G160" s="12">
        <v>45.412500000000001</v>
      </c>
      <c r="H160" s="12">
        <v>3.125</v>
      </c>
      <c r="I160" s="13">
        <f t="shared" si="22"/>
        <v>73.125</v>
      </c>
      <c r="J160" s="14">
        <v>0</v>
      </c>
      <c r="K160" s="14" t="s">
        <v>51</v>
      </c>
      <c r="L160" s="14" t="s">
        <v>51</v>
      </c>
      <c r="M160" s="13">
        <f t="shared" si="23"/>
        <v>0</v>
      </c>
      <c r="N160" s="12" t="s">
        <v>51</v>
      </c>
      <c r="O160" s="12" t="s">
        <v>116</v>
      </c>
      <c r="P160" s="12" t="s">
        <v>51</v>
      </c>
      <c r="Q160" s="12" t="s">
        <v>51</v>
      </c>
      <c r="R160" s="13">
        <f t="shared" si="24"/>
        <v>0</v>
      </c>
      <c r="S160">
        <v>0</v>
      </c>
      <c r="T160">
        <v>0</v>
      </c>
      <c r="U160" s="7">
        <f t="shared" si="25"/>
        <v>0</v>
      </c>
      <c r="Z160" s="13">
        <f t="shared" si="26"/>
        <v>0</v>
      </c>
      <c r="AA160" s="6">
        <v>0</v>
      </c>
      <c r="AB160" s="6">
        <v>0</v>
      </c>
      <c r="AC160" s="6">
        <v>0</v>
      </c>
      <c r="AD160" s="6">
        <v>0</v>
      </c>
      <c r="AE160" s="7">
        <f t="shared" si="27"/>
        <v>0</v>
      </c>
      <c r="AF160" s="6">
        <v>0</v>
      </c>
      <c r="AG160" s="6">
        <v>0</v>
      </c>
      <c r="AH160" s="6">
        <v>0</v>
      </c>
      <c r="AI160" s="13">
        <f t="shared" si="28"/>
        <v>0</v>
      </c>
      <c r="AJ160" s="12" t="s">
        <v>51</v>
      </c>
      <c r="AK160" s="12" t="s">
        <v>51</v>
      </c>
      <c r="AL160" s="12" t="s">
        <v>51</v>
      </c>
      <c r="AM160" s="13">
        <f t="shared" si="29"/>
        <v>0</v>
      </c>
      <c r="AN160" s="21">
        <v>6</v>
      </c>
      <c r="AO160" s="21">
        <v>0</v>
      </c>
      <c r="AP160" s="21">
        <v>0</v>
      </c>
      <c r="AQ160" s="21">
        <v>0</v>
      </c>
      <c r="AR160" s="18">
        <f t="shared" si="30"/>
        <v>6</v>
      </c>
      <c r="AS160" s="6" t="s">
        <v>52</v>
      </c>
      <c r="AT160" s="10">
        <v>73.125</v>
      </c>
      <c r="AU160" s="30">
        <f>+((AN160*I160)+(AO160*AE160)+(AQ160*AI160)+(AP160*AM160))/AR160</f>
        <v>73.125</v>
      </c>
    </row>
    <row r="161" spans="1:47" x14ac:dyDescent="0.25">
      <c r="A161" t="s">
        <v>46</v>
      </c>
      <c r="B161" t="s">
        <v>648</v>
      </c>
      <c r="C161" t="s">
        <v>649</v>
      </c>
      <c r="D161" t="s">
        <v>650</v>
      </c>
      <c r="E161" s="11">
        <v>20</v>
      </c>
      <c r="F161" s="11">
        <v>7.33</v>
      </c>
      <c r="G161" s="11">
        <v>37.619999999999997</v>
      </c>
      <c r="H161" s="11">
        <v>2.5</v>
      </c>
      <c r="I161" s="13">
        <f t="shared" si="22"/>
        <v>67.449999999999989</v>
      </c>
      <c r="J161" s="11">
        <v>0</v>
      </c>
      <c r="K161" s="11">
        <v>0</v>
      </c>
      <c r="L161" s="11">
        <v>0</v>
      </c>
      <c r="M161" s="13">
        <f t="shared" si="23"/>
        <v>0</v>
      </c>
      <c r="N161" s="11">
        <v>0</v>
      </c>
      <c r="O161" s="11">
        <v>0</v>
      </c>
      <c r="P161" s="11">
        <v>0</v>
      </c>
      <c r="Q161" s="11">
        <v>0</v>
      </c>
      <c r="R161" s="13">
        <f t="shared" si="24"/>
        <v>0</v>
      </c>
      <c r="S161">
        <v>0</v>
      </c>
      <c r="T161">
        <v>0</v>
      </c>
      <c r="U161" s="7">
        <f t="shared" si="25"/>
        <v>0</v>
      </c>
      <c r="V161">
        <v>0</v>
      </c>
      <c r="W161">
        <v>0</v>
      </c>
      <c r="X161">
        <v>0</v>
      </c>
      <c r="Y161">
        <v>0</v>
      </c>
      <c r="Z161" s="13">
        <f t="shared" si="26"/>
        <v>0</v>
      </c>
      <c r="AA161">
        <v>0</v>
      </c>
      <c r="AB161">
        <v>0</v>
      </c>
      <c r="AC161">
        <v>0</v>
      </c>
      <c r="AD161">
        <v>0</v>
      </c>
      <c r="AE161" s="7">
        <f t="shared" si="27"/>
        <v>0</v>
      </c>
      <c r="AF161">
        <v>0</v>
      </c>
      <c r="AG161">
        <v>0</v>
      </c>
      <c r="AH161">
        <v>0</v>
      </c>
      <c r="AI161" s="13">
        <f t="shared" si="28"/>
        <v>0</v>
      </c>
      <c r="AJ161" s="11" t="s">
        <v>51</v>
      </c>
      <c r="AK161" s="11" t="s">
        <v>51</v>
      </c>
      <c r="AL161" s="11" t="s">
        <v>51</v>
      </c>
      <c r="AM161" s="13">
        <f t="shared" si="29"/>
        <v>0</v>
      </c>
      <c r="AN161" s="18">
        <v>40</v>
      </c>
      <c r="AO161" s="18">
        <v>0</v>
      </c>
      <c r="AP161" s="18">
        <v>0</v>
      </c>
      <c r="AQ161" s="18">
        <v>0</v>
      </c>
      <c r="AR161" s="18">
        <f t="shared" si="30"/>
        <v>40</v>
      </c>
      <c r="AS161" t="s">
        <v>52</v>
      </c>
      <c r="AT161" s="9">
        <v>67.449999999999989</v>
      </c>
      <c r="AU161" s="30">
        <f>+((AN161*I161)+(AO161*AE161)+(AQ161*AI161)+(AP161*AM161))/AR161</f>
        <v>67.449999999999989</v>
      </c>
    </row>
    <row r="162" spans="1:47" x14ac:dyDescent="0.25">
      <c r="A162" t="s">
        <v>46</v>
      </c>
      <c r="B162" t="s">
        <v>652</v>
      </c>
      <c r="C162" t="s">
        <v>653</v>
      </c>
      <c r="D162" t="s">
        <v>654</v>
      </c>
      <c r="E162" s="11">
        <v>20</v>
      </c>
      <c r="F162" s="11">
        <v>7.33</v>
      </c>
      <c r="G162" s="11">
        <v>37.619999999999997</v>
      </c>
      <c r="H162" s="11">
        <v>2.5</v>
      </c>
      <c r="I162" s="13">
        <f>+SUM(E162:H162)</f>
        <v>67.449999999999989</v>
      </c>
      <c r="J162" s="11">
        <v>0</v>
      </c>
      <c r="K162" s="11">
        <v>0</v>
      </c>
      <c r="L162" s="11">
        <v>0</v>
      </c>
      <c r="M162" s="13">
        <f t="shared" si="23"/>
        <v>0</v>
      </c>
      <c r="N162" s="11">
        <v>34.909999999999997</v>
      </c>
      <c r="O162" s="11">
        <v>2.5</v>
      </c>
      <c r="P162" s="11">
        <v>7.33</v>
      </c>
      <c r="Q162" s="11">
        <v>20</v>
      </c>
      <c r="R162" s="13">
        <f t="shared" si="24"/>
        <v>64.739999999999995</v>
      </c>
      <c r="S162">
        <v>0</v>
      </c>
      <c r="T162">
        <v>0</v>
      </c>
      <c r="U162" s="7">
        <f t="shared" si="25"/>
        <v>0</v>
      </c>
      <c r="V162">
        <v>0</v>
      </c>
      <c r="W162">
        <v>0</v>
      </c>
      <c r="X162">
        <v>0</v>
      </c>
      <c r="Y162">
        <v>0</v>
      </c>
      <c r="Z162" s="13">
        <f t="shared" si="26"/>
        <v>0</v>
      </c>
      <c r="AA162">
        <v>0</v>
      </c>
      <c r="AB162">
        <v>0</v>
      </c>
      <c r="AC162">
        <v>0</v>
      </c>
      <c r="AD162">
        <v>0</v>
      </c>
      <c r="AE162" s="7">
        <f t="shared" si="27"/>
        <v>0</v>
      </c>
      <c r="AF162">
        <v>0</v>
      </c>
      <c r="AG162">
        <v>0</v>
      </c>
      <c r="AH162">
        <v>0</v>
      </c>
      <c r="AI162" s="13">
        <f t="shared" si="28"/>
        <v>0</v>
      </c>
      <c r="AJ162" s="11" t="s">
        <v>51</v>
      </c>
      <c r="AK162" s="11" t="s">
        <v>51</v>
      </c>
      <c r="AL162" s="11" t="s">
        <v>51</v>
      </c>
      <c r="AM162" s="13">
        <f t="shared" si="29"/>
        <v>0</v>
      </c>
      <c r="AN162" s="18">
        <v>4</v>
      </c>
      <c r="AO162" s="18">
        <v>0</v>
      </c>
      <c r="AP162" s="18">
        <v>0</v>
      </c>
      <c r="AQ162" s="18">
        <v>0</v>
      </c>
      <c r="AR162" s="18">
        <f t="shared" si="30"/>
        <v>4</v>
      </c>
      <c r="AS162" t="s">
        <v>52</v>
      </c>
      <c r="AT162" s="9">
        <v>67.449999999999989</v>
      </c>
      <c r="AU162" s="30">
        <f>+((AN162*I162)+(AO162*AE162)+(AQ162*AI162)+(AP162*AM162))/AR162</f>
        <v>67.449999999999989</v>
      </c>
    </row>
    <row r="163" spans="1:47" x14ac:dyDescent="0.25">
      <c r="A163" s="33" t="s">
        <v>46</v>
      </c>
      <c r="B163" s="32" t="s">
        <v>652</v>
      </c>
      <c r="C163" s="32" t="s">
        <v>653</v>
      </c>
      <c r="D163" s="32" t="s">
        <v>654</v>
      </c>
      <c r="E163" s="11">
        <v>20</v>
      </c>
      <c r="F163" s="11">
        <v>7.33</v>
      </c>
      <c r="G163" s="11">
        <v>37.619999999999997</v>
      </c>
      <c r="H163" s="11">
        <v>2.5</v>
      </c>
      <c r="I163" s="13">
        <f>+SUM(E163:H163)</f>
        <v>67.449999999999989</v>
      </c>
      <c r="J163" s="11">
        <v>0</v>
      </c>
      <c r="K163" s="11">
        <v>0</v>
      </c>
      <c r="L163" s="11">
        <v>0</v>
      </c>
      <c r="M163" s="13">
        <f t="shared" si="23"/>
        <v>0</v>
      </c>
      <c r="N163" s="11">
        <v>34.909999999999997</v>
      </c>
      <c r="O163" s="11">
        <v>2.5</v>
      </c>
      <c r="P163" s="11">
        <v>7.33</v>
      </c>
      <c r="Q163" s="11">
        <v>20</v>
      </c>
      <c r="R163" s="13">
        <f t="shared" si="24"/>
        <v>64.739999999999995</v>
      </c>
      <c r="S163">
        <v>0</v>
      </c>
      <c r="T163">
        <v>0</v>
      </c>
      <c r="U163" s="7">
        <f t="shared" si="25"/>
        <v>0</v>
      </c>
      <c r="V163">
        <v>0</v>
      </c>
      <c r="W163">
        <v>0</v>
      </c>
      <c r="X163">
        <v>0</v>
      </c>
      <c r="Y163">
        <v>0</v>
      </c>
      <c r="Z163" s="13">
        <f t="shared" si="26"/>
        <v>0</v>
      </c>
      <c r="AA163">
        <v>0</v>
      </c>
      <c r="AB163">
        <v>0</v>
      </c>
      <c r="AC163">
        <v>0</v>
      </c>
      <c r="AD163">
        <v>0</v>
      </c>
      <c r="AE163" s="7">
        <f t="shared" si="27"/>
        <v>0</v>
      </c>
      <c r="AF163">
        <v>0</v>
      </c>
      <c r="AG163">
        <v>0</v>
      </c>
      <c r="AH163">
        <v>0</v>
      </c>
      <c r="AI163" s="13">
        <f t="shared" si="28"/>
        <v>0</v>
      </c>
      <c r="AJ163" s="11" t="s">
        <v>51</v>
      </c>
      <c r="AK163" s="11" t="s">
        <v>51</v>
      </c>
      <c r="AL163" s="11" t="s">
        <v>51</v>
      </c>
      <c r="AM163" s="13">
        <f t="shared" si="29"/>
        <v>0</v>
      </c>
      <c r="AN163" s="18">
        <v>2</v>
      </c>
      <c r="AO163" s="18">
        <v>0</v>
      </c>
      <c r="AP163" s="18">
        <v>0</v>
      </c>
      <c r="AQ163" s="18">
        <v>0</v>
      </c>
      <c r="AR163" s="18">
        <f t="shared" si="30"/>
        <v>2</v>
      </c>
      <c r="AS163" t="s">
        <v>117</v>
      </c>
      <c r="AT163" s="9">
        <v>64.739999999999995</v>
      </c>
      <c r="AU163" s="11">
        <f>+((AN163*R163)+(AQ163*AI163)+(AP163*AM163))/AR163</f>
        <v>64.739999999999995</v>
      </c>
    </row>
    <row r="164" spans="1:47" x14ac:dyDescent="0.25">
      <c r="A164" t="s">
        <v>46</v>
      </c>
      <c r="B164" t="s">
        <v>657</v>
      </c>
      <c r="C164" t="s">
        <v>658</v>
      </c>
      <c r="D164" t="s">
        <v>659</v>
      </c>
      <c r="E164" s="11">
        <v>25</v>
      </c>
      <c r="F164" s="11">
        <v>0</v>
      </c>
      <c r="G164" s="11">
        <v>43.137500000000003</v>
      </c>
      <c r="H164" s="11">
        <v>5.625</v>
      </c>
      <c r="I164" s="13">
        <f t="shared" si="22"/>
        <v>73.762500000000003</v>
      </c>
      <c r="J164" s="11">
        <v>0</v>
      </c>
      <c r="K164" s="11">
        <v>0</v>
      </c>
      <c r="L164" s="11">
        <v>0</v>
      </c>
      <c r="M164" s="13">
        <f t="shared" si="23"/>
        <v>0</v>
      </c>
      <c r="N164" s="11">
        <v>0</v>
      </c>
      <c r="O164" s="11">
        <v>0</v>
      </c>
      <c r="P164" s="11">
        <v>0</v>
      </c>
      <c r="Q164" s="11">
        <v>0</v>
      </c>
      <c r="R164" s="13">
        <f t="shared" si="24"/>
        <v>0</v>
      </c>
      <c r="S164">
        <v>0</v>
      </c>
      <c r="T164">
        <v>0</v>
      </c>
      <c r="U164" s="7">
        <f t="shared" si="25"/>
        <v>0</v>
      </c>
      <c r="V164">
        <v>0</v>
      </c>
      <c r="W164">
        <v>0</v>
      </c>
      <c r="X164">
        <v>0</v>
      </c>
      <c r="Y164">
        <v>0</v>
      </c>
      <c r="Z164" s="13">
        <f t="shared" si="26"/>
        <v>0</v>
      </c>
      <c r="AA164">
        <v>0</v>
      </c>
      <c r="AB164">
        <v>0</v>
      </c>
      <c r="AC164">
        <v>0</v>
      </c>
      <c r="AD164">
        <v>0</v>
      </c>
      <c r="AE164" s="7">
        <f t="shared" si="27"/>
        <v>0</v>
      </c>
      <c r="AF164">
        <v>0</v>
      </c>
      <c r="AG164">
        <v>0</v>
      </c>
      <c r="AH164">
        <v>0</v>
      </c>
      <c r="AI164" s="13">
        <f t="shared" si="28"/>
        <v>0</v>
      </c>
      <c r="AJ164" s="11" t="s">
        <v>51</v>
      </c>
      <c r="AK164" s="11" t="s">
        <v>51</v>
      </c>
      <c r="AL164" s="11" t="s">
        <v>51</v>
      </c>
      <c r="AM164" s="13">
        <f t="shared" si="29"/>
        <v>0</v>
      </c>
      <c r="AN164" s="18">
        <v>40</v>
      </c>
      <c r="AO164" s="18">
        <v>0</v>
      </c>
      <c r="AP164" s="18">
        <v>0</v>
      </c>
      <c r="AQ164" s="18">
        <v>0</v>
      </c>
      <c r="AR164" s="18">
        <f t="shared" si="30"/>
        <v>40</v>
      </c>
      <c r="AS164" t="s">
        <v>52</v>
      </c>
      <c r="AT164" s="9">
        <v>73.762500000000003</v>
      </c>
      <c r="AU164" s="30">
        <f t="shared" ref="AU164:AU171" si="32">+((AN164*I164)+(AO164*AE164)+(AQ164*AI164)+(AP164*AM164))/AR164</f>
        <v>73.762500000000003</v>
      </c>
    </row>
    <row r="165" spans="1:47" x14ac:dyDescent="0.25">
      <c r="A165" t="s">
        <v>46</v>
      </c>
      <c r="B165" t="s">
        <v>661</v>
      </c>
      <c r="C165" t="s">
        <v>662</v>
      </c>
      <c r="D165" t="s">
        <v>663</v>
      </c>
      <c r="E165" s="11">
        <v>25</v>
      </c>
      <c r="F165" s="11" t="s">
        <v>933</v>
      </c>
      <c r="G165" s="11">
        <v>50.612499999999997</v>
      </c>
      <c r="H165" s="11">
        <v>7.5</v>
      </c>
      <c r="I165" s="13">
        <f t="shared" si="22"/>
        <v>83.112499999999997</v>
      </c>
      <c r="J165" s="11">
        <v>0</v>
      </c>
      <c r="K165" s="11">
        <v>0</v>
      </c>
      <c r="L165" s="11">
        <v>0</v>
      </c>
      <c r="M165" s="13">
        <f t="shared" si="23"/>
        <v>0</v>
      </c>
      <c r="N165" s="11">
        <v>0</v>
      </c>
      <c r="O165" s="11">
        <v>0</v>
      </c>
      <c r="P165" s="11">
        <v>0</v>
      </c>
      <c r="Q165" s="11">
        <v>0</v>
      </c>
      <c r="R165" s="13">
        <f t="shared" si="24"/>
        <v>0</v>
      </c>
      <c r="S165">
        <v>0</v>
      </c>
      <c r="T165">
        <v>0</v>
      </c>
      <c r="U165" s="7">
        <f t="shared" si="25"/>
        <v>0</v>
      </c>
      <c r="V165">
        <v>0</v>
      </c>
      <c r="W165">
        <v>0</v>
      </c>
      <c r="X165">
        <v>0</v>
      </c>
      <c r="Y165">
        <v>0</v>
      </c>
      <c r="Z165" s="13">
        <f t="shared" si="26"/>
        <v>0</v>
      </c>
      <c r="AA165">
        <v>0</v>
      </c>
      <c r="AB165">
        <v>0</v>
      </c>
      <c r="AC165">
        <v>0</v>
      </c>
      <c r="AD165">
        <v>0</v>
      </c>
      <c r="AE165" s="7">
        <f t="shared" si="27"/>
        <v>0</v>
      </c>
      <c r="AF165">
        <v>0</v>
      </c>
      <c r="AG165">
        <v>0</v>
      </c>
      <c r="AH165">
        <v>0</v>
      </c>
      <c r="AI165" s="13">
        <f t="shared" si="28"/>
        <v>0</v>
      </c>
      <c r="AJ165" s="11" t="s">
        <v>51</v>
      </c>
      <c r="AK165" s="11" t="s">
        <v>51</v>
      </c>
      <c r="AL165" s="11" t="s">
        <v>51</v>
      </c>
      <c r="AM165" s="13">
        <f t="shared" si="29"/>
        <v>0</v>
      </c>
      <c r="AN165" s="18">
        <v>40</v>
      </c>
      <c r="AO165" s="18">
        <v>0</v>
      </c>
      <c r="AP165" s="18">
        <v>0</v>
      </c>
      <c r="AQ165" s="18">
        <v>0</v>
      </c>
      <c r="AR165" s="18">
        <f t="shared" si="30"/>
        <v>40</v>
      </c>
      <c r="AS165" t="s">
        <v>52</v>
      </c>
      <c r="AT165" s="9">
        <v>83.112499999999997</v>
      </c>
      <c r="AU165" s="30">
        <f t="shared" si="32"/>
        <v>83.112499999999997</v>
      </c>
    </row>
    <row r="166" spans="1:47" x14ac:dyDescent="0.25">
      <c r="A166" t="s">
        <v>46</v>
      </c>
      <c r="B166" t="s">
        <v>665</v>
      </c>
      <c r="C166" t="s">
        <v>666</v>
      </c>
      <c r="D166" t="s">
        <v>667</v>
      </c>
      <c r="E166" s="11">
        <v>20</v>
      </c>
      <c r="F166" s="11">
        <v>18.670000000000002</v>
      </c>
      <c r="G166" s="11">
        <v>44.51</v>
      </c>
      <c r="H166" s="11">
        <v>6</v>
      </c>
      <c r="I166" s="13">
        <f t="shared" si="22"/>
        <v>89.18</v>
      </c>
      <c r="J166" s="11">
        <v>0</v>
      </c>
      <c r="K166" s="11">
        <v>0</v>
      </c>
      <c r="L166" s="11">
        <v>0</v>
      </c>
      <c r="M166" s="13">
        <f t="shared" si="23"/>
        <v>0</v>
      </c>
      <c r="N166" s="11">
        <v>0</v>
      </c>
      <c r="O166" s="11">
        <v>0</v>
      </c>
      <c r="P166" s="11">
        <v>0</v>
      </c>
      <c r="Q166" s="11">
        <v>0</v>
      </c>
      <c r="R166" s="13">
        <f t="shared" si="24"/>
        <v>0</v>
      </c>
      <c r="S166">
        <v>0</v>
      </c>
      <c r="T166">
        <v>0</v>
      </c>
      <c r="U166" s="7">
        <f t="shared" si="25"/>
        <v>0</v>
      </c>
      <c r="V166">
        <v>0</v>
      </c>
      <c r="W166">
        <v>0</v>
      </c>
      <c r="X166">
        <v>0</v>
      </c>
      <c r="Y166">
        <v>0</v>
      </c>
      <c r="Z166" s="13">
        <f t="shared" si="26"/>
        <v>0</v>
      </c>
      <c r="AA166">
        <v>0</v>
      </c>
      <c r="AB166">
        <v>0</v>
      </c>
      <c r="AC166">
        <v>0</v>
      </c>
      <c r="AD166">
        <v>0</v>
      </c>
      <c r="AE166" s="7">
        <f t="shared" si="27"/>
        <v>0</v>
      </c>
      <c r="AF166">
        <v>0</v>
      </c>
      <c r="AG166">
        <v>0</v>
      </c>
      <c r="AH166">
        <v>0</v>
      </c>
      <c r="AI166" s="13">
        <f t="shared" si="28"/>
        <v>0</v>
      </c>
      <c r="AJ166" s="11" t="s">
        <v>51</v>
      </c>
      <c r="AK166" s="11" t="s">
        <v>51</v>
      </c>
      <c r="AL166" s="11" t="s">
        <v>51</v>
      </c>
      <c r="AM166" s="13">
        <f t="shared" si="29"/>
        <v>0</v>
      </c>
      <c r="AN166" s="18">
        <v>40</v>
      </c>
      <c r="AO166" s="18">
        <v>0</v>
      </c>
      <c r="AP166" s="18">
        <v>0</v>
      </c>
      <c r="AQ166" s="18">
        <v>0</v>
      </c>
      <c r="AR166" s="18">
        <f t="shared" si="30"/>
        <v>40</v>
      </c>
      <c r="AS166" t="s">
        <v>52</v>
      </c>
      <c r="AT166" s="9">
        <v>89.18</v>
      </c>
      <c r="AU166" s="30">
        <f t="shared" si="32"/>
        <v>89.18</v>
      </c>
    </row>
    <row r="167" spans="1:47" x14ac:dyDescent="0.25">
      <c r="A167" t="s">
        <v>46</v>
      </c>
      <c r="B167" t="s">
        <v>669</v>
      </c>
      <c r="C167" t="s">
        <v>670</v>
      </c>
      <c r="D167" t="s">
        <v>671</v>
      </c>
      <c r="E167" s="11">
        <v>25</v>
      </c>
      <c r="F167" s="11">
        <v>0</v>
      </c>
      <c r="G167" s="11">
        <v>61.625</v>
      </c>
      <c r="H167" s="11">
        <v>3.125</v>
      </c>
      <c r="I167" s="13">
        <f t="shared" si="22"/>
        <v>89.75</v>
      </c>
      <c r="J167" s="11">
        <v>0</v>
      </c>
      <c r="K167" s="11">
        <v>0</v>
      </c>
      <c r="L167" s="11">
        <v>0</v>
      </c>
      <c r="M167" s="13">
        <f t="shared" si="23"/>
        <v>0</v>
      </c>
      <c r="N167" s="11">
        <v>0</v>
      </c>
      <c r="O167" s="11">
        <v>0</v>
      </c>
      <c r="P167" s="11">
        <v>0</v>
      </c>
      <c r="Q167" s="11">
        <v>0</v>
      </c>
      <c r="R167" s="13">
        <f t="shared" si="24"/>
        <v>0</v>
      </c>
      <c r="S167">
        <v>0</v>
      </c>
      <c r="T167">
        <v>0</v>
      </c>
      <c r="U167" s="7">
        <f t="shared" si="25"/>
        <v>0</v>
      </c>
      <c r="V167">
        <v>0</v>
      </c>
      <c r="W167">
        <v>0</v>
      </c>
      <c r="X167">
        <v>0</v>
      </c>
      <c r="Y167">
        <v>0</v>
      </c>
      <c r="Z167" s="13">
        <f t="shared" si="26"/>
        <v>0</v>
      </c>
      <c r="AA167">
        <v>0</v>
      </c>
      <c r="AB167">
        <v>0</v>
      </c>
      <c r="AC167">
        <v>0</v>
      </c>
      <c r="AD167">
        <v>0</v>
      </c>
      <c r="AE167" s="7">
        <f t="shared" si="27"/>
        <v>0</v>
      </c>
      <c r="AF167">
        <v>0</v>
      </c>
      <c r="AG167">
        <v>0</v>
      </c>
      <c r="AH167">
        <v>0</v>
      </c>
      <c r="AI167" s="13">
        <f t="shared" si="28"/>
        <v>0</v>
      </c>
      <c r="AJ167" s="11" t="s">
        <v>51</v>
      </c>
      <c r="AK167" s="11" t="s">
        <v>51</v>
      </c>
      <c r="AL167" s="11" t="s">
        <v>51</v>
      </c>
      <c r="AM167" s="13">
        <f t="shared" si="29"/>
        <v>0</v>
      </c>
      <c r="AN167" s="18">
        <v>6</v>
      </c>
      <c r="AO167" s="18">
        <v>0</v>
      </c>
      <c r="AP167" s="18">
        <v>0</v>
      </c>
      <c r="AQ167" s="18">
        <v>0</v>
      </c>
      <c r="AR167" s="18">
        <f t="shared" si="30"/>
        <v>6</v>
      </c>
      <c r="AS167" t="s">
        <v>52</v>
      </c>
      <c r="AT167" s="9">
        <v>89.75</v>
      </c>
      <c r="AU167" s="30">
        <f t="shared" si="32"/>
        <v>89.75</v>
      </c>
    </row>
    <row r="168" spans="1:47" x14ac:dyDescent="0.25">
      <c r="A168" t="s">
        <v>46</v>
      </c>
      <c r="B168" t="s">
        <v>673</v>
      </c>
      <c r="C168" t="s">
        <v>674</v>
      </c>
      <c r="D168" t="s">
        <v>675</v>
      </c>
      <c r="E168" s="11">
        <v>20</v>
      </c>
      <c r="F168" s="11">
        <v>20</v>
      </c>
      <c r="G168" s="11">
        <v>43.2</v>
      </c>
      <c r="H168" s="11">
        <v>6</v>
      </c>
      <c r="I168" s="13">
        <f t="shared" si="22"/>
        <v>89.2</v>
      </c>
      <c r="J168" s="11">
        <v>0</v>
      </c>
      <c r="K168" s="11">
        <v>0</v>
      </c>
      <c r="L168" s="11">
        <v>0</v>
      </c>
      <c r="M168" s="13">
        <f t="shared" si="23"/>
        <v>0</v>
      </c>
      <c r="N168" s="11">
        <v>0</v>
      </c>
      <c r="O168" s="11">
        <v>0</v>
      </c>
      <c r="P168" s="11">
        <v>0</v>
      </c>
      <c r="Q168" s="11">
        <v>0</v>
      </c>
      <c r="R168" s="13">
        <f t="shared" si="24"/>
        <v>0</v>
      </c>
      <c r="S168">
        <v>0</v>
      </c>
      <c r="T168">
        <v>0</v>
      </c>
      <c r="U168" s="7">
        <f t="shared" si="25"/>
        <v>0</v>
      </c>
      <c r="V168">
        <v>0</v>
      </c>
      <c r="W168">
        <v>0</v>
      </c>
      <c r="X168">
        <v>0</v>
      </c>
      <c r="Y168">
        <v>0</v>
      </c>
      <c r="Z168" s="13">
        <f t="shared" si="26"/>
        <v>0</v>
      </c>
      <c r="AA168">
        <v>15</v>
      </c>
      <c r="AB168">
        <v>50</v>
      </c>
      <c r="AC168">
        <v>13.88</v>
      </c>
      <c r="AD168">
        <v>20</v>
      </c>
      <c r="AE168" s="7">
        <f t="shared" si="27"/>
        <v>98.88</v>
      </c>
      <c r="AF168">
        <v>0</v>
      </c>
      <c r="AG168">
        <v>0</v>
      </c>
      <c r="AH168">
        <v>0</v>
      </c>
      <c r="AI168" s="13">
        <f t="shared" si="28"/>
        <v>0</v>
      </c>
      <c r="AJ168" s="11" t="s">
        <v>51</v>
      </c>
      <c r="AK168" s="11" t="s">
        <v>51</v>
      </c>
      <c r="AL168" s="11" t="s">
        <v>51</v>
      </c>
      <c r="AM168" s="13">
        <f t="shared" si="29"/>
        <v>0</v>
      </c>
      <c r="AN168" s="18">
        <v>29.5</v>
      </c>
      <c r="AO168" s="18">
        <v>10.5</v>
      </c>
      <c r="AP168" s="18">
        <v>0</v>
      </c>
      <c r="AQ168" s="18">
        <v>0</v>
      </c>
      <c r="AR168" s="18">
        <f t="shared" si="30"/>
        <v>40</v>
      </c>
      <c r="AS168" t="s">
        <v>52</v>
      </c>
      <c r="AT168" s="9">
        <v>91.741000000000014</v>
      </c>
      <c r="AU168" s="30">
        <f t="shared" si="32"/>
        <v>91.741000000000014</v>
      </c>
    </row>
    <row r="169" spans="1:47" x14ac:dyDescent="0.25">
      <c r="A169" t="s">
        <v>46</v>
      </c>
      <c r="B169" t="s">
        <v>677</v>
      </c>
      <c r="C169" t="s">
        <v>678</v>
      </c>
      <c r="D169" t="s">
        <v>679</v>
      </c>
      <c r="E169" s="11">
        <v>28.571428571428569</v>
      </c>
      <c r="F169" s="11">
        <v>0</v>
      </c>
      <c r="G169" s="11">
        <v>62.542857142857144</v>
      </c>
      <c r="H169" s="11">
        <v>0</v>
      </c>
      <c r="I169" s="13">
        <f t="shared" si="22"/>
        <v>91.114285714285714</v>
      </c>
      <c r="J169" s="11">
        <v>0</v>
      </c>
      <c r="K169" s="11">
        <v>0</v>
      </c>
      <c r="L169" s="11">
        <v>0</v>
      </c>
      <c r="M169" s="13">
        <f t="shared" si="23"/>
        <v>0</v>
      </c>
      <c r="N169" s="11">
        <v>0</v>
      </c>
      <c r="O169" s="11">
        <v>0</v>
      </c>
      <c r="P169" s="11">
        <v>0</v>
      </c>
      <c r="Q169" s="11">
        <v>0</v>
      </c>
      <c r="R169" s="13">
        <f t="shared" si="24"/>
        <v>0</v>
      </c>
      <c r="S169">
        <v>0</v>
      </c>
      <c r="T169">
        <v>0</v>
      </c>
      <c r="U169" s="7">
        <f t="shared" si="25"/>
        <v>0</v>
      </c>
      <c r="V169">
        <v>0</v>
      </c>
      <c r="W169">
        <v>0</v>
      </c>
      <c r="X169">
        <v>0</v>
      </c>
      <c r="Y169">
        <v>0</v>
      </c>
      <c r="Z169" s="13">
        <f t="shared" si="26"/>
        <v>0</v>
      </c>
      <c r="AA169">
        <v>15</v>
      </c>
      <c r="AB169">
        <v>50</v>
      </c>
      <c r="AC169">
        <v>15</v>
      </c>
      <c r="AD169">
        <v>20</v>
      </c>
      <c r="AE169" s="7">
        <f t="shared" si="27"/>
        <v>100</v>
      </c>
      <c r="AF169">
        <v>0</v>
      </c>
      <c r="AG169">
        <v>0</v>
      </c>
      <c r="AH169">
        <v>0</v>
      </c>
      <c r="AI169" s="13">
        <f t="shared" si="28"/>
        <v>0</v>
      </c>
      <c r="AJ169" s="19">
        <v>28.571428571428569</v>
      </c>
      <c r="AK169" s="19">
        <v>0</v>
      </c>
      <c r="AL169" s="19">
        <v>71.428571428571431</v>
      </c>
      <c r="AM169" s="13">
        <f t="shared" si="29"/>
        <v>100</v>
      </c>
      <c r="AN169" s="18">
        <v>32</v>
      </c>
      <c r="AO169" s="18">
        <v>5</v>
      </c>
      <c r="AP169" s="18">
        <v>3</v>
      </c>
      <c r="AQ169" s="18">
        <v>0</v>
      </c>
      <c r="AR169" s="18">
        <f t="shared" si="30"/>
        <v>40</v>
      </c>
      <c r="AS169" t="s">
        <v>52</v>
      </c>
      <c r="AT169" s="9">
        <v>92.891428571428577</v>
      </c>
      <c r="AU169" s="30">
        <f t="shared" si="32"/>
        <v>92.891428571428577</v>
      </c>
    </row>
    <row r="170" spans="1:47" x14ac:dyDescent="0.25">
      <c r="A170" t="s">
        <v>46</v>
      </c>
      <c r="B170" t="s">
        <v>681</v>
      </c>
      <c r="C170" t="s">
        <v>682</v>
      </c>
      <c r="D170" t="s">
        <v>683</v>
      </c>
      <c r="E170" s="11">
        <v>18.670000000000002</v>
      </c>
      <c r="F170" s="11">
        <v>20</v>
      </c>
      <c r="G170" s="11">
        <v>50</v>
      </c>
      <c r="H170" s="11">
        <v>3</v>
      </c>
      <c r="I170" s="13">
        <f t="shared" si="22"/>
        <v>91.67</v>
      </c>
      <c r="J170" s="11">
        <v>0</v>
      </c>
      <c r="K170" s="11">
        <v>0</v>
      </c>
      <c r="L170" s="11">
        <v>0</v>
      </c>
      <c r="M170" s="13">
        <f t="shared" si="23"/>
        <v>0</v>
      </c>
      <c r="N170" s="11">
        <v>0</v>
      </c>
      <c r="O170" s="11">
        <v>0</v>
      </c>
      <c r="P170" s="11">
        <v>0</v>
      </c>
      <c r="Q170" s="11">
        <v>0</v>
      </c>
      <c r="R170" s="13">
        <f t="shared" si="24"/>
        <v>0</v>
      </c>
      <c r="S170">
        <v>0</v>
      </c>
      <c r="T170">
        <v>0</v>
      </c>
      <c r="U170" s="7">
        <f t="shared" si="25"/>
        <v>0</v>
      </c>
      <c r="V170">
        <v>0</v>
      </c>
      <c r="W170">
        <v>0</v>
      </c>
      <c r="X170">
        <v>0</v>
      </c>
      <c r="Y170">
        <v>0</v>
      </c>
      <c r="Z170" s="13">
        <f t="shared" si="26"/>
        <v>0</v>
      </c>
      <c r="AA170">
        <v>0</v>
      </c>
      <c r="AB170">
        <v>0</v>
      </c>
      <c r="AC170">
        <v>0</v>
      </c>
      <c r="AD170">
        <v>0</v>
      </c>
      <c r="AE170" s="7">
        <f t="shared" si="27"/>
        <v>0</v>
      </c>
      <c r="AF170">
        <v>0</v>
      </c>
      <c r="AG170">
        <v>0</v>
      </c>
      <c r="AH170">
        <v>0</v>
      </c>
      <c r="AI170" s="13">
        <f t="shared" si="28"/>
        <v>0</v>
      </c>
      <c r="AJ170" s="11" t="s">
        <v>51</v>
      </c>
      <c r="AK170" s="11" t="s">
        <v>51</v>
      </c>
      <c r="AL170" s="11" t="s">
        <v>51</v>
      </c>
      <c r="AM170" s="13">
        <f t="shared" si="29"/>
        <v>0</v>
      </c>
      <c r="AN170" s="18">
        <v>6</v>
      </c>
      <c r="AO170" s="18">
        <v>0</v>
      </c>
      <c r="AP170" s="18">
        <v>0</v>
      </c>
      <c r="AQ170" s="18">
        <v>0</v>
      </c>
      <c r="AR170" s="18">
        <f t="shared" si="30"/>
        <v>6</v>
      </c>
      <c r="AS170" t="s">
        <v>52</v>
      </c>
      <c r="AT170" s="9">
        <v>91.67</v>
      </c>
      <c r="AU170" s="30">
        <f t="shared" si="32"/>
        <v>91.67</v>
      </c>
    </row>
    <row r="171" spans="1:47" x14ac:dyDescent="0.25">
      <c r="A171" t="s">
        <v>46</v>
      </c>
      <c r="B171" t="s">
        <v>685</v>
      </c>
      <c r="C171" t="s">
        <v>686</v>
      </c>
      <c r="D171" t="s">
        <v>687</v>
      </c>
      <c r="E171" s="11">
        <v>22.222222222222221</v>
      </c>
      <c r="F171" s="11">
        <v>22.222222222222221</v>
      </c>
      <c r="G171" s="11">
        <v>50.4</v>
      </c>
      <c r="H171" s="11">
        <v>0</v>
      </c>
      <c r="I171" s="13">
        <f t="shared" si="22"/>
        <v>94.844444444444434</v>
      </c>
      <c r="J171" s="11">
        <v>0</v>
      </c>
      <c r="K171" s="11">
        <v>0</v>
      </c>
      <c r="L171" s="11">
        <v>0</v>
      </c>
      <c r="M171" s="13">
        <f t="shared" si="23"/>
        <v>0</v>
      </c>
      <c r="N171" s="11">
        <v>48.144444444444446</v>
      </c>
      <c r="O171" s="11">
        <v>0</v>
      </c>
      <c r="P171" s="11">
        <v>22.222222222222221</v>
      </c>
      <c r="Q171" s="11">
        <v>22.222222222222221</v>
      </c>
      <c r="R171" s="13">
        <f t="shared" si="24"/>
        <v>92.588888888888903</v>
      </c>
      <c r="S171">
        <v>0</v>
      </c>
      <c r="T171">
        <v>0</v>
      </c>
      <c r="U171" s="7">
        <f t="shared" si="25"/>
        <v>0</v>
      </c>
      <c r="V171">
        <v>0</v>
      </c>
      <c r="W171">
        <v>0</v>
      </c>
      <c r="X171">
        <v>0</v>
      </c>
      <c r="Y171">
        <v>0</v>
      </c>
      <c r="Z171" s="13">
        <f t="shared" si="26"/>
        <v>0</v>
      </c>
      <c r="AA171">
        <v>0</v>
      </c>
      <c r="AB171">
        <v>0</v>
      </c>
      <c r="AC171">
        <v>0</v>
      </c>
      <c r="AD171">
        <v>0</v>
      </c>
      <c r="AE171" s="7">
        <f t="shared" si="27"/>
        <v>0</v>
      </c>
      <c r="AF171">
        <v>0</v>
      </c>
      <c r="AG171">
        <v>0</v>
      </c>
      <c r="AH171">
        <v>0</v>
      </c>
      <c r="AI171" s="13">
        <f t="shared" si="28"/>
        <v>0</v>
      </c>
      <c r="AJ171" s="11" t="s">
        <v>51</v>
      </c>
      <c r="AK171" s="11" t="s">
        <v>51</v>
      </c>
      <c r="AL171" s="11" t="s">
        <v>51</v>
      </c>
      <c r="AM171" s="13">
        <f t="shared" si="29"/>
        <v>0</v>
      </c>
      <c r="AN171" s="18">
        <v>9</v>
      </c>
      <c r="AO171" s="18">
        <v>0</v>
      </c>
      <c r="AP171" s="18">
        <v>0</v>
      </c>
      <c r="AQ171" s="18">
        <v>0</v>
      </c>
      <c r="AR171" s="18">
        <f t="shared" si="30"/>
        <v>9</v>
      </c>
      <c r="AS171" t="s">
        <v>52</v>
      </c>
      <c r="AT171" s="9">
        <v>94.844444444444434</v>
      </c>
      <c r="AU171" s="30">
        <f t="shared" si="32"/>
        <v>94.844444444444434</v>
      </c>
    </row>
    <row r="172" spans="1:47" x14ac:dyDescent="0.25">
      <c r="A172" s="33" t="s">
        <v>46</v>
      </c>
      <c r="B172" s="32" t="s">
        <v>685</v>
      </c>
      <c r="C172" s="32" t="s">
        <v>686</v>
      </c>
      <c r="D172" s="32" t="s">
        <v>687</v>
      </c>
      <c r="E172" s="11">
        <v>22.222222222222221</v>
      </c>
      <c r="F172" s="11">
        <v>22.222222222222221</v>
      </c>
      <c r="G172" s="11">
        <v>50.4</v>
      </c>
      <c r="H172" s="11">
        <v>0</v>
      </c>
      <c r="I172" s="13">
        <f t="shared" si="22"/>
        <v>94.844444444444434</v>
      </c>
      <c r="J172" s="11">
        <v>0</v>
      </c>
      <c r="K172" s="11">
        <v>0</v>
      </c>
      <c r="L172" s="11">
        <v>0</v>
      </c>
      <c r="M172" s="13">
        <f t="shared" si="23"/>
        <v>0</v>
      </c>
      <c r="N172" s="11">
        <v>48.144444444444446</v>
      </c>
      <c r="O172" s="11">
        <v>0</v>
      </c>
      <c r="P172" s="11">
        <v>22.222222222222221</v>
      </c>
      <c r="Q172" s="11">
        <v>22.222222222222221</v>
      </c>
      <c r="R172" s="13">
        <f t="shared" si="24"/>
        <v>92.588888888888903</v>
      </c>
      <c r="S172">
        <v>0</v>
      </c>
      <c r="T172">
        <v>0</v>
      </c>
      <c r="U172" s="7">
        <f t="shared" si="25"/>
        <v>0</v>
      </c>
      <c r="V172">
        <v>0</v>
      </c>
      <c r="W172">
        <v>0</v>
      </c>
      <c r="X172">
        <v>0</v>
      </c>
      <c r="Y172">
        <v>0</v>
      </c>
      <c r="Z172" s="13">
        <f t="shared" si="26"/>
        <v>0</v>
      </c>
      <c r="AA172">
        <v>0</v>
      </c>
      <c r="AB172">
        <v>0</v>
      </c>
      <c r="AC172">
        <v>0</v>
      </c>
      <c r="AD172">
        <v>0</v>
      </c>
      <c r="AE172" s="7">
        <f t="shared" si="27"/>
        <v>0</v>
      </c>
      <c r="AF172">
        <v>0</v>
      </c>
      <c r="AG172">
        <v>0</v>
      </c>
      <c r="AH172">
        <v>0</v>
      </c>
      <c r="AI172" s="13">
        <f t="shared" si="28"/>
        <v>0</v>
      </c>
      <c r="AJ172" s="11" t="s">
        <v>51</v>
      </c>
      <c r="AK172" s="11" t="s">
        <v>51</v>
      </c>
      <c r="AL172" s="11" t="s">
        <v>51</v>
      </c>
      <c r="AM172" s="13">
        <f t="shared" si="29"/>
        <v>0</v>
      </c>
      <c r="AN172" s="18">
        <v>2</v>
      </c>
      <c r="AO172" s="18">
        <v>0</v>
      </c>
      <c r="AP172" s="18">
        <v>0</v>
      </c>
      <c r="AQ172" s="18">
        <v>0</v>
      </c>
      <c r="AR172" s="18">
        <f t="shared" si="30"/>
        <v>2</v>
      </c>
      <c r="AS172" t="s">
        <v>117</v>
      </c>
      <c r="AT172" s="9">
        <v>92.588888888888903</v>
      </c>
      <c r="AU172" s="11">
        <f>+((AN172*R172)+(AQ172*AI172)+(AP172*AM172))/AR172</f>
        <v>92.588888888888903</v>
      </c>
    </row>
    <row r="173" spans="1:47" x14ac:dyDescent="0.25">
      <c r="A173" t="s">
        <v>46</v>
      </c>
      <c r="B173" t="s">
        <v>689</v>
      </c>
      <c r="C173" t="s">
        <v>690</v>
      </c>
      <c r="D173" t="s">
        <v>691</v>
      </c>
      <c r="E173" s="11">
        <v>25</v>
      </c>
      <c r="F173" s="11">
        <v>0</v>
      </c>
      <c r="G173" s="11">
        <v>52.225000000000001</v>
      </c>
      <c r="H173" s="11">
        <v>3.75</v>
      </c>
      <c r="I173" s="13">
        <f t="shared" si="22"/>
        <v>80.974999999999994</v>
      </c>
      <c r="J173" s="11">
        <v>0</v>
      </c>
      <c r="K173" s="11">
        <v>0</v>
      </c>
      <c r="L173" s="11">
        <v>0</v>
      </c>
      <c r="M173" s="13">
        <f t="shared" si="23"/>
        <v>0</v>
      </c>
      <c r="N173" s="11">
        <v>0</v>
      </c>
      <c r="O173" s="11">
        <v>0</v>
      </c>
      <c r="P173" s="11">
        <v>0</v>
      </c>
      <c r="Q173" s="11">
        <v>0</v>
      </c>
      <c r="R173" s="13">
        <f t="shared" si="24"/>
        <v>0</v>
      </c>
      <c r="S173">
        <v>0</v>
      </c>
      <c r="T173">
        <v>0</v>
      </c>
      <c r="U173" s="7">
        <f t="shared" si="25"/>
        <v>0</v>
      </c>
      <c r="V173">
        <v>0</v>
      </c>
      <c r="W173">
        <v>0</v>
      </c>
      <c r="X173">
        <v>0</v>
      </c>
      <c r="Y173">
        <v>0</v>
      </c>
      <c r="Z173" s="13">
        <f t="shared" si="26"/>
        <v>0</v>
      </c>
      <c r="AA173">
        <v>0</v>
      </c>
      <c r="AB173">
        <v>0</v>
      </c>
      <c r="AC173">
        <v>0</v>
      </c>
      <c r="AD173">
        <v>0</v>
      </c>
      <c r="AE173" s="7">
        <f t="shared" si="27"/>
        <v>0</v>
      </c>
      <c r="AF173">
        <v>0</v>
      </c>
      <c r="AG173">
        <v>0</v>
      </c>
      <c r="AH173">
        <v>0</v>
      </c>
      <c r="AI173" s="13">
        <f t="shared" si="28"/>
        <v>0</v>
      </c>
      <c r="AJ173" s="11" t="s">
        <v>51</v>
      </c>
      <c r="AK173" s="11" t="s">
        <v>51</v>
      </c>
      <c r="AL173" s="11" t="s">
        <v>51</v>
      </c>
      <c r="AM173" s="13">
        <f t="shared" si="29"/>
        <v>0</v>
      </c>
      <c r="AN173" s="18">
        <v>11</v>
      </c>
      <c r="AO173" s="18">
        <v>0</v>
      </c>
      <c r="AP173" s="18">
        <v>0</v>
      </c>
      <c r="AQ173" s="18">
        <v>0</v>
      </c>
      <c r="AR173" s="18">
        <f t="shared" si="30"/>
        <v>11</v>
      </c>
      <c r="AS173" t="s">
        <v>52</v>
      </c>
      <c r="AT173" s="9">
        <v>80.974999999999994</v>
      </c>
      <c r="AU173" s="30">
        <f>+((AN173*I173)+(AO173*AE173)+(AQ173*AI173)+(AP173*AM173))/AR173</f>
        <v>80.974999999999994</v>
      </c>
    </row>
    <row r="174" spans="1:47" x14ac:dyDescent="0.25">
      <c r="A174" t="s">
        <v>46</v>
      </c>
      <c r="B174" t="s">
        <v>693</v>
      </c>
      <c r="C174" t="s">
        <v>694</v>
      </c>
      <c r="D174" t="s">
        <v>695</v>
      </c>
      <c r="E174" s="11">
        <v>0</v>
      </c>
      <c r="F174" s="11">
        <v>0</v>
      </c>
      <c r="G174" s="11">
        <v>0</v>
      </c>
      <c r="H174" s="11">
        <v>0</v>
      </c>
      <c r="I174" s="13">
        <f t="shared" si="22"/>
        <v>0</v>
      </c>
      <c r="J174" s="11">
        <v>0</v>
      </c>
      <c r="K174" s="11">
        <v>0</v>
      </c>
      <c r="L174" s="11">
        <v>0</v>
      </c>
      <c r="M174" s="13">
        <f t="shared" si="23"/>
        <v>0</v>
      </c>
      <c r="N174" s="11">
        <v>0</v>
      </c>
      <c r="O174" s="11">
        <v>0</v>
      </c>
      <c r="P174" s="11">
        <v>0</v>
      </c>
      <c r="Q174" s="11">
        <v>0</v>
      </c>
      <c r="R174" s="13">
        <f t="shared" si="24"/>
        <v>0</v>
      </c>
      <c r="S174">
        <v>41.78</v>
      </c>
      <c r="T174">
        <v>24.75</v>
      </c>
      <c r="U174" s="7">
        <f t="shared" si="25"/>
        <v>66.53</v>
      </c>
      <c r="V174">
        <v>0</v>
      </c>
      <c r="W174">
        <v>0</v>
      </c>
      <c r="X174">
        <v>0</v>
      </c>
      <c r="Y174">
        <v>0</v>
      </c>
      <c r="Z174" s="13">
        <f t="shared" si="26"/>
        <v>0</v>
      </c>
      <c r="AA174">
        <v>0</v>
      </c>
      <c r="AB174">
        <v>0</v>
      </c>
      <c r="AC174">
        <v>0</v>
      </c>
      <c r="AD174">
        <v>0</v>
      </c>
      <c r="AE174" s="7">
        <f t="shared" si="27"/>
        <v>0</v>
      </c>
      <c r="AF174">
        <v>0</v>
      </c>
      <c r="AG174">
        <v>0</v>
      </c>
      <c r="AH174">
        <v>0</v>
      </c>
      <c r="AI174" s="13">
        <f t="shared" si="28"/>
        <v>0</v>
      </c>
      <c r="AJ174" s="11" t="s">
        <v>51</v>
      </c>
      <c r="AK174" s="11" t="s">
        <v>51</v>
      </c>
      <c r="AL174" s="11" t="s">
        <v>51</v>
      </c>
      <c r="AM174" s="13">
        <f t="shared" si="29"/>
        <v>0</v>
      </c>
      <c r="AN174" s="18">
        <v>4</v>
      </c>
      <c r="AO174" s="18">
        <v>0</v>
      </c>
      <c r="AP174" s="18">
        <v>0</v>
      </c>
      <c r="AQ174" s="18">
        <v>0</v>
      </c>
      <c r="AR174" s="18">
        <f t="shared" si="30"/>
        <v>4</v>
      </c>
      <c r="AS174" t="s">
        <v>52</v>
      </c>
      <c r="AT174" s="9">
        <v>66.53</v>
      </c>
      <c r="AU174" s="30">
        <f>+((U174*AN174)/AR174)</f>
        <v>66.53</v>
      </c>
    </row>
    <row r="175" spans="1:47" x14ac:dyDescent="0.25">
      <c r="A175" t="s">
        <v>46</v>
      </c>
      <c r="B175" t="s">
        <v>697</v>
      </c>
      <c r="C175" t="s">
        <v>698</v>
      </c>
      <c r="D175" t="s">
        <v>699</v>
      </c>
      <c r="E175" s="11">
        <v>0</v>
      </c>
      <c r="F175" s="11">
        <v>0</v>
      </c>
      <c r="G175" s="11">
        <v>0</v>
      </c>
      <c r="H175" s="11">
        <v>0</v>
      </c>
      <c r="I175" s="13">
        <f t="shared" si="22"/>
        <v>0</v>
      </c>
      <c r="J175" s="11">
        <v>57.86</v>
      </c>
      <c r="K175" s="11">
        <v>30</v>
      </c>
      <c r="L175" s="11">
        <v>2.5</v>
      </c>
      <c r="M175" s="13">
        <f t="shared" si="23"/>
        <v>90.36</v>
      </c>
      <c r="N175" s="11">
        <v>0</v>
      </c>
      <c r="O175" s="11">
        <v>0</v>
      </c>
      <c r="P175" s="11">
        <v>0</v>
      </c>
      <c r="Q175" s="11">
        <v>0</v>
      </c>
      <c r="R175" s="13">
        <f t="shared" si="24"/>
        <v>0</v>
      </c>
      <c r="S175">
        <v>0</v>
      </c>
      <c r="T175">
        <v>0</v>
      </c>
      <c r="U175" s="7">
        <f t="shared" si="25"/>
        <v>0</v>
      </c>
      <c r="V175">
        <v>0</v>
      </c>
      <c r="W175">
        <v>0</v>
      </c>
      <c r="X175">
        <v>0</v>
      </c>
      <c r="Y175">
        <v>0</v>
      </c>
      <c r="Z175" s="13">
        <f t="shared" si="26"/>
        <v>0</v>
      </c>
      <c r="AA175">
        <v>0</v>
      </c>
      <c r="AB175">
        <v>0</v>
      </c>
      <c r="AC175">
        <v>0</v>
      </c>
      <c r="AD175">
        <v>0</v>
      </c>
      <c r="AE175" s="7">
        <f t="shared" si="27"/>
        <v>0</v>
      </c>
      <c r="AF175">
        <v>0</v>
      </c>
      <c r="AG175">
        <v>0</v>
      </c>
      <c r="AH175">
        <v>0</v>
      </c>
      <c r="AI175" s="13">
        <f t="shared" si="28"/>
        <v>0</v>
      </c>
      <c r="AJ175" s="11" t="s">
        <v>51</v>
      </c>
      <c r="AK175" s="11" t="s">
        <v>51</v>
      </c>
      <c r="AL175" s="11" t="s">
        <v>51</v>
      </c>
      <c r="AM175" s="13">
        <f t="shared" si="29"/>
        <v>0</v>
      </c>
      <c r="AN175" s="18">
        <v>2</v>
      </c>
      <c r="AO175" s="18">
        <v>0</v>
      </c>
      <c r="AP175" s="18">
        <v>0</v>
      </c>
      <c r="AQ175" s="18">
        <v>0</v>
      </c>
      <c r="AR175" s="18">
        <f t="shared" si="30"/>
        <v>2</v>
      </c>
      <c r="AS175" t="s">
        <v>87</v>
      </c>
      <c r="AT175" s="9">
        <v>90.36</v>
      </c>
      <c r="AU175" s="30">
        <f>+((AN175*M175)/AR175)</f>
        <v>90.36</v>
      </c>
    </row>
    <row r="176" spans="1:47" x14ac:dyDescent="0.25">
      <c r="A176" t="s">
        <v>46</v>
      </c>
      <c r="B176" t="s">
        <v>701</v>
      </c>
      <c r="C176" t="s">
        <v>702</v>
      </c>
      <c r="D176" t="s">
        <v>703</v>
      </c>
      <c r="E176" s="11">
        <v>0</v>
      </c>
      <c r="F176" s="11">
        <v>16.662500000000001</v>
      </c>
      <c r="G176" s="11">
        <v>57.55</v>
      </c>
      <c r="H176" s="11">
        <v>3.125</v>
      </c>
      <c r="I176" s="13">
        <f t="shared" si="22"/>
        <v>77.337500000000006</v>
      </c>
      <c r="J176" s="11">
        <v>0</v>
      </c>
      <c r="K176" s="11">
        <v>0</v>
      </c>
      <c r="L176" s="11">
        <v>0</v>
      </c>
      <c r="M176" s="13">
        <f t="shared" si="23"/>
        <v>0</v>
      </c>
      <c r="N176" s="11">
        <v>0</v>
      </c>
      <c r="O176" s="11">
        <v>0</v>
      </c>
      <c r="P176" s="11">
        <v>0</v>
      </c>
      <c r="Q176" s="11">
        <v>0</v>
      </c>
      <c r="R176" s="13">
        <f t="shared" si="24"/>
        <v>0</v>
      </c>
      <c r="S176">
        <v>0</v>
      </c>
      <c r="T176">
        <v>0</v>
      </c>
      <c r="U176" s="7">
        <f t="shared" si="25"/>
        <v>0</v>
      </c>
      <c r="V176">
        <v>0</v>
      </c>
      <c r="W176">
        <v>0</v>
      </c>
      <c r="X176">
        <v>0</v>
      </c>
      <c r="Y176">
        <v>0</v>
      </c>
      <c r="Z176" s="13">
        <f t="shared" si="26"/>
        <v>0</v>
      </c>
      <c r="AA176">
        <v>15</v>
      </c>
      <c r="AB176">
        <v>50</v>
      </c>
      <c r="AC176">
        <v>0</v>
      </c>
      <c r="AD176">
        <v>0</v>
      </c>
      <c r="AE176" s="7">
        <f t="shared" si="27"/>
        <v>65</v>
      </c>
      <c r="AF176">
        <v>0</v>
      </c>
      <c r="AG176">
        <v>0</v>
      </c>
      <c r="AH176">
        <v>0</v>
      </c>
      <c r="AI176" s="13">
        <f t="shared" si="28"/>
        <v>0</v>
      </c>
      <c r="AJ176" s="11" t="s">
        <v>51</v>
      </c>
      <c r="AK176" s="11" t="s">
        <v>51</v>
      </c>
      <c r="AL176" s="11" t="s">
        <v>51</v>
      </c>
      <c r="AM176" s="13">
        <f t="shared" si="29"/>
        <v>0</v>
      </c>
      <c r="AN176" s="18">
        <v>24.5</v>
      </c>
      <c r="AO176" s="18">
        <v>15.5</v>
      </c>
      <c r="AP176" s="18">
        <v>0</v>
      </c>
      <c r="AQ176" s="18">
        <v>0</v>
      </c>
      <c r="AR176" s="18">
        <f t="shared" si="30"/>
        <v>40</v>
      </c>
      <c r="AS176" t="s">
        <v>52</v>
      </c>
      <c r="AT176" s="9">
        <v>72.556718750000002</v>
      </c>
      <c r="AU176" s="30">
        <f>+((AN176*I176)+(AO176*AE176)+(AQ176*AI176)+(AP176*AM176))/AR176</f>
        <v>72.556718750000002</v>
      </c>
    </row>
    <row r="177" spans="1:47" x14ac:dyDescent="0.25">
      <c r="A177" t="s">
        <v>46</v>
      </c>
      <c r="B177" t="s">
        <v>706</v>
      </c>
      <c r="C177" t="s">
        <v>707</v>
      </c>
      <c r="D177" t="s">
        <v>708</v>
      </c>
      <c r="E177" s="11">
        <v>20</v>
      </c>
      <c r="F177" s="11">
        <v>20</v>
      </c>
      <c r="G177" s="11">
        <v>44.4</v>
      </c>
      <c r="H177" s="11">
        <v>4</v>
      </c>
      <c r="I177" s="13">
        <f t="shared" si="22"/>
        <v>88.4</v>
      </c>
      <c r="J177" s="11">
        <v>0</v>
      </c>
      <c r="K177" s="11">
        <v>0</v>
      </c>
      <c r="L177" s="11">
        <v>0</v>
      </c>
      <c r="M177" s="13">
        <f t="shared" si="23"/>
        <v>0</v>
      </c>
      <c r="N177" s="11">
        <v>47.13</v>
      </c>
      <c r="O177" s="11">
        <v>4</v>
      </c>
      <c r="P177" s="11">
        <v>20</v>
      </c>
      <c r="Q177" s="11">
        <v>20</v>
      </c>
      <c r="R177" s="13">
        <f t="shared" si="24"/>
        <v>91.13</v>
      </c>
      <c r="S177">
        <v>0</v>
      </c>
      <c r="T177">
        <v>0</v>
      </c>
      <c r="U177" s="7">
        <f t="shared" si="25"/>
        <v>0</v>
      </c>
      <c r="V177">
        <v>0</v>
      </c>
      <c r="W177">
        <v>0</v>
      </c>
      <c r="X177">
        <v>0</v>
      </c>
      <c r="Y177">
        <v>0</v>
      </c>
      <c r="Z177" s="13">
        <f t="shared" si="26"/>
        <v>0</v>
      </c>
      <c r="AA177">
        <v>15</v>
      </c>
      <c r="AB177">
        <v>50</v>
      </c>
      <c r="AC177">
        <v>15</v>
      </c>
      <c r="AD177">
        <v>20</v>
      </c>
      <c r="AE177" s="7">
        <f t="shared" si="27"/>
        <v>100</v>
      </c>
      <c r="AF177">
        <v>0</v>
      </c>
      <c r="AG177">
        <v>0</v>
      </c>
      <c r="AH177">
        <v>0</v>
      </c>
      <c r="AI177" s="13">
        <f t="shared" si="28"/>
        <v>0</v>
      </c>
      <c r="AJ177" s="11" t="s">
        <v>51</v>
      </c>
      <c r="AK177" s="11" t="s">
        <v>51</v>
      </c>
      <c r="AL177" s="11" t="s">
        <v>51</v>
      </c>
      <c r="AM177" s="13">
        <f t="shared" si="29"/>
        <v>0</v>
      </c>
      <c r="AN177" s="18">
        <v>23</v>
      </c>
      <c r="AO177" s="18">
        <v>15</v>
      </c>
      <c r="AP177" s="18">
        <v>0</v>
      </c>
      <c r="AQ177" s="18">
        <v>0</v>
      </c>
      <c r="AR177" s="18">
        <f t="shared" si="30"/>
        <v>38</v>
      </c>
      <c r="AS177" t="s">
        <v>52</v>
      </c>
      <c r="AT177" s="9">
        <v>92.978947368421046</v>
      </c>
      <c r="AU177" s="30">
        <f>+((AN177*I177)+(AO177*AE177)+(AQ177*AI177)+(AP177*AM177))/AR177</f>
        <v>92.978947368421046</v>
      </c>
    </row>
    <row r="178" spans="1:47" x14ac:dyDescent="0.25">
      <c r="A178" s="33" t="s">
        <v>46</v>
      </c>
      <c r="B178" s="32" t="s">
        <v>706</v>
      </c>
      <c r="C178" s="32" t="s">
        <v>707</v>
      </c>
      <c r="D178" s="32" t="s">
        <v>708</v>
      </c>
      <c r="E178" s="11">
        <v>20</v>
      </c>
      <c r="F178" s="11">
        <v>20</v>
      </c>
      <c r="G178" s="11">
        <v>44.4</v>
      </c>
      <c r="H178" s="11">
        <v>4</v>
      </c>
      <c r="I178" s="13">
        <f t="shared" si="22"/>
        <v>88.4</v>
      </c>
      <c r="J178" s="11">
        <v>0</v>
      </c>
      <c r="K178" s="11">
        <v>0</v>
      </c>
      <c r="L178" s="11">
        <v>0</v>
      </c>
      <c r="M178" s="13">
        <f t="shared" si="23"/>
        <v>0</v>
      </c>
      <c r="N178" s="11">
        <v>47.13</v>
      </c>
      <c r="O178" s="11">
        <v>4</v>
      </c>
      <c r="P178" s="11">
        <v>20</v>
      </c>
      <c r="Q178" s="11">
        <v>20</v>
      </c>
      <c r="R178" s="13">
        <f t="shared" si="24"/>
        <v>91.13</v>
      </c>
      <c r="S178">
        <v>0</v>
      </c>
      <c r="T178">
        <v>0</v>
      </c>
      <c r="U178" s="7">
        <f t="shared" si="25"/>
        <v>0</v>
      </c>
      <c r="V178">
        <v>0</v>
      </c>
      <c r="W178">
        <v>0</v>
      </c>
      <c r="X178">
        <v>0</v>
      </c>
      <c r="Y178">
        <v>0</v>
      </c>
      <c r="Z178" s="13">
        <f t="shared" si="26"/>
        <v>0</v>
      </c>
      <c r="AA178">
        <v>15</v>
      </c>
      <c r="AB178">
        <v>50</v>
      </c>
      <c r="AC178">
        <v>15</v>
      </c>
      <c r="AD178">
        <v>20</v>
      </c>
      <c r="AE178" s="7">
        <f t="shared" si="27"/>
        <v>100</v>
      </c>
      <c r="AF178">
        <v>0</v>
      </c>
      <c r="AG178">
        <v>0</v>
      </c>
      <c r="AH178">
        <v>0</v>
      </c>
      <c r="AI178" s="13">
        <f t="shared" si="28"/>
        <v>0</v>
      </c>
      <c r="AJ178" s="11" t="s">
        <v>51</v>
      </c>
      <c r="AK178" s="11" t="s">
        <v>51</v>
      </c>
      <c r="AL178" s="11" t="s">
        <v>51</v>
      </c>
      <c r="AM178" s="13">
        <f t="shared" si="29"/>
        <v>0</v>
      </c>
      <c r="AN178" s="18">
        <v>2</v>
      </c>
      <c r="AO178" s="18">
        <v>0</v>
      </c>
      <c r="AP178" s="18">
        <v>0</v>
      </c>
      <c r="AQ178" s="18">
        <v>0</v>
      </c>
      <c r="AR178" s="18">
        <f t="shared" si="30"/>
        <v>2</v>
      </c>
      <c r="AS178" t="s">
        <v>117</v>
      </c>
      <c r="AT178" s="9">
        <v>91.13</v>
      </c>
      <c r="AU178" s="11">
        <f>+((AN178*R178)+(AQ178*AI178)+(AP178*AM178))/AR178</f>
        <v>91.13</v>
      </c>
    </row>
    <row r="179" spans="1:47" x14ac:dyDescent="0.25">
      <c r="A179" t="s">
        <v>46</v>
      </c>
      <c r="B179" t="s">
        <v>711</v>
      </c>
      <c r="C179" t="s">
        <v>712</v>
      </c>
      <c r="D179" t="s">
        <v>713</v>
      </c>
      <c r="E179" s="11">
        <v>20</v>
      </c>
      <c r="F179" s="11">
        <v>18</v>
      </c>
      <c r="G179" s="11">
        <v>42.82</v>
      </c>
      <c r="H179" s="11">
        <v>3.5</v>
      </c>
      <c r="I179" s="13">
        <f t="shared" si="22"/>
        <v>84.32</v>
      </c>
      <c r="J179" s="11">
        <v>0</v>
      </c>
      <c r="K179" s="11">
        <v>0</v>
      </c>
      <c r="L179" s="11">
        <v>0</v>
      </c>
      <c r="M179" s="13">
        <f t="shared" si="23"/>
        <v>0</v>
      </c>
      <c r="N179" s="11">
        <v>0</v>
      </c>
      <c r="O179" s="11">
        <v>0</v>
      </c>
      <c r="P179" s="11">
        <v>0</v>
      </c>
      <c r="Q179" s="11">
        <v>0</v>
      </c>
      <c r="R179" s="13">
        <f t="shared" si="24"/>
        <v>0</v>
      </c>
      <c r="S179">
        <v>0</v>
      </c>
      <c r="T179">
        <v>0</v>
      </c>
      <c r="U179" s="7">
        <f t="shared" si="25"/>
        <v>0</v>
      </c>
      <c r="V179">
        <v>0</v>
      </c>
      <c r="W179">
        <v>0</v>
      </c>
      <c r="X179">
        <v>0</v>
      </c>
      <c r="Y179">
        <v>0</v>
      </c>
      <c r="Z179" s="13">
        <f t="shared" si="26"/>
        <v>0</v>
      </c>
      <c r="AA179">
        <v>0</v>
      </c>
      <c r="AB179">
        <v>0</v>
      </c>
      <c r="AC179">
        <v>0</v>
      </c>
      <c r="AD179">
        <v>0</v>
      </c>
      <c r="AE179" s="7">
        <f t="shared" si="27"/>
        <v>0</v>
      </c>
      <c r="AF179">
        <v>0</v>
      </c>
      <c r="AG179">
        <v>0</v>
      </c>
      <c r="AH179">
        <v>0</v>
      </c>
      <c r="AI179" s="13">
        <f t="shared" si="28"/>
        <v>0</v>
      </c>
      <c r="AJ179" s="11" t="s">
        <v>51</v>
      </c>
      <c r="AK179" s="11" t="s">
        <v>51</v>
      </c>
      <c r="AL179" s="11" t="s">
        <v>51</v>
      </c>
      <c r="AM179" s="13">
        <f t="shared" si="29"/>
        <v>0</v>
      </c>
      <c r="AN179" s="18">
        <v>40</v>
      </c>
      <c r="AO179" s="18">
        <v>0</v>
      </c>
      <c r="AP179" s="18">
        <v>0</v>
      </c>
      <c r="AQ179" s="18">
        <v>0</v>
      </c>
      <c r="AR179" s="18">
        <f t="shared" si="30"/>
        <v>40</v>
      </c>
      <c r="AS179" t="s">
        <v>52</v>
      </c>
      <c r="AT179" s="9">
        <v>84.32</v>
      </c>
      <c r="AU179" s="30">
        <f t="shared" ref="AU179:AU187" si="33">+((AN179*I179)+(AO179*AE179)+(AQ179*AI179)+(AP179*AM179))/AR179</f>
        <v>84.32</v>
      </c>
    </row>
    <row r="180" spans="1:47" x14ac:dyDescent="0.25">
      <c r="A180" t="s">
        <v>46</v>
      </c>
      <c r="B180" t="s">
        <v>715</v>
      </c>
      <c r="C180" t="s">
        <v>716</v>
      </c>
      <c r="D180" t="s">
        <v>717</v>
      </c>
      <c r="E180" s="11">
        <v>25</v>
      </c>
      <c r="F180" s="11">
        <v>0</v>
      </c>
      <c r="G180" s="11">
        <v>62.5</v>
      </c>
      <c r="H180" s="11">
        <v>6.25</v>
      </c>
      <c r="I180" s="13">
        <f t="shared" si="22"/>
        <v>93.75</v>
      </c>
      <c r="J180" s="11">
        <v>0</v>
      </c>
      <c r="K180" s="11">
        <v>0</v>
      </c>
      <c r="L180" s="11">
        <v>0</v>
      </c>
      <c r="M180" s="13">
        <f t="shared" si="23"/>
        <v>0</v>
      </c>
      <c r="N180" s="11">
        <v>0</v>
      </c>
      <c r="O180" s="11">
        <v>0</v>
      </c>
      <c r="P180" s="11">
        <v>0</v>
      </c>
      <c r="Q180" s="11">
        <v>0</v>
      </c>
      <c r="R180" s="13">
        <f t="shared" si="24"/>
        <v>0</v>
      </c>
      <c r="S180">
        <v>0</v>
      </c>
      <c r="T180">
        <v>0</v>
      </c>
      <c r="U180" s="7">
        <f t="shared" si="25"/>
        <v>0</v>
      </c>
      <c r="V180">
        <v>0</v>
      </c>
      <c r="W180">
        <v>0</v>
      </c>
      <c r="X180">
        <v>0</v>
      </c>
      <c r="Y180">
        <v>0</v>
      </c>
      <c r="Z180" s="13">
        <f t="shared" si="26"/>
        <v>0</v>
      </c>
      <c r="AA180">
        <v>0</v>
      </c>
      <c r="AB180">
        <v>0</v>
      </c>
      <c r="AC180">
        <v>0</v>
      </c>
      <c r="AD180">
        <v>0</v>
      </c>
      <c r="AE180" s="7">
        <f t="shared" si="27"/>
        <v>0</v>
      </c>
      <c r="AF180">
        <v>0</v>
      </c>
      <c r="AG180">
        <v>0</v>
      </c>
      <c r="AH180">
        <v>0</v>
      </c>
      <c r="AI180" s="13">
        <f t="shared" si="28"/>
        <v>0</v>
      </c>
      <c r="AJ180" s="11" t="s">
        <v>51</v>
      </c>
      <c r="AK180" s="11" t="s">
        <v>51</v>
      </c>
      <c r="AL180" s="11" t="s">
        <v>51</v>
      </c>
      <c r="AM180" s="13">
        <f t="shared" si="29"/>
        <v>0</v>
      </c>
      <c r="AN180" s="18">
        <v>7</v>
      </c>
      <c r="AO180" s="18">
        <v>0</v>
      </c>
      <c r="AP180" s="18">
        <v>0</v>
      </c>
      <c r="AQ180" s="18">
        <v>0</v>
      </c>
      <c r="AR180" s="18">
        <f t="shared" si="30"/>
        <v>7</v>
      </c>
      <c r="AS180" t="s">
        <v>52</v>
      </c>
      <c r="AT180" s="9">
        <v>93.75</v>
      </c>
      <c r="AU180" s="30">
        <f t="shared" si="33"/>
        <v>93.75</v>
      </c>
    </row>
    <row r="181" spans="1:47" x14ac:dyDescent="0.25">
      <c r="A181" t="s">
        <v>46</v>
      </c>
      <c r="B181" t="s">
        <v>719</v>
      </c>
      <c r="C181" t="s">
        <v>720</v>
      </c>
      <c r="D181" t="s">
        <v>721</v>
      </c>
      <c r="E181" s="11">
        <v>23.337499999999999</v>
      </c>
      <c r="F181" s="11">
        <v>0</v>
      </c>
      <c r="G181" s="11">
        <v>58.712499999999999</v>
      </c>
      <c r="H181" s="11">
        <v>3.75</v>
      </c>
      <c r="I181" s="13">
        <f t="shared" si="22"/>
        <v>85.8</v>
      </c>
      <c r="J181" s="11">
        <v>0</v>
      </c>
      <c r="K181" s="11">
        <v>0</v>
      </c>
      <c r="L181" s="11">
        <v>0</v>
      </c>
      <c r="M181" s="13">
        <f t="shared" si="23"/>
        <v>0</v>
      </c>
      <c r="N181" s="11">
        <v>0</v>
      </c>
      <c r="O181" s="11">
        <v>0</v>
      </c>
      <c r="P181" s="11">
        <v>0</v>
      </c>
      <c r="Q181" s="11">
        <v>0</v>
      </c>
      <c r="R181" s="13">
        <f t="shared" si="24"/>
        <v>0</v>
      </c>
      <c r="S181">
        <v>0</v>
      </c>
      <c r="T181">
        <v>0</v>
      </c>
      <c r="U181" s="7">
        <f t="shared" si="25"/>
        <v>0</v>
      </c>
      <c r="V181">
        <v>0</v>
      </c>
      <c r="W181">
        <v>0</v>
      </c>
      <c r="X181">
        <v>0</v>
      </c>
      <c r="Y181">
        <v>0</v>
      </c>
      <c r="Z181" s="13">
        <f t="shared" si="26"/>
        <v>0</v>
      </c>
      <c r="AA181">
        <v>0</v>
      </c>
      <c r="AB181">
        <v>0</v>
      </c>
      <c r="AC181">
        <v>0</v>
      </c>
      <c r="AD181">
        <v>0</v>
      </c>
      <c r="AE181" s="7">
        <f t="shared" si="27"/>
        <v>0</v>
      </c>
      <c r="AF181">
        <v>0</v>
      </c>
      <c r="AG181">
        <v>0</v>
      </c>
      <c r="AH181">
        <v>0</v>
      </c>
      <c r="AI181" s="13">
        <f t="shared" si="28"/>
        <v>0</v>
      </c>
      <c r="AJ181" s="11" t="s">
        <v>51</v>
      </c>
      <c r="AK181" s="11" t="s">
        <v>51</v>
      </c>
      <c r="AL181" s="11" t="s">
        <v>51</v>
      </c>
      <c r="AM181" s="13">
        <f t="shared" si="29"/>
        <v>0</v>
      </c>
      <c r="AN181" s="18">
        <v>8</v>
      </c>
      <c r="AO181" s="18">
        <v>0</v>
      </c>
      <c r="AP181" s="18">
        <v>0</v>
      </c>
      <c r="AQ181" s="18">
        <v>0</v>
      </c>
      <c r="AR181" s="18">
        <f t="shared" si="30"/>
        <v>8</v>
      </c>
      <c r="AS181" t="s">
        <v>52</v>
      </c>
      <c r="AT181" s="9">
        <v>85.8</v>
      </c>
      <c r="AU181" s="30">
        <f t="shared" si="33"/>
        <v>85.8</v>
      </c>
    </row>
    <row r="182" spans="1:47" x14ac:dyDescent="0.25">
      <c r="A182" t="s">
        <v>46</v>
      </c>
      <c r="B182" t="s">
        <v>723</v>
      </c>
      <c r="C182" t="s">
        <v>724</v>
      </c>
      <c r="D182" t="s">
        <v>725</v>
      </c>
      <c r="E182" s="11">
        <v>25</v>
      </c>
      <c r="F182" s="11">
        <v>0</v>
      </c>
      <c r="G182" s="11">
        <v>48.662500000000001</v>
      </c>
      <c r="H182" s="11">
        <v>3.125</v>
      </c>
      <c r="I182" s="13">
        <f t="shared" si="22"/>
        <v>76.787499999999994</v>
      </c>
      <c r="J182" s="11">
        <v>0</v>
      </c>
      <c r="K182" s="11">
        <v>0</v>
      </c>
      <c r="L182" s="11">
        <v>0</v>
      </c>
      <c r="M182" s="13">
        <f t="shared" si="23"/>
        <v>0</v>
      </c>
      <c r="N182" s="11">
        <v>0</v>
      </c>
      <c r="O182" s="11">
        <v>0</v>
      </c>
      <c r="P182" s="11">
        <v>0</v>
      </c>
      <c r="Q182" s="11">
        <v>0</v>
      </c>
      <c r="R182" s="13">
        <f t="shared" si="24"/>
        <v>0</v>
      </c>
      <c r="S182">
        <v>0</v>
      </c>
      <c r="T182">
        <v>0</v>
      </c>
      <c r="U182" s="7">
        <f t="shared" si="25"/>
        <v>0</v>
      </c>
      <c r="V182">
        <v>0</v>
      </c>
      <c r="W182">
        <v>0</v>
      </c>
      <c r="X182">
        <v>0</v>
      </c>
      <c r="Y182">
        <v>0</v>
      </c>
      <c r="Z182" s="13">
        <f t="shared" si="26"/>
        <v>0</v>
      </c>
      <c r="AA182">
        <v>0</v>
      </c>
      <c r="AB182">
        <v>0</v>
      </c>
      <c r="AC182">
        <v>0</v>
      </c>
      <c r="AD182">
        <v>0</v>
      </c>
      <c r="AE182" s="7">
        <f t="shared" si="27"/>
        <v>0</v>
      </c>
      <c r="AF182">
        <v>0</v>
      </c>
      <c r="AG182">
        <v>0</v>
      </c>
      <c r="AH182">
        <v>0</v>
      </c>
      <c r="AI182" s="13">
        <f t="shared" si="28"/>
        <v>0</v>
      </c>
      <c r="AJ182" s="11" t="s">
        <v>51</v>
      </c>
      <c r="AK182" s="11" t="s">
        <v>51</v>
      </c>
      <c r="AL182" s="11" t="s">
        <v>51</v>
      </c>
      <c r="AM182" s="13">
        <f t="shared" si="29"/>
        <v>0</v>
      </c>
      <c r="AN182" s="18">
        <v>3</v>
      </c>
      <c r="AO182" s="18">
        <v>0</v>
      </c>
      <c r="AP182" s="18">
        <v>0</v>
      </c>
      <c r="AQ182" s="18">
        <v>0</v>
      </c>
      <c r="AR182" s="18">
        <f t="shared" si="30"/>
        <v>3</v>
      </c>
      <c r="AS182" t="s">
        <v>52</v>
      </c>
      <c r="AT182" s="9">
        <v>76.787499999999994</v>
      </c>
      <c r="AU182" s="30">
        <f t="shared" si="33"/>
        <v>76.787499999999994</v>
      </c>
    </row>
    <row r="183" spans="1:47" x14ac:dyDescent="0.25">
      <c r="A183" t="s">
        <v>46</v>
      </c>
      <c r="B183" t="s">
        <v>727</v>
      </c>
      <c r="C183" t="s">
        <v>728</v>
      </c>
      <c r="D183" t="s">
        <v>729</v>
      </c>
      <c r="E183" s="11">
        <v>20</v>
      </c>
      <c r="F183" s="11">
        <v>20</v>
      </c>
      <c r="G183" s="11">
        <v>43.69</v>
      </c>
      <c r="H183" s="11">
        <v>2.5</v>
      </c>
      <c r="I183" s="13">
        <f t="shared" si="22"/>
        <v>86.19</v>
      </c>
      <c r="J183" s="11">
        <v>0</v>
      </c>
      <c r="K183" s="11">
        <v>0</v>
      </c>
      <c r="L183" s="11">
        <v>0</v>
      </c>
      <c r="M183" s="13">
        <f t="shared" si="23"/>
        <v>0</v>
      </c>
      <c r="N183" s="11">
        <v>0</v>
      </c>
      <c r="O183" s="11">
        <v>0</v>
      </c>
      <c r="P183" s="11">
        <v>0</v>
      </c>
      <c r="Q183" s="11">
        <v>0</v>
      </c>
      <c r="R183" s="13">
        <f t="shared" si="24"/>
        <v>0</v>
      </c>
      <c r="S183">
        <v>0</v>
      </c>
      <c r="T183">
        <v>0</v>
      </c>
      <c r="U183" s="7">
        <f t="shared" si="25"/>
        <v>0</v>
      </c>
      <c r="V183">
        <v>0</v>
      </c>
      <c r="W183">
        <v>0</v>
      </c>
      <c r="X183">
        <v>0</v>
      </c>
      <c r="Y183">
        <v>0</v>
      </c>
      <c r="Z183" s="13">
        <f t="shared" si="26"/>
        <v>0</v>
      </c>
      <c r="AA183">
        <v>0</v>
      </c>
      <c r="AB183">
        <v>0</v>
      </c>
      <c r="AC183">
        <v>0</v>
      </c>
      <c r="AD183">
        <v>0</v>
      </c>
      <c r="AE183" s="7">
        <f t="shared" si="27"/>
        <v>0</v>
      </c>
      <c r="AF183">
        <v>0</v>
      </c>
      <c r="AG183">
        <v>0</v>
      </c>
      <c r="AH183">
        <v>0</v>
      </c>
      <c r="AI183" s="13">
        <f t="shared" si="28"/>
        <v>0</v>
      </c>
      <c r="AJ183" s="11" t="s">
        <v>51</v>
      </c>
      <c r="AK183" s="11" t="s">
        <v>51</v>
      </c>
      <c r="AL183" s="11" t="s">
        <v>51</v>
      </c>
      <c r="AM183" s="13">
        <f t="shared" si="29"/>
        <v>0</v>
      </c>
      <c r="AN183" s="18">
        <v>6</v>
      </c>
      <c r="AO183" s="18">
        <v>0</v>
      </c>
      <c r="AP183" s="18">
        <v>0</v>
      </c>
      <c r="AQ183" s="18">
        <v>0</v>
      </c>
      <c r="AR183" s="18">
        <f t="shared" si="30"/>
        <v>6</v>
      </c>
      <c r="AS183" t="s">
        <v>52</v>
      </c>
      <c r="AT183" s="9">
        <v>86.19</v>
      </c>
      <c r="AU183" s="30">
        <f t="shared" si="33"/>
        <v>86.19</v>
      </c>
    </row>
    <row r="184" spans="1:47" x14ac:dyDescent="0.25">
      <c r="A184" t="s">
        <v>46</v>
      </c>
      <c r="B184" t="s">
        <v>731</v>
      </c>
      <c r="C184" t="s">
        <v>732</v>
      </c>
      <c r="D184" t="s">
        <v>733</v>
      </c>
      <c r="E184" s="11">
        <v>25</v>
      </c>
      <c r="F184" s="11">
        <v>0</v>
      </c>
      <c r="G184" s="11">
        <v>56.612499999999997</v>
      </c>
      <c r="H184" s="11">
        <v>3.125</v>
      </c>
      <c r="I184" s="13">
        <f t="shared" si="22"/>
        <v>84.737499999999997</v>
      </c>
      <c r="J184" s="11">
        <v>0</v>
      </c>
      <c r="K184" s="11">
        <v>0</v>
      </c>
      <c r="L184" s="11">
        <v>0</v>
      </c>
      <c r="M184" s="13">
        <f t="shared" si="23"/>
        <v>0</v>
      </c>
      <c r="N184" s="11">
        <v>0</v>
      </c>
      <c r="O184" s="11">
        <v>0</v>
      </c>
      <c r="P184" s="11">
        <v>0</v>
      </c>
      <c r="Q184" s="11">
        <v>0</v>
      </c>
      <c r="R184" s="13">
        <f t="shared" si="24"/>
        <v>0</v>
      </c>
      <c r="S184">
        <v>0</v>
      </c>
      <c r="T184">
        <v>0</v>
      </c>
      <c r="U184" s="7">
        <f t="shared" si="25"/>
        <v>0</v>
      </c>
      <c r="V184">
        <v>0</v>
      </c>
      <c r="W184">
        <v>0</v>
      </c>
      <c r="X184">
        <v>0</v>
      </c>
      <c r="Y184">
        <v>0</v>
      </c>
      <c r="Z184" s="13">
        <f t="shared" si="26"/>
        <v>0</v>
      </c>
      <c r="AA184">
        <v>0</v>
      </c>
      <c r="AB184">
        <v>0</v>
      </c>
      <c r="AC184">
        <v>0</v>
      </c>
      <c r="AD184">
        <v>0</v>
      </c>
      <c r="AE184" s="7">
        <f t="shared" si="27"/>
        <v>0</v>
      </c>
      <c r="AF184">
        <v>0</v>
      </c>
      <c r="AG184">
        <v>0</v>
      </c>
      <c r="AH184">
        <v>0</v>
      </c>
      <c r="AI184" s="13">
        <f t="shared" si="28"/>
        <v>0</v>
      </c>
      <c r="AJ184" s="11" t="s">
        <v>51</v>
      </c>
      <c r="AK184" s="11" t="s">
        <v>51</v>
      </c>
      <c r="AL184" s="11" t="s">
        <v>51</v>
      </c>
      <c r="AM184" s="13">
        <f t="shared" si="29"/>
        <v>0</v>
      </c>
      <c r="AN184" s="18">
        <v>7</v>
      </c>
      <c r="AO184" s="18">
        <v>0</v>
      </c>
      <c r="AP184" s="18">
        <v>0</v>
      </c>
      <c r="AQ184" s="18">
        <v>0</v>
      </c>
      <c r="AR184" s="18">
        <f t="shared" si="30"/>
        <v>7</v>
      </c>
      <c r="AS184" t="s">
        <v>52</v>
      </c>
      <c r="AT184" s="9">
        <v>84.737499999999997</v>
      </c>
      <c r="AU184" s="30">
        <f t="shared" si="33"/>
        <v>84.737499999999997</v>
      </c>
    </row>
    <row r="185" spans="1:47" x14ac:dyDescent="0.25">
      <c r="A185" t="s">
        <v>46</v>
      </c>
      <c r="B185" t="s">
        <v>738</v>
      </c>
      <c r="C185" t="s">
        <v>739</v>
      </c>
      <c r="D185" t="s">
        <v>740</v>
      </c>
      <c r="E185" s="11">
        <v>0</v>
      </c>
      <c r="F185" s="11">
        <v>18.100000000000001</v>
      </c>
      <c r="G185" s="11">
        <v>42.214285714285715</v>
      </c>
      <c r="H185" s="11">
        <v>0</v>
      </c>
      <c r="I185" s="13">
        <f t="shared" si="22"/>
        <v>60.314285714285717</v>
      </c>
      <c r="J185" s="11">
        <v>0</v>
      </c>
      <c r="K185" s="11">
        <v>0</v>
      </c>
      <c r="L185" s="11">
        <v>0</v>
      </c>
      <c r="M185" s="13">
        <f t="shared" si="23"/>
        <v>0</v>
      </c>
      <c r="N185" s="11">
        <v>0</v>
      </c>
      <c r="O185" s="11">
        <v>0</v>
      </c>
      <c r="P185" s="11">
        <v>0</v>
      </c>
      <c r="Q185" s="11">
        <v>0</v>
      </c>
      <c r="R185" s="13">
        <f t="shared" si="24"/>
        <v>0</v>
      </c>
      <c r="S185">
        <v>0</v>
      </c>
      <c r="T185">
        <v>0</v>
      </c>
      <c r="U185" s="7">
        <f t="shared" si="25"/>
        <v>0</v>
      </c>
      <c r="V185">
        <v>0</v>
      </c>
      <c r="W185">
        <v>0</v>
      </c>
      <c r="X185">
        <v>0</v>
      </c>
      <c r="Y185">
        <v>0</v>
      </c>
      <c r="Z185" s="13">
        <f t="shared" si="26"/>
        <v>0</v>
      </c>
      <c r="AA185">
        <v>0</v>
      </c>
      <c r="AB185">
        <v>0</v>
      </c>
      <c r="AC185">
        <v>0</v>
      </c>
      <c r="AD185">
        <v>0</v>
      </c>
      <c r="AE185" s="7">
        <f t="shared" si="27"/>
        <v>0</v>
      </c>
      <c r="AF185">
        <v>0</v>
      </c>
      <c r="AG185">
        <v>0</v>
      </c>
      <c r="AH185">
        <v>0</v>
      </c>
      <c r="AI185" s="13">
        <f t="shared" si="28"/>
        <v>0</v>
      </c>
      <c r="AJ185" s="11" t="s">
        <v>51</v>
      </c>
      <c r="AK185" s="11" t="s">
        <v>51</v>
      </c>
      <c r="AL185" s="11" t="s">
        <v>51</v>
      </c>
      <c r="AM185" s="13">
        <f t="shared" si="29"/>
        <v>0</v>
      </c>
      <c r="AN185" s="18">
        <v>4</v>
      </c>
      <c r="AO185" s="18">
        <v>0</v>
      </c>
      <c r="AP185" s="18">
        <v>0</v>
      </c>
      <c r="AQ185" s="18">
        <v>0</v>
      </c>
      <c r="AR185" s="18">
        <f t="shared" si="30"/>
        <v>4</v>
      </c>
      <c r="AS185" t="s">
        <v>52</v>
      </c>
      <c r="AT185" s="9">
        <v>60.314285714285717</v>
      </c>
      <c r="AU185" s="30">
        <f t="shared" si="33"/>
        <v>60.314285714285717</v>
      </c>
    </row>
    <row r="186" spans="1:47" x14ac:dyDescent="0.25">
      <c r="A186" t="s">
        <v>46</v>
      </c>
      <c r="B186" t="s">
        <v>742</v>
      </c>
      <c r="C186" t="s">
        <v>743</v>
      </c>
      <c r="D186" t="s">
        <v>744</v>
      </c>
      <c r="E186" s="11">
        <v>0</v>
      </c>
      <c r="F186" s="11">
        <v>25</v>
      </c>
      <c r="G186" s="11">
        <v>59.512500000000003</v>
      </c>
      <c r="H186" s="11">
        <v>3.125</v>
      </c>
      <c r="I186" s="13">
        <f t="shared" si="22"/>
        <v>87.637500000000003</v>
      </c>
      <c r="J186" s="11">
        <v>0</v>
      </c>
      <c r="K186" s="11">
        <v>0</v>
      </c>
      <c r="L186" s="11">
        <v>0</v>
      </c>
      <c r="M186" s="13">
        <f t="shared" si="23"/>
        <v>0</v>
      </c>
      <c r="N186" s="11">
        <v>0</v>
      </c>
      <c r="O186" s="11">
        <v>0</v>
      </c>
      <c r="P186" s="11">
        <v>0</v>
      </c>
      <c r="Q186" s="11">
        <v>0</v>
      </c>
      <c r="R186" s="13">
        <f t="shared" si="24"/>
        <v>0</v>
      </c>
      <c r="S186">
        <v>0</v>
      </c>
      <c r="T186">
        <v>0</v>
      </c>
      <c r="U186" s="7">
        <f t="shared" si="25"/>
        <v>0</v>
      </c>
      <c r="V186">
        <v>0</v>
      </c>
      <c r="W186">
        <v>0</v>
      </c>
      <c r="X186">
        <v>0</v>
      </c>
      <c r="Y186">
        <v>0</v>
      </c>
      <c r="Z186" s="13">
        <f t="shared" si="26"/>
        <v>0</v>
      </c>
      <c r="AA186">
        <v>0</v>
      </c>
      <c r="AB186">
        <v>0</v>
      </c>
      <c r="AC186">
        <v>0</v>
      </c>
      <c r="AD186">
        <v>0</v>
      </c>
      <c r="AE186" s="7">
        <f t="shared" si="27"/>
        <v>0</v>
      </c>
      <c r="AF186">
        <v>0</v>
      </c>
      <c r="AG186">
        <v>0</v>
      </c>
      <c r="AH186">
        <v>0</v>
      </c>
      <c r="AI186" s="13">
        <f t="shared" si="28"/>
        <v>0</v>
      </c>
      <c r="AJ186" s="11" t="s">
        <v>51</v>
      </c>
      <c r="AK186" s="11" t="s">
        <v>51</v>
      </c>
      <c r="AL186" s="11" t="s">
        <v>51</v>
      </c>
      <c r="AM186" s="13">
        <f t="shared" si="29"/>
        <v>0</v>
      </c>
      <c r="AN186" s="18">
        <v>40</v>
      </c>
      <c r="AO186" s="18">
        <v>0</v>
      </c>
      <c r="AP186" s="18">
        <v>0</v>
      </c>
      <c r="AQ186" s="18">
        <v>0</v>
      </c>
      <c r="AR186" s="18">
        <f t="shared" si="30"/>
        <v>40</v>
      </c>
      <c r="AS186" t="s">
        <v>52</v>
      </c>
      <c r="AT186" s="9">
        <v>87.637500000000003</v>
      </c>
      <c r="AU186" s="30">
        <f t="shared" si="33"/>
        <v>87.637500000000003</v>
      </c>
    </row>
    <row r="187" spans="1:47" x14ac:dyDescent="0.25">
      <c r="A187" t="s">
        <v>46</v>
      </c>
      <c r="B187" t="s">
        <v>746</v>
      </c>
      <c r="C187" t="s">
        <v>747</v>
      </c>
      <c r="D187" t="s">
        <v>748</v>
      </c>
      <c r="E187" s="11">
        <v>20</v>
      </c>
      <c r="F187" s="11">
        <v>20</v>
      </c>
      <c r="G187" s="11">
        <v>45.19</v>
      </c>
      <c r="H187" s="11">
        <v>9</v>
      </c>
      <c r="I187" s="13">
        <f t="shared" si="22"/>
        <v>94.19</v>
      </c>
      <c r="J187" s="11">
        <v>0</v>
      </c>
      <c r="K187" s="11">
        <v>0</v>
      </c>
      <c r="L187" s="11">
        <v>0</v>
      </c>
      <c r="M187" s="13">
        <f t="shared" si="23"/>
        <v>0</v>
      </c>
      <c r="N187" s="11">
        <v>0</v>
      </c>
      <c r="O187" s="11">
        <v>0</v>
      </c>
      <c r="P187" s="11">
        <v>0</v>
      </c>
      <c r="Q187" s="11">
        <v>0</v>
      </c>
      <c r="R187" s="13">
        <f t="shared" si="24"/>
        <v>0</v>
      </c>
      <c r="S187">
        <v>0</v>
      </c>
      <c r="T187">
        <v>0</v>
      </c>
      <c r="U187" s="7">
        <f t="shared" si="25"/>
        <v>0</v>
      </c>
      <c r="V187">
        <v>0</v>
      </c>
      <c r="W187">
        <v>0</v>
      </c>
      <c r="X187">
        <v>0</v>
      </c>
      <c r="Y187">
        <v>0</v>
      </c>
      <c r="Z187" s="13">
        <f t="shared" si="26"/>
        <v>0</v>
      </c>
      <c r="AA187">
        <v>15</v>
      </c>
      <c r="AB187">
        <v>50</v>
      </c>
      <c r="AC187">
        <v>10.5</v>
      </c>
      <c r="AD187">
        <v>20</v>
      </c>
      <c r="AE187" s="7">
        <f t="shared" si="27"/>
        <v>95.5</v>
      </c>
      <c r="AF187">
        <v>0</v>
      </c>
      <c r="AG187">
        <v>0</v>
      </c>
      <c r="AH187">
        <v>0</v>
      </c>
      <c r="AI187" s="13">
        <f t="shared" si="28"/>
        <v>0</v>
      </c>
      <c r="AJ187" s="11" t="s">
        <v>51</v>
      </c>
      <c r="AK187" s="11" t="s">
        <v>51</v>
      </c>
      <c r="AL187" s="11" t="s">
        <v>51</v>
      </c>
      <c r="AM187" s="13">
        <f t="shared" si="29"/>
        <v>0</v>
      </c>
      <c r="AN187" s="18">
        <v>27.5</v>
      </c>
      <c r="AO187" s="18">
        <v>12.5</v>
      </c>
      <c r="AP187" s="18">
        <v>0</v>
      </c>
      <c r="AQ187" s="18">
        <v>0</v>
      </c>
      <c r="AR187" s="18">
        <f t="shared" si="30"/>
        <v>40</v>
      </c>
      <c r="AS187" t="s">
        <v>52</v>
      </c>
      <c r="AT187" s="9">
        <v>94.599374999999995</v>
      </c>
      <c r="AU187" s="30">
        <f t="shared" si="33"/>
        <v>94.599374999999995</v>
      </c>
    </row>
    <row r="188" spans="1:47" s="6" customFormat="1" x14ac:dyDescent="0.25">
      <c r="A188" s="6" t="s">
        <v>46</v>
      </c>
      <c r="B188" s="6" t="s">
        <v>750</v>
      </c>
      <c r="C188" s="6" t="s">
        <v>751</v>
      </c>
      <c r="D188" s="6" t="s">
        <v>752</v>
      </c>
      <c r="E188" s="12">
        <v>0</v>
      </c>
      <c r="F188" s="12">
        <v>0</v>
      </c>
      <c r="G188" s="12">
        <v>0</v>
      </c>
      <c r="H188" s="12">
        <v>0</v>
      </c>
      <c r="I188" s="13">
        <f t="shared" si="22"/>
        <v>0</v>
      </c>
      <c r="J188" s="14">
        <v>64.377777777777766</v>
      </c>
      <c r="K188" s="14">
        <v>33.333333333333329</v>
      </c>
      <c r="L188" s="14">
        <v>0</v>
      </c>
      <c r="M188" s="13">
        <f t="shared" si="23"/>
        <v>97.711111111111094</v>
      </c>
      <c r="N188" s="12">
        <v>0</v>
      </c>
      <c r="O188" s="12">
        <v>0</v>
      </c>
      <c r="P188" s="12">
        <v>0</v>
      </c>
      <c r="Q188" s="12">
        <v>0</v>
      </c>
      <c r="R188" s="13">
        <f t="shared" si="24"/>
        <v>0</v>
      </c>
      <c r="S188" s="6">
        <v>0</v>
      </c>
      <c r="T188" s="6">
        <v>0</v>
      </c>
      <c r="U188" s="7">
        <f t="shared" si="25"/>
        <v>0</v>
      </c>
      <c r="V188" s="6">
        <v>0</v>
      </c>
      <c r="W188" s="6">
        <v>0</v>
      </c>
      <c r="X188" s="6">
        <v>0</v>
      </c>
      <c r="Y188" s="6">
        <v>0</v>
      </c>
      <c r="Z188" s="13">
        <f t="shared" si="26"/>
        <v>0</v>
      </c>
      <c r="AA188" s="6">
        <v>0</v>
      </c>
      <c r="AB188" s="6">
        <v>0</v>
      </c>
      <c r="AC188" s="6">
        <v>0</v>
      </c>
      <c r="AD188" s="6">
        <v>0</v>
      </c>
      <c r="AE188" s="7">
        <f t="shared" si="27"/>
        <v>0</v>
      </c>
      <c r="AF188" s="6">
        <v>0</v>
      </c>
      <c r="AG188" s="6">
        <v>0</v>
      </c>
      <c r="AH188" s="6">
        <v>0</v>
      </c>
      <c r="AI188" s="13">
        <f t="shared" si="28"/>
        <v>0</v>
      </c>
      <c r="AJ188" s="12" t="s">
        <v>51</v>
      </c>
      <c r="AK188" s="12" t="s">
        <v>51</v>
      </c>
      <c r="AL188" s="12" t="s">
        <v>51</v>
      </c>
      <c r="AM188" s="13">
        <f t="shared" si="29"/>
        <v>0</v>
      </c>
      <c r="AN188" s="21">
        <v>2.125</v>
      </c>
      <c r="AO188" s="21">
        <v>0</v>
      </c>
      <c r="AP188" s="21">
        <v>0</v>
      </c>
      <c r="AQ188" s="21">
        <v>0</v>
      </c>
      <c r="AR188" s="18">
        <f t="shared" si="30"/>
        <v>2.125</v>
      </c>
      <c r="AS188" s="6" t="s">
        <v>87</v>
      </c>
      <c r="AT188" s="10">
        <v>97.711111111111094</v>
      </c>
      <c r="AU188" s="30">
        <f>+((AN188*M188)/AR188)</f>
        <v>97.711111111111094</v>
      </c>
    </row>
    <row r="189" spans="1:47" x14ac:dyDescent="0.25">
      <c r="A189" t="s">
        <v>46</v>
      </c>
      <c r="B189" t="s">
        <v>753</v>
      </c>
      <c r="C189" t="s">
        <v>754</v>
      </c>
      <c r="D189" t="s">
        <v>755</v>
      </c>
      <c r="E189" s="11">
        <v>20</v>
      </c>
      <c r="F189" s="11">
        <v>16.670000000000002</v>
      </c>
      <c r="G189" s="11">
        <v>43.72</v>
      </c>
      <c r="H189" s="11">
        <v>3.5</v>
      </c>
      <c r="I189" s="13">
        <f t="shared" si="22"/>
        <v>83.89</v>
      </c>
      <c r="J189" s="11">
        <v>0</v>
      </c>
      <c r="K189" s="11">
        <v>0</v>
      </c>
      <c r="L189" s="11">
        <v>0</v>
      </c>
      <c r="M189" s="13">
        <f t="shared" si="23"/>
        <v>0</v>
      </c>
      <c r="N189" s="11">
        <v>0</v>
      </c>
      <c r="O189" s="11">
        <v>0</v>
      </c>
      <c r="P189" s="11">
        <v>0</v>
      </c>
      <c r="Q189" s="11">
        <v>0</v>
      </c>
      <c r="R189" s="13">
        <f t="shared" si="24"/>
        <v>0</v>
      </c>
      <c r="S189">
        <v>0</v>
      </c>
      <c r="T189">
        <v>0</v>
      </c>
      <c r="U189" s="7">
        <f t="shared" si="25"/>
        <v>0</v>
      </c>
      <c r="V189">
        <v>0</v>
      </c>
      <c r="W189">
        <v>0</v>
      </c>
      <c r="X189">
        <v>0</v>
      </c>
      <c r="Y189">
        <v>0</v>
      </c>
      <c r="Z189" s="13">
        <f t="shared" si="26"/>
        <v>0</v>
      </c>
      <c r="AA189">
        <v>0</v>
      </c>
      <c r="AB189">
        <v>0</v>
      </c>
      <c r="AC189">
        <v>0</v>
      </c>
      <c r="AD189">
        <v>0</v>
      </c>
      <c r="AE189" s="7">
        <f t="shared" si="27"/>
        <v>0</v>
      </c>
      <c r="AF189">
        <v>0</v>
      </c>
      <c r="AG189">
        <v>0</v>
      </c>
      <c r="AH189">
        <v>0</v>
      </c>
      <c r="AI189" s="13">
        <f t="shared" si="28"/>
        <v>0</v>
      </c>
      <c r="AJ189" s="11" t="s">
        <v>51</v>
      </c>
      <c r="AK189" s="11" t="s">
        <v>51</v>
      </c>
      <c r="AL189" s="11" t="s">
        <v>51</v>
      </c>
      <c r="AM189" s="13">
        <f t="shared" si="29"/>
        <v>0</v>
      </c>
      <c r="AN189" s="18">
        <v>40</v>
      </c>
      <c r="AO189" s="18">
        <v>0</v>
      </c>
      <c r="AP189" s="18">
        <v>0</v>
      </c>
      <c r="AQ189" s="18">
        <v>0</v>
      </c>
      <c r="AR189" s="18">
        <f t="shared" si="30"/>
        <v>40</v>
      </c>
      <c r="AS189" t="s">
        <v>52</v>
      </c>
      <c r="AT189" s="9">
        <v>83.89</v>
      </c>
      <c r="AU189" s="30">
        <f>+((AN189*I189)+(AO189*AE189)+(AQ189*AI189)+(AP189*AM189))/AR189</f>
        <v>83.89</v>
      </c>
    </row>
    <row r="190" spans="1:47" x14ac:dyDescent="0.25">
      <c r="A190" t="s">
        <v>46</v>
      </c>
      <c r="B190" t="s">
        <v>757</v>
      </c>
      <c r="C190" t="s">
        <v>758</v>
      </c>
      <c r="D190" t="s">
        <v>759</v>
      </c>
      <c r="E190" s="11">
        <v>18</v>
      </c>
      <c r="F190" s="11">
        <v>20</v>
      </c>
      <c r="G190" s="11">
        <v>45</v>
      </c>
      <c r="H190" s="11">
        <v>4.5</v>
      </c>
      <c r="I190" s="13">
        <f t="shared" si="22"/>
        <v>87.5</v>
      </c>
      <c r="J190" s="11">
        <v>0</v>
      </c>
      <c r="K190" s="11">
        <v>0</v>
      </c>
      <c r="L190" s="11">
        <v>0</v>
      </c>
      <c r="M190" s="13">
        <f t="shared" si="23"/>
        <v>0</v>
      </c>
      <c r="N190" s="11">
        <v>0</v>
      </c>
      <c r="O190" s="11">
        <v>0</v>
      </c>
      <c r="P190" s="11">
        <v>0</v>
      </c>
      <c r="Q190" s="11">
        <v>0</v>
      </c>
      <c r="R190" s="13">
        <f t="shared" si="24"/>
        <v>0</v>
      </c>
      <c r="S190">
        <v>0</v>
      </c>
      <c r="T190">
        <v>0</v>
      </c>
      <c r="U190" s="7">
        <f t="shared" si="25"/>
        <v>0</v>
      </c>
      <c r="V190">
        <v>0</v>
      </c>
      <c r="W190">
        <v>0</v>
      </c>
      <c r="X190">
        <v>0</v>
      </c>
      <c r="Y190">
        <v>0</v>
      </c>
      <c r="Z190" s="13">
        <f t="shared" si="26"/>
        <v>0</v>
      </c>
      <c r="AA190">
        <v>0</v>
      </c>
      <c r="AB190">
        <v>0</v>
      </c>
      <c r="AC190">
        <v>0</v>
      </c>
      <c r="AD190">
        <v>0</v>
      </c>
      <c r="AE190" s="7">
        <f t="shared" si="27"/>
        <v>0</v>
      </c>
      <c r="AF190">
        <v>0</v>
      </c>
      <c r="AG190">
        <v>0</v>
      </c>
      <c r="AH190">
        <v>0</v>
      </c>
      <c r="AI190" s="13">
        <f t="shared" si="28"/>
        <v>0</v>
      </c>
      <c r="AJ190" s="11" t="s">
        <v>51</v>
      </c>
      <c r="AK190" s="11" t="s">
        <v>51</v>
      </c>
      <c r="AL190" s="11" t="s">
        <v>51</v>
      </c>
      <c r="AM190" s="13">
        <f t="shared" si="29"/>
        <v>0</v>
      </c>
      <c r="AN190" s="18">
        <v>40</v>
      </c>
      <c r="AO190" s="18">
        <v>0</v>
      </c>
      <c r="AP190" s="18">
        <v>0</v>
      </c>
      <c r="AQ190" s="18">
        <v>0</v>
      </c>
      <c r="AR190" s="18">
        <f t="shared" si="30"/>
        <v>40</v>
      </c>
      <c r="AS190" t="s">
        <v>52</v>
      </c>
      <c r="AT190" s="9">
        <v>87.5</v>
      </c>
      <c r="AU190" s="30">
        <f>+((AN190*I190)+(AO190*AE190)+(AQ190*AI190)+(AP190*AM190))/AR190</f>
        <v>87.5</v>
      </c>
    </row>
    <row r="191" spans="1:47" s="6" customFormat="1" x14ac:dyDescent="0.25">
      <c r="A191" s="6" t="s">
        <v>46</v>
      </c>
      <c r="B191" s="6" t="s">
        <v>761</v>
      </c>
      <c r="C191" s="6" t="s">
        <v>762</v>
      </c>
      <c r="D191" s="6" t="s">
        <v>763</v>
      </c>
      <c r="E191" s="12">
        <v>20</v>
      </c>
      <c r="F191" s="12">
        <v>20</v>
      </c>
      <c r="G191" s="12">
        <v>39.42</v>
      </c>
      <c r="H191" s="12">
        <v>3</v>
      </c>
      <c r="I191" s="13">
        <f t="shared" si="22"/>
        <v>82.42</v>
      </c>
      <c r="J191" s="14">
        <v>0</v>
      </c>
      <c r="K191" s="14">
        <v>0</v>
      </c>
      <c r="L191" s="14">
        <v>0</v>
      </c>
      <c r="M191" s="13">
        <f t="shared" si="23"/>
        <v>0</v>
      </c>
      <c r="N191" s="12">
        <v>0</v>
      </c>
      <c r="O191" s="12">
        <v>0</v>
      </c>
      <c r="P191" s="12">
        <v>0</v>
      </c>
      <c r="Q191" s="12">
        <v>0</v>
      </c>
      <c r="R191" s="13">
        <f t="shared" si="24"/>
        <v>0</v>
      </c>
      <c r="S191" s="6">
        <v>0</v>
      </c>
      <c r="T191" s="6">
        <v>0</v>
      </c>
      <c r="U191" s="7">
        <f t="shared" si="25"/>
        <v>0</v>
      </c>
      <c r="V191" s="6">
        <v>0</v>
      </c>
      <c r="W191" s="6">
        <v>0</v>
      </c>
      <c r="X191" s="6">
        <v>0</v>
      </c>
      <c r="Y191" s="6">
        <v>0</v>
      </c>
      <c r="Z191" s="13">
        <f t="shared" si="26"/>
        <v>0</v>
      </c>
      <c r="AA191" s="6">
        <v>0</v>
      </c>
      <c r="AB191" s="6">
        <v>50</v>
      </c>
      <c r="AC191" s="6">
        <v>15</v>
      </c>
      <c r="AD191" s="6">
        <v>13.75</v>
      </c>
      <c r="AE191" s="7">
        <f t="shared" si="27"/>
        <v>78.75</v>
      </c>
      <c r="AF191" s="6">
        <v>0</v>
      </c>
      <c r="AG191" s="6">
        <v>0</v>
      </c>
      <c r="AH191" s="6">
        <v>0</v>
      </c>
      <c r="AI191" s="13">
        <f t="shared" si="28"/>
        <v>0</v>
      </c>
      <c r="AJ191" s="12" t="s">
        <v>51</v>
      </c>
      <c r="AK191" s="12" t="s">
        <v>51</v>
      </c>
      <c r="AL191" s="12" t="s">
        <v>51</v>
      </c>
      <c r="AM191" s="13">
        <f t="shared" si="29"/>
        <v>0</v>
      </c>
      <c r="AN191" s="21">
        <v>35</v>
      </c>
      <c r="AO191" s="21">
        <v>5</v>
      </c>
      <c r="AP191" s="21">
        <v>0</v>
      </c>
      <c r="AQ191" s="21">
        <v>0</v>
      </c>
      <c r="AR191" s="18">
        <f t="shared" si="30"/>
        <v>40</v>
      </c>
      <c r="AS191" s="6" t="s">
        <v>52</v>
      </c>
      <c r="AT191" s="10">
        <v>81.961250000000007</v>
      </c>
      <c r="AU191" s="30">
        <f>+((AN191*I191)+(AO191*AE191)+(AQ191*AI191)+(AP191*AM191))/AR191</f>
        <v>81.961250000000007</v>
      </c>
    </row>
    <row r="192" spans="1:47" x14ac:dyDescent="0.25">
      <c r="A192" t="s">
        <v>46</v>
      </c>
      <c r="B192" s="32" t="s">
        <v>765</v>
      </c>
      <c r="C192" s="32" t="s">
        <v>766</v>
      </c>
      <c r="D192" s="32" t="s">
        <v>767</v>
      </c>
      <c r="E192" s="11">
        <v>0</v>
      </c>
      <c r="F192" s="11">
        <v>0</v>
      </c>
      <c r="G192" s="11">
        <v>0</v>
      </c>
      <c r="H192" s="11">
        <v>0</v>
      </c>
      <c r="I192" s="13">
        <f t="shared" si="22"/>
        <v>0</v>
      </c>
      <c r="J192" s="11">
        <v>0</v>
      </c>
      <c r="K192" s="11">
        <v>0</v>
      </c>
      <c r="L192" s="11">
        <v>0</v>
      </c>
      <c r="M192" s="13">
        <f t="shared" si="23"/>
        <v>0</v>
      </c>
      <c r="N192" s="11">
        <v>40.777777777777786</v>
      </c>
      <c r="O192" s="11">
        <v>2.7777777777777777</v>
      </c>
      <c r="P192" s="11">
        <v>0</v>
      </c>
      <c r="Q192" s="11">
        <v>22.222222222222221</v>
      </c>
      <c r="R192" s="13">
        <f t="shared" si="24"/>
        <v>65.777777777777786</v>
      </c>
      <c r="S192">
        <v>0</v>
      </c>
      <c r="T192">
        <v>0</v>
      </c>
      <c r="U192" s="7">
        <f t="shared" si="25"/>
        <v>0</v>
      </c>
      <c r="V192">
        <v>0</v>
      </c>
      <c r="W192">
        <v>0</v>
      </c>
      <c r="X192">
        <v>0</v>
      </c>
      <c r="Y192">
        <v>0</v>
      </c>
      <c r="Z192" s="13">
        <f t="shared" si="26"/>
        <v>0</v>
      </c>
      <c r="AA192">
        <v>0</v>
      </c>
      <c r="AB192">
        <v>0</v>
      </c>
      <c r="AC192">
        <v>0</v>
      </c>
      <c r="AD192">
        <v>0</v>
      </c>
      <c r="AE192" s="7">
        <f t="shared" si="27"/>
        <v>0</v>
      </c>
      <c r="AF192">
        <v>0</v>
      </c>
      <c r="AG192">
        <v>0</v>
      </c>
      <c r="AH192">
        <v>0</v>
      </c>
      <c r="AI192" s="13">
        <f t="shared" si="28"/>
        <v>0</v>
      </c>
      <c r="AJ192" s="11" t="s">
        <v>51</v>
      </c>
      <c r="AK192" s="11" t="s">
        <v>51</v>
      </c>
      <c r="AL192" s="11" t="s">
        <v>51</v>
      </c>
      <c r="AM192" s="13">
        <f t="shared" si="29"/>
        <v>0</v>
      </c>
      <c r="AN192" s="18">
        <v>3</v>
      </c>
      <c r="AO192" s="18">
        <v>0</v>
      </c>
      <c r="AP192" s="18">
        <v>0</v>
      </c>
      <c r="AQ192" s="18">
        <v>0</v>
      </c>
      <c r="AR192" s="18">
        <f t="shared" si="30"/>
        <v>3</v>
      </c>
      <c r="AS192" t="s">
        <v>117</v>
      </c>
      <c r="AT192" s="9">
        <v>65.777777777777786</v>
      </c>
      <c r="AU192" s="11">
        <f>+((AN192*R192)+(AQ192*AI192)+(AP192*AM192))/AR192</f>
        <v>65.777777777777786</v>
      </c>
    </row>
    <row r="193" spans="1:47" x14ac:dyDescent="0.25">
      <c r="A193" t="s">
        <v>46</v>
      </c>
      <c r="B193" t="s">
        <v>769</v>
      </c>
      <c r="C193" t="s">
        <v>770</v>
      </c>
      <c r="D193" t="s">
        <v>771</v>
      </c>
      <c r="E193" s="11">
        <v>20</v>
      </c>
      <c r="F193" s="11">
        <v>20</v>
      </c>
      <c r="G193" s="11">
        <v>35.51</v>
      </c>
      <c r="H193" s="11">
        <v>4.5</v>
      </c>
      <c r="I193" s="13">
        <f t="shared" si="22"/>
        <v>80.009999999999991</v>
      </c>
      <c r="J193" s="11">
        <v>0</v>
      </c>
      <c r="K193" s="11">
        <v>0</v>
      </c>
      <c r="L193" s="11">
        <v>0</v>
      </c>
      <c r="M193" s="13">
        <f t="shared" si="23"/>
        <v>0</v>
      </c>
      <c r="N193" s="11">
        <v>0</v>
      </c>
      <c r="O193" s="11">
        <v>0</v>
      </c>
      <c r="P193" s="11">
        <v>0</v>
      </c>
      <c r="Q193" s="11">
        <v>0</v>
      </c>
      <c r="R193" s="13">
        <f t="shared" si="24"/>
        <v>0</v>
      </c>
      <c r="S193">
        <v>0</v>
      </c>
      <c r="T193">
        <v>0</v>
      </c>
      <c r="U193" s="7">
        <f t="shared" si="25"/>
        <v>0</v>
      </c>
      <c r="V193">
        <v>0</v>
      </c>
      <c r="W193">
        <v>0</v>
      </c>
      <c r="X193">
        <v>0</v>
      </c>
      <c r="Y193">
        <v>0</v>
      </c>
      <c r="Z193" s="13">
        <f t="shared" si="26"/>
        <v>0</v>
      </c>
      <c r="AA193">
        <v>0</v>
      </c>
      <c r="AB193">
        <v>0</v>
      </c>
      <c r="AC193">
        <v>0</v>
      </c>
      <c r="AD193">
        <v>0</v>
      </c>
      <c r="AE193" s="7">
        <f t="shared" si="27"/>
        <v>0</v>
      </c>
      <c r="AF193">
        <v>0</v>
      </c>
      <c r="AG193">
        <v>0</v>
      </c>
      <c r="AH193">
        <v>0</v>
      </c>
      <c r="AI193" s="13">
        <f t="shared" si="28"/>
        <v>0</v>
      </c>
      <c r="AJ193" s="11" t="s">
        <v>51</v>
      </c>
      <c r="AK193" s="11" t="s">
        <v>51</v>
      </c>
      <c r="AL193" s="11" t="s">
        <v>51</v>
      </c>
      <c r="AM193" s="13">
        <f t="shared" si="29"/>
        <v>0</v>
      </c>
      <c r="AN193" s="18">
        <v>40</v>
      </c>
      <c r="AO193" s="18">
        <v>0</v>
      </c>
      <c r="AP193" s="18">
        <v>0</v>
      </c>
      <c r="AQ193" s="18">
        <v>0</v>
      </c>
      <c r="AR193" s="18">
        <f t="shared" si="30"/>
        <v>40</v>
      </c>
      <c r="AS193" t="s">
        <v>52</v>
      </c>
      <c r="AT193" s="9">
        <v>80.009999999999991</v>
      </c>
      <c r="AU193" s="30">
        <f>+((AN193*I193)+(AO193*AE193)+(AQ193*AI193)+(AP193*AM193))/AR193</f>
        <v>80.009999999999991</v>
      </c>
    </row>
    <row r="194" spans="1:47" x14ac:dyDescent="0.25">
      <c r="A194" t="s">
        <v>46</v>
      </c>
      <c r="B194" t="s">
        <v>773</v>
      </c>
      <c r="C194" t="s">
        <v>774</v>
      </c>
      <c r="D194" t="s">
        <v>775</v>
      </c>
      <c r="E194" s="11">
        <v>20</v>
      </c>
      <c r="F194" s="11">
        <v>20</v>
      </c>
      <c r="G194" s="11">
        <v>38.020000000000003</v>
      </c>
      <c r="H194" s="11">
        <v>4.5</v>
      </c>
      <c r="I194" s="13">
        <f t="shared" si="22"/>
        <v>82.52000000000001</v>
      </c>
      <c r="J194" s="11">
        <v>0</v>
      </c>
      <c r="K194" s="11">
        <v>0</v>
      </c>
      <c r="L194" s="11">
        <v>0</v>
      </c>
      <c r="M194" s="13">
        <f t="shared" si="23"/>
        <v>0</v>
      </c>
      <c r="N194" s="11">
        <v>0</v>
      </c>
      <c r="O194" s="11">
        <v>0</v>
      </c>
      <c r="P194" s="11">
        <v>0</v>
      </c>
      <c r="Q194" s="11">
        <v>0</v>
      </c>
      <c r="R194" s="13">
        <f t="shared" si="24"/>
        <v>0</v>
      </c>
      <c r="S194">
        <v>0</v>
      </c>
      <c r="T194">
        <v>0</v>
      </c>
      <c r="U194" s="7">
        <f t="shared" si="25"/>
        <v>0</v>
      </c>
      <c r="V194">
        <v>0</v>
      </c>
      <c r="W194">
        <v>0</v>
      </c>
      <c r="X194">
        <v>0</v>
      </c>
      <c r="Y194">
        <v>0</v>
      </c>
      <c r="Z194" s="13">
        <f t="shared" si="26"/>
        <v>0</v>
      </c>
      <c r="AA194">
        <v>0</v>
      </c>
      <c r="AB194">
        <v>0</v>
      </c>
      <c r="AC194">
        <v>0</v>
      </c>
      <c r="AD194">
        <v>0</v>
      </c>
      <c r="AE194" s="7">
        <f t="shared" si="27"/>
        <v>0</v>
      </c>
      <c r="AF194">
        <v>0</v>
      </c>
      <c r="AG194">
        <v>0</v>
      </c>
      <c r="AH194">
        <v>0</v>
      </c>
      <c r="AI194" s="13">
        <f t="shared" si="28"/>
        <v>0</v>
      </c>
      <c r="AJ194" s="11" t="s">
        <v>51</v>
      </c>
      <c r="AK194" s="11" t="s">
        <v>51</v>
      </c>
      <c r="AL194" s="11" t="s">
        <v>51</v>
      </c>
      <c r="AM194" s="13">
        <f t="shared" si="29"/>
        <v>0</v>
      </c>
      <c r="AN194" s="18">
        <v>40</v>
      </c>
      <c r="AO194" s="18">
        <v>0</v>
      </c>
      <c r="AP194" s="18">
        <v>0</v>
      </c>
      <c r="AQ194" s="18">
        <v>0</v>
      </c>
      <c r="AR194" s="18">
        <f t="shared" si="30"/>
        <v>40</v>
      </c>
      <c r="AS194" t="s">
        <v>52</v>
      </c>
      <c r="AT194" s="9">
        <v>82.52000000000001</v>
      </c>
      <c r="AU194" s="30">
        <f>+((AN194*I194)+(AO194*AE194)+(AQ194*AI194)+(AP194*AM194))/AR194</f>
        <v>82.52000000000001</v>
      </c>
    </row>
    <row r="195" spans="1:47" x14ac:dyDescent="0.25">
      <c r="A195" t="s">
        <v>46</v>
      </c>
      <c r="B195" t="s">
        <v>777</v>
      </c>
      <c r="C195" t="s">
        <v>778</v>
      </c>
      <c r="D195" t="s">
        <v>779</v>
      </c>
      <c r="E195" s="11">
        <v>20</v>
      </c>
      <c r="F195" s="11">
        <v>18.670000000000002</v>
      </c>
      <c r="G195" s="11">
        <v>41.77</v>
      </c>
      <c r="H195" s="11">
        <v>6.5</v>
      </c>
      <c r="I195" s="13">
        <f t="shared" si="22"/>
        <v>86.94</v>
      </c>
      <c r="J195" s="11">
        <v>0</v>
      </c>
      <c r="K195" s="11">
        <v>0</v>
      </c>
      <c r="L195" s="11">
        <v>0</v>
      </c>
      <c r="M195" s="13">
        <f t="shared" si="23"/>
        <v>0</v>
      </c>
      <c r="N195" s="11">
        <v>0</v>
      </c>
      <c r="O195" s="11">
        <v>0</v>
      </c>
      <c r="P195" s="11">
        <v>0</v>
      </c>
      <c r="Q195" s="11">
        <v>0</v>
      </c>
      <c r="R195" s="13">
        <f t="shared" si="24"/>
        <v>0</v>
      </c>
      <c r="S195">
        <v>0</v>
      </c>
      <c r="T195">
        <v>0</v>
      </c>
      <c r="U195" s="7">
        <f t="shared" si="25"/>
        <v>0</v>
      </c>
      <c r="V195">
        <v>0</v>
      </c>
      <c r="W195">
        <v>0</v>
      </c>
      <c r="X195">
        <v>0</v>
      </c>
      <c r="Y195">
        <v>0</v>
      </c>
      <c r="Z195" s="13">
        <f t="shared" si="26"/>
        <v>0</v>
      </c>
      <c r="AA195">
        <v>7.5</v>
      </c>
      <c r="AB195">
        <v>21.25</v>
      </c>
      <c r="AC195">
        <v>8.25</v>
      </c>
      <c r="AD195">
        <v>18.75</v>
      </c>
      <c r="AE195" s="7">
        <f t="shared" si="27"/>
        <v>55.75</v>
      </c>
      <c r="AF195">
        <v>0</v>
      </c>
      <c r="AG195">
        <v>0</v>
      </c>
      <c r="AH195">
        <v>0</v>
      </c>
      <c r="AI195" s="13">
        <f t="shared" si="28"/>
        <v>0</v>
      </c>
      <c r="AJ195" s="11" t="s">
        <v>51</v>
      </c>
      <c r="AK195" s="11" t="s">
        <v>51</v>
      </c>
      <c r="AL195" s="11" t="s">
        <v>51</v>
      </c>
      <c r="AM195" s="13">
        <f t="shared" si="29"/>
        <v>0</v>
      </c>
      <c r="AN195" s="18">
        <v>35</v>
      </c>
      <c r="AO195" s="18">
        <v>5</v>
      </c>
      <c r="AP195" s="18">
        <v>0</v>
      </c>
      <c r="AQ195" s="18">
        <v>0</v>
      </c>
      <c r="AR195" s="18">
        <f t="shared" si="30"/>
        <v>40</v>
      </c>
      <c r="AS195" t="s">
        <v>52</v>
      </c>
      <c r="AT195" s="9">
        <v>83.041250000000005</v>
      </c>
      <c r="AU195" s="30">
        <f>+((AN195*I195)+(AO195*AE195)+(AQ195*AI195)+(AP195*AM195))/AR195</f>
        <v>83.041250000000005</v>
      </c>
    </row>
    <row r="196" spans="1:47" x14ac:dyDescent="0.25">
      <c r="A196" t="s">
        <v>46</v>
      </c>
      <c r="B196" t="s">
        <v>781</v>
      </c>
      <c r="C196" t="s">
        <v>782</v>
      </c>
      <c r="D196" t="s">
        <v>783</v>
      </c>
      <c r="E196" s="11">
        <v>0</v>
      </c>
      <c r="F196" s="11">
        <v>0</v>
      </c>
      <c r="G196" s="11">
        <v>0</v>
      </c>
      <c r="H196" s="11">
        <v>0</v>
      </c>
      <c r="I196" s="13">
        <f t="shared" si="22"/>
        <v>0</v>
      </c>
      <c r="J196" s="11">
        <v>0</v>
      </c>
      <c r="K196" s="11">
        <v>0</v>
      </c>
      <c r="L196" s="11">
        <v>0</v>
      </c>
      <c r="M196" s="13">
        <f t="shared" si="23"/>
        <v>0</v>
      </c>
      <c r="N196" s="11">
        <v>0</v>
      </c>
      <c r="O196" s="11">
        <v>0</v>
      </c>
      <c r="P196" s="11">
        <v>0</v>
      </c>
      <c r="Q196" s="11">
        <v>0</v>
      </c>
      <c r="R196" s="13">
        <f t="shared" si="24"/>
        <v>0</v>
      </c>
      <c r="S196">
        <v>0</v>
      </c>
      <c r="T196">
        <v>0</v>
      </c>
      <c r="U196" s="7">
        <f t="shared" si="25"/>
        <v>0</v>
      </c>
      <c r="V196">
        <v>3.5</v>
      </c>
      <c r="W196">
        <v>20</v>
      </c>
      <c r="X196">
        <v>42.38</v>
      </c>
      <c r="Y196">
        <v>20</v>
      </c>
      <c r="Z196" s="13">
        <f t="shared" si="26"/>
        <v>85.88</v>
      </c>
      <c r="AA196">
        <v>15</v>
      </c>
      <c r="AB196">
        <v>50</v>
      </c>
      <c r="AC196">
        <v>15</v>
      </c>
      <c r="AD196">
        <v>17.5</v>
      </c>
      <c r="AE196" s="7">
        <f t="shared" si="27"/>
        <v>97.5</v>
      </c>
      <c r="AF196">
        <v>0</v>
      </c>
      <c r="AG196">
        <v>0</v>
      </c>
      <c r="AH196">
        <v>0</v>
      </c>
      <c r="AI196" s="13">
        <f t="shared" si="28"/>
        <v>0</v>
      </c>
      <c r="AJ196" s="11" t="s">
        <v>51</v>
      </c>
      <c r="AK196" s="11" t="s">
        <v>51</v>
      </c>
      <c r="AL196" s="11" t="s">
        <v>51</v>
      </c>
      <c r="AM196" s="13">
        <f t="shared" si="29"/>
        <v>0</v>
      </c>
      <c r="AN196" s="18">
        <v>26.25</v>
      </c>
      <c r="AO196" s="18">
        <v>13.75</v>
      </c>
      <c r="AP196" s="18">
        <v>0</v>
      </c>
      <c r="AQ196" s="18">
        <v>0</v>
      </c>
      <c r="AR196" s="18">
        <f t="shared" si="30"/>
        <v>40</v>
      </c>
      <c r="AS196" t="s">
        <v>52</v>
      </c>
      <c r="AT196" s="9">
        <v>89.874375000000001</v>
      </c>
      <c r="AU196" s="36">
        <f>+((AN196*Z196)+(AO196*AE196)+(AQ196*AI196)+(AP196*AM196))/AR196</f>
        <v>89.874375000000001</v>
      </c>
    </row>
    <row r="197" spans="1:47" x14ac:dyDescent="0.25">
      <c r="A197" t="s">
        <v>46</v>
      </c>
      <c r="B197" s="32" t="s">
        <v>785</v>
      </c>
      <c r="C197" s="32" t="s">
        <v>786</v>
      </c>
      <c r="D197" s="32" t="s">
        <v>787</v>
      </c>
      <c r="E197" s="11">
        <v>0</v>
      </c>
      <c r="F197" s="11">
        <v>0</v>
      </c>
      <c r="G197" s="11">
        <v>0</v>
      </c>
      <c r="H197" s="11">
        <v>0</v>
      </c>
      <c r="I197" s="13">
        <f t="shared" si="22"/>
        <v>0</v>
      </c>
      <c r="J197" s="11">
        <v>0</v>
      </c>
      <c r="K197" s="11">
        <v>0</v>
      </c>
      <c r="L197" s="11">
        <v>0</v>
      </c>
      <c r="M197" s="13">
        <f t="shared" si="23"/>
        <v>0</v>
      </c>
      <c r="N197" s="11">
        <v>57.475000000000001</v>
      </c>
      <c r="O197" s="11">
        <v>3.75</v>
      </c>
      <c r="P197" s="11">
        <v>0</v>
      </c>
      <c r="Q197" s="11">
        <v>23.337499999999999</v>
      </c>
      <c r="R197" s="13">
        <f t="shared" si="24"/>
        <v>84.5625</v>
      </c>
      <c r="S197">
        <v>0</v>
      </c>
      <c r="T197">
        <v>0</v>
      </c>
      <c r="U197" s="7">
        <f t="shared" si="25"/>
        <v>0</v>
      </c>
      <c r="V197">
        <v>0</v>
      </c>
      <c r="W197">
        <v>0</v>
      </c>
      <c r="X197">
        <v>0</v>
      </c>
      <c r="Y197">
        <v>0</v>
      </c>
      <c r="Z197" s="13">
        <f t="shared" si="26"/>
        <v>0</v>
      </c>
      <c r="AA197">
        <v>0</v>
      </c>
      <c r="AB197">
        <v>0</v>
      </c>
      <c r="AC197">
        <v>0</v>
      </c>
      <c r="AD197">
        <v>0</v>
      </c>
      <c r="AE197" s="7">
        <f t="shared" si="27"/>
        <v>0</v>
      </c>
      <c r="AF197">
        <v>0</v>
      </c>
      <c r="AG197">
        <v>0</v>
      </c>
      <c r="AH197">
        <v>0</v>
      </c>
      <c r="AI197" s="13">
        <f t="shared" si="28"/>
        <v>0</v>
      </c>
      <c r="AJ197" s="11" t="s">
        <v>51</v>
      </c>
      <c r="AK197" s="11" t="s">
        <v>51</v>
      </c>
      <c r="AL197" s="11" t="s">
        <v>51</v>
      </c>
      <c r="AM197" s="13">
        <f t="shared" si="29"/>
        <v>0</v>
      </c>
      <c r="AN197" s="18">
        <v>10</v>
      </c>
      <c r="AO197" s="18">
        <v>0</v>
      </c>
      <c r="AP197" s="18">
        <v>0</v>
      </c>
      <c r="AQ197" s="18">
        <v>0</v>
      </c>
      <c r="AR197" s="18">
        <f t="shared" si="30"/>
        <v>10</v>
      </c>
      <c r="AS197" t="s">
        <v>117</v>
      </c>
      <c r="AT197" s="9">
        <v>84.5625</v>
      </c>
      <c r="AU197" s="11">
        <f>+((AN197*R197)+(AQ197*AI197)+(AP197*AM197))/AR197</f>
        <v>84.5625</v>
      </c>
    </row>
    <row r="198" spans="1:47" x14ac:dyDescent="0.25">
      <c r="A198" t="s">
        <v>46</v>
      </c>
      <c r="B198" t="s">
        <v>789</v>
      </c>
      <c r="C198" t="s">
        <v>790</v>
      </c>
      <c r="D198" t="s">
        <v>791</v>
      </c>
      <c r="E198" s="11">
        <v>25</v>
      </c>
      <c r="F198" s="11">
        <v>0</v>
      </c>
      <c r="G198" s="11">
        <v>54.6875</v>
      </c>
      <c r="H198" s="11">
        <v>7.5</v>
      </c>
      <c r="I198" s="13">
        <f t="shared" ref="I198:I235" si="34">+SUM(E198:H198)</f>
        <v>87.1875</v>
      </c>
      <c r="J198" s="11">
        <v>0</v>
      </c>
      <c r="K198" s="11">
        <v>0</v>
      </c>
      <c r="L198" s="11">
        <v>0</v>
      </c>
      <c r="M198" s="13">
        <f t="shared" ref="M198:M235" si="35">+SUM(J198:L198)</f>
        <v>0</v>
      </c>
      <c r="N198" s="11">
        <v>0</v>
      </c>
      <c r="O198" s="11">
        <v>0</v>
      </c>
      <c r="P198" s="11">
        <v>0</v>
      </c>
      <c r="Q198" s="11">
        <v>0</v>
      </c>
      <c r="R198" s="13">
        <f t="shared" ref="R198:R235" si="36">+SUM(N198:Q198)</f>
        <v>0</v>
      </c>
      <c r="S198">
        <v>0</v>
      </c>
      <c r="T198">
        <v>0</v>
      </c>
      <c r="U198" s="7">
        <f t="shared" ref="U198:U235" si="37">+SUM(S198:T198)</f>
        <v>0</v>
      </c>
      <c r="V198">
        <v>0</v>
      </c>
      <c r="W198">
        <v>0</v>
      </c>
      <c r="X198">
        <v>0</v>
      </c>
      <c r="Y198">
        <v>0</v>
      </c>
      <c r="Z198" s="13">
        <f t="shared" ref="Z198:Z235" si="38">+SUM(V198:Y198)</f>
        <v>0</v>
      </c>
      <c r="AA198">
        <v>15</v>
      </c>
      <c r="AB198">
        <v>50</v>
      </c>
      <c r="AC198">
        <v>13.12</v>
      </c>
      <c r="AD198">
        <v>0</v>
      </c>
      <c r="AE198" s="7">
        <f t="shared" ref="AE198:AE235" si="39">+SUM(AA198:AD198)</f>
        <v>78.12</v>
      </c>
      <c r="AF198">
        <v>0</v>
      </c>
      <c r="AG198">
        <v>0</v>
      </c>
      <c r="AH198">
        <v>0</v>
      </c>
      <c r="AI198" s="13">
        <f t="shared" ref="AI198:AI235" si="40">+SUM(AF198:AH198)</f>
        <v>0</v>
      </c>
      <c r="AJ198" s="11" t="s">
        <v>51</v>
      </c>
      <c r="AK198" s="11" t="s">
        <v>51</v>
      </c>
      <c r="AL198" s="11" t="s">
        <v>51</v>
      </c>
      <c r="AM198" s="13">
        <f t="shared" ref="AM198:AM235" si="41">+SUM(AJ198:AL198)</f>
        <v>0</v>
      </c>
      <c r="AN198" s="18">
        <v>25</v>
      </c>
      <c r="AO198" s="18">
        <v>15</v>
      </c>
      <c r="AP198" s="18">
        <v>0</v>
      </c>
      <c r="AQ198" s="18">
        <v>0</v>
      </c>
      <c r="AR198" s="18">
        <f t="shared" ref="AR198:AR235" si="42">+SUM(AN198:AQ198)</f>
        <v>40</v>
      </c>
      <c r="AS198" t="s">
        <v>52</v>
      </c>
      <c r="AT198" s="9">
        <v>83.787187500000002</v>
      </c>
      <c r="AU198" s="30">
        <f>+((AN198*I198)+(AO198*AE198)+(AQ198*AI198)+(AP198*AM198))/AR198</f>
        <v>83.787187500000002</v>
      </c>
    </row>
    <row r="199" spans="1:47" x14ac:dyDescent="0.25">
      <c r="A199" t="s">
        <v>46</v>
      </c>
      <c r="B199" t="s">
        <v>793</v>
      </c>
      <c r="C199" t="s">
        <v>794</v>
      </c>
      <c r="D199" t="s">
        <v>629</v>
      </c>
      <c r="E199" s="11">
        <v>20</v>
      </c>
      <c r="F199" s="11">
        <v>18.670000000000002</v>
      </c>
      <c r="G199" s="11">
        <v>46.35</v>
      </c>
      <c r="H199" s="11">
        <v>3.5</v>
      </c>
      <c r="I199" s="13">
        <f t="shared" si="34"/>
        <v>88.52000000000001</v>
      </c>
      <c r="J199" s="11">
        <v>0</v>
      </c>
      <c r="K199" s="11">
        <v>0</v>
      </c>
      <c r="L199" s="11">
        <v>0</v>
      </c>
      <c r="M199" s="13">
        <f t="shared" si="35"/>
        <v>0</v>
      </c>
      <c r="N199" s="11">
        <v>0</v>
      </c>
      <c r="O199" s="11">
        <v>0</v>
      </c>
      <c r="P199" s="11">
        <v>0</v>
      </c>
      <c r="Q199" s="11">
        <v>0</v>
      </c>
      <c r="R199" s="13">
        <f t="shared" si="36"/>
        <v>0</v>
      </c>
      <c r="S199">
        <v>0</v>
      </c>
      <c r="T199">
        <v>0</v>
      </c>
      <c r="U199" s="7">
        <f t="shared" si="37"/>
        <v>0</v>
      </c>
      <c r="V199">
        <v>0</v>
      </c>
      <c r="W199">
        <v>0</v>
      </c>
      <c r="X199">
        <v>0</v>
      </c>
      <c r="Y199">
        <v>0</v>
      </c>
      <c r="Z199" s="13">
        <f t="shared" si="38"/>
        <v>0</v>
      </c>
      <c r="AA199">
        <v>15</v>
      </c>
      <c r="AB199">
        <v>50</v>
      </c>
      <c r="AC199">
        <v>15</v>
      </c>
      <c r="AD199">
        <v>20</v>
      </c>
      <c r="AE199" s="7">
        <f t="shared" si="39"/>
        <v>100</v>
      </c>
      <c r="AF199">
        <v>0</v>
      </c>
      <c r="AG199">
        <v>0</v>
      </c>
      <c r="AH199">
        <v>0</v>
      </c>
      <c r="AI199" s="13">
        <f t="shared" si="40"/>
        <v>0</v>
      </c>
      <c r="AJ199" s="11" t="s">
        <v>51</v>
      </c>
      <c r="AK199" s="11" t="s">
        <v>51</v>
      </c>
      <c r="AL199" s="11" t="s">
        <v>51</v>
      </c>
      <c r="AM199" s="13">
        <f t="shared" si="41"/>
        <v>0</v>
      </c>
      <c r="AN199" s="18">
        <v>25</v>
      </c>
      <c r="AO199" s="18">
        <v>15</v>
      </c>
      <c r="AP199" s="18">
        <v>0</v>
      </c>
      <c r="AQ199" s="18">
        <v>0</v>
      </c>
      <c r="AR199" s="18">
        <f t="shared" si="42"/>
        <v>40</v>
      </c>
      <c r="AS199" t="s">
        <v>52</v>
      </c>
      <c r="AT199" s="9">
        <v>92.825000000000017</v>
      </c>
      <c r="AU199" s="30">
        <f>+((AN199*I199)+(AO199*AE199)+(AQ199*AI199)+(AP199*AM199))/AR199</f>
        <v>92.825000000000017</v>
      </c>
    </row>
    <row r="200" spans="1:47" x14ac:dyDescent="0.25">
      <c r="A200" t="s">
        <v>46</v>
      </c>
      <c r="B200" t="s">
        <v>796</v>
      </c>
      <c r="C200" t="s">
        <v>797</v>
      </c>
      <c r="D200" t="s">
        <v>798</v>
      </c>
      <c r="E200" s="11">
        <v>24.024999999999999</v>
      </c>
      <c r="F200" s="11">
        <v>0</v>
      </c>
      <c r="G200" s="11">
        <v>55.674999999999997</v>
      </c>
      <c r="H200" s="11">
        <v>10</v>
      </c>
      <c r="I200" s="13">
        <f t="shared" si="34"/>
        <v>89.699999999999989</v>
      </c>
      <c r="J200" s="11">
        <v>0</v>
      </c>
      <c r="K200" s="11">
        <v>0</v>
      </c>
      <c r="L200" s="11">
        <v>0</v>
      </c>
      <c r="M200" s="13">
        <f t="shared" si="35"/>
        <v>0</v>
      </c>
      <c r="N200" s="11">
        <v>0</v>
      </c>
      <c r="O200" s="11">
        <v>0</v>
      </c>
      <c r="P200" s="11">
        <v>0</v>
      </c>
      <c r="Q200" s="11">
        <v>0</v>
      </c>
      <c r="R200" s="13">
        <f t="shared" si="36"/>
        <v>0</v>
      </c>
      <c r="S200">
        <v>0</v>
      </c>
      <c r="T200">
        <v>0</v>
      </c>
      <c r="U200" s="7">
        <f t="shared" si="37"/>
        <v>0</v>
      </c>
      <c r="V200">
        <v>0</v>
      </c>
      <c r="W200">
        <v>0</v>
      </c>
      <c r="X200">
        <v>0</v>
      </c>
      <c r="Y200">
        <v>0</v>
      </c>
      <c r="Z200" s="13">
        <f t="shared" si="38"/>
        <v>0</v>
      </c>
      <c r="AA200">
        <v>0</v>
      </c>
      <c r="AB200">
        <v>0</v>
      </c>
      <c r="AC200">
        <v>0</v>
      </c>
      <c r="AD200">
        <v>0</v>
      </c>
      <c r="AE200" s="7">
        <f t="shared" si="39"/>
        <v>0</v>
      </c>
      <c r="AF200">
        <v>0</v>
      </c>
      <c r="AG200">
        <v>0</v>
      </c>
      <c r="AH200">
        <v>0</v>
      </c>
      <c r="AI200" s="13">
        <f t="shared" si="40"/>
        <v>0</v>
      </c>
      <c r="AJ200" s="11" t="s">
        <v>51</v>
      </c>
      <c r="AK200" s="11" t="s">
        <v>51</v>
      </c>
      <c r="AL200" s="11" t="s">
        <v>51</v>
      </c>
      <c r="AM200" s="13">
        <f t="shared" si="41"/>
        <v>0</v>
      </c>
      <c r="AN200" s="18">
        <v>8</v>
      </c>
      <c r="AO200" s="18">
        <v>0</v>
      </c>
      <c r="AP200" s="18">
        <v>0</v>
      </c>
      <c r="AQ200" s="18">
        <v>0</v>
      </c>
      <c r="AR200" s="18">
        <f t="shared" si="42"/>
        <v>8</v>
      </c>
      <c r="AS200" t="s">
        <v>52</v>
      </c>
      <c r="AT200" s="9">
        <v>89.699999999999989</v>
      </c>
      <c r="AU200" s="30">
        <f>+((AN200*I200)+(AO200*AE200)+(AQ200*AI200)+(AP200*AM200))/AR200</f>
        <v>89.699999999999989</v>
      </c>
    </row>
    <row r="201" spans="1:47" x14ac:dyDescent="0.25">
      <c r="A201" t="s">
        <v>46</v>
      </c>
      <c r="B201" t="s">
        <v>800</v>
      </c>
      <c r="C201" t="s">
        <v>801</v>
      </c>
      <c r="D201" t="s">
        <v>802</v>
      </c>
      <c r="E201" s="11">
        <v>20</v>
      </c>
      <c r="F201" s="11">
        <v>20</v>
      </c>
      <c r="G201" s="11">
        <v>40.409999999999997</v>
      </c>
      <c r="H201" s="11">
        <v>7</v>
      </c>
      <c r="I201" s="13">
        <f t="shared" si="34"/>
        <v>87.41</v>
      </c>
      <c r="J201" s="11">
        <v>0</v>
      </c>
      <c r="K201" s="11">
        <v>0</v>
      </c>
      <c r="L201" s="11">
        <v>0</v>
      </c>
      <c r="M201" s="13">
        <f t="shared" si="35"/>
        <v>0</v>
      </c>
      <c r="N201" s="11">
        <v>47.45</v>
      </c>
      <c r="O201" s="11">
        <v>7</v>
      </c>
      <c r="P201" s="11">
        <v>20</v>
      </c>
      <c r="Q201" s="11">
        <v>20</v>
      </c>
      <c r="R201" s="13">
        <f t="shared" si="36"/>
        <v>94.45</v>
      </c>
      <c r="S201">
        <v>0</v>
      </c>
      <c r="T201">
        <v>0</v>
      </c>
      <c r="U201" s="7">
        <f t="shared" si="37"/>
        <v>0</v>
      </c>
      <c r="V201">
        <v>0</v>
      </c>
      <c r="W201">
        <v>0</v>
      </c>
      <c r="X201">
        <v>0</v>
      </c>
      <c r="Y201">
        <v>0</v>
      </c>
      <c r="Z201" s="13">
        <f t="shared" si="38"/>
        <v>0</v>
      </c>
      <c r="AA201">
        <v>15</v>
      </c>
      <c r="AB201">
        <v>12.5</v>
      </c>
      <c r="AC201">
        <v>15</v>
      </c>
      <c r="AD201">
        <v>20</v>
      </c>
      <c r="AE201" s="7">
        <f t="shared" si="39"/>
        <v>62.5</v>
      </c>
      <c r="AF201">
        <v>0</v>
      </c>
      <c r="AG201">
        <v>0</v>
      </c>
      <c r="AH201">
        <v>0</v>
      </c>
      <c r="AI201" s="13">
        <f t="shared" si="40"/>
        <v>0</v>
      </c>
      <c r="AJ201" s="11" t="s">
        <v>51</v>
      </c>
      <c r="AK201" s="11" t="s">
        <v>51</v>
      </c>
      <c r="AL201" s="11" t="s">
        <v>51</v>
      </c>
      <c r="AM201" s="13">
        <f t="shared" si="41"/>
        <v>0</v>
      </c>
      <c r="AN201" s="18">
        <v>33</v>
      </c>
      <c r="AO201" s="18">
        <v>5</v>
      </c>
      <c r="AP201" s="18">
        <v>0</v>
      </c>
      <c r="AQ201" s="18">
        <v>0</v>
      </c>
      <c r="AR201" s="18">
        <f t="shared" si="42"/>
        <v>38</v>
      </c>
      <c r="AS201" t="s">
        <v>52</v>
      </c>
      <c r="AT201" s="9">
        <v>84.132368421052618</v>
      </c>
      <c r="AU201" s="30">
        <f>+((AN201*I201)+(AO201*AE201)+(AQ201*AI201)+(AP201*AM201))/AR201</f>
        <v>84.132368421052618</v>
      </c>
    </row>
    <row r="202" spans="1:47" x14ac:dyDescent="0.25">
      <c r="A202" s="33" t="s">
        <v>46</v>
      </c>
      <c r="B202" s="32" t="s">
        <v>800</v>
      </c>
      <c r="C202" s="32" t="s">
        <v>801</v>
      </c>
      <c r="D202" s="32" t="s">
        <v>802</v>
      </c>
      <c r="E202" s="11">
        <v>20</v>
      </c>
      <c r="F202" s="11">
        <v>20</v>
      </c>
      <c r="G202" s="11">
        <v>40.409999999999997</v>
      </c>
      <c r="H202" s="11">
        <v>7</v>
      </c>
      <c r="I202" s="13">
        <f t="shared" si="34"/>
        <v>87.41</v>
      </c>
      <c r="J202" s="11">
        <v>0</v>
      </c>
      <c r="K202" s="11">
        <v>0</v>
      </c>
      <c r="L202" s="11">
        <v>0</v>
      </c>
      <c r="M202" s="13">
        <f t="shared" si="35"/>
        <v>0</v>
      </c>
      <c r="N202" s="11">
        <v>47.45</v>
      </c>
      <c r="O202" s="11">
        <v>7</v>
      </c>
      <c r="P202" s="11">
        <v>20</v>
      </c>
      <c r="Q202" s="11">
        <v>20</v>
      </c>
      <c r="R202" s="13">
        <f t="shared" si="36"/>
        <v>94.45</v>
      </c>
      <c r="S202">
        <v>0</v>
      </c>
      <c r="T202">
        <v>0</v>
      </c>
      <c r="U202" s="7">
        <f t="shared" si="37"/>
        <v>0</v>
      </c>
      <c r="V202">
        <v>0</v>
      </c>
      <c r="W202">
        <v>0</v>
      </c>
      <c r="X202">
        <v>0</v>
      </c>
      <c r="Y202">
        <v>0</v>
      </c>
      <c r="Z202" s="13">
        <f t="shared" si="38"/>
        <v>0</v>
      </c>
      <c r="AA202">
        <v>15</v>
      </c>
      <c r="AB202">
        <v>12.5</v>
      </c>
      <c r="AC202">
        <v>15</v>
      </c>
      <c r="AD202">
        <v>20</v>
      </c>
      <c r="AE202" s="7">
        <f t="shared" si="39"/>
        <v>62.5</v>
      </c>
      <c r="AF202">
        <v>0</v>
      </c>
      <c r="AG202">
        <v>0</v>
      </c>
      <c r="AH202">
        <v>0</v>
      </c>
      <c r="AI202" s="13">
        <f t="shared" si="40"/>
        <v>0</v>
      </c>
      <c r="AJ202" s="11" t="s">
        <v>51</v>
      </c>
      <c r="AK202" s="11" t="s">
        <v>51</v>
      </c>
      <c r="AL202" s="11" t="s">
        <v>51</v>
      </c>
      <c r="AM202" s="13">
        <f t="shared" si="41"/>
        <v>0</v>
      </c>
      <c r="AN202" s="18">
        <v>2</v>
      </c>
      <c r="AO202" s="18">
        <v>0</v>
      </c>
      <c r="AP202" s="18">
        <v>0</v>
      </c>
      <c r="AQ202" s="18">
        <v>0</v>
      </c>
      <c r="AR202" s="18">
        <f t="shared" si="42"/>
        <v>2</v>
      </c>
      <c r="AS202" t="s">
        <v>117</v>
      </c>
      <c r="AT202" s="24">
        <v>94.45</v>
      </c>
      <c r="AU202" s="11">
        <f>+((AN202*R202)+(AQ202*AI202)+(AP202*AM202))/AR202</f>
        <v>94.45</v>
      </c>
    </row>
    <row r="203" spans="1:47" x14ac:dyDescent="0.25">
      <c r="A203" t="s">
        <v>46</v>
      </c>
      <c r="B203" t="s">
        <v>805</v>
      </c>
      <c r="C203" t="s">
        <v>806</v>
      </c>
      <c r="D203" t="s">
        <v>807</v>
      </c>
      <c r="E203" s="11">
        <v>19.899999999999999</v>
      </c>
      <c r="F203" s="11">
        <v>20</v>
      </c>
      <c r="G203" s="11">
        <v>42.19</v>
      </c>
      <c r="H203" s="11">
        <v>4.75</v>
      </c>
      <c r="I203" s="13">
        <f t="shared" si="34"/>
        <v>86.84</v>
      </c>
      <c r="J203" s="11">
        <v>85.042857142857144</v>
      </c>
      <c r="K203" s="11">
        <v>0</v>
      </c>
      <c r="L203" s="11">
        <v>6.7857142857142856</v>
      </c>
      <c r="M203" s="13">
        <f t="shared" si="35"/>
        <v>91.828571428571436</v>
      </c>
      <c r="N203" s="11">
        <v>0</v>
      </c>
      <c r="O203" s="11">
        <v>0</v>
      </c>
      <c r="P203" s="11">
        <v>0</v>
      </c>
      <c r="Q203" s="11">
        <v>0</v>
      </c>
      <c r="R203" s="13">
        <f t="shared" si="36"/>
        <v>0</v>
      </c>
      <c r="S203">
        <v>0</v>
      </c>
      <c r="T203">
        <v>0</v>
      </c>
      <c r="U203" s="7">
        <f t="shared" si="37"/>
        <v>0</v>
      </c>
      <c r="V203">
        <v>0</v>
      </c>
      <c r="W203">
        <v>0</v>
      </c>
      <c r="X203">
        <v>0</v>
      </c>
      <c r="Y203">
        <v>0</v>
      </c>
      <c r="Z203" s="13">
        <f t="shared" si="38"/>
        <v>0</v>
      </c>
      <c r="AA203">
        <v>0</v>
      </c>
      <c r="AB203">
        <v>0</v>
      </c>
      <c r="AC203">
        <v>0</v>
      </c>
      <c r="AD203">
        <v>0</v>
      </c>
      <c r="AE203" s="7">
        <f t="shared" si="39"/>
        <v>0</v>
      </c>
      <c r="AF203">
        <v>0</v>
      </c>
      <c r="AG203">
        <v>0</v>
      </c>
      <c r="AH203">
        <v>0</v>
      </c>
      <c r="AI203" s="13">
        <f t="shared" si="40"/>
        <v>0</v>
      </c>
      <c r="AJ203" s="11">
        <v>20</v>
      </c>
      <c r="AK203" s="11">
        <v>25</v>
      </c>
      <c r="AL203" s="11">
        <v>41.26</v>
      </c>
      <c r="AM203" s="13">
        <f t="shared" si="41"/>
        <v>86.259999999999991</v>
      </c>
      <c r="AN203" s="18">
        <v>38</v>
      </c>
      <c r="AO203" s="18">
        <v>0</v>
      </c>
      <c r="AP203" s="18">
        <v>2</v>
      </c>
      <c r="AQ203" s="18">
        <v>0</v>
      </c>
      <c r="AR203" s="18">
        <f t="shared" si="42"/>
        <v>40</v>
      </c>
      <c r="AS203" t="s">
        <v>52</v>
      </c>
      <c r="AT203" s="9">
        <v>86.811000000000007</v>
      </c>
      <c r="AU203" s="30">
        <f>+((AN203*I203)+(AO203*AE203)+(AQ203*AI203)+(AP203*AM203))/AR203</f>
        <v>86.811000000000007</v>
      </c>
    </row>
    <row r="204" spans="1:47" x14ac:dyDescent="0.25">
      <c r="A204" t="s">
        <v>46</v>
      </c>
      <c r="B204" t="s">
        <v>805</v>
      </c>
      <c r="C204" t="s">
        <v>806</v>
      </c>
      <c r="D204" t="s">
        <v>807</v>
      </c>
      <c r="E204" s="11">
        <v>19.899999999999999</v>
      </c>
      <c r="F204" s="11">
        <v>20</v>
      </c>
      <c r="G204" s="11">
        <v>42.19</v>
      </c>
      <c r="H204" s="11">
        <v>4.75</v>
      </c>
      <c r="I204" s="13">
        <f t="shared" si="34"/>
        <v>86.84</v>
      </c>
      <c r="J204" s="11">
        <v>85.042857142857144</v>
      </c>
      <c r="K204" s="11">
        <v>0</v>
      </c>
      <c r="L204" s="11">
        <v>6.7857142857142856</v>
      </c>
      <c r="M204" s="13">
        <f t="shared" si="35"/>
        <v>91.828571428571436</v>
      </c>
      <c r="N204" s="11">
        <v>0</v>
      </c>
      <c r="O204" s="11">
        <v>0</v>
      </c>
      <c r="P204" s="11">
        <v>0</v>
      </c>
      <c r="Q204" s="11">
        <v>0</v>
      </c>
      <c r="R204" s="13">
        <f t="shared" si="36"/>
        <v>0</v>
      </c>
      <c r="S204">
        <v>0</v>
      </c>
      <c r="T204">
        <v>0</v>
      </c>
      <c r="U204" s="7">
        <f t="shared" si="37"/>
        <v>0</v>
      </c>
      <c r="V204">
        <v>0</v>
      </c>
      <c r="W204">
        <v>0</v>
      </c>
      <c r="X204">
        <v>0</v>
      </c>
      <c r="Y204">
        <v>0</v>
      </c>
      <c r="Z204" s="13">
        <f t="shared" si="38"/>
        <v>0</v>
      </c>
      <c r="AA204">
        <v>0</v>
      </c>
      <c r="AB204">
        <v>0</v>
      </c>
      <c r="AC204">
        <v>0</v>
      </c>
      <c r="AD204">
        <v>0</v>
      </c>
      <c r="AE204" s="7">
        <f t="shared" si="39"/>
        <v>0</v>
      </c>
      <c r="AF204">
        <v>0</v>
      </c>
      <c r="AG204">
        <v>0</v>
      </c>
      <c r="AH204">
        <v>0</v>
      </c>
      <c r="AI204" s="13">
        <f t="shared" si="40"/>
        <v>0</v>
      </c>
      <c r="AJ204" s="11">
        <v>20</v>
      </c>
      <c r="AK204" s="11">
        <v>25</v>
      </c>
      <c r="AL204" s="11">
        <v>41.26</v>
      </c>
      <c r="AM204" s="13">
        <f t="shared" si="41"/>
        <v>86.259999999999991</v>
      </c>
      <c r="AN204" s="18">
        <v>2</v>
      </c>
      <c r="AO204" s="18">
        <v>0</v>
      </c>
      <c r="AP204" s="18">
        <v>0</v>
      </c>
      <c r="AQ204" s="18">
        <v>0</v>
      </c>
      <c r="AR204" s="18">
        <f t="shared" si="42"/>
        <v>2</v>
      </c>
      <c r="AS204" t="s">
        <v>87</v>
      </c>
      <c r="AT204" s="9">
        <v>91.828571428571436</v>
      </c>
      <c r="AU204" s="30">
        <f>+M204*AN204/AR204</f>
        <v>91.828571428571436</v>
      </c>
    </row>
    <row r="205" spans="1:47" x14ac:dyDescent="0.25">
      <c r="A205" t="s">
        <v>46</v>
      </c>
      <c r="B205" t="s">
        <v>810</v>
      </c>
      <c r="C205" t="s">
        <v>811</v>
      </c>
      <c r="D205" t="s">
        <v>812</v>
      </c>
      <c r="E205" s="11">
        <v>20</v>
      </c>
      <c r="F205" s="11">
        <v>20</v>
      </c>
      <c r="G205" s="11">
        <v>46.8</v>
      </c>
      <c r="H205" s="11">
        <v>3</v>
      </c>
      <c r="I205" s="13">
        <f t="shared" si="34"/>
        <v>89.8</v>
      </c>
      <c r="J205" s="11">
        <v>0</v>
      </c>
      <c r="K205" s="11">
        <v>0</v>
      </c>
      <c r="L205" s="11">
        <v>0</v>
      </c>
      <c r="M205" s="13">
        <f t="shared" si="35"/>
        <v>0</v>
      </c>
      <c r="N205" s="11">
        <v>0</v>
      </c>
      <c r="O205" s="11">
        <v>0</v>
      </c>
      <c r="P205" s="11">
        <v>0</v>
      </c>
      <c r="Q205" s="11">
        <v>0</v>
      </c>
      <c r="R205" s="13">
        <f t="shared" si="36"/>
        <v>0</v>
      </c>
      <c r="S205">
        <v>0</v>
      </c>
      <c r="T205">
        <v>0</v>
      </c>
      <c r="U205" s="7">
        <f t="shared" si="37"/>
        <v>0</v>
      </c>
      <c r="V205">
        <v>0</v>
      </c>
      <c r="W205">
        <v>0</v>
      </c>
      <c r="X205">
        <v>0</v>
      </c>
      <c r="Y205">
        <v>0</v>
      </c>
      <c r="Z205" s="13">
        <f t="shared" si="38"/>
        <v>0</v>
      </c>
      <c r="AA205">
        <v>15</v>
      </c>
      <c r="AB205">
        <v>50</v>
      </c>
      <c r="AC205">
        <v>15</v>
      </c>
      <c r="AD205">
        <v>20</v>
      </c>
      <c r="AE205" s="7">
        <f t="shared" si="39"/>
        <v>100</v>
      </c>
      <c r="AF205">
        <v>0</v>
      </c>
      <c r="AG205">
        <v>0</v>
      </c>
      <c r="AH205">
        <v>0</v>
      </c>
      <c r="AI205" s="13">
        <f t="shared" si="40"/>
        <v>0</v>
      </c>
      <c r="AJ205" s="11" t="s">
        <v>51</v>
      </c>
      <c r="AK205" s="11" t="s">
        <v>51</v>
      </c>
      <c r="AL205" s="11" t="s">
        <v>51</v>
      </c>
      <c r="AM205" s="13">
        <f t="shared" si="41"/>
        <v>0</v>
      </c>
      <c r="AN205" s="18">
        <v>25</v>
      </c>
      <c r="AO205" s="18">
        <v>15</v>
      </c>
      <c r="AP205" s="18">
        <v>0</v>
      </c>
      <c r="AQ205" s="18">
        <v>0</v>
      </c>
      <c r="AR205" s="18">
        <f t="shared" si="42"/>
        <v>40</v>
      </c>
      <c r="AS205" t="s">
        <v>52</v>
      </c>
      <c r="AT205" s="9">
        <v>93.625</v>
      </c>
      <c r="AU205" s="30">
        <f>+((AN205*I205)+(AO205*AE205)+(AQ205*AI205)+(AP205*AM205))/AR205</f>
        <v>93.625</v>
      </c>
    </row>
    <row r="206" spans="1:47" x14ac:dyDescent="0.25">
      <c r="A206" t="s">
        <v>46</v>
      </c>
      <c r="B206" t="s">
        <v>814</v>
      </c>
      <c r="C206" t="s">
        <v>815</v>
      </c>
      <c r="D206" t="s">
        <v>816</v>
      </c>
      <c r="E206" s="11">
        <v>25</v>
      </c>
      <c r="F206" s="11">
        <v>0</v>
      </c>
      <c r="G206" s="11">
        <v>52.512500000000003</v>
      </c>
      <c r="H206" s="11">
        <v>3.125</v>
      </c>
      <c r="I206" s="13">
        <f t="shared" si="34"/>
        <v>80.637500000000003</v>
      </c>
      <c r="J206" s="11">
        <v>0</v>
      </c>
      <c r="K206" s="11">
        <v>0</v>
      </c>
      <c r="L206" s="11">
        <v>0</v>
      </c>
      <c r="M206" s="13">
        <f t="shared" si="35"/>
        <v>0</v>
      </c>
      <c r="N206" s="11">
        <v>0</v>
      </c>
      <c r="O206" s="11">
        <v>0</v>
      </c>
      <c r="P206" s="11">
        <v>0</v>
      </c>
      <c r="Q206" s="11">
        <v>0</v>
      </c>
      <c r="R206" s="13">
        <f t="shared" si="36"/>
        <v>0</v>
      </c>
      <c r="S206">
        <v>0</v>
      </c>
      <c r="T206">
        <v>0</v>
      </c>
      <c r="U206" s="7">
        <f t="shared" si="37"/>
        <v>0</v>
      </c>
      <c r="V206">
        <v>0</v>
      </c>
      <c r="W206">
        <v>0</v>
      </c>
      <c r="X206">
        <v>0</v>
      </c>
      <c r="Y206">
        <v>0</v>
      </c>
      <c r="Z206" s="13">
        <f t="shared" si="38"/>
        <v>0</v>
      </c>
      <c r="AA206">
        <v>0</v>
      </c>
      <c r="AB206">
        <v>0</v>
      </c>
      <c r="AC206">
        <v>0</v>
      </c>
      <c r="AD206">
        <v>0</v>
      </c>
      <c r="AE206" s="7">
        <f t="shared" si="39"/>
        <v>0</v>
      </c>
      <c r="AF206">
        <v>0</v>
      </c>
      <c r="AG206">
        <v>0</v>
      </c>
      <c r="AH206">
        <v>0</v>
      </c>
      <c r="AI206" s="13">
        <f t="shared" si="40"/>
        <v>0</v>
      </c>
      <c r="AJ206" s="11" t="s">
        <v>51</v>
      </c>
      <c r="AK206" s="11" t="s">
        <v>51</v>
      </c>
      <c r="AL206" s="11" t="s">
        <v>51</v>
      </c>
      <c r="AM206" s="13">
        <f t="shared" si="41"/>
        <v>0</v>
      </c>
      <c r="AN206" s="18">
        <v>10</v>
      </c>
      <c r="AO206" s="18">
        <v>0</v>
      </c>
      <c r="AP206" s="18">
        <v>0</v>
      </c>
      <c r="AQ206" s="18">
        <v>0</v>
      </c>
      <c r="AR206" s="18">
        <f t="shared" si="42"/>
        <v>10</v>
      </c>
      <c r="AS206" t="s">
        <v>52</v>
      </c>
      <c r="AT206" s="9">
        <v>80.637500000000003</v>
      </c>
      <c r="AU206" s="30">
        <f>+((AN206*I206)+(AO206*AE206)+(AQ206*AI206)+(AP206*AM206))/AR206</f>
        <v>80.637500000000003</v>
      </c>
    </row>
    <row r="207" spans="1:47" x14ac:dyDescent="0.25">
      <c r="A207" t="s">
        <v>46</v>
      </c>
      <c r="B207" t="s">
        <v>818</v>
      </c>
      <c r="C207" t="s">
        <v>819</v>
      </c>
      <c r="D207" t="s">
        <v>820</v>
      </c>
      <c r="E207" s="11">
        <v>0</v>
      </c>
      <c r="F207" s="11">
        <v>0</v>
      </c>
      <c r="G207" s="11">
        <v>74.7</v>
      </c>
      <c r="H207" s="11">
        <v>4.1666666666666661</v>
      </c>
      <c r="I207" s="13">
        <f t="shared" si="34"/>
        <v>78.866666666666674</v>
      </c>
      <c r="J207" s="11">
        <v>0</v>
      </c>
      <c r="K207" s="11">
        <v>0</v>
      </c>
      <c r="L207" s="11">
        <v>0</v>
      </c>
      <c r="M207" s="13">
        <f t="shared" si="35"/>
        <v>0</v>
      </c>
      <c r="N207" s="11">
        <v>0</v>
      </c>
      <c r="O207" s="11">
        <v>0</v>
      </c>
      <c r="P207" s="11">
        <v>0</v>
      </c>
      <c r="Q207" s="11">
        <v>0</v>
      </c>
      <c r="R207" s="13">
        <f t="shared" si="36"/>
        <v>0</v>
      </c>
      <c r="S207">
        <v>0</v>
      </c>
      <c r="T207">
        <v>0</v>
      </c>
      <c r="U207" s="7">
        <f t="shared" si="37"/>
        <v>0</v>
      </c>
      <c r="V207">
        <v>0</v>
      </c>
      <c r="W207">
        <v>0</v>
      </c>
      <c r="X207">
        <v>0</v>
      </c>
      <c r="Y207">
        <v>0</v>
      </c>
      <c r="Z207" s="13">
        <f t="shared" si="38"/>
        <v>0</v>
      </c>
      <c r="AA207">
        <v>0</v>
      </c>
      <c r="AB207">
        <v>0</v>
      </c>
      <c r="AC207">
        <v>0</v>
      </c>
      <c r="AD207">
        <v>0</v>
      </c>
      <c r="AE207" s="7">
        <f t="shared" si="39"/>
        <v>0</v>
      </c>
      <c r="AF207">
        <v>0</v>
      </c>
      <c r="AG207">
        <v>0</v>
      </c>
      <c r="AH207">
        <v>0</v>
      </c>
      <c r="AI207" s="13">
        <f t="shared" si="40"/>
        <v>0</v>
      </c>
      <c r="AJ207" s="11" t="s">
        <v>51</v>
      </c>
      <c r="AK207" s="11" t="s">
        <v>51</v>
      </c>
      <c r="AL207" s="11" t="s">
        <v>51</v>
      </c>
      <c r="AM207" s="13">
        <f t="shared" si="41"/>
        <v>0</v>
      </c>
      <c r="AN207" s="18">
        <v>2</v>
      </c>
      <c r="AO207" s="18">
        <v>0</v>
      </c>
      <c r="AP207" s="18">
        <v>0</v>
      </c>
      <c r="AQ207" s="18">
        <v>0</v>
      </c>
      <c r="AR207" s="18">
        <f t="shared" si="42"/>
        <v>2</v>
      </c>
      <c r="AS207" t="s">
        <v>52</v>
      </c>
      <c r="AT207" s="9">
        <v>78.866666666666674</v>
      </c>
      <c r="AU207" s="30">
        <f>+((AN207*I207)+(AO207*AE207)+(AQ207*AI207)+(AP207*AM207))/AR207</f>
        <v>78.866666666666674</v>
      </c>
    </row>
    <row r="208" spans="1:47" x14ac:dyDescent="0.25">
      <c r="A208" t="s">
        <v>46</v>
      </c>
      <c r="B208" s="32" t="s">
        <v>821</v>
      </c>
      <c r="C208" s="32" t="s">
        <v>822</v>
      </c>
      <c r="D208" s="32" t="s">
        <v>823</v>
      </c>
      <c r="E208" s="11">
        <v>0</v>
      </c>
      <c r="F208" s="11">
        <v>0</v>
      </c>
      <c r="G208" s="11">
        <v>0</v>
      </c>
      <c r="H208" s="11">
        <v>0</v>
      </c>
      <c r="I208" s="13">
        <f t="shared" si="34"/>
        <v>0</v>
      </c>
      <c r="J208" s="11">
        <v>0</v>
      </c>
      <c r="K208" s="11">
        <v>0</v>
      </c>
      <c r="L208" s="11">
        <v>0</v>
      </c>
      <c r="M208" s="13">
        <f t="shared" si="35"/>
        <v>0</v>
      </c>
      <c r="N208" s="11">
        <v>57.925000000000004</v>
      </c>
      <c r="O208" s="11">
        <v>3.125</v>
      </c>
      <c r="P208" s="11">
        <v>0</v>
      </c>
      <c r="Q208" s="11">
        <v>24.024999999999999</v>
      </c>
      <c r="R208" s="13">
        <f t="shared" si="36"/>
        <v>85.075000000000003</v>
      </c>
      <c r="S208">
        <v>0</v>
      </c>
      <c r="T208">
        <v>0</v>
      </c>
      <c r="U208" s="7">
        <f t="shared" si="37"/>
        <v>0</v>
      </c>
      <c r="V208">
        <v>0</v>
      </c>
      <c r="W208">
        <v>0</v>
      </c>
      <c r="X208">
        <v>0</v>
      </c>
      <c r="Y208">
        <v>0</v>
      </c>
      <c r="Z208" s="13">
        <f t="shared" si="38"/>
        <v>0</v>
      </c>
      <c r="AA208">
        <v>0</v>
      </c>
      <c r="AB208">
        <v>0</v>
      </c>
      <c r="AC208">
        <v>0</v>
      </c>
      <c r="AD208">
        <v>0</v>
      </c>
      <c r="AE208" s="7">
        <f t="shared" si="39"/>
        <v>0</v>
      </c>
      <c r="AF208">
        <v>0</v>
      </c>
      <c r="AG208">
        <v>0</v>
      </c>
      <c r="AH208">
        <v>0</v>
      </c>
      <c r="AI208" s="13">
        <f t="shared" si="40"/>
        <v>0</v>
      </c>
      <c r="AJ208" s="11" t="s">
        <v>51</v>
      </c>
      <c r="AK208" s="11" t="s">
        <v>51</v>
      </c>
      <c r="AL208" s="11" t="s">
        <v>51</v>
      </c>
      <c r="AM208" s="13">
        <f t="shared" si="41"/>
        <v>0</v>
      </c>
      <c r="AN208" s="18">
        <v>7</v>
      </c>
      <c r="AO208" s="18">
        <v>0</v>
      </c>
      <c r="AP208" s="18">
        <v>0</v>
      </c>
      <c r="AQ208" s="18">
        <v>0</v>
      </c>
      <c r="AR208" s="18">
        <f t="shared" si="42"/>
        <v>7</v>
      </c>
      <c r="AS208" t="s">
        <v>117</v>
      </c>
      <c r="AT208" s="9">
        <v>85.075000000000003</v>
      </c>
      <c r="AU208" s="11">
        <f>+((AN208*R208)+(AQ208*AI208)+(AP208*AM208))/AR208</f>
        <v>85.075000000000003</v>
      </c>
    </row>
    <row r="209" spans="1:47" x14ac:dyDescent="0.25">
      <c r="A209" t="s">
        <v>46</v>
      </c>
      <c r="B209" s="32" t="s">
        <v>825</v>
      </c>
      <c r="C209" s="32" t="s">
        <v>826</v>
      </c>
      <c r="D209" s="32" t="s">
        <v>827</v>
      </c>
      <c r="E209" s="11">
        <v>0</v>
      </c>
      <c r="F209" s="11">
        <v>0</v>
      </c>
      <c r="G209" s="11">
        <v>0</v>
      </c>
      <c r="H209" s="11">
        <v>0</v>
      </c>
      <c r="I209" s="13">
        <f t="shared" si="34"/>
        <v>0</v>
      </c>
      <c r="J209" s="11">
        <v>0</v>
      </c>
      <c r="K209" s="11">
        <v>0</v>
      </c>
      <c r="L209" s="11">
        <v>0</v>
      </c>
      <c r="M209" s="13">
        <f t="shared" si="35"/>
        <v>0</v>
      </c>
      <c r="N209" s="11">
        <v>59.95</v>
      </c>
      <c r="O209" s="11">
        <v>5.625</v>
      </c>
      <c r="P209" s="11">
        <v>0</v>
      </c>
      <c r="Q209" s="11">
        <v>23.75</v>
      </c>
      <c r="R209" s="13">
        <f t="shared" si="36"/>
        <v>89.325000000000003</v>
      </c>
      <c r="S209">
        <v>0</v>
      </c>
      <c r="T209">
        <v>0</v>
      </c>
      <c r="U209" s="7">
        <f t="shared" si="37"/>
        <v>0</v>
      </c>
      <c r="V209">
        <v>0</v>
      </c>
      <c r="W209">
        <v>0</v>
      </c>
      <c r="X209">
        <v>0</v>
      </c>
      <c r="Y209">
        <v>0</v>
      </c>
      <c r="Z209" s="13">
        <f t="shared" si="38"/>
        <v>0</v>
      </c>
      <c r="AA209">
        <v>0</v>
      </c>
      <c r="AB209">
        <v>0</v>
      </c>
      <c r="AC209">
        <v>0</v>
      </c>
      <c r="AD209">
        <v>0</v>
      </c>
      <c r="AE209" s="7">
        <f t="shared" si="39"/>
        <v>0</v>
      </c>
      <c r="AF209">
        <v>0</v>
      </c>
      <c r="AG209">
        <v>0</v>
      </c>
      <c r="AH209">
        <v>0</v>
      </c>
      <c r="AI209" s="13">
        <f t="shared" si="40"/>
        <v>0</v>
      </c>
      <c r="AJ209" s="11" t="s">
        <v>51</v>
      </c>
      <c r="AK209" s="11" t="s">
        <v>51</v>
      </c>
      <c r="AL209" s="11" t="s">
        <v>51</v>
      </c>
      <c r="AM209" s="13">
        <f t="shared" si="41"/>
        <v>0</v>
      </c>
      <c r="AN209" s="18">
        <v>4</v>
      </c>
      <c r="AO209" s="18">
        <v>0</v>
      </c>
      <c r="AP209" s="18">
        <v>0</v>
      </c>
      <c r="AQ209" s="18">
        <v>0</v>
      </c>
      <c r="AR209" s="18">
        <f t="shared" si="42"/>
        <v>4</v>
      </c>
      <c r="AS209" t="s">
        <v>117</v>
      </c>
      <c r="AT209" s="9">
        <v>89.325000000000003</v>
      </c>
      <c r="AU209" s="11">
        <f>+((AN209*R209)+(AQ209*AI209)+(AP209*AM209))/AR209</f>
        <v>89.325000000000003</v>
      </c>
    </row>
    <row r="210" spans="1:47" x14ac:dyDescent="0.25">
      <c r="A210" t="s">
        <v>46</v>
      </c>
      <c r="B210" t="s">
        <v>829</v>
      </c>
      <c r="C210" t="s">
        <v>830</v>
      </c>
      <c r="D210" t="s">
        <v>831</v>
      </c>
      <c r="E210" s="11">
        <v>24.162500000000001</v>
      </c>
      <c r="F210" s="11">
        <v>0</v>
      </c>
      <c r="G210" s="11">
        <v>59.174999999999997</v>
      </c>
      <c r="H210" s="11">
        <v>5.625</v>
      </c>
      <c r="I210" s="13">
        <f t="shared" si="34"/>
        <v>88.962500000000006</v>
      </c>
      <c r="J210" s="11">
        <v>0</v>
      </c>
      <c r="K210" s="11">
        <v>0</v>
      </c>
      <c r="L210" s="11">
        <v>0</v>
      </c>
      <c r="M210" s="13">
        <f t="shared" si="35"/>
        <v>0</v>
      </c>
      <c r="N210" s="11">
        <v>0</v>
      </c>
      <c r="O210" s="11">
        <v>0</v>
      </c>
      <c r="P210" s="11">
        <v>0</v>
      </c>
      <c r="Q210" s="11">
        <v>0</v>
      </c>
      <c r="R210" s="13">
        <f t="shared" si="36"/>
        <v>0</v>
      </c>
      <c r="S210">
        <v>0</v>
      </c>
      <c r="T210">
        <v>0</v>
      </c>
      <c r="U210" s="7">
        <f t="shared" si="37"/>
        <v>0</v>
      </c>
      <c r="V210">
        <v>0</v>
      </c>
      <c r="W210">
        <v>0</v>
      </c>
      <c r="X210">
        <v>0</v>
      </c>
      <c r="Y210">
        <v>0</v>
      </c>
      <c r="Z210" s="13">
        <f t="shared" si="38"/>
        <v>0</v>
      </c>
      <c r="AA210">
        <v>0</v>
      </c>
      <c r="AB210">
        <v>0</v>
      </c>
      <c r="AC210">
        <v>0</v>
      </c>
      <c r="AD210">
        <v>0</v>
      </c>
      <c r="AE210" s="7">
        <f t="shared" si="39"/>
        <v>0</v>
      </c>
      <c r="AF210">
        <v>0</v>
      </c>
      <c r="AG210">
        <v>0</v>
      </c>
      <c r="AH210">
        <v>0</v>
      </c>
      <c r="AI210" s="13">
        <f t="shared" si="40"/>
        <v>0</v>
      </c>
      <c r="AJ210" s="11" t="s">
        <v>51</v>
      </c>
      <c r="AK210" s="11" t="s">
        <v>51</v>
      </c>
      <c r="AL210" s="11" t="s">
        <v>51</v>
      </c>
      <c r="AM210" s="13">
        <f t="shared" si="41"/>
        <v>0</v>
      </c>
      <c r="AN210" s="18">
        <v>7</v>
      </c>
      <c r="AO210" s="18">
        <v>0</v>
      </c>
      <c r="AP210" s="18">
        <v>0</v>
      </c>
      <c r="AQ210" s="18">
        <v>0</v>
      </c>
      <c r="AR210" s="18">
        <f t="shared" si="42"/>
        <v>7</v>
      </c>
      <c r="AS210" t="s">
        <v>52</v>
      </c>
      <c r="AT210" s="9">
        <v>88.962500000000006</v>
      </c>
      <c r="AU210" s="30">
        <f>+((AN210*I210)+(AO210*AE210)+(AQ210*AI210)+(AP210*AM210))/AR210</f>
        <v>88.962500000000006</v>
      </c>
    </row>
    <row r="211" spans="1:47" x14ac:dyDescent="0.25">
      <c r="A211" t="s">
        <v>46</v>
      </c>
      <c r="B211" t="s">
        <v>833</v>
      </c>
      <c r="C211" t="s">
        <v>834</v>
      </c>
      <c r="D211" t="s">
        <v>835</v>
      </c>
      <c r="E211" s="11">
        <v>25</v>
      </c>
      <c r="F211" s="11">
        <v>0</v>
      </c>
      <c r="G211" s="11">
        <v>52.7</v>
      </c>
      <c r="H211" s="11">
        <v>6.25</v>
      </c>
      <c r="I211" s="13">
        <f t="shared" si="34"/>
        <v>83.95</v>
      </c>
      <c r="J211" s="11">
        <v>0</v>
      </c>
      <c r="K211" s="11">
        <v>0</v>
      </c>
      <c r="L211" s="11">
        <v>0</v>
      </c>
      <c r="M211" s="13">
        <f t="shared" si="35"/>
        <v>0</v>
      </c>
      <c r="N211" s="11">
        <v>0</v>
      </c>
      <c r="O211" s="11">
        <v>0</v>
      </c>
      <c r="P211" s="11">
        <v>0</v>
      </c>
      <c r="Q211" s="11">
        <v>0</v>
      </c>
      <c r="R211" s="13">
        <f t="shared" si="36"/>
        <v>0</v>
      </c>
      <c r="S211">
        <v>0</v>
      </c>
      <c r="T211">
        <v>0</v>
      </c>
      <c r="U211" s="7">
        <f t="shared" si="37"/>
        <v>0</v>
      </c>
      <c r="V211">
        <v>0</v>
      </c>
      <c r="W211">
        <v>0</v>
      </c>
      <c r="X211">
        <v>0</v>
      </c>
      <c r="Y211">
        <v>0</v>
      </c>
      <c r="Z211" s="13">
        <f t="shared" si="38"/>
        <v>0</v>
      </c>
      <c r="AA211">
        <v>0</v>
      </c>
      <c r="AB211">
        <v>0</v>
      </c>
      <c r="AC211">
        <v>0</v>
      </c>
      <c r="AD211">
        <v>0</v>
      </c>
      <c r="AE211" s="7">
        <f t="shared" si="39"/>
        <v>0</v>
      </c>
      <c r="AF211">
        <v>0</v>
      </c>
      <c r="AG211">
        <v>0</v>
      </c>
      <c r="AH211">
        <v>0</v>
      </c>
      <c r="AI211" s="13">
        <f t="shared" si="40"/>
        <v>0</v>
      </c>
      <c r="AJ211" s="11">
        <v>20</v>
      </c>
      <c r="AK211" s="11">
        <v>30</v>
      </c>
      <c r="AL211" s="11">
        <v>29.8</v>
      </c>
      <c r="AM211" s="13">
        <f t="shared" si="41"/>
        <v>79.8</v>
      </c>
      <c r="AN211" s="18">
        <v>36</v>
      </c>
      <c r="AO211" s="18">
        <v>0</v>
      </c>
      <c r="AP211" s="18">
        <v>4</v>
      </c>
      <c r="AQ211" s="18">
        <v>0</v>
      </c>
      <c r="AR211" s="18">
        <f t="shared" si="42"/>
        <v>40</v>
      </c>
      <c r="AS211" t="s">
        <v>52</v>
      </c>
      <c r="AT211" s="9">
        <v>83.534999999999997</v>
      </c>
      <c r="AU211" s="30">
        <f>+((AN211*I211)+(AO211*AE211)+(AQ211*AI211)+(AP211*AM211))/AR211</f>
        <v>83.534999999999997</v>
      </c>
    </row>
    <row r="212" spans="1:47" x14ac:dyDescent="0.25">
      <c r="A212" t="s">
        <v>46</v>
      </c>
      <c r="B212" t="s">
        <v>837</v>
      </c>
      <c r="C212" t="s">
        <v>838</v>
      </c>
      <c r="D212" t="s">
        <v>839</v>
      </c>
      <c r="E212" s="11">
        <v>0</v>
      </c>
      <c r="F212" s="11">
        <v>0</v>
      </c>
      <c r="G212" s="11">
        <v>0</v>
      </c>
      <c r="H212" s="11">
        <v>0</v>
      </c>
      <c r="I212" s="13">
        <f t="shared" si="34"/>
        <v>0</v>
      </c>
      <c r="J212" s="11">
        <v>70.871428571428567</v>
      </c>
      <c r="K212" s="11">
        <v>0</v>
      </c>
      <c r="L212" s="11">
        <v>3.5714285714285712</v>
      </c>
      <c r="M212" s="13">
        <f t="shared" si="35"/>
        <v>74.442857142857136</v>
      </c>
      <c r="N212" s="11">
        <v>0</v>
      </c>
      <c r="O212" s="11">
        <v>0</v>
      </c>
      <c r="P212" s="11">
        <v>0</v>
      </c>
      <c r="Q212" s="11">
        <v>0</v>
      </c>
      <c r="R212" s="13">
        <f t="shared" si="36"/>
        <v>0</v>
      </c>
      <c r="S212">
        <v>0</v>
      </c>
      <c r="T212">
        <v>0</v>
      </c>
      <c r="U212" s="7">
        <f t="shared" si="37"/>
        <v>0</v>
      </c>
      <c r="V212">
        <v>0</v>
      </c>
      <c r="W212">
        <v>0</v>
      </c>
      <c r="X212">
        <v>0</v>
      </c>
      <c r="Y212">
        <v>0</v>
      </c>
      <c r="Z212" s="13">
        <f t="shared" si="38"/>
        <v>0</v>
      </c>
      <c r="AA212">
        <v>0</v>
      </c>
      <c r="AB212">
        <v>0</v>
      </c>
      <c r="AC212">
        <v>0</v>
      </c>
      <c r="AD212">
        <v>0</v>
      </c>
      <c r="AE212" s="7">
        <f t="shared" si="39"/>
        <v>0</v>
      </c>
      <c r="AF212">
        <v>0</v>
      </c>
      <c r="AG212">
        <v>0</v>
      </c>
      <c r="AH212">
        <v>0</v>
      </c>
      <c r="AI212" s="13">
        <f t="shared" si="40"/>
        <v>0</v>
      </c>
      <c r="AJ212" s="11" t="s">
        <v>51</v>
      </c>
      <c r="AK212" s="11" t="s">
        <v>51</v>
      </c>
      <c r="AL212" s="11" t="s">
        <v>51</v>
      </c>
      <c r="AM212" s="13">
        <f t="shared" si="41"/>
        <v>0</v>
      </c>
      <c r="AN212" s="18">
        <v>2.125</v>
      </c>
      <c r="AO212" s="18">
        <v>0</v>
      </c>
      <c r="AP212" s="18">
        <v>0</v>
      </c>
      <c r="AQ212" s="18">
        <v>0</v>
      </c>
      <c r="AR212" s="18">
        <f t="shared" si="42"/>
        <v>2.125</v>
      </c>
      <c r="AS212" t="s">
        <v>87</v>
      </c>
      <c r="AT212" s="9">
        <v>74.442857142857136</v>
      </c>
      <c r="AU212" s="30">
        <f>+((AN212*M212)/AR212)</f>
        <v>74.442857142857136</v>
      </c>
    </row>
    <row r="213" spans="1:47" x14ac:dyDescent="0.25">
      <c r="A213" t="s">
        <v>46</v>
      </c>
      <c r="B213" t="s">
        <v>841</v>
      </c>
      <c r="C213" t="s">
        <v>842</v>
      </c>
      <c r="D213" t="s">
        <v>843</v>
      </c>
      <c r="E213" s="11">
        <v>24.024999999999999</v>
      </c>
      <c r="F213" s="11">
        <v>0</v>
      </c>
      <c r="G213" s="11">
        <v>57.3125</v>
      </c>
      <c r="H213" s="11">
        <v>8.75</v>
      </c>
      <c r="I213" s="13">
        <f t="shared" si="34"/>
        <v>90.087500000000006</v>
      </c>
      <c r="J213" s="11">
        <v>0</v>
      </c>
      <c r="K213" s="11">
        <v>0</v>
      </c>
      <c r="L213" s="11">
        <v>0</v>
      </c>
      <c r="M213" s="13">
        <f t="shared" si="35"/>
        <v>0</v>
      </c>
      <c r="N213" s="11">
        <v>0</v>
      </c>
      <c r="O213" s="11">
        <v>0</v>
      </c>
      <c r="P213" s="11">
        <v>0</v>
      </c>
      <c r="Q213" s="11">
        <v>0</v>
      </c>
      <c r="R213" s="13">
        <f t="shared" si="36"/>
        <v>0</v>
      </c>
      <c r="S213">
        <v>0</v>
      </c>
      <c r="T213">
        <v>0</v>
      </c>
      <c r="U213" s="7">
        <f t="shared" si="37"/>
        <v>0</v>
      </c>
      <c r="V213">
        <v>0</v>
      </c>
      <c r="W213">
        <v>0</v>
      </c>
      <c r="X213">
        <v>0</v>
      </c>
      <c r="Y213">
        <v>0</v>
      </c>
      <c r="Z213" s="13">
        <f t="shared" si="38"/>
        <v>0</v>
      </c>
      <c r="AA213">
        <v>0</v>
      </c>
      <c r="AB213">
        <v>0</v>
      </c>
      <c r="AC213">
        <v>0</v>
      </c>
      <c r="AD213">
        <v>0</v>
      </c>
      <c r="AE213" s="7">
        <f t="shared" si="39"/>
        <v>0</v>
      </c>
      <c r="AF213">
        <v>0</v>
      </c>
      <c r="AG213">
        <v>0</v>
      </c>
      <c r="AH213">
        <v>0</v>
      </c>
      <c r="AI213" s="13">
        <f t="shared" si="40"/>
        <v>0</v>
      </c>
      <c r="AJ213" s="11" t="s">
        <v>51</v>
      </c>
      <c r="AK213" s="11" t="s">
        <v>51</v>
      </c>
      <c r="AL213" s="11" t="s">
        <v>51</v>
      </c>
      <c r="AM213" s="13">
        <f t="shared" si="41"/>
        <v>0</v>
      </c>
      <c r="AN213" s="18">
        <v>9</v>
      </c>
      <c r="AO213" s="18">
        <v>0</v>
      </c>
      <c r="AP213" s="18">
        <v>0</v>
      </c>
      <c r="AQ213" s="18">
        <v>0</v>
      </c>
      <c r="AR213" s="18">
        <f t="shared" si="42"/>
        <v>9</v>
      </c>
      <c r="AS213" t="s">
        <v>52</v>
      </c>
      <c r="AT213" s="9">
        <v>90.087500000000006</v>
      </c>
      <c r="AU213" s="30">
        <f>+((AN213*I213)+(AO213*AE213)+(AQ213*AI213)+(AP213*AM213))/AR213</f>
        <v>90.087500000000006</v>
      </c>
    </row>
    <row r="214" spans="1:47" x14ac:dyDescent="0.25">
      <c r="A214" t="s">
        <v>46</v>
      </c>
      <c r="B214" t="s">
        <v>845</v>
      </c>
      <c r="C214" t="s">
        <v>846</v>
      </c>
      <c r="D214" t="s">
        <v>847</v>
      </c>
      <c r="E214" s="11">
        <v>0</v>
      </c>
      <c r="F214" s="11">
        <v>0</v>
      </c>
      <c r="G214" s="11">
        <v>0</v>
      </c>
      <c r="H214" s="11">
        <v>0</v>
      </c>
      <c r="I214" s="13">
        <f t="shared" si="34"/>
        <v>0</v>
      </c>
      <c r="J214" s="11">
        <v>0</v>
      </c>
      <c r="K214" s="11">
        <v>0</v>
      </c>
      <c r="L214" s="11">
        <v>0</v>
      </c>
      <c r="M214" s="13">
        <f t="shared" si="35"/>
        <v>0</v>
      </c>
      <c r="N214" s="11">
        <v>0</v>
      </c>
      <c r="O214" s="11">
        <v>0</v>
      </c>
      <c r="P214" s="11">
        <v>0</v>
      </c>
      <c r="Q214" s="11">
        <v>0</v>
      </c>
      <c r="R214" s="13">
        <f t="shared" si="36"/>
        <v>0</v>
      </c>
      <c r="S214">
        <v>0</v>
      </c>
      <c r="T214">
        <v>0</v>
      </c>
      <c r="U214" s="7">
        <f t="shared" si="37"/>
        <v>0</v>
      </c>
      <c r="V214">
        <v>2.5</v>
      </c>
      <c r="W214">
        <v>19.670000000000002</v>
      </c>
      <c r="X214">
        <v>40.229999999999997</v>
      </c>
      <c r="Y214">
        <v>17.329999999999998</v>
      </c>
      <c r="Z214" s="13">
        <f t="shared" si="38"/>
        <v>79.72999999999999</v>
      </c>
      <c r="AA214">
        <v>0</v>
      </c>
      <c r="AB214">
        <v>0</v>
      </c>
      <c r="AC214">
        <v>0</v>
      </c>
      <c r="AD214">
        <v>0</v>
      </c>
      <c r="AE214" s="7">
        <f t="shared" si="39"/>
        <v>0</v>
      </c>
      <c r="AF214">
        <v>0</v>
      </c>
      <c r="AG214">
        <v>0</v>
      </c>
      <c r="AH214">
        <v>0</v>
      </c>
      <c r="AI214" s="13">
        <f t="shared" si="40"/>
        <v>0</v>
      </c>
      <c r="AJ214" s="11" t="s">
        <v>51</v>
      </c>
      <c r="AK214" s="11" t="s">
        <v>51</v>
      </c>
      <c r="AL214" s="11" t="s">
        <v>51</v>
      </c>
      <c r="AM214" s="13">
        <f t="shared" si="41"/>
        <v>0</v>
      </c>
      <c r="AN214" s="18">
        <v>4</v>
      </c>
      <c r="AO214" s="18">
        <v>0</v>
      </c>
      <c r="AP214" s="18">
        <v>0</v>
      </c>
      <c r="AQ214" s="18">
        <v>0</v>
      </c>
      <c r="AR214" s="18">
        <f t="shared" si="42"/>
        <v>4</v>
      </c>
      <c r="AS214" t="s">
        <v>52</v>
      </c>
      <c r="AT214" s="9">
        <v>79.72999999999999</v>
      </c>
      <c r="AU214" s="30">
        <f>+((Z214*AN214)/AR214)</f>
        <v>79.72999999999999</v>
      </c>
    </row>
    <row r="215" spans="1:47" x14ac:dyDescent="0.25">
      <c r="A215" t="s">
        <v>46</v>
      </c>
      <c r="B215" t="s">
        <v>849</v>
      </c>
      <c r="C215" t="s">
        <v>850</v>
      </c>
      <c r="D215" t="s">
        <v>851</v>
      </c>
      <c r="E215" s="11">
        <v>20</v>
      </c>
      <c r="F215" s="11">
        <v>19.329999999999998</v>
      </c>
      <c r="G215" s="11">
        <v>47.2</v>
      </c>
      <c r="H215" s="11">
        <v>5.5</v>
      </c>
      <c r="I215" s="13">
        <f t="shared" si="34"/>
        <v>92.03</v>
      </c>
      <c r="J215" s="11">
        <v>0</v>
      </c>
      <c r="K215" s="11">
        <v>0</v>
      </c>
      <c r="L215" s="11">
        <v>0</v>
      </c>
      <c r="M215" s="13">
        <f t="shared" si="35"/>
        <v>0</v>
      </c>
      <c r="N215" s="11">
        <v>0</v>
      </c>
      <c r="O215" s="11">
        <v>0</v>
      </c>
      <c r="P215" s="11">
        <v>0</v>
      </c>
      <c r="Q215" s="11">
        <v>0</v>
      </c>
      <c r="R215" s="13">
        <f t="shared" si="36"/>
        <v>0</v>
      </c>
      <c r="S215">
        <v>0</v>
      </c>
      <c r="T215">
        <v>0</v>
      </c>
      <c r="U215" s="7">
        <f t="shared" si="37"/>
        <v>0</v>
      </c>
      <c r="V215">
        <v>0</v>
      </c>
      <c r="W215">
        <v>0</v>
      </c>
      <c r="X215">
        <v>0</v>
      </c>
      <c r="Y215">
        <v>0</v>
      </c>
      <c r="Z215" s="13">
        <f t="shared" si="38"/>
        <v>0</v>
      </c>
      <c r="AA215">
        <v>0</v>
      </c>
      <c r="AB215">
        <v>0</v>
      </c>
      <c r="AC215">
        <v>0</v>
      </c>
      <c r="AD215">
        <v>0</v>
      </c>
      <c r="AE215" s="7">
        <f t="shared" si="39"/>
        <v>0</v>
      </c>
      <c r="AF215">
        <v>0</v>
      </c>
      <c r="AG215">
        <v>0</v>
      </c>
      <c r="AH215">
        <v>0</v>
      </c>
      <c r="AI215" s="13">
        <f t="shared" si="40"/>
        <v>0</v>
      </c>
      <c r="AJ215" s="11" t="s">
        <v>51</v>
      </c>
      <c r="AK215" s="11" t="s">
        <v>51</v>
      </c>
      <c r="AL215" s="11" t="s">
        <v>51</v>
      </c>
      <c r="AM215" s="13">
        <f t="shared" si="41"/>
        <v>0</v>
      </c>
      <c r="AN215" s="18">
        <v>9</v>
      </c>
      <c r="AO215" s="18">
        <v>0</v>
      </c>
      <c r="AP215" s="18">
        <v>0</v>
      </c>
      <c r="AQ215" s="18">
        <v>0</v>
      </c>
      <c r="AR215" s="18">
        <f t="shared" si="42"/>
        <v>9</v>
      </c>
      <c r="AS215" t="s">
        <v>52</v>
      </c>
      <c r="AT215" s="9">
        <v>92.03</v>
      </c>
      <c r="AU215" s="30">
        <f>+((AN215*I215)+(AO215*AE215)+(AQ215*AI215)+(AP215*AM215))/AR215</f>
        <v>92.03</v>
      </c>
    </row>
    <row r="216" spans="1:47" x14ac:dyDescent="0.25">
      <c r="A216" t="s">
        <v>46</v>
      </c>
      <c r="B216" t="s">
        <v>853</v>
      </c>
      <c r="C216" t="s">
        <v>854</v>
      </c>
      <c r="D216" t="s">
        <v>855</v>
      </c>
      <c r="E216" s="11">
        <v>0</v>
      </c>
      <c r="F216" s="11">
        <v>25</v>
      </c>
      <c r="G216" s="11">
        <v>52.175000000000004</v>
      </c>
      <c r="H216" s="11">
        <v>3.125</v>
      </c>
      <c r="I216" s="13">
        <f t="shared" si="34"/>
        <v>80.300000000000011</v>
      </c>
      <c r="J216" s="11">
        <v>0</v>
      </c>
      <c r="K216" s="11">
        <v>0</v>
      </c>
      <c r="L216" s="11">
        <v>0</v>
      </c>
      <c r="M216" s="13">
        <f t="shared" si="35"/>
        <v>0</v>
      </c>
      <c r="N216" s="11">
        <v>55.5625</v>
      </c>
      <c r="O216" s="11">
        <v>3.125</v>
      </c>
      <c r="P216" s="11">
        <v>25</v>
      </c>
      <c r="Q216" s="11">
        <v>0</v>
      </c>
      <c r="R216" s="13">
        <f t="shared" si="36"/>
        <v>83.6875</v>
      </c>
      <c r="S216">
        <v>0</v>
      </c>
      <c r="T216">
        <v>0</v>
      </c>
      <c r="U216" s="7">
        <f t="shared" si="37"/>
        <v>0</v>
      </c>
      <c r="V216">
        <v>0</v>
      </c>
      <c r="W216">
        <v>0</v>
      </c>
      <c r="X216">
        <v>0</v>
      </c>
      <c r="Y216">
        <v>0</v>
      </c>
      <c r="Z216" s="13">
        <f t="shared" si="38"/>
        <v>0</v>
      </c>
      <c r="AA216">
        <v>15</v>
      </c>
      <c r="AB216">
        <v>21.25</v>
      </c>
      <c r="AC216">
        <v>13.12</v>
      </c>
      <c r="AD216">
        <v>18.75</v>
      </c>
      <c r="AE216" s="7">
        <f t="shared" si="39"/>
        <v>68.12</v>
      </c>
      <c r="AF216">
        <v>0</v>
      </c>
      <c r="AG216">
        <v>0</v>
      </c>
      <c r="AH216">
        <v>0</v>
      </c>
      <c r="AI216" s="13">
        <f t="shared" si="40"/>
        <v>0</v>
      </c>
      <c r="AJ216" s="11" t="s">
        <v>51</v>
      </c>
      <c r="AK216" s="11" t="s">
        <v>51</v>
      </c>
      <c r="AL216" s="11" t="s">
        <v>51</v>
      </c>
      <c r="AM216" s="13">
        <f t="shared" si="41"/>
        <v>0</v>
      </c>
      <c r="AN216" s="18">
        <v>32</v>
      </c>
      <c r="AO216" s="18">
        <v>5</v>
      </c>
      <c r="AP216" s="18">
        <v>0</v>
      </c>
      <c r="AQ216" s="18">
        <v>0</v>
      </c>
      <c r="AR216" s="18">
        <f t="shared" si="42"/>
        <v>37</v>
      </c>
      <c r="AS216" t="s">
        <v>52</v>
      </c>
      <c r="AT216" s="9">
        <v>78.654054054054058</v>
      </c>
      <c r="AU216" s="30">
        <f>+((AN216*I216)+(AO216*AE216)+(AQ216*AI216)+(AP216*AM216))/AR216</f>
        <v>78.654054054054058</v>
      </c>
    </row>
    <row r="217" spans="1:47" x14ac:dyDescent="0.25">
      <c r="A217" s="33" t="s">
        <v>46</v>
      </c>
      <c r="B217" s="32" t="s">
        <v>853</v>
      </c>
      <c r="C217" s="32" t="s">
        <v>854</v>
      </c>
      <c r="D217" s="32" t="s">
        <v>855</v>
      </c>
      <c r="E217" s="11">
        <v>0</v>
      </c>
      <c r="F217" s="11">
        <v>25</v>
      </c>
      <c r="G217" s="11">
        <v>52.175000000000004</v>
      </c>
      <c r="H217" s="11">
        <v>3.125</v>
      </c>
      <c r="I217" s="13">
        <f t="shared" si="34"/>
        <v>80.300000000000011</v>
      </c>
      <c r="J217" s="11">
        <v>0</v>
      </c>
      <c r="K217" s="11">
        <v>0</v>
      </c>
      <c r="L217" s="11">
        <v>0</v>
      </c>
      <c r="M217" s="13">
        <f t="shared" si="35"/>
        <v>0</v>
      </c>
      <c r="N217" s="11">
        <v>55.5625</v>
      </c>
      <c r="O217" s="11">
        <v>3.125</v>
      </c>
      <c r="P217" s="11">
        <v>25</v>
      </c>
      <c r="Q217" s="11">
        <v>0</v>
      </c>
      <c r="R217" s="13">
        <f t="shared" si="36"/>
        <v>83.6875</v>
      </c>
      <c r="S217">
        <v>0</v>
      </c>
      <c r="T217">
        <v>0</v>
      </c>
      <c r="U217" s="7">
        <f t="shared" si="37"/>
        <v>0</v>
      </c>
      <c r="V217">
        <v>0</v>
      </c>
      <c r="W217">
        <v>0</v>
      </c>
      <c r="X217">
        <v>0</v>
      </c>
      <c r="Y217">
        <v>0</v>
      </c>
      <c r="Z217" s="13">
        <f t="shared" si="38"/>
        <v>0</v>
      </c>
      <c r="AA217">
        <v>15</v>
      </c>
      <c r="AB217">
        <v>21.25</v>
      </c>
      <c r="AC217">
        <v>13.12</v>
      </c>
      <c r="AD217">
        <v>18.75</v>
      </c>
      <c r="AE217" s="7">
        <f t="shared" si="39"/>
        <v>68.12</v>
      </c>
      <c r="AF217">
        <v>0</v>
      </c>
      <c r="AG217">
        <v>0</v>
      </c>
      <c r="AH217">
        <v>0</v>
      </c>
      <c r="AI217" s="13">
        <f t="shared" si="40"/>
        <v>0</v>
      </c>
      <c r="AJ217" s="11" t="s">
        <v>51</v>
      </c>
      <c r="AK217" s="11" t="s">
        <v>51</v>
      </c>
      <c r="AL217" s="11" t="s">
        <v>51</v>
      </c>
      <c r="AM217" s="13">
        <f t="shared" si="41"/>
        <v>0</v>
      </c>
      <c r="AN217" s="18">
        <v>3</v>
      </c>
      <c r="AO217" s="18">
        <v>0</v>
      </c>
      <c r="AP217" s="18">
        <v>0</v>
      </c>
      <c r="AQ217" s="18">
        <v>0</v>
      </c>
      <c r="AR217" s="18">
        <f t="shared" si="42"/>
        <v>3</v>
      </c>
      <c r="AS217" t="s">
        <v>117</v>
      </c>
      <c r="AT217" s="9">
        <v>83.6875</v>
      </c>
      <c r="AU217" s="11">
        <f>+((AN217*R217)+(AQ217*AI217)+(AP217*AM217))/AR217</f>
        <v>83.6875</v>
      </c>
    </row>
    <row r="218" spans="1:47" x14ac:dyDescent="0.25">
      <c r="A218" t="s">
        <v>46</v>
      </c>
      <c r="B218" t="s">
        <v>857</v>
      </c>
      <c r="C218" t="s">
        <v>858</v>
      </c>
      <c r="D218" t="s">
        <v>859</v>
      </c>
      <c r="E218" s="11">
        <v>18.670000000000002</v>
      </c>
      <c r="F218" s="11">
        <v>18</v>
      </c>
      <c r="G218" s="11">
        <v>45.08</v>
      </c>
      <c r="H218" s="11">
        <v>4.5</v>
      </c>
      <c r="I218" s="13">
        <f t="shared" si="34"/>
        <v>86.25</v>
      </c>
      <c r="J218" s="11">
        <v>0</v>
      </c>
      <c r="K218" s="11">
        <v>0</v>
      </c>
      <c r="L218" s="11">
        <v>0</v>
      </c>
      <c r="M218" s="13">
        <f t="shared" si="35"/>
        <v>0</v>
      </c>
      <c r="N218" s="11">
        <v>0</v>
      </c>
      <c r="O218" s="11">
        <v>0</v>
      </c>
      <c r="P218" s="11">
        <v>0</v>
      </c>
      <c r="Q218" s="11">
        <v>0</v>
      </c>
      <c r="R218" s="13">
        <f t="shared" si="36"/>
        <v>0</v>
      </c>
      <c r="S218">
        <v>0</v>
      </c>
      <c r="T218">
        <v>0</v>
      </c>
      <c r="U218" s="7">
        <f t="shared" si="37"/>
        <v>0</v>
      </c>
      <c r="V218">
        <v>0</v>
      </c>
      <c r="W218">
        <v>0</v>
      </c>
      <c r="X218">
        <v>0</v>
      </c>
      <c r="Y218">
        <v>0</v>
      </c>
      <c r="Z218" s="13">
        <f t="shared" si="38"/>
        <v>0</v>
      </c>
      <c r="AA218">
        <v>3.75</v>
      </c>
      <c r="AB218">
        <v>21.25</v>
      </c>
      <c r="AC218">
        <v>13.5</v>
      </c>
      <c r="AD218">
        <v>8.75</v>
      </c>
      <c r="AE218" s="7">
        <f t="shared" si="39"/>
        <v>47.25</v>
      </c>
      <c r="AF218">
        <v>0</v>
      </c>
      <c r="AG218">
        <v>0</v>
      </c>
      <c r="AH218">
        <v>0</v>
      </c>
      <c r="AI218" s="13">
        <f t="shared" si="40"/>
        <v>0</v>
      </c>
      <c r="AJ218" s="11" t="s">
        <v>51</v>
      </c>
      <c r="AK218" s="11" t="s">
        <v>51</v>
      </c>
      <c r="AL218" s="11" t="s">
        <v>51</v>
      </c>
      <c r="AM218" s="13">
        <f t="shared" si="41"/>
        <v>0</v>
      </c>
      <c r="AN218" s="18">
        <v>35</v>
      </c>
      <c r="AO218" s="18">
        <v>5</v>
      </c>
      <c r="AP218" s="18">
        <v>0</v>
      </c>
      <c r="AQ218" s="18">
        <v>0</v>
      </c>
      <c r="AR218" s="18">
        <f t="shared" si="42"/>
        <v>40</v>
      </c>
      <c r="AS218" t="s">
        <v>52</v>
      </c>
      <c r="AT218" s="9">
        <v>81.375</v>
      </c>
      <c r="AU218" s="30">
        <f>+((AN218*I218)+(AO218*AE218)+(AQ218*AI218)+(AP218*AM218))/AR218</f>
        <v>81.375</v>
      </c>
    </row>
    <row r="219" spans="1:47" x14ac:dyDescent="0.25">
      <c r="A219" t="s">
        <v>46</v>
      </c>
      <c r="B219" t="s">
        <v>861</v>
      </c>
      <c r="C219" t="s">
        <v>862</v>
      </c>
      <c r="D219" t="s">
        <v>863</v>
      </c>
      <c r="E219" s="11">
        <v>20</v>
      </c>
      <c r="F219" s="11">
        <v>20</v>
      </c>
      <c r="G219" s="11">
        <v>47.88</v>
      </c>
      <c r="H219" s="11">
        <v>5</v>
      </c>
      <c r="I219" s="13">
        <f t="shared" si="34"/>
        <v>92.88</v>
      </c>
      <c r="J219" s="11">
        <v>0</v>
      </c>
      <c r="K219" s="11">
        <v>0</v>
      </c>
      <c r="L219" s="11">
        <v>0</v>
      </c>
      <c r="M219" s="13">
        <f t="shared" si="35"/>
        <v>0</v>
      </c>
      <c r="N219" s="11">
        <v>0</v>
      </c>
      <c r="O219" s="11">
        <v>0</v>
      </c>
      <c r="P219" s="11">
        <v>0</v>
      </c>
      <c r="Q219" s="11">
        <v>0</v>
      </c>
      <c r="R219" s="13">
        <f t="shared" si="36"/>
        <v>0</v>
      </c>
      <c r="S219">
        <v>0</v>
      </c>
      <c r="T219">
        <v>0</v>
      </c>
      <c r="U219" s="7">
        <f t="shared" si="37"/>
        <v>0</v>
      </c>
      <c r="V219">
        <v>0</v>
      </c>
      <c r="W219">
        <v>0</v>
      </c>
      <c r="X219">
        <v>0</v>
      </c>
      <c r="Y219">
        <v>0</v>
      </c>
      <c r="Z219" s="13">
        <f t="shared" si="38"/>
        <v>0</v>
      </c>
      <c r="AA219">
        <v>0</v>
      </c>
      <c r="AB219">
        <v>0</v>
      </c>
      <c r="AC219">
        <v>0</v>
      </c>
      <c r="AD219">
        <v>0</v>
      </c>
      <c r="AE219" s="7">
        <f t="shared" si="39"/>
        <v>0</v>
      </c>
      <c r="AF219">
        <v>50</v>
      </c>
      <c r="AG219">
        <v>20</v>
      </c>
      <c r="AH219">
        <v>24.56</v>
      </c>
      <c r="AI219" s="13">
        <f t="shared" si="40"/>
        <v>94.56</v>
      </c>
      <c r="AJ219" s="11" t="s">
        <v>51</v>
      </c>
      <c r="AK219" s="11" t="s">
        <v>51</v>
      </c>
      <c r="AL219" s="11" t="s">
        <v>51</v>
      </c>
      <c r="AM219" s="13">
        <f t="shared" si="41"/>
        <v>0</v>
      </c>
      <c r="AN219" s="18">
        <v>32</v>
      </c>
      <c r="AO219" s="18">
        <v>0</v>
      </c>
      <c r="AP219" s="18">
        <v>0</v>
      </c>
      <c r="AQ219" s="18">
        <v>8</v>
      </c>
      <c r="AR219" s="18">
        <f t="shared" si="42"/>
        <v>40</v>
      </c>
      <c r="AS219" t="s">
        <v>52</v>
      </c>
      <c r="AT219" s="9">
        <v>93.215999999999994</v>
      </c>
      <c r="AU219" s="30">
        <f>+((AN219*I219)+(AO219*AE219)+(AQ219*AI219)+(AP219*AM219))/AR219</f>
        <v>93.215999999999994</v>
      </c>
    </row>
    <row r="220" spans="1:47" x14ac:dyDescent="0.25">
      <c r="A220" t="s">
        <v>46</v>
      </c>
      <c r="B220" t="s">
        <v>865</v>
      </c>
      <c r="C220" t="s">
        <v>866</v>
      </c>
      <c r="D220" t="s">
        <v>867</v>
      </c>
      <c r="E220" s="11">
        <v>22.087499999999999</v>
      </c>
      <c r="F220" s="11">
        <v>0</v>
      </c>
      <c r="G220" s="11">
        <v>59.3125</v>
      </c>
      <c r="H220" s="11">
        <v>7.5</v>
      </c>
      <c r="I220" s="13">
        <f t="shared" si="34"/>
        <v>88.9</v>
      </c>
      <c r="J220" s="11">
        <v>0</v>
      </c>
      <c r="K220" s="11">
        <v>0</v>
      </c>
      <c r="L220" s="11">
        <v>0</v>
      </c>
      <c r="M220" s="13">
        <f t="shared" si="35"/>
        <v>0</v>
      </c>
      <c r="N220" s="11">
        <v>0</v>
      </c>
      <c r="O220" s="11">
        <v>0</v>
      </c>
      <c r="P220" s="11">
        <v>0</v>
      </c>
      <c r="Q220" s="11">
        <v>0</v>
      </c>
      <c r="R220" s="13">
        <f t="shared" si="36"/>
        <v>0</v>
      </c>
      <c r="S220">
        <v>0</v>
      </c>
      <c r="T220">
        <v>0</v>
      </c>
      <c r="U220" s="7">
        <f t="shared" si="37"/>
        <v>0</v>
      </c>
      <c r="V220">
        <v>0</v>
      </c>
      <c r="W220">
        <v>0</v>
      </c>
      <c r="X220">
        <v>0</v>
      </c>
      <c r="Y220">
        <v>0</v>
      </c>
      <c r="Z220" s="13">
        <f t="shared" si="38"/>
        <v>0</v>
      </c>
      <c r="AA220" s="35">
        <v>0</v>
      </c>
      <c r="AB220" s="35">
        <v>58.82352941176471</v>
      </c>
      <c r="AC220" s="35">
        <v>17.647058823529413</v>
      </c>
      <c r="AD220" s="35">
        <v>23.529411764705877</v>
      </c>
      <c r="AE220" s="7">
        <f t="shared" si="39"/>
        <v>100</v>
      </c>
      <c r="AF220">
        <v>41.66</v>
      </c>
      <c r="AG220">
        <v>18</v>
      </c>
      <c r="AH220">
        <v>26.04</v>
      </c>
      <c r="AI220" s="13">
        <f t="shared" si="40"/>
        <v>85.699999999999989</v>
      </c>
      <c r="AJ220" s="11" t="s">
        <v>51</v>
      </c>
      <c r="AK220" s="11" t="s">
        <v>51</v>
      </c>
      <c r="AL220" s="11" t="s">
        <v>51</v>
      </c>
      <c r="AM220" s="13">
        <f t="shared" si="41"/>
        <v>0</v>
      </c>
      <c r="AN220" s="18">
        <v>27</v>
      </c>
      <c r="AO220" s="18">
        <v>5</v>
      </c>
      <c r="AP220" s="18">
        <v>0</v>
      </c>
      <c r="AQ220" s="18">
        <v>8</v>
      </c>
      <c r="AR220" s="18">
        <f t="shared" si="42"/>
        <v>40</v>
      </c>
      <c r="AS220" t="s">
        <v>52</v>
      </c>
      <c r="AT220" s="9">
        <v>89.647500000000008</v>
      </c>
      <c r="AU220" s="30">
        <f>+((AN220*I220)+(AO220*AE220)+(AQ220*AI220)+(AP220*AM220))/AR220</f>
        <v>89.647500000000008</v>
      </c>
    </row>
    <row r="221" spans="1:47" s="25" customFormat="1" x14ac:dyDescent="0.25">
      <c r="A221" s="25" t="s">
        <v>46</v>
      </c>
      <c r="B221" s="25" t="s">
        <v>869</v>
      </c>
      <c r="C221" s="25" t="s">
        <v>870</v>
      </c>
      <c r="D221" s="25" t="s">
        <v>871</v>
      </c>
      <c r="E221" s="26">
        <v>0</v>
      </c>
      <c r="F221" s="26">
        <v>0</v>
      </c>
      <c r="G221" s="26">
        <v>0</v>
      </c>
      <c r="H221" s="26">
        <v>0</v>
      </c>
      <c r="I221" s="13">
        <f t="shared" si="34"/>
        <v>0</v>
      </c>
      <c r="J221" s="26">
        <v>0</v>
      </c>
      <c r="K221" s="26">
        <v>0</v>
      </c>
      <c r="L221" s="26">
        <v>0</v>
      </c>
      <c r="M221" s="13">
        <f t="shared" si="35"/>
        <v>0</v>
      </c>
      <c r="N221" s="26">
        <v>0</v>
      </c>
      <c r="O221" s="26">
        <v>0</v>
      </c>
      <c r="P221" s="26">
        <v>0</v>
      </c>
      <c r="Q221" s="26">
        <v>0</v>
      </c>
      <c r="R221" s="13">
        <f t="shared" si="36"/>
        <v>0</v>
      </c>
      <c r="S221" s="25">
        <v>48.73</v>
      </c>
      <c r="T221" s="25">
        <v>30</v>
      </c>
      <c r="U221" s="7">
        <f t="shared" si="37"/>
        <v>78.72999999999999</v>
      </c>
      <c r="V221" s="25">
        <v>4</v>
      </c>
      <c r="W221" s="25">
        <v>19.670000000000002</v>
      </c>
      <c r="X221" s="25">
        <v>37.159999999999997</v>
      </c>
      <c r="Y221" s="25">
        <v>20</v>
      </c>
      <c r="Z221" s="13">
        <f t="shared" si="38"/>
        <v>80.83</v>
      </c>
      <c r="AA221" s="25">
        <v>0</v>
      </c>
      <c r="AB221" s="25">
        <v>0</v>
      </c>
      <c r="AC221" s="25">
        <v>0</v>
      </c>
      <c r="AD221" s="25">
        <v>0</v>
      </c>
      <c r="AE221" s="7">
        <f t="shared" si="39"/>
        <v>0</v>
      </c>
      <c r="AF221" s="25">
        <v>0</v>
      </c>
      <c r="AG221" s="25">
        <v>0</v>
      </c>
      <c r="AH221" s="25">
        <v>0</v>
      </c>
      <c r="AI221" s="13">
        <f t="shared" si="40"/>
        <v>0</v>
      </c>
      <c r="AJ221" s="26" t="s">
        <v>51</v>
      </c>
      <c r="AK221" s="26" t="s">
        <v>51</v>
      </c>
      <c r="AL221" s="26" t="s">
        <v>51</v>
      </c>
      <c r="AM221" s="13">
        <f t="shared" si="41"/>
        <v>0</v>
      </c>
      <c r="AN221" s="23">
        <v>8</v>
      </c>
      <c r="AO221" s="23">
        <v>0</v>
      </c>
      <c r="AP221" s="23">
        <v>0</v>
      </c>
      <c r="AQ221" s="23">
        <v>0</v>
      </c>
      <c r="AR221" s="18">
        <f t="shared" si="42"/>
        <v>8</v>
      </c>
      <c r="AS221" s="25" t="s">
        <v>52</v>
      </c>
      <c r="AT221" s="29">
        <v>78.72999999999999</v>
      </c>
      <c r="AU221" s="37">
        <f>+(((AN221*U221))/AR221)</f>
        <v>78.72999999999999</v>
      </c>
    </row>
    <row r="222" spans="1:47" s="25" customFormat="1" x14ac:dyDescent="0.25">
      <c r="A222" s="25" t="s">
        <v>46</v>
      </c>
      <c r="B222" s="25" t="s">
        <v>869</v>
      </c>
      <c r="C222" s="25" t="s">
        <v>870</v>
      </c>
      <c r="D222" s="25" t="s">
        <v>871</v>
      </c>
      <c r="E222" s="26">
        <v>0</v>
      </c>
      <c r="F222" s="26">
        <v>0</v>
      </c>
      <c r="G222" s="26">
        <v>0</v>
      </c>
      <c r="H222" s="26">
        <v>0</v>
      </c>
      <c r="I222" s="13">
        <f t="shared" si="34"/>
        <v>0</v>
      </c>
      <c r="J222" s="26">
        <v>0</v>
      </c>
      <c r="K222" s="26">
        <v>0</v>
      </c>
      <c r="L222" s="26">
        <v>0</v>
      </c>
      <c r="M222" s="13">
        <f t="shared" si="35"/>
        <v>0</v>
      </c>
      <c r="N222" s="26">
        <v>0</v>
      </c>
      <c r="O222" s="26">
        <v>0</v>
      </c>
      <c r="P222" s="26">
        <v>0</v>
      </c>
      <c r="Q222" s="26">
        <v>0</v>
      </c>
      <c r="R222" s="13">
        <f t="shared" si="36"/>
        <v>0</v>
      </c>
      <c r="S222" s="25">
        <v>48.73</v>
      </c>
      <c r="T222" s="25">
        <v>30</v>
      </c>
      <c r="U222" s="7">
        <f t="shared" si="37"/>
        <v>78.72999999999999</v>
      </c>
      <c r="V222" s="25">
        <v>4</v>
      </c>
      <c r="W222" s="25">
        <v>19.670000000000002</v>
      </c>
      <c r="X222" s="25">
        <v>37.159999999999997</v>
      </c>
      <c r="Y222" s="25">
        <v>20</v>
      </c>
      <c r="Z222" s="13">
        <f t="shared" si="38"/>
        <v>80.83</v>
      </c>
      <c r="AA222" s="25">
        <v>0</v>
      </c>
      <c r="AB222" s="25">
        <v>0</v>
      </c>
      <c r="AC222" s="25">
        <v>0</v>
      </c>
      <c r="AD222" s="25">
        <v>0</v>
      </c>
      <c r="AE222" s="7">
        <f t="shared" si="39"/>
        <v>0</v>
      </c>
      <c r="AF222" s="25">
        <v>0</v>
      </c>
      <c r="AG222" s="25">
        <v>0</v>
      </c>
      <c r="AH222" s="25">
        <v>0</v>
      </c>
      <c r="AI222" s="13">
        <f t="shared" si="40"/>
        <v>0</v>
      </c>
      <c r="AJ222" s="26" t="s">
        <v>51</v>
      </c>
      <c r="AK222" s="26" t="s">
        <v>51</v>
      </c>
      <c r="AL222" s="26" t="s">
        <v>51</v>
      </c>
      <c r="AM222" s="13">
        <f t="shared" si="41"/>
        <v>0</v>
      </c>
      <c r="AN222" s="23">
        <v>8</v>
      </c>
      <c r="AO222" s="23">
        <v>0</v>
      </c>
      <c r="AP222" s="23">
        <v>0</v>
      </c>
      <c r="AQ222" s="23">
        <v>0</v>
      </c>
      <c r="AR222" s="18">
        <f t="shared" si="42"/>
        <v>8</v>
      </c>
      <c r="AS222" s="25" t="s">
        <v>52</v>
      </c>
      <c r="AT222" s="29">
        <v>80.83</v>
      </c>
      <c r="AU222" s="37">
        <f>+(((Z222*4))/4)</f>
        <v>80.83</v>
      </c>
    </row>
    <row r="223" spans="1:47" x14ac:dyDescent="0.25">
      <c r="A223" t="s">
        <v>46</v>
      </c>
      <c r="B223" t="s">
        <v>873</v>
      </c>
      <c r="C223" t="s">
        <v>874</v>
      </c>
      <c r="D223" t="s">
        <v>875</v>
      </c>
      <c r="E223" s="11">
        <v>20</v>
      </c>
      <c r="F223" s="11">
        <v>20</v>
      </c>
      <c r="G223" s="11">
        <v>44.52</v>
      </c>
      <c r="H223" s="11">
        <v>4.5</v>
      </c>
      <c r="I223" s="13">
        <f t="shared" si="34"/>
        <v>89.02000000000001</v>
      </c>
      <c r="J223" s="11">
        <v>0</v>
      </c>
      <c r="K223" s="11">
        <v>0</v>
      </c>
      <c r="L223" s="11">
        <v>0</v>
      </c>
      <c r="M223" s="13">
        <f t="shared" si="35"/>
        <v>0</v>
      </c>
      <c r="N223" s="11">
        <v>0</v>
      </c>
      <c r="O223" s="11">
        <v>0</v>
      </c>
      <c r="P223" s="11">
        <v>0</v>
      </c>
      <c r="Q223" s="11">
        <v>0</v>
      </c>
      <c r="R223" s="13">
        <f t="shared" si="36"/>
        <v>0</v>
      </c>
      <c r="S223">
        <v>0</v>
      </c>
      <c r="T223">
        <v>0</v>
      </c>
      <c r="U223" s="7">
        <f t="shared" si="37"/>
        <v>0</v>
      </c>
      <c r="V223">
        <v>0</v>
      </c>
      <c r="W223">
        <v>0</v>
      </c>
      <c r="X223">
        <v>0</v>
      </c>
      <c r="Y223">
        <v>0</v>
      </c>
      <c r="Z223" s="13">
        <f t="shared" si="38"/>
        <v>0</v>
      </c>
      <c r="AA223">
        <v>15</v>
      </c>
      <c r="AB223">
        <v>50</v>
      </c>
      <c r="AC223">
        <v>15</v>
      </c>
      <c r="AD223">
        <v>13.75</v>
      </c>
      <c r="AE223" s="7">
        <f t="shared" si="39"/>
        <v>93.75</v>
      </c>
      <c r="AF223">
        <v>0</v>
      </c>
      <c r="AG223">
        <v>0</v>
      </c>
      <c r="AH223">
        <v>0</v>
      </c>
      <c r="AI223" s="13">
        <f t="shared" si="40"/>
        <v>0</v>
      </c>
      <c r="AJ223" s="11" t="s">
        <v>51</v>
      </c>
      <c r="AK223" s="11" t="s">
        <v>51</v>
      </c>
      <c r="AL223" s="11" t="s">
        <v>51</v>
      </c>
      <c r="AM223" s="13">
        <f t="shared" si="41"/>
        <v>0</v>
      </c>
      <c r="AN223" s="18">
        <v>15</v>
      </c>
      <c r="AO223" s="18">
        <v>5</v>
      </c>
      <c r="AP223" s="18">
        <v>0</v>
      </c>
      <c r="AQ223" s="18">
        <v>0</v>
      </c>
      <c r="AR223" s="18">
        <f t="shared" si="42"/>
        <v>20</v>
      </c>
      <c r="AS223" t="s">
        <v>52</v>
      </c>
      <c r="AT223" s="9">
        <v>90.202500000000015</v>
      </c>
      <c r="AU223" s="30">
        <f>+((AN223*I223)+(AO223*AE223)+(AQ223*AI223)+(AP223*AM223))/AR223</f>
        <v>90.202500000000015</v>
      </c>
    </row>
    <row r="224" spans="1:47" x14ac:dyDescent="0.25">
      <c r="A224" t="s">
        <v>46</v>
      </c>
      <c r="B224" t="s">
        <v>877</v>
      </c>
      <c r="C224" t="s">
        <v>878</v>
      </c>
      <c r="D224" t="s">
        <v>879</v>
      </c>
      <c r="E224" s="11">
        <v>0</v>
      </c>
      <c r="F224" s="11">
        <v>21.25</v>
      </c>
      <c r="G224" s="11">
        <v>48.274999999999999</v>
      </c>
      <c r="H224" s="11">
        <v>3.75</v>
      </c>
      <c r="I224" s="13">
        <f t="shared" si="34"/>
        <v>73.275000000000006</v>
      </c>
      <c r="J224" s="11">
        <v>0</v>
      </c>
      <c r="K224" s="11">
        <v>0</v>
      </c>
      <c r="L224" s="11">
        <v>0</v>
      </c>
      <c r="M224" s="13">
        <f t="shared" si="35"/>
        <v>0</v>
      </c>
      <c r="N224" s="11">
        <v>0</v>
      </c>
      <c r="O224" s="11">
        <v>0</v>
      </c>
      <c r="P224" s="11">
        <v>0</v>
      </c>
      <c r="Q224" s="11">
        <v>0</v>
      </c>
      <c r="R224" s="13">
        <f t="shared" si="36"/>
        <v>0</v>
      </c>
      <c r="S224">
        <v>0</v>
      </c>
      <c r="T224">
        <v>0</v>
      </c>
      <c r="U224" s="7">
        <f t="shared" si="37"/>
        <v>0</v>
      </c>
      <c r="V224">
        <v>0</v>
      </c>
      <c r="W224">
        <v>0</v>
      </c>
      <c r="X224">
        <v>0</v>
      </c>
      <c r="Y224">
        <v>0</v>
      </c>
      <c r="Z224" s="13">
        <f t="shared" si="38"/>
        <v>0</v>
      </c>
      <c r="AA224">
        <v>0</v>
      </c>
      <c r="AB224">
        <v>0</v>
      </c>
      <c r="AC224">
        <v>0</v>
      </c>
      <c r="AD224">
        <v>0</v>
      </c>
      <c r="AE224" s="7">
        <f t="shared" si="39"/>
        <v>0</v>
      </c>
      <c r="AF224">
        <v>0</v>
      </c>
      <c r="AG224">
        <v>0</v>
      </c>
      <c r="AH224">
        <v>0</v>
      </c>
      <c r="AI224" s="13">
        <f t="shared" si="40"/>
        <v>0</v>
      </c>
      <c r="AJ224" s="11" t="s">
        <v>51</v>
      </c>
      <c r="AK224" s="11" t="s">
        <v>51</v>
      </c>
      <c r="AL224" s="11" t="s">
        <v>51</v>
      </c>
      <c r="AM224" s="13">
        <f t="shared" si="41"/>
        <v>0</v>
      </c>
      <c r="AN224" s="18">
        <v>10</v>
      </c>
      <c r="AO224" s="18">
        <v>0</v>
      </c>
      <c r="AP224" s="18">
        <v>0</v>
      </c>
      <c r="AQ224" s="18">
        <v>0</v>
      </c>
      <c r="AR224" s="18">
        <f t="shared" si="42"/>
        <v>10</v>
      </c>
      <c r="AS224" t="s">
        <v>52</v>
      </c>
      <c r="AT224" s="9">
        <v>73.275000000000006</v>
      </c>
      <c r="AU224" s="30">
        <f>+((AN224*I224)+(AO224*AE224)+(AQ224*AI224)+(AP224*AM224))/AR224</f>
        <v>73.275000000000006</v>
      </c>
    </row>
    <row r="225" spans="1:47" x14ac:dyDescent="0.25">
      <c r="A225" t="s">
        <v>46</v>
      </c>
      <c r="B225" t="s">
        <v>881</v>
      </c>
      <c r="C225" t="s">
        <v>878</v>
      </c>
      <c r="D225" t="s">
        <v>882</v>
      </c>
      <c r="E225" s="11">
        <v>24.285714285714285</v>
      </c>
      <c r="F225" s="11">
        <v>0</v>
      </c>
      <c r="G225" s="11">
        <v>62.5</v>
      </c>
      <c r="H225" s="11">
        <v>0</v>
      </c>
      <c r="I225" s="13">
        <f t="shared" si="34"/>
        <v>86.785714285714278</v>
      </c>
      <c r="J225" s="11">
        <v>0</v>
      </c>
      <c r="K225" s="11">
        <v>0</v>
      </c>
      <c r="L225" s="11">
        <v>0</v>
      </c>
      <c r="M225" s="13">
        <f t="shared" si="35"/>
        <v>0</v>
      </c>
      <c r="N225" s="11">
        <v>0</v>
      </c>
      <c r="O225" s="11">
        <v>0</v>
      </c>
      <c r="P225" s="11">
        <v>0</v>
      </c>
      <c r="Q225" s="11">
        <v>0</v>
      </c>
      <c r="R225" s="13">
        <f t="shared" si="36"/>
        <v>0</v>
      </c>
      <c r="S225">
        <v>0</v>
      </c>
      <c r="T225">
        <v>0</v>
      </c>
      <c r="U225" s="7">
        <f t="shared" si="37"/>
        <v>0</v>
      </c>
      <c r="V225">
        <v>0</v>
      </c>
      <c r="W225">
        <v>0</v>
      </c>
      <c r="X225">
        <v>0</v>
      </c>
      <c r="Y225">
        <v>0</v>
      </c>
      <c r="Z225" s="13">
        <f t="shared" si="38"/>
        <v>0</v>
      </c>
      <c r="AA225">
        <v>0</v>
      </c>
      <c r="AB225">
        <v>0</v>
      </c>
      <c r="AC225">
        <v>0</v>
      </c>
      <c r="AD225">
        <v>0</v>
      </c>
      <c r="AE225" s="7">
        <f t="shared" si="39"/>
        <v>0</v>
      </c>
      <c r="AF225">
        <v>0</v>
      </c>
      <c r="AG225">
        <v>0</v>
      </c>
      <c r="AH225">
        <v>0</v>
      </c>
      <c r="AI225" s="13">
        <f t="shared" si="40"/>
        <v>0</v>
      </c>
      <c r="AJ225" s="11" t="s">
        <v>51</v>
      </c>
      <c r="AK225" s="11" t="s">
        <v>51</v>
      </c>
      <c r="AL225" s="11" t="s">
        <v>51</v>
      </c>
      <c r="AM225" s="13">
        <f t="shared" si="41"/>
        <v>0</v>
      </c>
      <c r="AN225" s="18">
        <v>7</v>
      </c>
      <c r="AO225" s="18">
        <v>0</v>
      </c>
      <c r="AP225" s="18">
        <v>0</v>
      </c>
      <c r="AQ225" s="18">
        <v>0</v>
      </c>
      <c r="AR225" s="18">
        <f t="shared" si="42"/>
        <v>7</v>
      </c>
      <c r="AS225" t="s">
        <v>52</v>
      </c>
      <c r="AT225" s="9">
        <v>86.785714285714292</v>
      </c>
      <c r="AU225" s="30">
        <f>+((AN225*I225)+(AO225*AE225)+(AQ225*AI225)+(AP225*AM225))/AR225</f>
        <v>86.785714285714292</v>
      </c>
    </row>
    <row r="226" spans="1:47" x14ac:dyDescent="0.25">
      <c r="A226" t="s">
        <v>46</v>
      </c>
      <c r="B226" t="s">
        <v>884</v>
      </c>
      <c r="C226" t="s">
        <v>878</v>
      </c>
      <c r="D226" t="s">
        <v>885</v>
      </c>
      <c r="E226" s="11">
        <v>0</v>
      </c>
      <c r="F226" s="11">
        <v>0</v>
      </c>
      <c r="G226" s="11">
        <v>0</v>
      </c>
      <c r="H226" s="11">
        <v>0</v>
      </c>
      <c r="I226" s="13">
        <f t="shared" si="34"/>
        <v>0</v>
      </c>
      <c r="J226" s="11">
        <v>46.98</v>
      </c>
      <c r="K226" s="11">
        <v>29.5</v>
      </c>
      <c r="L226" s="11">
        <v>4.5</v>
      </c>
      <c r="M226" s="13">
        <f t="shared" si="35"/>
        <v>80.97999999999999</v>
      </c>
      <c r="N226" s="11">
        <v>0</v>
      </c>
      <c r="O226" s="11">
        <v>0</v>
      </c>
      <c r="P226" s="11">
        <v>0</v>
      </c>
      <c r="Q226" s="11">
        <v>0</v>
      </c>
      <c r="R226" s="13">
        <f t="shared" si="36"/>
        <v>0</v>
      </c>
      <c r="S226">
        <v>0</v>
      </c>
      <c r="T226">
        <v>0</v>
      </c>
      <c r="U226" s="7">
        <f t="shared" si="37"/>
        <v>0</v>
      </c>
      <c r="V226">
        <v>0</v>
      </c>
      <c r="W226">
        <v>0</v>
      </c>
      <c r="X226">
        <v>0</v>
      </c>
      <c r="Y226">
        <v>0</v>
      </c>
      <c r="Z226" s="13">
        <f t="shared" si="38"/>
        <v>0</v>
      </c>
      <c r="AA226">
        <v>0</v>
      </c>
      <c r="AB226">
        <v>0</v>
      </c>
      <c r="AC226">
        <v>0</v>
      </c>
      <c r="AD226">
        <v>0</v>
      </c>
      <c r="AE226" s="7">
        <f t="shared" si="39"/>
        <v>0</v>
      </c>
      <c r="AF226">
        <v>0</v>
      </c>
      <c r="AG226">
        <v>0</v>
      </c>
      <c r="AH226">
        <v>0</v>
      </c>
      <c r="AI226" s="13">
        <f t="shared" si="40"/>
        <v>0</v>
      </c>
      <c r="AJ226" s="11" t="s">
        <v>51</v>
      </c>
      <c r="AK226" s="11" t="s">
        <v>51</v>
      </c>
      <c r="AL226" s="11" t="s">
        <v>51</v>
      </c>
      <c r="AM226" s="13">
        <f t="shared" si="41"/>
        <v>0</v>
      </c>
      <c r="AN226" s="18">
        <v>2</v>
      </c>
      <c r="AO226" s="18">
        <v>0</v>
      </c>
      <c r="AP226" s="18">
        <v>0</v>
      </c>
      <c r="AQ226" s="18">
        <v>0</v>
      </c>
      <c r="AR226" s="18">
        <f t="shared" si="42"/>
        <v>2</v>
      </c>
      <c r="AS226" t="s">
        <v>87</v>
      </c>
      <c r="AT226" s="9">
        <v>80.97999999999999</v>
      </c>
      <c r="AU226" s="30">
        <f>+((AN226*M226)/AR226)</f>
        <v>80.97999999999999</v>
      </c>
    </row>
    <row r="227" spans="1:47" x14ac:dyDescent="0.25">
      <c r="A227" t="s">
        <v>46</v>
      </c>
      <c r="B227" t="s">
        <v>887</v>
      </c>
      <c r="C227" t="s">
        <v>888</v>
      </c>
      <c r="D227" t="s">
        <v>889</v>
      </c>
      <c r="E227" s="11">
        <v>20</v>
      </c>
      <c r="F227" s="11">
        <v>20</v>
      </c>
      <c r="G227" s="11">
        <v>42.41</v>
      </c>
      <c r="H227" s="11">
        <v>4.5</v>
      </c>
      <c r="I227" s="13">
        <f t="shared" si="34"/>
        <v>86.91</v>
      </c>
      <c r="J227" s="11">
        <v>0</v>
      </c>
      <c r="K227" s="11">
        <v>0</v>
      </c>
      <c r="L227" s="11">
        <v>0</v>
      </c>
      <c r="M227" s="13">
        <f t="shared" si="35"/>
        <v>0</v>
      </c>
      <c r="N227" s="11">
        <v>0</v>
      </c>
      <c r="O227" s="11">
        <v>0</v>
      </c>
      <c r="P227" s="11">
        <v>0</v>
      </c>
      <c r="Q227" s="11">
        <v>0</v>
      </c>
      <c r="R227" s="13">
        <f t="shared" si="36"/>
        <v>0</v>
      </c>
      <c r="S227">
        <v>0</v>
      </c>
      <c r="T227">
        <v>0</v>
      </c>
      <c r="U227" s="7">
        <f t="shared" si="37"/>
        <v>0</v>
      </c>
      <c r="V227">
        <v>0</v>
      </c>
      <c r="W227">
        <v>0</v>
      </c>
      <c r="X227">
        <v>0</v>
      </c>
      <c r="Y227">
        <v>0</v>
      </c>
      <c r="Z227" s="13">
        <f t="shared" si="38"/>
        <v>0</v>
      </c>
      <c r="AA227">
        <v>7.5</v>
      </c>
      <c r="AB227">
        <v>20</v>
      </c>
      <c r="AC227">
        <v>15</v>
      </c>
      <c r="AD227">
        <v>20</v>
      </c>
      <c r="AE227" s="7">
        <f t="shared" si="39"/>
        <v>62.5</v>
      </c>
      <c r="AF227">
        <v>0</v>
      </c>
      <c r="AG227">
        <v>0</v>
      </c>
      <c r="AH227">
        <v>0</v>
      </c>
      <c r="AI227" s="13">
        <f t="shared" si="40"/>
        <v>0</v>
      </c>
      <c r="AJ227" s="11" t="s">
        <v>51</v>
      </c>
      <c r="AK227" s="11" t="s">
        <v>51</v>
      </c>
      <c r="AL227" s="11" t="s">
        <v>51</v>
      </c>
      <c r="AM227" s="13">
        <f t="shared" si="41"/>
        <v>0</v>
      </c>
      <c r="AN227" s="18">
        <v>33.75</v>
      </c>
      <c r="AO227" s="18">
        <v>6.25</v>
      </c>
      <c r="AP227" s="18">
        <v>0</v>
      </c>
      <c r="AQ227" s="18">
        <v>0</v>
      </c>
      <c r="AR227" s="18">
        <f t="shared" si="42"/>
        <v>40</v>
      </c>
      <c r="AS227" t="s">
        <v>52</v>
      </c>
      <c r="AT227" s="9">
        <v>83.095937500000005</v>
      </c>
      <c r="AU227" s="30">
        <f>+((AN227*I227)+(AO227*AE227)+(AQ227*AI227)+(AP227*AM227))/AR227</f>
        <v>83.095937500000005</v>
      </c>
    </row>
    <row r="228" spans="1:47" s="6" customFormat="1" x14ac:dyDescent="0.25">
      <c r="A228" s="6" t="s">
        <v>46</v>
      </c>
      <c r="B228" s="6" t="s">
        <v>891</v>
      </c>
      <c r="C228" s="6" t="s">
        <v>892</v>
      </c>
      <c r="D228" s="6" t="s">
        <v>893</v>
      </c>
      <c r="E228" s="12"/>
      <c r="F228" s="12"/>
      <c r="G228" s="12"/>
      <c r="H228" s="12"/>
      <c r="I228" s="13">
        <f t="shared" si="34"/>
        <v>0</v>
      </c>
      <c r="J228" s="14">
        <v>79.614285714285714</v>
      </c>
      <c r="K228" s="14"/>
      <c r="L228" s="14">
        <v>3.5714285714285712</v>
      </c>
      <c r="M228" s="13">
        <f t="shared" si="35"/>
        <v>83.185714285714283</v>
      </c>
      <c r="N228" s="12"/>
      <c r="O228" s="12"/>
      <c r="P228" s="12"/>
      <c r="Q228" s="12"/>
      <c r="R228" s="13">
        <f t="shared" si="36"/>
        <v>0</v>
      </c>
      <c r="U228" s="7">
        <f t="shared" si="37"/>
        <v>0</v>
      </c>
      <c r="Z228" s="13">
        <f t="shared" si="38"/>
        <v>0</v>
      </c>
      <c r="AA228" s="6">
        <v>0</v>
      </c>
      <c r="AB228" s="6">
        <v>0</v>
      </c>
      <c r="AC228" s="6">
        <v>0</v>
      </c>
      <c r="AD228" s="6">
        <v>0</v>
      </c>
      <c r="AE228" s="7">
        <f t="shared" si="39"/>
        <v>0</v>
      </c>
      <c r="AF228" s="6">
        <v>0</v>
      </c>
      <c r="AG228" s="6">
        <v>0</v>
      </c>
      <c r="AH228" s="6">
        <v>0</v>
      </c>
      <c r="AI228" s="13">
        <f t="shared" si="40"/>
        <v>0</v>
      </c>
      <c r="AJ228" s="12" t="s">
        <v>51</v>
      </c>
      <c r="AK228" s="12" t="s">
        <v>51</v>
      </c>
      <c r="AL228" s="12" t="s">
        <v>51</v>
      </c>
      <c r="AM228" s="13">
        <f t="shared" si="41"/>
        <v>0</v>
      </c>
      <c r="AN228" s="21">
        <v>1.69</v>
      </c>
      <c r="AO228" s="21">
        <v>0</v>
      </c>
      <c r="AP228" s="21">
        <v>0</v>
      </c>
      <c r="AQ228" s="21">
        <v>0</v>
      </c>
      <c r="AR228" s="18">
        <f t="shared" si="42"/>
        <v>1.69</v>
      </c>
      <c r="AS228" s="6" t="s">
        <v>87</v>
      </c>
      <c r="AT228" s="10">
        <v>83.185714285714283</v>
      </c>
      <c r="AU228" s="30">
        <f>+((AN228*M228)/AR228)</f>
        <v>83.185714285714283</v>
      </c>
    </row>
    <row r="229" spans="1:47" x14ac:dyDescent="0.25">
      <c r="A229" t="s">
        <v>46</v>
      </c>
      <c r="B229" t="s">
        <v>895</v>
      </c>
      <c r="C229" t="s">
        <v>896</v>
      </c>
      <c r="D229" t="s">
        <v>897</v>
      </c>
      <c r="E229" s="11">
        <v>20</v>
      </c>
      <c r="F229" s="11">
        <v>16.670000000000002</v>
      </c>
      <c r="G229" s="11">
        <v>39.92</v>
      </c>
      <c r="H229" s="11">
        <v>2.5</v>
      </c>
      <c r="I229" s="13">
        <f t="shared" si="34"/>
        <v>79.09</v>
      </c>
      <c r="J229" s="11">
        <v>0</v>
      </c>
      <c r="K229" s="11">
        <v>0</v>
      </c>
      <c r="L229" s="11">
        <v>0</v>
      </c>
      <c r="M229" s="13">
        <f t="shared" si="35"/>
        <v>0</v>
      </c>
      <c r="N229" s="11">
        <v>0</v>
      </c>
      <c r="O229" s="11">
        <v>0</v>
      </c>
      <c r="P229" s="11">
        <v>0</v>
      </c>
      <c r="Q229" s="11">
        <v>0</v>
      </c>
      <c r="R229" s="13">
        <f t="shared" si="36"/>
        <v>0</v>
      </c>
      <c r="S229">
        <v>0</v>
      </c>
      <c r="T229">
        <v>0</v>
      </c>
      <c r="U229" s="7">
        <f t="shared" si="37"/>
        <v>0</v>
      </c>
      <c r="V229">
        <v>0</v>
      </c>
      <c r="W229">
        <v>0</v>
      </c>
      <c r="X229">
        <v>0</v>
      </c>
      <c r="Y229">
        <v>0</v>
      </c>
      <c r="Z229" s="13">
        <f t="shared" si="38"/>
        <v>0</v>
      </c>
      <c r="AA229">
        <v>0</v>
      </c>
      <c r="AB229">
        <v>0</v>
      </c>
      <c r="AC229">
        <v>0</v>
      </c>
      <c r="AD229">
        <v>0</v>
      </c>
      <c r="AE229" s="7">
        <f t="shared" si="39"/>
        <v>0</v>
      </c>
      <c r="AF229">
        <v>0</v>
      </c>
      <c r="AG229">
        <v>0</v>
      </c>
      <c r="AH229">
        <v>0</v>
      </c>
      <c r="AI229" s="13">
        <f t="shared" si="40"/>
        <v>0</v>
      </c>
      <c r="AJ229" s="11" t="s">
        <v>51</v>
      </c>
      <c r="AK229" s="11" t="s">
        <v>51</v>
      </c>
      <c r="AL229" s="11" t="s">
        <v>51</v>
      </c>
      <c r="AM229" s="13">
        <f t="shared" si="41"/>
        <v>0</v>
      </c>
      <c r="AN229" s="18">
        <v>4</v>
      </c>
      <c r="AO229" s="18">
        <v>0</v>
      </c>
      <c r="AP229" s="18">
        <v>0</v>
      </c>
      <c r="AQ229" s="18">
        <v>0</v>
      </c>
      <c r="AR229" s="18">
        <f t="shared" si="42"/>
        <v>4</v>
      </c>
      <c r="AS229" t="s">
        <v>52</v>
      </c>
      <c r="AT229" s="9">
        <v>79.09</v>
      </c>
      <c r="AU229" s="30">
        <f t="shared" ref="AU229:AU235" si="43">+((AN229*I229)+(AO229*AE229)+(AQ229*AI229)+(AP229*AM229))/AR229</f>
        <v>79.09</v>
      </c>
    </row>
    <row r="230" spans="1:47" s="6" customFormat="1" x14ac:dyDescent="0.25">
      <c r="A230" s="6" t="s">
        <v>46</v>
      </c>
      <c r="B230" s="6" t="s">
        <v>899</v>
      </c>
      <c r="C230" s="6" t="s">
        <v>900</v>
      </c>
      <c r="D230" s="6" t="s">
        <v>901</v>
      </c>
      <c r="E230" s="12">
        <v>25</v>
      </c>
      <c r="F230" s="12">
        <v>0</v>
      </c>
      <c r="G230" s="12">
        <v>49.387500000000003</v>
      </c>
      <c r="H230" s="12">
        <v>5</v>
      </c>
      <c r="I230" s="13">
        <f t="shared" si="34"/>
        <v>79.387500000000003</v>
      </c>
      <c r="J230" s="14">
        <v>0</v>
      </c>
      <c r="K230" s="14">
        <v>0</v>
      </c>
      <c r="L230" s="14">
        <v>0</v>
      </c>
      <c r="M230" s="13">
        <f t="shared" si="35"/>
        <v>0</v>
      </c>
      <c r="N230" s="12">
        <v>0</v>
      </c>
      <c r="O230" s="12">
        <v>0</v>
      </c>
      <c r="P230" s="12">
        <v>0</v>
      </c>
      <c r="Q230" s="12">
        <v>0</v>
      </c>
      <c r="R230" s="13">
        <f t="shared" si="36"/>
        <v>0</v>
      </c>
      <c r="S230" s="6">
        <v>0</v>
      </c>
      <c r="T230" s="6">
        <v>0</v>
      </c>
      <c r="U230" s="7">
        <f t="shared" si="37"/>
        <v>0</v>
      </c>
      <c r="V230" s="6">
        <v>0</v>
      </c>
      <c r="W230" s="6">
        <v>0</v>
      </c>
      <c r="X230" s="6">
        <v>0</v>
      </c>
      <c r="Y230" s="6">
        <v>0</v>
      </c>
      <c r="Z230" s="13">
        <f t="shared" si="38"/>
        <v>0</v>
      </c>
      <c r="AA230" s="6">
        <v>0</v>
      </c>
      <c r="AB230" s="6">
        <v>0</v>
      </c>
      <c r="AC230" s="6">
        <v>0</v>
      </c>
      <c r="AD230" s="6">
        <v>0</v>
      </c>
      <c r="AE230" s="7">
        <f t="shared" si="39"/>
        <v>0</v>
      </c>
      <c r="AF230" s="6">
        <v>0</v>
      </c>
      <c r="AG230" s="6">
        <v>0</v>
      </c>
      <c r="AH230" s="6">
        <v>0</v>
      </c>
      <c r="AI230" s="13">
        <f t="shared" si="40"/>
        <v>0</v>
      </c>
      <c r="AJ230" s="12" t="s">
        <v>51</v>
      </c>
      <c r="AK230" s="12" t="s">
        <v>51</v>
      </c>
      <c r="AL230" s="12" t="s">
        <v>51</v>
      </c>
      <c r="AM230" s="13">
        <f t="shared" si="41"/>
        <v>0</v>
      </c>
      <c r="AN230" s="21">
        <v>20</v>
      </c>
      <c r="AO230" s="21">
        <v>0</v>
      </c>
      <c r="AP230" s="21">
        <v>0</v>
      </c>
      <c r="AQ230" s="21">
        <v>0</v>
      </c>
      <c r="AR230" s="18">
        <f t="shared" si="42"/>
        <v>20</v>
      </c>
      <c r="AS230" s="6" t="s">
        <v>52</v>
      </c>
      <c r="AT230" s="10">
        <v>79.387500000000003</v>
      </c>
      <c r="AU230" s="30">
        <f>+((AN230*I230)+(AO230*AE230)+(AQ230*AI230)+(AP230*AM230))/AR230</f>
        <v>79.387500000000003</v>
      </c>
    </row>
    <row r="231" spans="1:47" x14ac:dyDescent="0.25">
      <c r="A231" t="s">
        <v>46</v>
      </c>
      <c r="B231" t="s">
        <v>903</v>
      </c>
      <c r="C231" t="s">
        <v>904</v>
      </c>
      <c r="D231" t="s">
        <v>905</v>
      </c>
      <c r="E231" s="11">
        <v>0</v>
      </c>
      <c r="F231" s="11">
        <v>0</v>
      </c>
      <c r="G231" s="11">
        <v>83.066666666666677</v>
      </c>
      <c r="H231" s="11">
        <v>4.1666666666666661</v>
      </c>
      <c r="I231" s="13">
        <f t="shared" si="34"/>
        <v>87.233333333333348</v>
      </c>
      <c r="J231" s="11">
        <v>0</v>
      </c>
      <c r="K231" s="11">
        <v>0</v>
      </c>
      <c r="L231" s="11">
        <v>0</v>
      </c>
      <c r="M231" s="13">
        <f t="shared" si="35"/>
        <v>0</v>
      </c>
      <c r="N231" s="11">
        <v>0</v>
      </c>
      <c r="O231" s="11">
        <v>0</v>
      </c>
      <c r="P231" s="11">
        <v>0</v>
      </c>
      <c r="Q231" s="11">
        <v>0</v>
      </c>
      <c r="R231" s="13">
        <f t="shared" si="36"/>
        <v>0</v>
      </c>
      <c r="S231">
        <v>0</v>
      </c>
      <c r="T231">
        <v>0</v>
      </c>
      <c r="U231" s="7">
        <f t="shared" si="37"/>
        <v>0</v>
      </c>
      <c r="V231">
        <v>0</v>
      </c>
      <c r="W231">
        <v>0</v>
      </c>
      <c r="X231">
        <v>0</v>
      </c>
      <c r="Y231">
        <v>0</v>
      </c>
      <c r="Z231" s="13">
        <f t="shared" si="38"/>
        <v>0</v>
      </c>
      <c r="AA231">
        <v>0</v>
      </c>
      <c r="AB231">
        <v>0</v>
      </c>
      <c r="AC231">
        <v>0</v>
      </c>
      <c r="AD231">
        <v>0</v>
      </c>
      <c r="AE231" s="7">
        <f t="shared" si="39"/>
        <v>0</v>
      </c>
      <c r="AF231">
        <v>0</v>
      </c>
      <c r="AG231">
        <v>0</v>
      </c>
      <c r="AH231">
        <v>0</v>
      </c>
      <c r="AI231" s="13">
        <f t="shared" si="40"/>
        <v>0</v>
      </c>
      <c r="AJ231" s="11" t="s">
        <v>51</v>
      </c>
      <c r="AK231" s="11" t="s">
        <v>51</v>
      </c>
      <c r="AL231" s="11" t="s">
        <v>51</v>
      </c>
      <c r="AM231" s="13">
        <f t="shared" si="41"/>
        <v>0</v>
      </c>
      <c r="AN231" s="18">
        <v>20</v>
      </c>
      <c r="AO231" s="18">
        <v>0</v>
      </c>
      <c r="AP231" s="18">
        <v>0</v>
      </c>
      <c r="AQ231" s="18">
        <v>0</v>
      </c>
      <c r="AR231" s="18">
        <f t="shared" si="42"/>
        <v>20</v>
      </c>
      <c r="AS231" t="s">
        <v>52</v>
      </c>
      <c r="AT231" s="9">
        <v>87.233333333333348</v>
      </c>
      <c r="AU231" s="30">
        <f t="shared" si="43"/>
        <v>87.233333333333348</v>
      </c>
    </row>
    <row r="232" spans="1:47" x14ac:dyDescent="0.25">
      <c r="A232" t="s">
        <v>46</v>
      </c>
      <c r="B232" t="s">
        <v>907</v>
      </c>
      <c r="C232" t="s">
        <v>908</v>
      </c>
      <c r="D232" t="s">
        <v>909</v>
      </c>
      <c r="E232" s="11">
        <v>19.670000000000002</v>
      </c>
      <c r="F232" s="11">
        <v>20</v>
      </c>
      <c r="G232" s="11">
        <v>44.1</v>
      </c>
      <c r="H232" s="11">
        <v>2.5</v>
      </c>
      <c r="I232" s="13">
        <f t="shared" si="34"/>
        <v>86.27000000000001</v>
      </c>
      <c r="J232" s="11">
        <v>0</v>
      </c>
      <c r="K232" s="11">
        <v>0</v>
      </c>
      <c r="L232" s="11">
        <v>0</v>
      </c>
      <c r="M232" s="13">
        <f t="shared" si="35"/>
        <v>0</v>
      </c>
      <c r="N232" s="11">
        <v>0</v>
      </c>
      <c r="O232" s="11">
        <v>0</v>
      </c>
      <c r="P232" s="11">
        <v>0</v>
      </c>
      <c r="Q232" s="11">
        <v>0</v>
      </c>
      <c r="R232" s="13">
        <f t="shared" si="36"/>
        <v>0</v>
      </c>
      <c r="S232">
        <v>0</v>
      </c>
      <c r="T232">
        <v>0</v>
      </c>
      <c r="U232" s="7">
        <f t="shared" si="37"/>
        <v>0</v>
      </c>
      <c r="V232">
        <v>0</v>
      </c>
      <c r="W232">
        <v>0</v>
      </c>
      <c r="X232">
        <v>0</v>
      </c>
      <c r="Y232">
        <v>0</v>
      </c>
      <c r="Z232" s="13">
        <f t="shared" si="38"/>
        <v>0</v>
      </c>
      <c r="AA232">
        <v>0</v>
      </c>
      <c r="AB232">
        <v>0</v>
      </c>
      <c r="AC232">
        <v>0</v>
      </c>
      <c r="AD232">
        <v>0</v>
      </c>
      <c r="AE232" s="7">
        <f t="shared" si="39"/>
        <v>0</v>
      </c>
      <c r="AF232">
        <v>0</v>
      </c>
      <c r="AG232">
        <v>0</v>
      </c>
      <c r="AH232">
        <v>0</v>
      </c>
      <c r="AI232" s="13">
        <f t="shared" si="40"/>
        <v>0</v>
      </c>
      <c r="AJ232" s="11" t="s">
        <v>51</v>
      </c>
      <c r="AK232" s="11" t="s">
        <v>51</v>
      </c>
      <c r="AL232" s="11" t="s">
        <v>51</v>
      </c>
      <c r="AM232" s="13">
        <f t="shared" si="41"/>
        <v>0</v>
      </c>
      <c r="AN232" s="18">
        <v>40</v>
      </c>
      <c r="AO232" s="18">
        <v>0</v>
      </c>
      <c r="AP232" s="18">
        <v>0</v>
      </c>
      <c r="AQ232" s="18">
        <v>0</v>
      </c>
      <c r="AR232" s="18">
        <f t="shared" si="42"/>
        <v>40</v>
      </c>
      <c r="AS232" t="s">
        <v>52</v>
      </c>
      <c r="AT232" s="9">
        <v>86.27000000000001</v>
      </c>
      <c r="AU232" s="30">
        <f t="shared" si="43"/>
        <v>86.27000000000001</v>
      </c>
    </row>
    <row r="233" spans="1:47" x14ac:dyDescent="0.25">
      <c r="A233" t="s">
        <v>46</v>
      </c>
      <c r="B233" t="s">
        <v>911</v>
      </c>
      <c r="C233" t="s">
        <v>912</v>
      </c>
      <c r="D233" t="s">
        <v>913</v>
      </c>
      <c r="E233" s="11">
        <v>15.67</v>
      </c>
      <c r="F233" s="11">
        <v>18.670000000000002</v>
      </c>
      <c r="G233" s="11">
        <v>39.44</v>
      </c>
      <c r="H233" s="11">
        <v>4.5</v>
      </c>
      <c r="I233" s="13">
        <f t="shared" si="34"/>
        <v>78.28</v>
      </c>
      <c r="J233" s="11">
        <v>0</v>
      </c>
      <c r="K233" s="11">
        <v>0</v>
      </c>
      <c r="L233" s="11">
        <v>0</v>
      </c>
      <c r="M233" s="13">
        <f t="shared" si="35"/>
        <v>0</v>
      </c>
      <c r="N233" s="11">
        <v>0</v>
      </c>
      <c r="O233" s="11">
        <v>0</v>
      </c>
      <c r="P233" s="11">
        <v>0</v>
      </c>
      <c r="Q233" s="11">
        <v>0</v>
      </c>
      <c r="R233" s="13">
        <f t="shared" si="36"/>
        <v>0</v>
      </c>
      <c r="S233">
        <v>0</v>
      </c>
      <c r="T233">
        <v>0</v>
      </c>
      <c r="U233" s="7">
        <f t="shared" si="37"/>
        <v>0</v>
      </c>
      <c r="V233">
        <v>0</v>
      </c>
      <c r="W233">
        <v>0</v>
      </c>
      <c r="X233">
        <v>0</v>
      </c>
      <c r="Y233">
        <v>0</v>
      </c>
      <c r="Z233" s="13">
        <f t="shared" si="38"/>
        <v>0</v>
      </c>
      <c r="AA233">
        <v>0</v>
      </c>
      <c r="AB233">
        <v>0</v>
      </c>
      <c r="AC233">
        <v>0</v>
      </c>
      <c r="AD233">
        <v>0</v>
      </c>
      <c r="AE233" s="7">
        <f t="shared" si="39"/>
        <v>0</v>
      </c>
      <c r="AF233">
        <v>0</v>
      </c>
      <c r="AG233">
        <v>0</v>
      </c>
      <c r="AH233">
        <v>0</v>
      </c>
      <c r="AI233" s="13">
        <f t="shared" si="40"/>
        <v>0</v>
      </c>
      <c r="AJ233" s="11" t="s">
        <v>51</v>
      </c>
      <c r="AK233" s="11" t="s">
        <v>51</v>
      </c>
      <c r="AL233" s="11" t="s">
        <v>51</v>
      </c>
      <c r="AM233" s="13">
        <f t="shared" si="41"/>
        <v>0</v>
      </c>
      <c r="AN233" s="18">
        <v>10.5</v>
      </c>
      <c r="AO233" s="18">
        <v>0</v>
      </c>
      <c r="AP233" s="18">
        <v>0</v>
      </c>
      <c r="AQ233" s="18">
        <v>0</v>
      </c>
      <c r="AR233" s="18">
        <f t="shared" si="42"/>
        <v>10.5</v>
      </c>
      <c r="AS233" t="s">
        <v>52</v>
      </c>
      <c r="AT233" s="9">
        <v>78.28</v>
      </c>
      <c r="AU233" s="30">
        <f t="shared" si="43"/>
        <v>78.28</v>
      </c>
    </row>
    <row r="234" spans="1:47" x14ac:dyDescent="0.25">
      <c r="A234" t="s">
        <v>46</v>
      </c>
      <c r="B234" t="s">
        <v>915</v>
      </c>
      <c r="C234" t="s">
        <v>916</v>
      </c>
      <c r="D234" t="s">
        <v>917</v>
      </c>
      <c r="E234" s="11">
        <v>17.170000000000002</v>
      </c>
      <c r="F234" s="11">
        <v>18.670000000000002</v>
      </c>
      <c r="G234" s="11">
        <v>44.91</v>
      </c>
      <c r="H234" s="11">
        <v>3</v>
      </c>
      <c r="I234" s="13">
        <f t="shared" si="34"/>
        <v>83.75</v>
      </c>
      <c r="J234" s="11">
        <v>0</v>
      </c>
      <c r="K234" s="11">
        <v>0</v>
      </c>
      <c r="L234" s="11">
        <v>0</v>
      </c>
      <c r="M234" s="13">
        <f t="shared" si="35"/>
        <v>0</v>
      </c>
      <c r="N234" s="11">
        <v>0</v>
      </c>
      <c r="O234" s="11">
        <v>0</v>
      </c>
      <c r="P234" s="11">
        <v>0</v>
      </c>
      <c r="Q234" s="11">
        <v>0</v>
      </c>
      <c r="R234" s="13">
        <f t="shared" si="36"/>
        <v>0</v>
      </c>
      <c r="S234">
        <v>0</v>
      </c>
      <c r="T234">
        <v>0</v>
      </c>
      <c r="U234" s="7">
        <f t="shared" si="37"/>
        <v>0</v>
      </c>
      <c r="V234">
        <v>0</v>
      </c>
      <c r="W234">
        <v>0</v>
      </c>
      <c r="X234">
        <v>0</v>
      </c>
      <c r="Y234">
        <v>0</v>
      </c>
      <c r="Z234" s="13">
        <f t="shared" si="38"/>
        <v>0</v>
      </c>
      <c r="AA234">
        <v>3.75</v>
      </c>
      <c r="AB234">
        <v>12.5</v>
      </c>
      <c r="AC234">
        <v>15</v>
      </c>
      <c r="AD234">
        <v>17.5</v>
      </c>
      <c r="AE234" s="7">
        <f t="shared" si="39"/>
        <v>48.75</v>
      </c>
      <c r="AF234">
        <v>0</v>
      </c>
      <c r="AG234">
        <v>0</v>
      </c>
      <c r="AH234">
        <v>0</v>
      </c>
      <c r="AI234" s="13">
        <f t="shared" si="40"/>
        <v>0</v>
      </c>
      <c r="AJ234" s="11" t="s">
        <v>51</v>
      </c>
      <c r="AK234" s="11" t="s">
        <v>51</v>
      </c>
      <c r="AL234" s="11" t="s">
        <v>51</v>
      </c>
      <c r="AM234" s="13">
        <f t="shared" si="41"/>
        <v>0</v>
      </c>
      <c r="AN234" s="18">
        <v>35</v>
      </c>
      <c r="AO234" s="18">
        <v>5</v>
      </c>
      <c r="AP234" s="18">
        <v>0</v>
      </c>
      <c r="AQ234" s="18">
        <v>0</v>
      </c>
      <c r="AR234" s="18">
        <f t="shared" si="42"/>
        <v>40</v>
      </c>
      <c r="AS234" t="s">
        <v>52</v>
      </c>
      <c r="AT234" s="9">
        <v>79.375</v>
      </c>
      <c r="AU234" s="30">
        <f t="shared" si="43"/>
        <v>79.375</v>
      </c>
    </row>
    <row r="235" spans="1:47" x14ac:dyDescent="0.25">
      <c r="A235" t="s">
        <v>46</v>
      </c>
      <c r="B235" t="s">
        <v>919</v>
      </c>
      <c r="C235" t="s">
        <v>920</v>
      </c>
      <c r="D235" t="s">
        <v>921</v>
      </c>
      <c r="E235" s="11">
        <v>20</v>
      </c>
      <c r="F235" s="11">
        <v>20</v>
      </c>
      <c r="G235" s="11">
        <v>43.62</v>
      </c>
      <c r="H235" s="11">
        <v>7</v>
      </c>
      <c r="I235" s="13">
        <f t="shared" si="34"/>
        <v>90.62</v>
      </c>
      <c r="J235" s="11">
        <v>0</v>
      </c>
      <c r="K235" s="11">
        <v>0</v>
      </c>
      <c r="L235" s="11">
        <v>0</v>
      </c>
      <c r="M235" s="13">
        <f t="shared" si="35"/>
        <v>0</v>
      </c>
      <c r="N235" s="11">
        <v>0</v>
      </c>
      <c r="O235" s="11">
        <v>0</v>
      </c>
      <c r="P235" s="11">
        <v>0</v>
      </c>
      <c r="Q235" s="11">
        <v>0</v>
      </c>
      <c r="R235" s="13">
        <f t="shared" si="36"/>
        <v>0</v>
      </c>
      <c r="S235">
        <v>0</v>
      </c>
      <c r="T235">
        <v>0</v>
      </c>
      <c r="U235" s="7">
        <f t="shared" si="37"/>
        <v>0</v>
      </c>
      <c r="V235">
        <v>0</v>
      </c>
      <c r="W235">
        <v>0</v>
      </c>
      <c r="X235">
        <v>0</v>
      </c>
      <c r="Y235">
        <v>0</v>
      </c>
      <c r="Z235" s="13">
        <f t="shared" si="38"/>
        <v>0</v>
      </c>
      <c r="AA235">
        <v>15</v>
      </c>
      <c r="AB235">
        <v>50</v>
      </c>
      <c r="AC235">
        <v>15</v>
      </c>
      <c r="AD235">
        <v>20</v>
      </c>
      <c r="AE235" s="7">
        <f t="shared" si="39"/>
        <v>100</v>
      </c>
      <c r="AF235">
        <v>0</v>
      </c>
      <c r="AG235">
        <v>0</v>
      </c>
      <c r="AH235">
        <v>0</v>
      </c>
      <c r="AI235" s="13">
        <f t="shared" si="40"/>
        <v>0</v>
      </c>
      <c r="AJ235" s="11" t="s">
        <v>51</v>
      </c>
      <c r="AK235" s="11" t="s">
        <v>51</v>
      </c>
      <c r="AL235" s="11" t="s">
        <v>51</v>
      </c>
      <c r="AM235" s="13">
        <f t="shared" si="41"/>
        <v>0</v>
      </c>
      <c r="AN235" s="18">
        <v>29.75</v>
      </c>
      <c r="AO235" s="18">
        <v>10.25</v>
      </c>
      <c r="AP235" s="18">
        <v>0</v>
      </c>
      <c r="AQ235" s="18">
        <v>0</v>
      </c>
      <c r="AR235" s="18">
        <f t="shared" si="42"/>
        <v>40</v>
      </c>
      <c r="AS235" t="s">
        <v>52</v>
      </c>
      <c r="AT235" s="9">
        <v>93.02362500000001</v>
      </c>
      <c r="AU235" s="30">
        <f t="shared" si="43"/>
        <v>93.02362500000001</v>
      </c>
    </row>
    <row r="250" spans="9:9" x14ac:dyDescent="0.25">
      <c r="I250" s="7"/>
    </row>
  </sheetData>
  <mergeCells count="9">
    <mergeCell ref="AF3:AI3"/>
    <mergeCell ref="AJ3:AM3"/>
    <mergeCell ref="AN3:AR3"/>
    <mergeCell ref="E3:I3"/>
    <mergeCell ref="J3:M3"/>
    <mergeCell ref="N3:R3"/>
    <mergeCell ref="S3:U3"/>
    <mergeCell ref="V3:Z3"/>
    <mergeCell ref="AA3:A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 1</vt:lpstr>
      <vt:lpstr>Sheet 1 (2)</vt:lpstr>
      <vt:lpstr>Sheet 1 (3)</vt:lpstr>
      <vt:lpstr>Sheet 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KleberRPF</dc:creator>
  <cp:lastModifiedBy>Gloria Jackeline Zambrano Delgado</cp:lastModifiedBy>
  <dcterms:created xsi:type="dcterms:W3CDTF">2025-04-23T16:51:48Z</dcterms:created>
  <dcterms:modified xsi:type="dcterms:W3CDTF">2025-05-20T20:55:56Z</dcterms:modified>
</cp:coreProperties>
</file>